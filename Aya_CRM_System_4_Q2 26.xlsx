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1. Inbound Leads" sheetId="2" r:id="rId5"/>
    <sheet state="visible" name="2. Scoping &amp; PoC" sheetId="3" r:id="rId6"/>
    <sheet state="visible" name="Leads Progression" sheetId="4" r:id="rId7"/>
    <sheet state="visible" name="How To Use" sheetId="5" r:id="rId8"/>
  </sheets>
  <definedNames>
    <definedName hidden="1" localSheetId="1" name="_xlnm._FilterDatabase">'1. Inbound Leads'!$A$5:$AD$211</definedName>
    <definedName hidden="1" localSheetId="2" name="_xlnm._FilterDatabase">'2. Scoping &amp; PoC'!$A$4:$AA$183</definedName>
  </definedNames>
  <calcPr/>
  <extLst>
    <ext uri="GoogleSheetsCustomDataVersion2">
      <go:sheetsCustomData xmlns:go="http://customooxmlschemas.google.com/" r:id="rId9" roundtripDataChecksum="6tUz/97jxrCQapN1jF/IvsP2G+q2TBC+jISRGOa3T9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0">
      <text>
        <t xml:space="preserve">======
ID#AAAB1ucVWrQ
Edward Worlanyo Bankas    (2026-03-13 17:26:58)
Also fixed</t>
      </text>
    </comment>
    <comment authorId="0" ref="C149">
      <text>
        <t xml:space="preserve">======
ID#AAAB1ucVWrM
Edward Worlanyo Bankas    (2026-03-13 17:23:43)
Fixed now , it should work normal</t>
      </text>
    </comment>
    <comment authorId="0" ref="A168">
      <text>
        <t xml:space="preserve">======
ID#AAAB1swqopo
Edward Worlanyo Bankas    (2026-03-13 15:09:58)
Added this to track leads from AI engines</t>
      </text>
    </comment>
    <comment authorId="0" ref="D104">
      <text>
        <t xml:space="preserve">======
ID#AAAB1swqopk
Edward Worlanyo Bankas    (2026-03-13 15:08:59)
Its chat has also been enhanced to show its data</t>
      </text>
    </comment>
    <comment authorId="0" ref="B104">
      <text>
        <t xml:space="preserve">======
ID#AAAB1swqopg
Edward Worlanyo Bankas    (2026-03-13 15:08:08)
Column fixed and should work normal</t>
      </text>
    </comment>
    <comment authorId="0" ref="A53">
      <text>
        <t xml:space="preserve">======
ID#AAAB1swqopc
Edward Worlanyo Bankas    (2026-03-13 15:07:24)
Chat has been enhanced as well</t>
      </text>
    </comment>
    <comment authorId="0" ref="B41">
      <text>
        <t xml:space="preserve">======
ID#AAAB1swqopY
Edward Worlanyo Bankas    (2026-03-13 15:06:42)
Same applies here</t>
      </text>
    </comment>
    <comment authorId="0" ref="B35">
      <text>
        <t xml:space="preserve">======
ID#AAAB1swqopU
Edward Worlanyo Bankas    (2026-03-13 15:06:20)
Column fixed. it should work fine now</t>
      </text>
    </comment>
    <comment authorId="0" ref="A8">
      <text>
        <t xml:space="preserve">======
ID#AAAB1swqopI
Edward Worlanyo Bankas    (2026-03-13 15:04:00)
The chat has been enhanced</t>
      </text>
    </comment>
    <comment authorId="0" ref="P3">
      <text>
        <t xml:space="preserve">======
ID#AAAB1swqopE
Edward Worlanyo Bankas    (2026-03-13 14:47:49)
@freddie@ayadata.ai , The filter is not working properly. I'm not able to see it's code/ data
------
ID#AAAB1wgl3Fc
Freddie Monk    (2026-03-16 08:52:14)
Oh dear - can you rebuild? I used claude to do it
------
ID#AAAB187zgyM
Edward Worlanyo Bankas    (2026-03-16 16:48:56)
@freddie@ayadata.ai , Yes , Good news ..working perfectly now</t>
      </text>
    </comment>
    <comment authorId="0" ref="A3">
      <text>
        <t xml:space="preserve">======
ID#AAAB1Zvjw1k
tc={A88CE2AD-3B9E-452A-AD87-3BBFCBEAF0C6}    (2026-03-07 12:12:59)
[Threaded comment]
Your version of Excel allows you to read this threaded comment; however, any edits to it will get removed if the file is opened in a newer version of Excel. Learn more: https://go.microsoft.com/fwlink/?linkid=870924
Comment:
    Select a time period to filter the KPI metrics row. Options: All Time, 2025, 2026, Last 3 months, Last 6 months, YTD 2025. Charts and data tables below show all-time data.</t>
      </text>
    </comment>
  </commentList>
  <extLst>
    <ext uri="GoogleSheetsCustomDataVersion2">
      <go:sheetsCustomData xmlns:go="http://customooxmlschemas.google.com/" r:id="rId1" roundtripDataSignature="AMtx7mj6xWMY1p3Yv+SnPzIa+5Qf76F4g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5">
      <text>
        <t xml:space="preserve">======
ID#AAAB2mJFrNA
Edward Worlanyo Bankas    (2026-03-30 15:46:09)
Kindly leave this section blank if it doesn't hold for a specific lead(I have made edits to the code now). All other sections will have to be completed before it reads as COMPLETE. @akhil@ayadata.ai @brendon@ayadata.ai @darius@ayadata.ai @seyram@ayadata.ai @sharon@ayadata.ai</t>
      </text>
    </comment>
    <comment authorId="0" ref="Z5">
      <text>
        <t xml:space="preserve">======
ID#AAAB1swnAUA
Edward Worlanyo Bankas    (2026-03-13 14:33:45)
75+ score will score A in the lead grade column
------
ID#AAAB1swnAUI
Freddie Monk    (2026-03-13 14:44:01)
great</t>
      </text>
    </comment>
  </commentList>
  <extLst>
    <ext uri="GoogleSheetsCustomDataVersion2">
      <go:sheetsCustomData xmlns:go="http://customooxmlschemas.google.com/" r:id="rId1" roundtripDataSignature="AMtx7mit7eU0wPFghBwHRs+CC6oNvtfSMg=="/>
    </ext>
  </extLst>
</comments>
</file>

<file path=xl/sharedStrings.xml><?xml version="1.0" encoding="utf-8"?>
<sst xmlns="http://schemas.openxmlformats.org/spreadsheetml/2006/main" count="4625" uniqueCount="2225">
  <si>
    <t>AYA DATA — CRM</t>
  </si>
  <si>
    <t>All Time</t>
  </si>
  <si>
    <t>Live view across Inbound, Pipeline &amp; Revenue. All data pulls from Tabs 1-3. Use the ⏱ PERIOD toggle (right) to filter by time.</t>
  </si>
  <si>
    <t xml:space="preserve">  📊  KEY METRICS AT A GLANCE</t>
  </si>
  <si>
    <t>⏱ PERIOD ▸</t>
  </si>
  <si>
    <t>Last 3 months</t>
  </si>
  <si>
    <t>Total Inbound Leads</t>
  </si>
  <si>
    <t>Moved to Scoping</t>
  </si>
  <si>
    <t>Lead → Scoping %</t>
  </si>
  <si>
    <t>Active in Scoping</t>
  </si>
  <si>
    <t>PoCs Running</t>
  </si>
  <si>
    <t>Deals Won</t>
  </si>
  <si>
    <t>Deals Lost</t>
  </si>
  <si>
    <t>Win Rate</t>
  </si>
  <si>
    <t>Weighted Pipeline ($)</t>
  </si>
  <si>
    <t>Avg. Days in Scoping</t>
  </si>
  <si>
    <t>Last 6 months</t>
  </si>
  <si>
    <t>YTD 2025</t>
  </si>
  <si>
    <t xml:space="preserve">  1 │ INBOUND LEAD VOLUME</t>
  </si>
  <si>
    <t>Month</t>
  </si>
  <si>
    <t>Leads</t>
  </si>
  <si>
    <t>Period Helpers</t>
  </si>
  <si>
    <t>2025-01</t>
  </si>
  <si>
    <t>Start Date</t>
  </si>
  <si>
    <t>2025-02</t>
  </si>
  <si>
    <t>2025-03</t>
  </si>
  <si>
    <t>End Date</t>
  </si>
  <si>
    <t>2025-04</t>
  </si>
  <si>
    <t>2025-05</t>
  </si>
  <si>
    <t>Period Label</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</si>
  <si>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</si>
  <si>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</si>
  <si>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</si>
  <si>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</si>
  <si>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</si>
  <si>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</si>
  <si>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</si>
  <si>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</si>
  <si>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</si>
  <si>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</si>
  <si>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</si>
  <si>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</si>
  <si>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</si>
  <si>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</si>
  <si>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</si>
  <si>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</si>
  <si>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</si>
  <si>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</si>
  <si>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</si>
  <si>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 xml:space="preserve">  1b │ LEADS BY BUSINESS UNIT</t>
  </si>
  <si>
    <t>Business Unit</t>
  </si>
  <si>
    <t>Count</t>
  </si>
  <si>
    <t>% Share</t>
  </si>
  <si>
    <t>Annotation</t>
  </si>
  <si>
    <t>Solutions</t>
  </si>
  <si>
    <t>Partnerships</t>
  </si>
  <si>
    <t xml:space="preserve">  1c │ LEADS BY INDUSTRY VERTICAL</t>
  </si>
  <si>
    <t>Vertical</t>
  </si>
  <si>
    <t>Healthcare/Medical</t>
  </si>
  <si>
    <t>Automotive/AV</t>
  </si>
  <si>
    <t>Agriculture/Geo</t>
  </si>
  <si>
    <t>Finance</t>
  </si>
  <si>
    <t>Retail/E-commerce</t>
  </si>
  <si>
    <t>Robotics</t>
  </si>
  <si>
    <t>Government/Defence</t>
  </si>
  <si>
    <t>Education</t>
  </si>
  <si>
    <t>Tech/SaaS</t>
  </si>
  <si>
    <t>Other</t>
  </si>
  <si>
    <t xml:space="preserve">  1d │ LEADS BY COUNTRY (Top 15)</t>
  </si>
  <si>
    <t>Country</t>
  </si>
  <si>
    <t>United States</t>
  </si>
  <si>
    <t>United Kingdom</t>
  </si>
  <si>
    <t>India</t>
  </si>
  <si>
    <t>Nigeria</t>
  </si>
  <si>
    <t>Ghana</t>
  </si>
  <si>
    <t>Kenya</t>
  </si>
  <si>
    <t>South Africa</t>
  </si>
  <si>
    <t>Germany</t>
  </si>
  <si>
    <t>Australia</t>
  </si>
  <si>
    <t>Canada</t>
  </si>
  <si>
    <t>France</t>
  </si>
  <si>
    <t>Cameroon</t>
  </si>
  <si>
    <t>Japan</t>
  </si>
  <si>
    <t xml:space="preserve">Malaysia </t>
  </si>
  <si>
    <t>Rwanda</t>
  </si>
  <si>
    <t xml:space="preserve">Isreal </t>
  </si>
  <si>
    <t>Netherlands</t>
  </si>
  <si>
    <t xml:space="preserve">  2 │ MONTHLY FUNNEL CONVERSION RATES</t>
  </si>
  <si>
    <t>Inbound</t>
  </si>
  <si>
    <t>To Scoping</t>
  </si>
  <si>
    <t>Lead→Scope %</t>
  </si>
  <si>
    <t>PoC Started</t>
  </si>
  <si>
    <t>Scope→PoC %</t>
  </si>
  <si>
    <t>Won</t>
  </si>
  <si>
    <t>PoC→Won %</t>
  </si>
  <si>
    <t>Lost</t>
  </si>
  <si>
    <t>Dead (No Resp)</t>
  </si>
  <si>
    <t xml:space="preserve">  3 │ CURRENT FUNNEL SNAPSHOT (Leads at Each Stage)</t>
  </si>
  <si>
    <t>Funnel Stage</t>
  </si>
  <si>
    <t>% of Total</t>
  </si>
  <si>
    <t>New Lead</t>
  </si>
  <si>
    <t>Contacted</t>
  </si>
  <si>
    <t>Discovery Scheduled</t>
  </si>
  <si>
    <t>Discovery Complete</t>
  </si>
  <si>
    <t>Scoping</t>
  </si>
  <si>
    <t>PoC In Progress</t>
  </si>
  <si>
    <t>PoC Complete</t>
  </si>
  <si>
    <t>Pilot Approved</t>
  </si>
  <si>
    <t>SOW Negotiation</t>
  </si>
  <si>
    <t>Won — In Production</t>
  </si>
  <si>
    <t>Dead (All Reasons)</t>
  </si>
  <si>
    <t xml:space="preserve">  4 │ AVERAGE TIME (DAYS) PER FUNNEL STAGE</t>
  </si>
  <si>
    <t>Stage Transition</t>
  </si>
  <si>
    <t>Avg Days</t>
  </si>
  <si>
    <t>Target (days)</t>
  </si>
  <si>
    <t>Status</t>
  </si>
  <si>
    <t>What It Measures</t>
  </si>
  <si>
    <t>Inbound → First Contact</t>
  </si>
  <si>
    <t>Measures response speed</t>
  </si>
  <si>
    <t>First Contact → Discovery</t>
  </si>
  <si>
    <t>Time to qualify</t>
  </si>
  <si>
    <t>Discovery → Scoping Start</t>
  </si>
  <si>
    <t>Decision speed</t>
  </si>
  <si>
    <t>Days in Scoping (active)</t>
  </si>
  <si>
    <t>Scoping throughput</t>
  </si>
  <si>
    <t>PoC Duration</t>
  </si>
  <si>
    <t>PoC efficiency</t>
  </si>
  <si>
    <t>Scoping → Won</t>
  </si>
  <si>
    <t>Total sales cycle in pipeline</t>
  </si>
  <si>
    <t xml:space="preserve">  5 │ TOP 15 WEIGHTED PIPELINE OPPORTUNITIES</t>
  </si>
  <si>
    <t>Rank</t>
  </si>
  <si>
    <t>Account Name</t>
  </si>
  <si>
    <t>Service Line</t>
  </si>
  <si>
    <t>Owner</t>
  </si>
  <si>
    <t>Stage</t>
  </si>
  <si>
    <t>Deal Value ($)</t>
  </si>
  <si>
    <t>Probability</t>
  </si>
  <si>
    <t>Weighted ($)</t>
  </si>
  <si>
    <t>Est. Start</t>
  </si>
  <si>
    <t>Contract Type</t>
  </si>
  <si>
    <t xml:space="preserve">  6 │ OWNER PERFORMANCE SCORECARD</t>
  </si>
  <si>
    <t>Leads Assigned</t>
  </si>
  <si>
    <t>Discovery Done</t>
  </si>
  <si>
    <t>Disc. Rate %</t>
  </si>
  <si>
    <t>Scope Rate %</t>
  </si>
  <si>
    <t>PoCs Run</t>
  </si>
  <si>
    <t>Win Rate %</t>
  </si>
  <si>
    <t>Pipeline Value ($)</t>
  </si>
  <si>
    <t>Akhil</t>
  </si>
  <si>
    <t>Seyram</t>
  </si>
  <si>
    <t>Darius</t>
  </si>
  <si>
    <t>Michael</t>
  </si>
  <si>
    <t>Olivia</t>
  </si>
  <si>
    <t>Freddie</t>
  </si>
  <si>
    <t>Elton</t>
  </si>
  <si>
    <t xml:space="preserve">Brendon </t>
  </si>
  <si>
    <t xml:space="preserve">  7 │ LEAD SOURCE ROI &amp; CHANNEL PERFORMANCE</t>
  </si>
  <si>
    <t>Channel</t>
  </si>
  <si>
    <t>Conv. Rate %</t>
  </si>
  <si>
    <t>Website Form</t>
  </si>
  <si>
    <t>Google Ads</t>
  </si>
  <si>
    <t>Search Engine</t>
  </si>
  <si>
    <t>LinkedIn</t>
  </si>
  <si>
    <t>Referral</t>
  </si>
  <si>
    <t>Partner Intro</t>
  </si>
  <si>
    <t>AI Engines</t>
  </si>
  <si>
    <t>Event/Conference</t>
  </si>
  <si>
    <t>Cold Outreach</t>
  </si>
  <si>
    <t>Collective OS</t>
  </si>
  <si>
    <t xml:space="preserve">  8 │ PARTNER vs DIRECT CHANNEL SPLIT</t>
  </si>
  <si>
    <t>Channel Type</t>
  </si>
  <si>
    <t>Conv. %</t>
  </si>
  <si>
    <t>Avg Deal Value ($)</t>
  </si>
  <si>
    <t>Direct</t>
  </si>
  <si>
    <t>Partner</t>
  </si>
  <si>
    <t xml:space="preserve">  9 │ REVENUE HEALTH — AT RISK vs COMMITTED</t>
  </si>
  <si>
    <t>Category</t>
  </si>
  <si>
    <t>Deal Count</t>
  </si>
  <si>
    <t>Total Value ($)</t>
  </si>
  <si>
    <t>Weighted Value ($)</t>
  </si>
  <si>
    <t>Committed (&gt;80% prob)</t>
  </si>
  <si>
    <t>Probable (50-80%)</t>
  </si>
  <si>
    <t>Upside (&lt;50% prob)</t>
  </si>
  <si>
    <t>TOTAL PIPELINE</t>
  </si>
  <si>
    <t xml:space="preserve">  10 │ LOSS REASON ANALYSIS</t>
  </si>
  <si>
    <t>Reason</t>
  </si>
  <si>
    <t>Count (Inbound)</t>
  </si>
  <si>
    <t>Count (Pipeline)</t>
  </si>
  <si>
    <t>Total</t>
  </si>
  <si>
    <t>No Response</t>
  </si>
  <si>
    <t>Not a Fit</t>
  </si>
  <si>
    <t>Lost to Competitor</t>
  </si>
  <si>
    <t>No Budget</t>
  </si>
  <si>
    <t>Pricing</t>
  </si>
  <si>
    <t>Quality (PoC Failed)</t>
  </si>
  <si>
    <t>Timeline Mismatch</t>
  </si>
  <si>
    <t xml:space="preserve"> </t>
  </si>
  <si>
    <t>All inbound leads are logged here. Fields 1-10 from form. Fields 11-16 after first contact. Fields 17-24 after discovery call. Score auto-calculates. When Stage = "Move to Scoping", copy Lead ID to Pipeline tab.</t>
  </si>
  <si>
    <t>FROM INBOUND FORM</t>
  </si>
  <si>
    <t>FIRST TOUCH / TRIAGE</t>
  </si>
  <si>
    <t>DISCOVERY CALL OUTPUTS</t>
  </si>
  <si>
    <t>STAGE GATE &amp; ROUTING</t>
  </si>
  <si>
    <t>VELOCITY</t>
  </si>
  <si>
    <t>Lead ID</t>
  </si>
  <si>
    <t>Date Received</t>
  </si>
  <si>
    <t>First Name</t>
  </si>
  <si>
    <t>Last Name</t>
  </si>
  <si>
    <t>Phone Number</t>
  </si>
  <si>
    <t>Email</t>
  </si>
  <si>
    <t>Company</t>
  </si>
  <si>
    <t>Role / Title</t>
  </si>
  <si>
    <t>How They Found Aya</t>
  </si>
  <si>
    <t>Project Description
(from form)</t>
  </si>
  <si>
    <t>Assigned To</t>
  </si>
  <si>
    <t>Date First Contacted</t>
  </si>
  <si>
    <t>Response Status</t>
  </si>
  <si>
    <t>Partner or Direct</t>
  </si>
  <si>
    <t>Discovery Call Date</t>
  </si>
  <si>
    <t>Data Modality</t>
  </si>
  <si>
    <t>Est. Volume</t>
  </si>
  <si>
    <t>Budget Range</t>
  </si>
  <si>
    <t>Timeline / Urgency</t>
  </si>
  <si>
    <t>Decision Maker?</t>
  </si>
  <si>
    <t>Industry Vertical</t>
  </si>
  <si>
    <t>Discovery Notes</t>
  </si>
  <si>
    <t>Lead Score</t>
  </si>
  <si>
    <t>Lead Grade</t>
  </si>
  <si>
    <t>Discovery Complete?</t>
  </si>
  <si>
    <t>Outcome / Reason if Lost</t>
  </si>
  <si>
    <t>Date Moved
to Scoping</t>
  </si>
  <si>
    <t>Auto: AYA-001</t>
  </si>
  <si>
    <t>Auto/Manual</t>
  </si>
  <si>
    <t>Required</t>
  </si>
  <si>
    <t>Select team member</t>
  </si>
  <si>
    <t>Date of 1st email/call</t>
  </si>
  <si>
    <t>Select status</t>
  </si>
  <si>
    <t>Data Annotation / AI Solutions</t>
  </si>
  <si>
    <t>Select service</t>
  </si>
  <si>
    <t>Partner / Direct</t>
  </si>
  <si>
    <t>Date of call</t>
  </si>
  <si>
    <t>Image/Text/Audio/Video/LiDAR</t>
  </si>
  <si>
    <t>e.g. 10,000 images</t>
  </si>
  <si>
    <t>Select range</t>
  </si>
  <si>
    <t>Select urgency</t>
  </si>
  <si>
    <t>Yes/No</t>
  </si>
  <si>
    <t>Select vertical</t>
  </si>
  <si>
    <t>Free text notes</t>
  </si>
  <si>
    <t>AUTO (0-100)</t>
  </si>
  <si>
    <t>AUTO (A-D)</t>
  </si>
  <si>
    <t>AUTO flag</t>
  </si>
  <si>
    <t>Select stage</t>
  </si>
  <si>
    <t>Required if Lost/Dead</t>
  </si>
  <si>
    <t>Date or blank</t>
  </si>
  <si>
    <t>Onyekachi</t>
  </si>
  <si>
    <t>Opara</t>
  </si>
  <si>
    <t>oparaonyekachi1999@gmail.com</t>
  </si>
  <si>
    <t>Chibuzor</t>
  </si>
  <si>
    <t>Play</t>
  </si>
  <si>
    <t>Awaiting feedback - No response</t>
  </si>
  <si>
    <t>Dead — No Response</t>
  </si>
  <si>
    <t>Emmanuel</t>
  </si>
  <si>
    <t>Irumva</t>
  </si>
  <si>
    <t>emmanuelirumva@huzalabs.com</t>
  </si>
  <si>
    <t>Huzalabs</t>
  </si>
  <si>
    <t>Lead, Software Projects Management and Acquisition</t>
  </si>
  <si>
    <t>Hello Team,
My name is Emmanuel a Lead software project management and the acquisition, and I represent Huzalabs (www.huzalabs.com), a 4IR consultancy firm operating across Rwanda, Kenya, Ethiopia, and the USA. I’m reaching out to explore potential collaboration opportunities with AYA Company in the field of Artificial Intelligence.
I will be traveling to Ghana soon and would love to arrange an in-person meeting to discuss how we might work together. At Huzalabs, we’ve delivered large-scale AI a</t>
  </si>
  <si>
    <t>Responded — Interested</t>
  </si>
  <si>
    <t>Data Annotation</t>
  </si>
  <si>
    <t>Meeting booked via Hachly for Monday, May 26, 2025 at 9:30am GMT</t>
  </si>
  <si>
    <t>Rudraksh</t>
  </si>
  <si>
    <t>Parmar</t>
  </si>
  <si>
    <t>rudraksh.parmar@fivesdigital.com</t>
  </si>
  <si>
    <t>Fives Digital</t>
  </si>
  <si>
    <t>Hi Rocco,
Rudy here again.
Below is a summary of the project and its requirements. We would need you to come back to us with any queries and confirm whether you can support the project as per the outlined needs. In case you can support, we would request you to share your hourly rates for QA resources.
****Project Use case - Behavioral Competency project and to provide a key update.****
The client has emphasized the need for local experts/drivers based in the UK, US, and Germany for the annotatio</t>
  </si>
  <si>
    <t>Other Solutions</t>
  </si>
  <si>
    <t>Called Rudy on 24/06 - He was busy and we planeed to reconnect on 25th June. 
Spoken to Rudy (25/6) - Will share our Questions to Rudy via email.</t>
  </si>
  <si>
    <t>Korede</t>
  </si>
  <si>
    <t>Bashir</t>
  </si>
  <si>
    <t>samebashirkorede@gmail.com</t>
  </si>
  <si>
    <t>People are requesting projects related to product demonstrations and exploring how Aya Grow can assist them.</t>
  </si>
  <si>
    <t>Book A Demo: Interested in reviewing how Aya grow can help me</t>
  </si>
  <si>
    <t>CV Annotation</t>
  </si>
  <si>
    <t>Abrar</t>
  </si>
  <si>
    <t>Bilakhiya</t>
  </si>
  <si>
    <t>abrar@content-whale.com</t>
  </si>
  <si>
    <t>Content Whale</t>
  </si>
  <si>
    <t>Live photo collection (images of curved signs, storefronts, logos, documents, posters, etc.), data annotation with labelling (business cards, invoices, flight information, food packaging, etc.): https://docs.google.com/document/d/1mWR6IydQoLnu430JTzUSlbWwbhofHQAo2Cw0BHzCoCs/edit?tab=t.0</t>
  </si>
  <si>
    <t>Grow Solutions</t>
  </si>
  <si>
    <t>Siraj</t>
  </si>
  <si>
    <t>Damanhouri</t>
  </si>
  <si>
    <t>Siraj@hopecells.net</t>
  </si>
  <si>
    <t>HopeCells</t>
  </si>
  <si>
    <t>Data acquisition (building an AI symptoms checker and a chatbot in Arabic)</t>
  </si>
  <si>
    <t>Baffour</t>
  </si>
  <si>
    <t>Gyawu</t>
  </si>
  <si>
    <t>baffourthe3rd@gmail.com</t>
  </si>
  <si>
    <t>Pricing structure for AyaSpeech + availability of API</t>
  </si>
  <si>
    <t>AI Solutions</t>
  </si>
  <si>
    <t>Peter</t>
  </si>
  <si>
    <t>Tokor</t>
  </si>
  <si>
    <t>peter@phundit.app</t>
  </si>
  <si>
    <t>Phundit (Peter Tokor)</t>
  </si>
  <si>
    <t>Fintech startup wanting to leverage AI to build a financial advisor and financial health score - client scheduled meeting for Tue, Nov 19 at 11:30am</t>
  </si>
  <si>
    <t>Speech Solutions</t>
  </si>
  <si>
    <t>Austine</t>
  </si>
  <si>
    <t>Mark</t>
  </si>
  <si>
    <t>austinemark292@gmail.com</t>
  </si>
  <si>
    <t>Tech company - Austine Mark</t>
  </si>
  <si>
    <t>Story</t>
  </si>
  <si>
    <t>Morryna</t>
  </si>
  <si>
    <t>Sianipar</t>
  </si>
  <si>
    <t>morrynasianipar@gmail.com</t>
  </si>
  <si>
    <t>None mo</t>
  </si>
  <si>
    <t>none</t>
  </si>
  <si>
    <t>UWAMARIYA</t>
  </si>
  <si>
    <t>Mediatrice</t>
  </si>
  <si>
    <t>izeremedia@gmail.com</t>
  </si>
  <si>
    <t>Free Discovery Session: is to discover essential reason related to geospatial analysis a</t>
  </si>
  <si>
    <t>Kawya</t>
  </si>
  <si>
    <t>Jayakody</t>
  </si>
  <si>
    <t>kawya@orelit.com</t>
  </si>
  <si>
    <t>Orel IT</t>
  </si>
  <si>
    <t>Please connect me with someone responsible for partnerships.</t>
  </si>
  <si>
    <t>Private Hospital</t>
  </si>
  <si>
    <t>Casablanca</t>
  </si>
  <si>
    <t>Communication@akdital.ma</t>
  </si>
  <si>
    <t>Private Hospital Of Casablanca, Aîn Sebaâ.</t>
  </si>
  <si>
    <t>Cindy</t>
  </si>
  <si>
    <t>Abramson</t>
  </si>
  <si>
    <t>cabramson@lcaconsultancy.com</t>
  </si>
  <si>
    <t>People are requesting projects related to machine learning data annotation using specific platforms. For AyaData's contact information to direct the RFP, please visit their official website or contact their sales or support team directly through the contact details provided there.</t>
  </si>
  <si>
    <t>I am assisting a client with their RFP process for a ML data annotation project using their own platform and we would like to invite AyaData to respond. Please provide the contact information where can direct the RFP.</t>
  </si>
  <si>
    <t>Reached final selection round with Safely You, but another vendor was chosen.</t>
  </si>
  <si>
    <t>Dead — Lost to Competitor</t>
  </si>
  <si>
    <t>Sachin</t>
  </si>
  <si>
    <t>Kumar</t>
  </si>
  <si>
    <t>sachin8235kr@gmail.com</t>
  </si>
  <si>
    <t>Tukan</t>
  </si>
  <si>
    <t>Stevens</t>
  </si>
  <si>
    <t>Nolan</t>
  </si>
  <si>
    <t>5gt6@packiu.com</t>
  </si>
  <si>
    <t>Stevens Nolan</t>
  </si>
  <si>
    <t>Responded — Not a Fit</t>
  </si>
  <si>
    <t>Bad Email address/Spam</t>
  </si>
  <si>
    <t>Dead — Not a Fit</t>
  </si>
  <si>
    <t>Spam / Bad Email</t>
  </si>
  <si>
    <t>Qing</t>
  </si>
  <si>
    <t>Yang</t>
  </si>
  <si>
    <t>qing.yang@liangdao.de</t>
  </si>
  <si>
    <t>I'm unable to access external content, including specific links or messages. Please provide the text or details you need summarized.</t>
  </si>
  <si>
    <t>Message link: https://chat.google.com/room/AAAAw0s3JqE/kn9IFdVv2u4/kn9IFdVv2u4?cls=10</t>
  </si>
  <si>
    <t>Partnership Opp - Lost because of Quality Concern and our TPT being the highest</t>
  </si>
  <si>
    <t>Henry</t>
  </si>
  <si>
    <t>Achille</t>
  </si>
  <si>
    <t>lbsite321@p-store.cc</t>
  </si>
  <si>
    <t>P Store</t>
  </si>
  <si>
    <t>Madhan PM</t>
  </si>
  <si>
    <t>madhan.p.m.56@gmail.com</t>
  </si>
  <si>
    <t>People are requesting annotated food image data for an image detection and segmentation project focused on Indian food items. They are inquiring about the availability and cost of existing annotated data, as well as the time and cost for annotating 100-150 food classes with a minimum of 500 images per class.</t>
  </si>
  <si>
    <t>I am handling a project for a healthcare company and we are working on a image detection and segmentation project for indian based food items. For the above requirement I need annotated food data. Based on this requirement: a) Do you have already annotated data , and what would be the cost? b) If annotating for 100-150 food classes with minimum 500 images for each class, how much time will it take and what would be the cost?</t>
  </si>
  <si>
    <t>Data Collection</t>
  </si>
  <si>
    <t>Data Sourcing - Food Data. 
After 4 follow ups, went quiet on us.</t>
  </si>
  <si>
    <t>Andy</t>
  </si>
  <si>
    <t>Westlake</t>
  </si>
  <si>
    <t>amwestlake@gmail.com</t>
  </si>
  <si>
    <t>British Airways</t>
  </si>
  <si>
    <t>No Response!</t>
  </si>
  <si>
    <t>Kevin</t>
  </si>
  <si>
    <t>Smoot</t>
  </si>
  <si>
    <t>ksmoot@adhealthcare.com</t>
  </si>
  <si>
    <t>Advanced Diagnostics Healthcare System</t>
  </si>
  <si>
    <t>Abdulaziz</t>
  </si>
  <si>
    <t>alnassar7@hotmail.com</t>
  </si>
  <si>
    <t>Thakaa Med.ai</t>
  </si>
  <si>
    <t>I am currently working on annotating chest x-ray images through segmentation methods. i would like support on providing experts that can annotate these images and segment the findings within these x-rays. my goal is annotating roughly 3000 images with various chest x-ray findings within a 1 month period. I also want to know if you can provide finding-specific datasets for various chest conditions such as consolidation, nodules, pneumothorax etc. I am kindly requesting for the pricing of these se</t>
  </si>
  <si>
    <t>Medical AI Annotation</t>
  </si>
  <si>
    <t>Data Annotaiton - POC Completed. 
Client decided to put the project on hold.</t>
  </si>
  <si>
    <t>Dead — No Budget</t>
  </si>
  <si>
    <t>Project on Hold</t>
  </si>
  <si>
    <t>Luminis</t>
  </si>
  <si>
    <t>Health</t>
  </si>
  <si>
    <t>info@luminishealth.org</t>
  </si>
  <si>
    <t>Luminis Health Anne Arundel Medical Center</t>
  </si>
  <si>
    <t>Upper hill</t>
  </si>
  <si>
    <t>Medical</t>
  </si>
  <si>
    <t>admin@uhmc.co.ke</t>
  </si>
  <si>
    <t>Upper hill Medical Center</t>
  </si>
  <si>
    <t>We are looking at ways to make our data more fluid</t>
  </si>
  <si>
    <t>Thuy</t>
  </si>
  <si>
    <t>thuyvt@hikaribpo.com.vn</t>
  </si>
  <si>
    <t>Hikari BPO Solutions</t>
  </si>
  <si>
    <t>Our company is a Japanese-invested enterprise that located in Danang city, Vietnam. We now process around 20 projects every day.  Annually, from January to March, our team can expand to over 250 members. Our client list includes the reputed organizations in Japan, US, UK, China, India, Korea, Vietnam, etc. We not only provide data entry services, but also data annotation, ITO, RPA, and HR services. We are eager to explore how we can work together to achieve mutual success.</t>
  </si>
  <si>
    <t>Not a fit!</t>
  </si>
  <si>
    <t>Balram</t>
  </si>
  <si>
    <t>Dave</t>
  </si>
  <si>
    <t>balram@cohortdata.com</t>
  </si>
  <si>
    <t>Cohort Data</t>
  </si>
  <si>
    <t>We need OTS audio data collection for 34 different languages.</t>
  </si>
  <si>
    <t>Prudence</t>
  </si>
  <si>
    <t>Persson</t>
  </si>
  <si>
    <t>prudence.persson@manjehealth.com</t>
  </si>
  <si>
    <t>Manje Health</t>
  </si>
  <si>
    <t>Tell me more.</t>
  </si>
  <si>
    <t>Mayukh</t>
  </si>
  <si>
    <t>Kundu</t>
  </si>
  <si>
    <t>mayukh@quantigo.ai</t>
  </si>
  <si>
    <t>Quantigo</t>
  </si>
  <si>
    <t>We are interested in collaborating with you on our current and upcoming projects in the areas of GenAI, LLM, NLP, data collection, transcription, and translation. To help us handle some of the prestigious projects, we are searching for a reliable partner. Additionally, I sent an email with the information and requested you to complete the Google form in order to obtain all the necessary information. After you submit the Google Form, our concerned team will review it and take the necessary action</t>
  </si>
  <si>
    <t>Signed an NDA - Partnership Opp for GenAI projects</t>
  </si>
  <si>
    <t>Move to Scoping</t>
  </si>
  <si>
    <t>Liesbet</t>
  </si>
  <si>
    <t>Conings</t>
  </si>
  <si>
    <t>liesbet.conings@xenomatix.com</t>
  </si>
  <si>
    <t>Xenomatix</t>
  </si>
  <si>
    <t>We are a Belgium based lidar company (www.xenomatix.com). We are in search of a data annotation company to help us progress our AI applications. Our AI application is taillored to detecting cracks in road pavements. I am interested to understand your data annotation services and how they can support us in accelerating our development.
Best regards, Liesbet, Dir of Engineering</t>
  </si>
  <si>
    <t>Good Fit! 
4 Follow Ups - Went Quiet!</t>
  </si>
  <si>
    <t>Hetka</t>
  </si>
  <si>
    <t>Adrien</t>
  </si>
  <si>
    <t>hetka@foxnew.info</t>
  </si>
  <si>
    <t>FOX News</t>
  </si>
  <si>
    <t>Chapel</t>
  </si>
  <si>
    <t>chapelmpooh.berks@nhs.net</t>
  </si>
  <si>
    <t>The Chapel Medical Centre</t>
  </si>
  <si>
    <t>Mahir</t>
  </si>
  <si>
    <t>Shariyer</t>
  </si>
  <si>
    <t>mahirshariyer03@gmail.com</t>
  </si>
  <si>
    <t>Quantum Label AI</t>
  </si>
  <si>
    <t>we are interested to collaborate with Aya Data's team</t>
  </si>
  <si>
    <t>LiDAR Annotation</t>
  </si>
  <si>
    <t>No Update!</t>
  </si>
  <si>
    <t>Rachel</t>
  </si>
  <si>
    <t>Kim</t>
  </si>
  <si>
    <t>dahyun.kim@flitto.com</t>
  </si>
  <si>
    <t>Flitto</t>
  </si>
  <si>
    <t>We are reaching out to you about an opportunity to participate in our
new project: Voice Recording Project. This task involves recording of daily utterances in a specific language and providing the corresponding transcript for each utterance. [full description in marketing chat]</t>
  </si>
  <si>
    <t>Not a fit! 20 Odd languages!</t>
  </si>
  <si>
    <t>University</t>
  </si>
  <si>
    <t>Hospital</t>
  </si>
  <si>
    <t>marketing@uhnj.org</t>
  </si>
  <si>
    <t>University Hospital</t>
  </si>
  <si>
    <t>Sofia</t>
  </si>
  <si>
    <t>Ovejero</t>
  </si>
  <si>
    <t>sofia.ovejero@dedalus.com</t>
  </si>
  <si>
    <t>Dedalus</t>
  </si>
  <si>
    <t>I am writing to request a quote for clinical labelling/data annotation
project support based on the following requirements [see Marketing chat for more details]</t>
  </si>
  <si>
    <t>Client put the project on hold!</t>
  </si>
  <si>
    <t>Mohamed</t>
  </si>
  <si>
    <t>Unais</t>
  </si>
  <si>
    <t>reintenspark@gmail.com</t>
  </si>
  <si>
    <t>Reintenspark Technology</t>
  </si>
  <si>
    <t>CEO</t>
  </si>
  <si>
    <t>At Reintenspark Technology, we offer a comprehensive range of products
and services, including  Data Annotation,Data capturing ,Labeling, AI
models</t>
  </si>
  <si>
    <t>GenAI Annotation</t>
  </si>
  <si>
    <t>Tamanna</t>
  </si>
  <si>
    <t>Chatterjee</t>
  </si>
  <si>
    <t>tamanna.chatterjee@pripton.com</t>
  </si>
  <si>
    <t>Pripton Innovations</t>
  </si>
  <si>
    <t>Partnership opportunities for annotation, STT, etc</t>
  </si>
  <si>
    <t>Asiedua</t>
  </si>
  <si>
    <t>Amoah</t>
  </si>
  <si>
    <t>asiedua.amoah@tomorrownow.org</t>
  </si>
  <si>
    <t>TomorrowNow</t>
  </si>
  <si>
    <t>Partnership on Climate Tech and bringing to Ghana</t>
  </si>
  <si>
    <t>Somasundaram</t>
  </si>
  <si>
    <t>K</t>
  </si>
  <si>
    <t>datainflo@gmail.com</t>
  </si>
  <si>
    <t>Datainflo</t>
  </si>
  <si>
    <t>Datainflo is a BPO services company specializing in data annotation
solutions. Our team consists of experienced annotators skilled in
providing high-quality data labeling services. We have extensive
experience working with leading companies in sectors such as ADAS
systems, smart construction, and large language models. Our expertise
includes tasks like bounding box annotation and text annotation.</t>
  </si>
  <si>
    <t>Not a Fit!</t>
  </si>
  <si>
    <t>Sankarsan</t>
  </si>
  <si>
    <t>Mohanty</t>
  </si>
  <si>
    <t>sankar@drbreaths.com</t>
  </si>
  <si>
    <t>Dr. BreathE</t>
  </si>
  <si>
    <t>I am reaching out from Dr. BreathE(https://drbreathe.ai/), and we are
interested in your Data Annotation Services for medical imaging
projects. I would like to learn more about your pricing, workflow, and
quality control processes. Please share further details on how we can
collaborate.</t>
  </si>
  <si>
    <t>POC Performed - Quality was bad and theyd ecided not to proceed with AyaData</t>
  </si>
  <si>
    <t>Vaibhav</t>
  </si>
  <si>
    <t>Mistry</t>
  </si>
  <si>
    <t>vaibhav@scribeindia.in</t>
  </si>
  <si>
    <t>Scribe</t>
  </si>
  <si>
    <t>Bus Development</t>
  </si>
  <si>
    <t>We’re SCRIBE – a data annotation company with a proven track record in AI/ML support, computer vision, and NLP. We’ve helped companies scale their projects with high-quality annotation and engineering services. Expertise: Image/video annotation, LIDAR, ADAS, NLP (multiple languages), audio annotation, and more. Capacity: Millions of annotations/month across object detection, lane detection, 3D cuboids, and semantic segmentation.</t>
  </si>
  <si>
    <t>Ignacio</t>
  </si>
  <si>
    <t>Behler</t>
  </si>
  <si>
    <t>ignaciobehler@gmail.com</t>
  </si>
  <si>
    <t>I would like to access the following dataset: Advanced Retail Security Through AI</t>
  </si>
  <si>
    <t>Went Quiet!</t>
  </si>
  <si>
    <t>Filip</t>
  </si>
  <si>
    <t>Hatlak</t>
  </si>
  <si>
    <t>Telus Digital</t>
  </si>
  <si>
    <t>Procurement Specialist, TIAI Crowdsoursing</t>
  </si>
  <si>
    <t>We are searching for new partners to assist us with our projects. Most of our projects require participants/collaborators/agencies that will help us create/collect data content to improve our clients’ AI platforms, e.g., data collection, data annotation, content creation, transcription, etc. We would like to have you as a partner and include you on our database for future collaboration. Let me know if you are interested, and if you need more details regarding the type of projects we do, do not h</t>
  </si>
  <si>
    <t>Thrilled to announce a new partnership! We've already received one each data sourcing and annotation projects.</t>
  </si>
  <si>
    <t>Mohamad</t>
  </si>
  <si>
    <t>Shamly</t>
  </si>
  <si>
    <t>MShamly@innodata.com</t>
  </si>
  <si>
    <t>Innodata</t>
  </si>
  <si>
    <t>RFP: We require real-world face image data to train and evaluate a Face Embedding Model. The data will be purchased in batches, allowing for quality assessment, feedback, and iterative improvement. The goal is to build a diverse and high-quality dataset that meets our model’s performance requirements.
Attachments for Review
To provide a detailed understanding of our requirements, please review the attached document: 1. Face Recognition Data Requirement Document – Outlines project objectives, da</t>
  </si>
  <si>
    <t>Not a Fit! Needed African but also South asian people.</t>
  </si>
  <si>
    <t>Kyle</t>
  </si>
  <si>
    <t>Hamar</t>
  </si>
  <si>
    <t>kyle@omnirocket.com</t>
  </si>
  <si>
    <t>OmniRocket</t>
  </si>
  <si>
    <t>CEO/Co-founder</t>
  </si>
  <si>
    <t xml:space="preserve">OmniRocket is dedicated to empowering e-commerce entrepreneurs, particularly those utilizing Shopify, by providing performance coaching, website development, and management services. Their offerings include personalized coaching, a comprehensive training library, and a blog featuring in-depth e-commerce articles. OmniRocket also produces a top-ranked e-commerce podcast and a YouTube channel with weekly tips, aiming to equip online sellers with the tools and knowledge necessary for scaling their </t>
  </si>
  <si>
    <t>Freddie to provide update!</t>
  </si>
  <si>
    <t>Neeraj</t>
  </si>
  <si>
    <t>Bahulekar</t>
  </si>
  <si>
    <t>neeraj@zogato.com</t>
  </si>
  <si>
    <t>Zogato</t>
  </si>
  <si>
    <t>I'd like to introduce you to Neeraj Bahulekar from Zogato. Zogato is a technology consulting firm specializing in product engineering, architecture consulting, performance engineering, UI/UX design, migration and porting, and sustenance and support. They assist businesses in building prototypes, adding features, enhancing scalability, and modernizing products with the latest technologies. Their expertise spans NodeJS, Python, Angular, React, Flutter, Java, .Net, MongoDB, Oracle, SQL Server, MySQ</t>
  </si>
  <si>
    <t>No major actions!</t>
  </si>
  <si>
    <t>Fomengia</t>
  </si>
  <si>
    <t>Kevin@bridgelabs.tech</t>
  </si>
  <si>
    <t>Bridge Labs</t>
  </si>
  <si>
    <t>Allow me to introduce you to Kevin Fomengia from Bridge Labs. Bridge Labs connects American companies with senior-level offshore developers from West Africa, focusing on the technology sector. They offer hiring solutions, including contract-to-hire and direct-to-hire placements, ensuring developers possess the necessary skills and cultural compatibility for collaboration in U.S. time zones. Bridge Labs' rigorous vetting process accepts the top 3% of tech talent in Africa, providing access to ove</t>
  </si>
  <si>
    <t>Jamie</t>
  </si>
  <si>
    <t>Jose</t>
  </si>
  <si>
    <t>jamie@aculidessolutions.com</t>
  </si>
  <si>
    <t>Aculide Solutions</t>
  </si>
  <si>
    <t xml:space="preserve">We help ambitious tech companies connect directly with the people who matter most: Decision-makers actively sourcing new technologies across high-growth sectors:
•    AI, Machine Learning &amp; Data Intelligence
•    Cloud, DevOps &amp; Edge Infrastructure
•    Cybersecurity &amp; Risk Management
•    IoT, Smart Mobility &amp; Digital Infrastructure
•    Fintech, Healthtech &amp; Industry Platforms
Our contact lists are verified, customized, and ready to plug into your next campaign—whether you're launching into </t>
  </si>
  <si>
    <t>Elanggovan</t>
  </si>
  <si>
    <t>Thanggavilo</t>
  </si>
  <si>
    <t>elanggovan@hiilsedrone.com</t>
  </si>
  <si>
    <t>Hiilse Drone</t>
  </si>
  <si>
    <t>He booked a Zoom meeting directly with Freddie alongside theh calendly meeting.</t>
  </si>
  <si>
    <t>Oche</t>
  </si>
  <si>
    <t>Ankeli</t>
  </si>
  <si>
    <t>oche@yux.design</t>
  </si>
  <si>
    <t>Yux Design</t>
  </si>
  <si>
    <t>Dear Aya Team,
I hope this message finds you well.
I’ve been exploring your work on speech technologies, especially your efforts around African language models, and I’m truly impressed. I’m currently working on a project focused on building accurate ASR systems for local languages, with an emphasis on domain-specific use cases like healthcare.
I wanted to inquire if your team provides datasets or ASR models that are customized for specific domains—particularly in health—or if there’s any ongo</t>
  </si>
  <si>
    <t>Olivia to provide update!</t>
  </si>
  <si>
    <t>Mahmudul</t>
  </si>
  <si>
    <t>Hasan</t>
  </si>
  <si>
    <t>mahmudul.hasan@acotegroup.com</t>
  </si>
  <si>
    <t>Acote Group</t>
  </si>
  <si>
    <t>This is Hasan Mahmudul, Vice President of Acote Group. An IT BPO company in Bangladesh run by a seasoned Korean National with 25 Years work experience in LG Electronics including overseas subsidiary and Branch Head.
Acote: Your Trusted Partner in Autonomous Vehicle Data Labeling
In the rapidly evolving autonomous vehicle (AV) industry, high-quality data labeling is more than just a requirement—it is the cornerstone of innovation and safety. At Acote, we take pride in being a trusted leader in d</t>
  </si>
  <si>
    <t>Could be a good partner! Active in Annotaiton market!</t>
  </si>
  <si>
    <t>John</t>
  </si>
  <si>
    <t>Watson</t>
  </si>
  <si>
    <t>john.watson@consultant.com / office@loretohs-manchester.org.uk</t>
  </si>
  <si>
    <t>Loreto Chorlton</t>
  </si>
  <si>
    <t>We’re updating our supplier list and want to check if you provide services to the education sector.
If yes, could you send over a brief overview of what you offer?
Please send information to office@loretohs-manchester.org.uk
Regards
J. Watson
Loreto Chorlton</t>
  </si>
  <si>
    <t>Smits</t>
  </si>
  <si>
    <t>kevin@pixelfarmingrobotics.com</t>
  </si>
  <si>
    <t>Pixel Farming Robotics</t>
  </si>
  <si>
    <t>Media &amp; Content Creator</t>
  </si>
  <si>
    <t xml:space="preserve">Dear team,
I am looking for an image annotation service that can help our farmers make solid plant detection models. 
We use polygons to label weeds and crops. We also set a pose at the center of the plant to train a model that recognizes the plants and is able to send targetting data to our laser. We use the Yolov8 and Yolov11 CV models. We make the annotations in our self-developed Pixelfarming Academy. It is possible to use other image annotation software however we need to process the data </t>
  </si>
  <si>
    <t>POC Completed! Commercials Shared! 
Waiting on Feedback!
Hold!</t>
  </si>
  <si>
    <t>Pankaj</t>
  </si>
  <si>
    <t>P</t>
  </si>
  <si>
    <t>pankaj.p@shaip.com</t>
  </si>
  <si>
    <t>Shaip</t>
  </si>
  <si>
    <t>services for data annotation, including 2D, 3D point cloud, LiDAR and radar annotation.</t>
  </si>
  <si>
    <t>Shubham</t>
  </si>
  <si>
    <t>Aggarwal</t>
  </si>
  <si>
    <t>shubham.a@tagfact.com</t>
  </si>
  <si>
    <t>Tag Fact</t>
  </si>
  <si>
    <t xml:space="preserve">We have a client need in Medical Imaging Annotation, specifically for annotation, curation, and storage of multimodal data including pathology (scanned biopsy slides), clinical data, and genomic data. We want to partner with you on this project. Apart from this, we don't have any other information. We have a call scheduled with the client next week, so if possible we would like to go on a call with you tomorrow, which is Monday, April 28th, 2025. If possible, please share the invite for 6:30 PM </t>
  </si>
  <si>
    <t>Medical Annotaiton Partnership. 
NDA - In Process!</t>
  </si>
  <si>
    <t>Jamaan</t>
  </si>
  <si>
    <t>Al-Jamaan</t>
  </si>
  <si>
    <t>j.aljamaan@tamkeentech.sa</t>
  </si>
  <si>
    <t>Tamkeen Tech</t>
  </si>
  <si>
    <t>We are looking for a provider to source data for ML that is suitable for the Saudi market, as well as, outsourcing data annotation services.</t>
  </si>
  <si>
    <t>Data Annotation Bid - Joint RFP Opp!</t>
  </si>
  <si>
    <t>Shiva</t>
  </si>
  <si>
    <t>shivakm@cosol.in</t>
  </si>
  <si>
    <t>Cosol</t>
  </si>
  <si>
    <t>We have a requirement of AIYA data security management system software module, We need quote for the same.</t>
  </si>
  <si>
    <t>Wiktoria</t>
  </si>
  <si>
    <t>Michalowska-Fairbairn</t>
  </si>
  <si>
    <t>W.Michalowska-Fairb@lionbridge.com</t>
  </si>
  <si>
    <t>Lionbridge</t>
  </si>
  <si>
    <t>AI Data Training Sourcing Manager</t>
  </si>
  <si>
    <t>Hi there, I hope all is fine on your end. I'm contacting you to understand if you offer services related to image data collection. Please see below for a snapshot of the needs and let me know if there's something that you could potentially help us with. 
**Demographics &amp; Numbers Required:** African (any country) 4,250 participants located in any country across the African continent. 50% Female &amp; 50% Male. Age 18+ However, please let us know if you are able to cover the process for under 18 y/o p</t>
  </si>
  <si>
    <t>2 Follow Ups - No response! 
3rd Follow Up- 09/06/2025</t>
  </si>
  <si>
    <t>Maheshwaran</t>
  </si>
  <si>
    <t>Umapathy</t>
  </si>
  <si>
    <t>maheshwaran.umapathy@key.me</t>
  </si>
  <si>
    <t>KeyMe</t>
  </si>
  <si>
    <t>Hi team,
Hope you're doing well. It was great collaborating with you and your team on our last image annotation initiative for KeyMe. We're gearing up to annotate another set of images in the coming weeks and wanted to check your team's availability.
Looking forward to your response!
Thanks,
Mahesh</t>
  </si>
  <si>
    <t>2 Follow Ups - No response!
09/06/2025 - Scoping Raised</t>
  </si>
  <si>
    <t>Dolly</t>
  </si>
  <si>
    <t>Singh</t>
  </si>
  <si>
    <t>dolly.singh@crystalhues.com</t>
  </si>
  <si>
    <t>Crystal Hues</t>
  </si>
  <si>
    <t>Project Coordinator</t>
  </si>
  <si>
    <t xml:space="preserve">We’re excited to share details of an upcoming large-scale annotation project at Crystal Hues Ltd. that includes ASR Transcription and NLP Intent Annotation tasks. We are looking forward to your team’s support to ensure high-quality and timely delivery.
🔊 ASR Transcription – Project Overview:
Languages Required: Multiple (English mandatory)
Per Annotator Task: 150 audio clips
Workflow:
Validate if the audio contains English
Apply appropriate tags (valid/invalid, &lt;unk&gt;, &lt;spoken_noise&gt;)
Transcribe </t>
  </si>
  <si>
    <t>Dolly Singh's initial email is to present a large-scale ASR Transcription and NLP Intent Annotation project opportunity to Aya Data, and she emphasizes the need for high-quality and timely delivery.
Following this, there have been two follow-up emails from Akhil Singh to Dolly Singh, but no response has been received from Crystal Hues.</t>
  </si>
  <si>
    <t>Rossiter-Thornton</t>
  </si>
  <si>
    <t>michaelrossiterthornton@gmail.com</t>
  </si>
  <si>
    <t>Nexus Hospitals (TBD)</t>
  </si>
  <si>
    <t>Could you please tell me if you an help with a project I am doing? I would like to analyse ~4000 5-minute videos of individual surgical procedures (all variations on the same procedure), looking for techniques used/variations in the procedure, time for each step, instruments used, and tissue resistance as judged by deformation and other visual cues. Thank you</t>
  </si>
  <si>
    <t>Reinhold</t>
  </si>
  <si>
    <t>dave@venturecpo.com</t>
  </si>
  <si>
    <t>Venture CPO</t>
  </si>
  <si>
    <t>Founder</t>
  </si>
  <si>
    <t>Allow me to introduce you to Dave Reinhold from Venture CPO. Venture CPO is a product management leader and consultancy that helps startups and established companies build, scale, and optimize their products. Specializing in product strategy, market fit, and execution, they offer tailored solutions to accelerate growth and streamline development. With expertise across industries, Venture CPO ensures products meet market demands. They have collaborated with renowned clients such as Fetch Rewards,</t>
  </si>
  <si>
    <t>Dave has booked meeting with Freddie for Monday, May 19</t>
  </si>
  <si>
    <t>Nicolas</t>
  </si>
  <si>
    <t>Pageaud</t>
  </si>
  <si>
    <t>nicolas.pageaud@raidium.eu</t>
  </si>
  <si>
    <t>Raidium</t>
  </si>
  <si>
    <t>Hello,
I am reaching out to you because we are looking for a partner to annotate a large dataset of 3D medical images (segmentation of lesions or organs on CT or MRI scans). You can contact me back by sending me an email at Nicolas.pageaud@raidium.eu. We will be pleased to present you the project in more detail and answer any questions you may have in the follow up mails and calls.
Best regards,
Nicolas</t>
  </si>
  <si>
    <t>AyaData submitted a proposal for Raidium’s 3D oncology image annotation project on May 31, 2025.
Nicolas Pageaud from Raidium provided feedback on June 2, 2025, questioning the pricing assumptions, the profile of medical annotators, and the terminology used for billing (study vs. exam/lesion), and provided sample data for clarification.
Akhil Singh responded on June 2, 2025, requesting 48 hours to review the feedback and sample data to revise the proposal.
Akhil Singh introduced Marvin Alamu,</t>
  </si>
  <si>
    <t>Dong</t>
  </si>
  <si>
    <t>Huang</t>
  </si>
  <si>
    <t>dhuang@curvepoint.ai</t>
  </si>
  <si>
    <t>Curve Point</t>
  </si>
  <si>
    <t>We're looking for an annotation service that can do the following:
1. Annotate multi-person SMPLX from RGB video frames from top-down and tilt-down (e.g., 45 degree) view points. Each SMPLX has metric translations and metric body sizes in the camera 3D coordinate system, with annotation format similar to the output of (multi-hmr and  sat-hmr)
2. Edit individual SMPLX for better quality in the 3D camera coordinate system, including add, delete, adjust global translation/orientation and body limbs</t>
  </si>
  <si>
    <t>Sent 3 follow-ups with Dong Huang.
Waiting for sample RAW image/frame data and expected annotation format from Dong Huang for POC.
Waiting for detailed annotation guidelines from Dong Huang.
Waiting for mutual NDA template from Dong Huang's colleagues.</t>
  </si>
  <si>
    <t>Hanwen</t>
  </si>
  <si>
    <t>Zhang</t>
  </si>
  <si>
    <t>hanwen6@illinois.edu</t>
  </si>
  <si>
    <t>MIT &amp; UIUC Joint AI Laboratory</t>
  </si>
  <si>
    <t>Dear Aya Data Team:
Hello, we are an AI research laboratory jointly established by top North American universities including MIT and UIUC, dedicated to cutting-edge artificial intelligence application research. Our team consists of researchers from prestigious institutions, and we are looking for suitable data partners to explore potential collaboration opportunities.
Project Requirements
We are conducting a large-scale research project that requires extensive computer screen recording data, th</t>
  </si>
  <si>
    <t>Paid PIlot - Converted to Client</t>
  </si>
  <si>
    <t>Pearl</t>
  </si>
  <si>
    <t>Tuling</t>
  </si>
  <si>
    <t>pearl.tuling@mtn.com</t>
  </si>
  <si>
    <t>Chenosis</t>
  </si>
  <si>
    <t xml:space="preserve">My name is Pearl, and I represent Chenosis, an API marketplace dedicated to connecting developers and businesses with cutting-edge data and AI solutions. We are currently expanding our platform’s offerings and are very interested in exploring a potential partnership with AYADATA.
We would greatly appreciate the opportunity to review your available APIs with the intention of proxying them onto our marketplace. This would allow us to feature your services to a broader audience while ensuring full </t>
  </si>
  <si>
    <t>Luis</t>
  </si>
  <si>
    <t>Pazos Outon</t>
  </si>
  <si>
    <t>luis@degasafrica.com</t>
  </si>
  <si>
    <t>People are requesting projects related to annotating agricultural field boundaries from high-resolution satellite imagery for smallholder farms in Ghana. They need pricing and timelines for annotating 1,000, 3,000, and 10,000 fields, with each field ranging from 1–8 acres, and require the output in GeoJSON format. They are also inquiring about prior experience in annotating farms, particularly smallholder farms.</t>
  </si>
  <si>
    <t>Hi,
We’re building a field segmentation model for smallholder farms in Ghana and are seeking a quote for annotating agricultural field boundaries from high-resolution satellite imagery (≤3m preferred). Specifically, we’d like pricing for:
- 1,000 fields
- 3,000 fields
- 10,000 fields
Each field ranges from 1–8 acres. We require field boundary polygons in GeoJSON format.
Could you  please provide estimated pricing and timelines? Do you have prior experience annotating farms, and in particular sma</t>
  </si>
  <si>
    <t>Patrick</t>
  </si>
  <si>
    <t>Annor</t>
  </si>
  <si>
    <t>pannor@rakescompany.com</t>
  </si>
  <si>
    <t>Rakes Company Ltd</t>
  </si>
  <si>
    <t>IT</t>
  </si>
  <si>
    <t>Rakes Company Limited is seeking to engage an AI consultancy to:
Train ten of our managers in AI tools and methodologies.
Advise on how we can integrate AI services into our existing workflows
to boost overall productivity.</t>
  </si>
  <si>
    <t>Shared proposal after detailed sscoping meeting. Deal lost based on pricing</t>
  </si>
  <si>
    <t>Sarah</t>
  </si>
  <si>
    <t>Annam</t>
  </si>
  <si>
    <t>Sannam2464@gmail.com</t>
  </si>
  <si>
    <t>Pan African Savings &amp; Loans</t>
  </si>
  <si>
    <t>Gender Lead</t>
  </si>
  <si>
    <t>Book A Demo: I look forward to Knowing how the tool works</t>
  </si>
  <si>
    <t>Kilian</t>
  </si>
  <si>
    <t>Maier</t>
  </si>
  <si>
    <t>k.maier@plentyco.net</t>
  </si>
  <si>
    <t>Plentyco</t>
  </si>
  <si>
    <t>FREE PILOT REQUEST: We have prepared a little data set for the pilot.
https://we.tl/t-uTWE0TiWjJ
In the ZIP archive we have included 20 sample pictures and a PDF.
In those sample pictures we need the entire surface of the gift cards annotated with polygons.
The corresponding class names for annotation of the gift cards are also included in the PDF.
This is a sample case for us since we are looking for a long term partner in labeling services.
If everything works out as expected, we want to ha</t>
  </si>
  <si>
    <t>Chloe</t>
  </si>
  <si>
    <t>Song</t>
  </si>
  <si>
    <t>songshujuan@datatang.com</t>
  </si>
  <si>
    <t>Datang Intelligence Co. Ltd</t>
  </si>
  <si>
    <t>Dear sir/madam,
I'm Chloe song from China Datatang , a world-renowned AI training data service company .
We're seeking experienced Autonomous driving annotation team now  which have experience like #2D #3D#LiDAR #Segmentation #4D
We noticed you can provide high-quality autonomous driving data annotation services. so I'm reaching out for collaboration . 
If it's possible and convenient , you can add my whatsapp for further discussion. +86 15230443742
I am looking forward to further discussing th</t>
  </si>
  <si>
    <t>Akhil Singh sent an email to Chloe Song on May 29, 2025, introducing Aya Data's experience in autonomous driving data annotation and asking for a convenient time to discuss further.
Akhil Singh sent a follow-up email to Chloe Song on May 30, 2025, providing more details about Aya Data's team and experience in autonomous driving and offering to send a case study or sample workflow.</t>
  </si>
  <si>
    <t>Paulius</t>
  </si>
  <si>
    <t>Rakauskas</t>
  </si>
  <si>
    <t>paulius@matom.ai</t>
  </si>
  <si>
    <t>Matom AI</t>
  </si>
  <si>
    <t>Hello,
We are searching for point cloud labeling services. Could you please provide me with an offer?
Task description in attachment. If you have questions please let me know. 
Best regards,
Paulius 
www.matom.ai</t>
  </si>
  <si>
    <t>Matom.ai decided not to proceed with Aya Data's point cloud labeling service because they decided to move in a different way and the service was no longer needed for the moment.</t>
  </si>
  <si>
    <t>Olena</t>
  </si>
  <si>
    <t>Lejas</t>
  </si>
  <si>
    <t>olena.lejas@gomotive.com</t>
  </si>
  <si>
    <t>Gomotive</t>
  </si>
  <si>
    <t>We are looking for service providers for perception annotation in case we need additional help. Our annotation tool is in English so A2 -B1 English skills are required (ability to understand written language even if the person does not speak fluently). We also need real time annotation support for all US time zones and potentially EU.
I would appreciate the following information:
what would be the hourly rate for an annotator?
-how quickly can you provide service in case of an emergency need?
-c</t>
  </si>
  <si>
    <t>Olena Lejas from GoMotive reached out to Aya Data for perception annotation services, needing 40-50 annotators with English skills (A2-B1) and real-time support for all US and potentially EU time zones. She inquired about hourly rates, emergency service speed, timezone support, and GDPR compliance.
Akhil Singh responded, providing answers to her questions:
Hourly rates: Typically $6.50 to $9.50/hour, depending on complexity and needs.
Emergency support: Resources can be activated within 24-48 h</t>
  </si>
  <si>
    <t>Solomon</t>
  </si>
  <si>
    <t>Andoh</t>
  </si>
  <si>
    <t>solomon@wgghana.com</t>
  </si>
  <si>
    <t>Waltergates Ghana Ltd</t>
  </si>
  <si>
    <t>Want to see demo and take decision [website: wgghana.com]</t>
  </si>
  <si>
    <t>Client travelled and said he would call back when he is in town</t>
  </si>
  <si>
    <t>Taza</t>
  </si>
  <si>
    <t>Azzim</t>
  </si>
  <si>
    <t>taha.azzim@visualbehavior.ai</t>
  </si>
  <si>
    <t>Visual Behavior</t>
  </si>
  <si>
    <t>Engineer</t>
  </si>
  <si>
    <t>I hope you're well.
I recently came across your e-scooter dataset (here: https://www.ayadata.ai/case-studies/preparing-self-driving-cars-for-the-rise-of-e-scooters/), and I’m very interested in learning more.
Could you please share the following information:
Pricing and licensing options
Key dataset statistics (e.g., number of images, e-scooter instances, labeling methodology, scene diversity)
A few sample images, if possible, to get a better sense of the annotation quality and content
Any docum</t>
  </si>
  <si>
    <t>Not a fit. 
Looking for dataset used in one of our porjects</t>
  </si>
  <si>
    <t>Gerard</t>
  </si>
  <si>
    <t>De Mas</t>
  </si>
  <si>
    <t>gerard.de.mas@upc.edu</t>
  </si>
  <si>
    <t>Polytechnical University of Catalonia</t>
  </si>
  <si>
    <t>PhD Student</t>
  </si>
  <si>
    <t>This is Gerard De Mas, PhD student at the Polytechnical University of Catalonia, working in a project with multiple imaging sensors installed on a vehicle, 1 LIDAR with high-density point clouds and 6 cameras. We record 30s scenes in driving scenarios, with the focus of detecting ALL traffic agents under ANY condition, in both 3D+2D. Could you give us a quotation for 1 batch of 10 scenes? Our budget is tenths of kilo-€. We are looking forward to your response, wether if ok/not.</t>
  </si>
  <si>
    <t>POC Completed. 
25th June - Pricing Shared</t>
  </si>
  <si>
    <t>Mervyn</t>
  </si>
  <si>
    <t>W</t>
  </si>
  <si>
    <t>niumalw@penzoft.com</t>
  </si>
  <si>
    <t>Penzoft</t>
  </si>
  <si>
    <t>Hi, we are doing drone mapping services and currently we have a client that requires us to do Palm Oil counting from the drone imagery. Do you have a solution for palm counting?</t>
  </si>
  <si>
    <t>Romano</t>
  </si>
  <si>
    <t>sara@myhivescout.com</t>
  </si>
  <si>
    <t>Hive LLM</t>
  </si>
  <si>
    <t>Hi, I hope this message finds you well. I'm Sara Romano, a scout at HiveLLM, a startup that connects subject matter experts like you with brands to help them find the right people quickly. I'm reaching out to share an exciting opportunity regarding a data annotation project that requires skilled individuals or teams to assist with labeling extensive datasets, focusing on accuracy and precision for machine learning model development. The project budget is set at $75,000.
The client hasn't receiv</t>
  </si>
  <si>
    <t>Sara Romano's initial email is to present an annotation project opportunity to Aya Data, for machine learning model development, and to connect them with the client.
2 follows up - 1 per week - No Response</t>
  </si>
  <si>
    <t>Jonathan</t>
  </si>
  <si>
    <t>Trinh</t>
  </si>
  <si>
    <t>jonathan.trinh@elucid.com</t>
  </si>
  <si>
    <t>Elucid</t>
  </si>
  <si>
    <t>We are a Boston-based medical technology company with a software product for post-processing CTAs to segment the lumen &amp; wall in a semi-automated manner, followed by automated quantitation of plaque morphology and FFRct.
I would like to have a discussion with you regarding your team’s availability and ability to support the manual aspects of the workflow as part of several pending research studies utilizing our cloud-based software system.
Please let me know when you have time for a call to di</t>
  </si>
  <si>
    <t>Thursday, June 12, 2025: Sent an email to Jonathan Trinh outlining a proposal for medical image annotation support, including case studies, POC scenarios and pricing structures.
Friday, June 13, 2025: Jonathan Trinh replied, acknowledging receipt of the information and stating that he and his team would review it and get back to Akhil.
Wednesday, June 18, 2025: Akhil Singh sent a follow-up email to Jonathan Trinh, stating readiness to proceed with the MNDA and POC.
Wednesday, June 25, 2025: A</t>
  </si>
  <si>
    <t>Thomas</t>
  </si>
  <si>
    <t>Robb</t>
  </si>
  <si>
    <t>thomas@super.ai</t>
  </si>
  <si>
    <t>Super AI</t>
  </si>
  <si>
    <t>I need to extract handwriting from ~185k shipping documents annually. the data needs to stay in EU with &lt;15 minute response time</t>
  </si>
  <si>
    <t>Wednesday, 11 June 2025: Responded to Thomas, confirming Aya Data's capability to handle high-volume, time-sensitive annotation workflows with EU compliance. He asked clarifying questions about document size/format, languages/scripts, SLA hours, and data streaming.
Wednesday, 25 June 2025: Akhil Singh sent a follow-up email to Thomas, reminding him about the earlier questions and offering a quick call to discuss capabilities and capacity.</t>
  </si>
  <si>
    <t>Andres</t>
  </si>
  <si>
    <t>Rodriguez</t>
  </si>
  <si>
    <t>a.rodriguez@floatingrobotics.com</t>
  </si>
  <si>
    <t>Floating Robotic</t>
  </si>
  <si>
    <t>We are a Startup in need of annotation services.
I have images pre annotated with the current model that we have, but these images need correction of instance segmentation of 5 different objects in the image, usually the correction requires re-doing the mask of 5-10 out of up to 50 elements in the image. Initially we need the annotation for a first dataset that only has 300 images, but over the coming months we will need more datasets with similar conditions, 1000-2000 images.
Could you please</t>
  </si>
  <si>
    <t>Number of Follow-ups: 2 (Akhil Singh sent the initial reply and then followed up twice, including the latest email).
Intent: Andres Rodriguez from Floating Robotics is seeking data annotation services, specifically for correcting instance segmentation masks on images. He initially needs 300 images annotated and expects more datasets (1000-2000 images) in the coming months. 
Akhil is providing details on their services, pricing, and requesting more information to provide a precise estimate.</t>
  </si>
  <si>
    <t>Daniel</t>
  </si>
  <si>
    <t>Tofte Schøn</t>
  </si>
  <si>
    <t>daniel.schon@swarco.com</t>
  </si>
  <si>
    <t>Swarco</t>
  </si>
  <si>
    <t>We want 3D Object Detection annotations for Lidar data, we want to know the price of labeling +3000 lidar scans, where only vehicles should be annotated.</t>
  </si>
  <si>
    <t>Daniel Tofte Schøn from Swarco reached out for 3D Object Detection annotations for Lidar data, specifically for over 3000 scans focusing on vehicles.
Followed up twice, once to provide general hourly rates and ask for sample scans, preferred annotation tools, and expected timelines, and again to remind Daniel and re-offer a call or direct sample data submission. The intent is to get the necessary information to provide an accurate quote and secure the project.</t>
  </si>
  <si>
    <t>Lakshya</t>
  </si>
  <si>
    <t>Sharma</t>
  </si>
  <si>
    <t>regmls1@ucl.ac.uk</t>
  </si>
  <si>
    <t>UCL</t>
  </si>
  <si>
    <t>I am a resident doctor working within a research team at UCL. We would like to anatomically annotate 500 transvaginal ultrasound images.
Would Aya Data be able to have radiologists label this dataset for us? Please could you provide an estimate of the cost for this?</t>
  </si>
  <si>
    <t>Thursday, June 12, 2025: Replied to Lakshya, confirming Aya Data's ability to support the project and asked for more details regarding the specific structures to be labeled, type of labeling (segmentation, point labeling, or classification), need for full radiologist annotation vs. review/validation, and target timeline. I also offered to set up a call or review sample images.
Thursday, June 12, 2025: Lakshya Sharma provided detailed answers to my questions, specifying that they need segmentati</t>
  </si>
  <si>
    <t>Ledington</t>
  </si>
  <si>
    <t>Karl</t>
  </si>
  <si>
    <t>karl.nexora@proton.me</t>
  </si>
  <si>
    <t>Nexora AI Systems</t>
  </si>
  <si>
    <t>AI Product Manager</t>
  </si>
  <si>
    <t>Hi AYA Data Team,
Nexora AI Systems is an innovative Generative AI startup focused on building instruction-aligned, domain-specialized models for high-impact sectors such as healthcare, finance, and retail. Our capabilities span supervised fine-tuning (SFT), reinforcement learning from human feedback (RLHF), and human-in-the-loop (HITL) optimization, ensuring safe, scalable deployment of generative models in production environments.
As we prepare to scale our model training pipelines and enter t</t>
  </si>
  <si>
    <t>Wednesday, June 18, 2025: Replied to Karl, suggesting an exploratory call to discuss their priorities and share Aya Data's methodologies and pricing.
Wednesday, June 18, 2025: Karl responded, providing more context about Nexora AI's platform and reiterating the need for standardized documentation on Aya Data's execution methodology (SOPs), quality layers, and pricing models before a call. He mentioned this is time-sensitive as their internal model validation sprints conclude next month.
Wednes</t>
  </si>
  <si>
    <t>Rebecca</t>
  </si>
  <si>
    <t>Goba</t>
  </si>
  <si>
    <t>rebecca.goba@hec.edu</t>
  </si>
  <si>
    <t>HEC</t>
  </si>
  <si>
    <t>Independent Consultant</t>
  </si>
  <si>
    <t>Good day,
I hope you’re well. I’m currently working as an Independent Consultant on a validation exercise with a retail client, for an AI enabled digital platform aimed at informal retailers in South Africa.
As part of this, we’re looking to identify a suitable tech partner to build an MVP and I would like to send through an RFP for consideration.
Please let me know the best email address to send the RFP to.
Thank you,
Rebecca</t>
  </si>
  <si>
    <t>Tuesday, June 24, 2025: I sent an email to Rebecca, introducing myself, providing case studies, asking questions about the project, and inviting her to send the RFP or schedule a call.
Wednesday, June 25, 2025: I sent a follow-up email to Rebecca, reiterating my interest and confirming my email address for the RFP.</t>
  </si>
  <si>
    <t>Brian</t>
  </si>
  <si>
    <t>Taylor</t>
  </si>
  <si>
    <t>briantaylor.nextgen@gmail.com</t>
  </si>
  <si>
    <t>NextGen Consulting Corp.</t>
  </si>
  <si>
    <t>Head of Business Development</t>
  </si>
  <si>
    <t xml:space="preserve">Hi Aya Data,
I lead business development at a New York based consulting firm with extensive relationships across healthcare, finance, real-estate and other key industries. Our clients ask us of Gen AI services but since we do not maintain an in-house Gen AI team, we are seeking to collaborate with a proven Gen AI provider specializing in Supervised Fine-Tuning (SFT), Reinforcement Learning from Human Feedback (RLHF), adversarial testing and LLM-driven human feedback workflows. We would welcome </t>
  </si>
  <si>
    <t>Sebastien</t>
  </si>
  <si>
    <t>Delorme</t>
  </si>
  <si>
    <t>sebastien@scopia.tech</t>
  </si>
  <si>
    <t>Scopia</t>
  </si>
  <si>
    <t>I would like to have semantic segmentation of anatomy done on videos of laparoscopic surgery.
Meeting booked by client via calendly for Wed, Jul 9, 2pm</t>
  </si>
  <si>
    <t>Completed PoC and pricing; client selected another vendor but is interested in data sourcing for future projects</t>
  </si>
  <si>
    <t>Ahmed</t>
  </si>
  <si>
    <t>Farghaly</t>
  </si>
  <si>
    <t>ahmed.farghaly@qsitint.com</t>
  </si>
  <si>
    <t>QSI International</t>
  </si>
  <si>
    <t>Business Development Director</t>
  </si>
  <si>
    <t>Dear Sir/Madam,
I hope this message finds you well.
We are currently working on a new tender opportunity with the Environment Agency – Abu Dhabi that involves leveraging AI vision technology for waste management and monitoring.
We would greatly appreciate your collaboration in providing the required data-related scope for this opportunity.
We sincerely apologize for the short notice, as the client’s deadline is Thursday 10/7 evening. Could you kindly confirm if you're able to provide both a tech</t>
  </si>
  <si>
    <t>Meeting held to discuss 18k annotations; Aya Data can handle annotation but not image sourcing; detailed proposal to be submitted; procurement process may take months</t>
  </si>
  <si>
    <t>Stefan</t>
  </si>
  <si>
    <t>Ruijsenaars</t>
  </si>
  <si>
    <t>stefanr@wave.com</t>
  </si>
  <si>
    <t>Wave</t>
  </si>
  <si>
    <t>Sharing the blurb I'd sent you via the sales enquiry form:
I'm an engineer with Wave (wave.com). We're a large fintech company operating mostly on West Africa. About us: https://open.substack.com/pub/randle/p/wave?r=1dkcs&amp;utm_medium=ios
We are interested in gathering some ~1000 hours of labelled Wolof speech data so we can use this for training a speech to text model. We currently have about 100 hours thanks to the help of a local team based in Senegal who work with local linguists.
On the longe</t>
  </si>
  <si>
    <t>Sarthak</t>
  </si>
  <si>
    <t>Arora</t>
  </si>
  <si>
    <t>sarthak@madronus.com</t>
  </si>
  <si>
    <t>Madronos</t>
  </si>
  <si>
    <t>Hello AyaData,
We are seeking professional image annotation services to support the development of a computer vision model. Our dataset consists of images of various houses, and we require polygon annotations for specific features within each image.
Here are the key details of our project:
Dataset Description: The dataset contains images of residential properties, showcasing a variety of house styles, environments, and angles. The total number of images is approximately 2500.
Annotation Type</t>
  </si>
  <si>
    <t>Delivered PoC and pricing; waiting for Sarthak’s feedback on annotation quality.</t>
  </si>
  <si>
    <t>Jason</t>
  </si>
  <si>
    <t>Malvarosa</t>
  </si>
  <si>
    <t>jason.malvarosa@oracle.com</t>
  </si>
  <si>
    <t>Oracle</t>
  </si>
  <si>
    <t>Data Researcher</t>
  </si>
  <si>
    <t>Hi,
I’m Jason Malvarosa, Data Researcher at Oracle. I'm currently sourcing reliable data partners for upcoming projects, particularly, Data Acquisition, Annotation, and Labeling.
Would you be open to a quick conversation to explore whether your solutions align with our needs?
Looking forward to connecting.
Best,
Jason Malvarosa
Data Researcher
Mobile: + (63) 9278657013
Oracle Adaptive Intelligence Applications</t>
  </si>
  <si>
    <t>Ritika</t>
  </si>
  <si>
    <t>Srivastava</t>
  </si>
  <si>
    <t>ritika.s@acgence.com</t>
  </si>
  <si>
    <t>Macgence</t>
  </si>
  <si>
    <t>Data Annotator</t>
  </si>
  <si>
    <t>I hope this message finds you well.
My name is Ritika Srivastava, and I am a Data Annotator at Macgence, a global provider of AI and data solutions. At Macgence, we specialize in delivering high-quality datasets for AI training, including services such as:
Data annotation
Multilingual data collection
Pre-labeled Off-the-Shelf (OTS) datasets
We are currently seeking to collaborate with experienced vendors who can provide OTS datasets across the following domains:
Image, video, text, and audio dat</t>
  </si>
  <si>
    <t>Jack</t>
  </si>
  <si>
    <t>Nan</t>
  </si>
  <si>
    <t>jack@col-media.com</t>
  </si>
  <si>
    <t>COL Group</t>
  </si>
  <si>
    <t>Agnieszka</t>
  </si>
  <si>
    <t>Zareba</t>
  </si>
  <si>
    <t>agnieszka.zareba@pwc.com</t>
  </si>
  <si>
    <t>PWC (Poland)</t>
  </si>
  <si>
    <t xml:space="preserve">Dear Sir/Madam,
I hope you are well.
My name is Agnieszka Zareba, and I am a remote sensing specialist at PwC Poland.
I am reaching out to ask whether your company provides automatic field boundaries capabilities. We are exploring solutions on behalf of the European Commission's Directorate-General for Agriculture and Rural Development (DG AGRI), as this feature is of significant interest for their operations.
If you do offer this capability, would it be possible to arrange a meeting to discuss </t>
  </si>
  <si>
    <t>Jay</t>
  </si>
  <si>
    <t>Carter</t>
  </si>
  <si>
    <t>ay.carter@1nhealth.com</t>
  </si>
  <si>
    <t>1nheath</t>
  </si>
  <si>
    <t>We need data labelling services for CVI Ulcers, at least 500 images, we're not sure of the upper limit as yet</t>
  </si>
  <si>
    <t>Initial request acknowledged; Akhil to follow up with discussion; awaiting further details from client.</t>
  </si>
  <si>
    <t>Yves</t>
  </si>
  <si>
    <t>Hoppenot</t>
  </si>
  <si>
    <t>yves.hoppenot@naverlabs.com</t>
  </si>
  <si>
    <t>Naver Labs</t>
  </si>
  <si>
    <t>Europe Program Manager Office</t>
  </si>
  <si>
    <t>I am working for Naver Labs Europe, in France, focus on research in AI for Robotics. It belongs to the Korean company Naver.
In this context, we are looking for different type of annotation across a collection of images coming from different videos, in order to train different models.
We have already captured several scenes composed of one to seven people, through five 5k synchronized cameras.
So we would like to have different annotations on these collection of images:
Human skeleton annotati</t>
  </si>
  <si>
    <t>Provided service overview and offered free 48-hour PoC; client to review internally and revert.</t>
  </si>
  <si>
    <t>Jeanne</t>
  </si>
  <si>
    <t>Deghilage</t>
  </si>
  <si>
    <t>jdeghilage@digital-africa.co</t>
  </si>
  <si>
    <t>Digital Africa</t>
  </si>
  <si>
    <t>Dear,
As Project Manager at Digital Africa (Division of Proparco - AFD Group), I manage a hackathons program called AI 4 Startups, as part of the EU initiative Data Governance in Africa. 
To this end, we have published a tender for a data labeling service in order to support us in the dataset preparation for the competitions. 
You can find the details of the tender notice here.
If you want to apply, please send me your proposal by email before 04 August 2025 at 11:55 pm (GMT +1h). The require</t>
  </si>
  <si>
    <t>Digital Africa hackathons; Missed the submission date, awaiting next steps.</t>
  </si>
  <si>
    <t>Ugochukwu</t>
  </si>
  <si>
    <t>Ugwu</t>
  </si>
  <si>
    <t>ugochukwu.ugwu@ontoinnovation.com</t>
  </si>
  <si>
    <t>Ontoi Innovation</t>
  </si>
  <si>
    <t>Staff Software Engineer</t>
  </si>
  <si>
    <t>My name is Ugochukwu Ugwu, and I’m a Staff Software Engineer at Onto Innovation. We are currently exploring partnerships to support our data annotation needs for computer vision tasks across a range of semiconductor imaging datasets.
To help you assess the scope and fit, here’s a brief overview of the materials we’ve prepared:
Key Requirements:
Annotation Types: Bounding boxes, segmentation masks
Security: NDA and secure data handling protocols
Volume: Over 54,000 images across multiple datase</t>
  </si>
  <si>
    <t>Ugochukwu Ugwu (Onto Innovation): Reached out for data annotation services for computer vision tasks on semiconductor imaging datasets.
Akhil Singh (Aya Data): Apologized for the delay, acknowledged Onto Innovation's specific needs, and proposed a call to discuss scope, timelines, and pricing.</t>
  </si>
  <si>
    <t>Iain</t>
  </si>
  <si>
    <t>Niblock</t>
  </si>
  <si>
    <t>iain.niblock@gmail.com</t>
  </si>
  <si>
    <t>ClearScore</t>
  </si>
  <si>
    <t>Head of Product</t>
  </si>
  <si>
    <t>My name is Iain and I work for a company ClearScore.
We categorise bank transaction data. I want to create a training data set to develop an ML model. Be great to discuss some data annotation services.
Thanks, Iain</t>
  </si>
  <si>
    <t>Gordon</t>
  </si>
  <si>
    <t>Stevenson</t>
  </si>
  <si>
    <t>gordon@vexev.com</t>
  </si>
  <si>
    <t>Vexev</t>
  </si>
  <si>
    <t>Subject: Request for Free Pilot
Name: Gordon Stevenson
Email: gordon@vexev.com
Phone: 0490305906
Message: We're a medical device company based in Sydney, Australia with 2D ultrasound data of vascular images that we're interested to see if ayadata can help annotate with their system.
Thanks,
Gordon</t>
  </si>
  <si>
    <t>Akhil Singh and Nicholas Pagett were copied and are expected to follow up. Akhil has already sent an introductory email and a follow-up email to Gordon to schedule a call to discuss the requirements in more detail.</t>
  </si>
  <si>
    <t>Hi, Seyram
I hope this message finds you well. We have a new data request we’d like to share with you. Please see the details below:
• Video resolution: 360P or higher
• Volume: 8,000 hours
• Content requirements(only need to satisfy one of two):
   Videos should be recorded from a human-eye perspective, showing close-range interactions between humans and objects (similar   to instruction manuals or unboxing videos).
Or
  The footage should focus on upper-body human operations, and can be eithe</t>
  </si>
  <si>
    <t>Agentic AI Solutions</t>
  </si>
  <si>
    <t>Sourabh</t>
  </si>
  <si>
    <t>Soni</t>
  </si>
  <si>
    <t>s.sourabh@mirnah.com</t>
  </si>
  <si>
    <t>Mirnah</t>
  </si>
  <si>
    <t>Message: Dear Team,
I hope this message finds you well.
My name is Sourabh, and I represent Mirnah Technology systems. We are currently looking for a reliable partner to provide image annotation services to support our AI and machine learning projects.
Could you please confirm whether your company offers such services? If yes, kindly share details on the following:
•       Types of annotation offered (e.g., bounding boxes, polygon segmentation, keypoint annotation, semantic segmentation, text</t>
  </si>
  <si>
    <t>Abdul</t>
  </si>
  <si>
    <t>Rafay</t>
  </si>
  <si>
    <t>a.rafay@abysssolutions.com.au</t>
  </si>
  <si>
    <t>Abyss Solutions</t>
  </si>
  <si>
    <t>Message: Hi,
I am Abdul Rafay working as an Assistant Vendor Manager at ABYSS SOLUTIONS. We are currently seeking a vendor who can provide us 3D point cloud annotation services on our in-house built platform using P&amp;IDs and CAD models.
Please let me know if you are interested so we can initiate a discussion.</t>
  </si>
  <si>
    <t>August 15, 2025: Nicholas Pagett confirmed receipt of the RFI and stated he would review it with his team and respond the following week.
August 20, 2025: Akhil Singh submitted Aya Data's completed RFI response, highlighting their proposed delivery team, capacity (300+ man-days/month, scalable to 600+), and quality thresholds.
August 21, 2025: Abdul replied to Akhil, stating they were evaluating the RFI and would get back to them soon.
August 21, 2025: Akhil replied to Abdul, acknowledging th</t>
  </si>
  <si>
    <t>Neal</t>
  </si>
  <si>
    <t>Lasowski</t>
  </si>
  <si>
    <t>neal.lasowski@peec.ai</t>
  </si>
  <si>
    <t>PEEC</t>
  </si>
  <si>
    <t>Message: Project Overview
We are conducting a data annotation project focused on identifying and extracting brand mentions from AI-generated chat completions. This project aims to capture how various AI models reference brands within conversational contexts.
Project Objectives
Extract and catalog all brand mentions appearing in AI chat responses
Capture the contextual text surrounding each brand reference
Create a comprehensive dataset of brand-text associations for further analysis
Data Scope</t>
  </si>
  <si>
    <t>Neal Lasowski from Peec AI reached out to Aya Data on Friday, August 8, 2025, requesting data annotation services for a project focused on extracting brand mentions from AI-generated chat completions.
Nicholas Pagett followed up on Friday, August 8, 2025, proposing a call for early the following week (Monday or Tuesday) due to the tight timeline.
Neal Lasowski replied on Friday, August 8, 2025, suggesting a call on Monday morning at 11 AM Berlin Time. Nicholas Pagett confirmed this and sent an</t>
  </si>
  <si>
    <t>Ekaterina</t>
  </si>
  <si>
    <t>Lonskaya</t>
  </si>
  <si>
    <t>lonskate@yandex-team.com</t>
  </si>
  <si>
    <t>Yandex</t>
  </si>
  <si>
    <t>Procurement Manager</t>
  </si>
  <si>
    <t>Dear Participant,
My name is Ekaterina and I am a Procurement Manager at Yandex.
We are pleased to invite your organization to participate in a tender for the recruitment, management, and service contract administration of Lead Assessors and AI Editors across Africa, China, Japan, Korea, Thailand, Italy, Germany.
Tender Overview:
The tender focuses on the provision of services necessary to recruit and manage a team of Lead Assessors and AI Editors. The successful bidder will be responsible</t>
  </si>
  <si>
    <t>August 11: Yandex invited Aya Data to participate in a tender for Lead Assessors and AI Editors.
August 12: Akhil requested clarification on attachments and regions, and then asked for a submission extension, which Ekaterina granted.
August 19: Ekaterina requested information for signing an NDA, which Akhil provided, and the NDA was subsequently signed by both parties.
August 20: Akhil submitted Aya Data's proposal.
August 21: Ekaterina confirmed they would discuss the proposal internally an</t>
  </si>
  <si>
    <t>Azra</t>
  </si>
  <si>
    <t>Horowitz</t>
  </si>
  <si>
    <t>ah@faction.co</t>
  </si>
  <si>
    <t>Faction Imaging Inc</t>
  </si>
  <si>
    <t>CTO</t>
  </si>
  <si>
    <t>Message: We at Faction Imaging are looking to start a program of expert labeling of medical images (echocardiograms).
Best,
Azra Horowitz
CTO
Faction Imaging Inc.</t>
  </si>
  <si>
    <t>On August 20, 2025, Akhil sent an email to Azra with a Mutual NDA (MNDA) for review and signature, stating that a 48-hour sample POC can proceed once the MNDA is in place.
On August 26, 2025, Akhil followed up on the MNDA, emphasizing its importance for the 48-hour sample POC.
On September 9, 2025, Akhil sent another follow-up email asking for updates.</t>
  </si>
  <si>
    <t>Rory</t>
  </si>
  <si>
    <t>Abraham</t>
  </si>
  <si>
    <t>rory.abraham@swarco.com</t>
  </si>
  <si>
    <t>Hi,
I work for SWARCO AG. We are currently undertaking some R&amp;D projects that require data annotation and are looking for a provider to perform this take. I would like a discussion to find out more.
Many thanks,
Rory Abraham</t>
  </si>
  <si>
    <t>Akhil proposed a LiDAR annotation project, outlining scope, standards, and next steps including an NDA and sample data.
After multiple follow-ups, Rory sent the NDA and sample data, and Akhil sent the signed NDA and requested annotation guidelines.
Rory provided detailed annotation guidelines, and Akhil introduced Michael, the project's Solution Architect, who has sent a Q&amp;A sheet for clarification.
Akhil shared pricing on September 9th and waiting on their feedback.</t>
  </si>
  <si>
    <t>Kennedy</t>
  </si>
  <si>
    <t>pete@haelix.io</t>
  </si>
  <si>
    <t>Haelix Ltd</t>
  </si>
  <si>
    <t>Hello Aya Data team,
I’m the founder of Hælix Ltd, where we are developing AirScribe; a flight deck tool that transcribes and structures air traffic control communications to reduce pilot cognitive load and enhance situational awareness.
We’re looking for an annotation partner with strong expertise in transcription, NLP, and NER, and with a clear commitment to ethical practices and workforce development. Aya Data’s focus on fairness and high-quality annotation in complex audio environments mak</t>
  </si>
  <si>
    <t>Peter contacted Aya Data requesting data annotation services for his flight deck tool, AirScribe.
Akhil responded, highlighting Aya Data's relevant expertise and proposing a call.
Peter suggested meeting times, and Akhil scheduled a call for Tuesday, August 19th.
Following the call, Peter requested a readback, an NDA, a roadmap, and an introduction to Freddie Monk.
Akhil followed up with MNDA and apologizing for the delay.</t>
  </si>
  <si>
    <t>Teitel</t>
  </si>
  <si>
    <t>jack@title-ai.com</t>
  </si>
  <si>
    <t>Title-ai</t>
  </si>
  <si>
    <t>Message: I have multiple data annotation projects that I am looking to execute on.  One requires high quality segmentation labels.  The other requires bbox detection labels.  Both projects are starting at 1-2k images, but may need more in the future</t>
  </si>
  <si>
    <t>Gillian Hammah initially introduced Akhil Singh, Head of Sales at Aya Data, to Jack.
Akhil then sent an email outlining Aya Data's capabilities in segmentation and bbox detection, requesting more details about dataset domains, annotation guidelines, platform preferences, turnaround times, and accuracy requirements, and offering to schedule a call.
Akhil sent a reminder email, and then a follow-up email on September 12, 2025, noting Title AI's focus on computer vision and healthcare AI solution</t>
  </si>
  <si>
    <t>Antonia</t>
  </si>
  <si>
    <t>Klobe</t>
  </si>
  <si>
    <t>Antonia antonia.klobe@fuse-ai.de</t>
  </si>
  <si>
    <t>FUSE-AI</t>
  </si>
  <si>
    <t>Dear AYA Data Team,
at FUSE-AI, we develop AI-based solutions for medical imaging. Our first product on the market, Prostate.Carcinoma.ai, assists radiologists in their PI-RADS v2.1 workflow. For the optimization of this product, as well as for the development of future AI-based products for other indications, we are currently seeking anonymized medical imaging datasets along with expert annotations and matched histopathology.
Would it be possible for us to share our detailed data requirements</t>
  </si>
  <si>
    <t>Antonia Klobe from FUSE-AI reached out to Aya Data for medical annotation services, specifically for prostate MRI data.
Akhil Singh (Head of Sales at Aya Data) introduced Marvin (Solutions Architect) and Leila (in-house Medical Expert) to Antonia to support the engagement.
FUSE-AI's priorities are prostate MRI data set and annotation requirements (Documents 1 &amp; 2), followed by CT lesion segmentation (Document 3), and then breast imaging datasets (Document 4).
Marvin and Leila are reviewing th</t>
  </si>
  <si>
    <t>Dean</t>
  </si>
  <si>
    <t>Barner</t>
  </si>
  <si>
    <t>dean.bar-ner@radicalsurfaces.com</t>
  </si>
  <si>
    <t>Radical Surfaces</t>
  </si>
  <si>
    <t>Message: Hi, I need help collecting and annotating data of kitchens/bathrooms. I need labels of four classes: wall, floor, countertop, backsplash.</t>
  </si>
  <si>
    <t>DQ'ed by Akhil on Budget Misalignment</t>
  </si>
  <si>
    <t>Ryan</t>
  </si>
  <si>
    <t>Prendergast</t>
  </si>
  <si>
    <t>ryan@zenobiapay.com</t>
  </si>
  <si>
    <t>Zenobia Pay</t>
  </si>
  <si>
    <t>Message: Looking for data annotation of a dataset of longer videos (can chunk into smaller pieces if useful). Looking for annotations of movement.</t>
  </si>
  <si>
    <t>Ryan is looking for data annotation of longer videos, specifically movement annotations.
Akhil followed up, asking for more details to properly scope the project, including:
Type of movements needed (subtle gestures vs. object tracking)
Expected granularity (frame-by-frame, timestamps, or broader chunks)
Rough video volume and format preferences (JSON/CSV/XML)
Akhil offered to set up a short pilot program to return labeled JSON files and a QA summary within a few days for validation.
Akhil al</t>
  </si>
  <si>
    <t>Rosy</t>
  </si>
  <si>
    <t>Edey</t>
  </si>
  <si>
    <t>redey@deloitte.co.uk</t>
  </si>
  <si>
    <t>Deloitte</t>
  </si>
  <si>
    <t>Message: Hi there,
I manage a data curation service within Deloitte. We work with clients to identify routes to source and annotate data aligned to their niche use-cases.
I'm reaching out regarding a data annotation project for one of our clients. They require human-generated summaries for a conversational corpus that they have already acquired, with the crucial stipulation that the data processing / annotation must be hosted within the UK for compliance reasons.
We have identified Wolfestone</t>
  </si>
  <si>
    <t>Aya Data was contacted by Rosy Edey from Deloitte regarding a data annotation project for one of their clients.
The client requires human-generated summaries for a conversational corpus, with the crucial stipulation that data processing and annotation must be hosted within the UK for compliance reasons.
Aya Data is headquartered in London, UK, and can guarantee UK-only data residency for storage and transfer, but is not currently able to staff UK-based annotators in-house.
Engaging UK annotat</t>
  </si>
  <si>
    <t>Tobias</t>
  </si>
  <si>
    <t>Jaeuthe</t>
  </si>
  <si>
    <t>jaeuthe@perfacct.eu</t>
  </si>
  <si>
    <t>Perfacct</t>
  </si>
  <si>
    <t>Message: Hello,
we want to annotate 1200 pictures of motorcycles. There are pictures of motorcycle races. Each motorcycle has a numerical start number. The starting numbers range from 1 to 999, according to our knowledge. The starting numbers are very different in appearance, sometimes difficult to recognize and usually angled.
Each start number must be marked with a rotating Bounding Box. Each Bounding Box must also be provided with the label of the numerical start number.
We used label studi</t>
  </si>
  <si>
    <t xml:space="preserve">Aya Data completed a pilot project with 10 sample images for Perfacct.
The proposed pricing for the full dataset (1,200 images) is ~$870, with a delivery timeline of ~7 days and a guaranteed accuracy of ≥95%.
Aya Data typically engages in projects with a minimum commercial value of $5,000, but is willing to proceed with this smaller project at $870 as an initial engagement to demonstrate value.
Perfacct declined the proposal, stating the budget of ~$870 was out of their range. They expressed </t>
  </si>
  <si>
    <t>Heena</t>
  </si>
  <si>
    <t>Youn</t>
  </si>
  <si>
    <t>heena.youn@flitto.com</t>
  </si>
  <si>
    <t>Data PM</t>
  </si>
  <si>
    <t>Dear Aya Data Team,
I hope this email finds you well.
My name is Heena, and I am a Data Project Manager at Flitto, a publicly listed company headquartered in Korea with global offices in the US, Japan, and China. 
We specialize in providing high-quality language data for AI engines, including Machine Translation, Voice Recognition, OCR, LLMs, and Chatbots.
Over the years, we have operated a wide range of data projects.
Currently, we are preparing to start an Email Data Collection Project aim</t>
  </si>
  <si>
    <t xml:space="preserve">Flitto, a company specializing in AI engine language data, reached out for a potential collaboration on an Email Data Collection Project.
The project involves collecting e-commerce-related emails in several locales (fr_FR, es_ES, de_DE, nl_NL, it_IT, jp_JP, pt_BR, ar_SA, ar_AE).
Gillian Hammah introduced Akhil Singh (Head of Sales) to review the NDA and discuss project needs.
Aya Data has decided not to move forward with this specific project at this time, as it doesn't align with their core </t>
  </si>
  <si>
    <t>Adwoa</t>
  </si>
  <si>
    <t>Opoku</t>
  </si>
  <si>
    <t>aopoku@outlook.com</t>
  </si>
  <si>
    <t>Mayan Book Centre</t>
  </si>
  <si>
    <t>Prospect would like help with an agentic AI solution to manage their consignment process</t>
  </si>
  <si>
    <t>Scoping meeting held on Sep 2, Proposal shared on Oct 2. Adwoa is willing to move ahead. She has been advised that a deposit of $2k is required to start. Awaiting feedback from her</t>
  </si>
  <si>
    <t>Tom</t>
  </si>
  <si>
    <t>Carrell</t>
  </si>
  <si>
    <t>tom.carrell@hypervisionsurgical.com</t>
  </si>
  <si>
    <t>Hypervision Surgical</t>
  </si>
  <si>
    <t>Chief Digital Information Officer</t>
  </si>
  <si>
    <t>Message: Hello. I worked with your medical image data labelling when I was at Cydar Medical. I am now working with another medical ML company and have been telling them about the great work your team did.  My new company (Hypervision Surgical) has a potential project that would require annotating 5000 still frames from colour video of surgery; each annotation takes about 45 minutes on average. Can you give me an indication of pricing that I can use for internal project costing? Many thanks and k</t>
  </si>
  <si>
    <t xml:space="preserve">Akhil Singh sent a preliminary pricing framework for an abdominal surgery annotation project to Tom Carrell.
The proposal includes project parameters (5,000 still frames, 45 minutes effort per frame, 3,750 total hours, 3-month timeline).
Two pricing models were offered: Model 1 (AyaData Labellers + Medical QA) at $27/hour (around $100,000 ETCV) and Model 2 (Doctor-Only Annotation) at $35/hour (around $131,250 ETCV).
Annotator profiles and workflow strengths were detailed.
A recommended next </t>
  </si>
  <si>
    <t>Kayla</t>
  </si>
  <si>
    <t>zhangxiaohan@datatang.com</t>
  </si>
  <si>
    <t>Beijing DataTang Technology Co., Ltd</t>
  </si>
  <si>
    <t>"Message: Hello,
I hope this email finds you well.
My name is Kayla, and I represent Beijing DataTang Technology Co., Ltd.. We are currently seeking a professional partner for a 3D point cloud urban intersection annotation project and believe your team may be a great fit.
Project Overview:
Data type: 3D point cloud urban intersection scenes
Distance range: 0–250m (per project-specific definitions)
Volume: \~50,000 frames (continuous, \~30 FPS)
Annotation platform: Client-provided platform (must</t>
  </si>
  <si>
    <t>Rob</t>
  </si>
  <si>
    <t>Scrutton</t>
  </si>
  <si>
    <t>rob@occix.com</t>
  </si>
  <si>
    <t>Occix</t>
  </si>
  <si>
    <t xml:space="preserve">Message: Good afternoon,
We are a UK based company trying to implement your services for a data annotation project. We wanted to annotate 2D images using rectangular bounding boxes. What is your pricing per object? Furthermore, can you ensure the annotations you provide are high-level (we are keen to have the annotations be in a complex laboratory environment, is that a premium we would have to pay for i.e. to employ specialist annotators?). I would appreciate a reply ASAP, we are applying for </t>
  </si>
  <si>
    <t>Simran</t>
  </si>
  <si>
    <t>Tyagi</t>
  </si>
  <si>
    <t>simran.tyagi@firstsource.com</t>
  </si>
  <si>
    <t>First Source</t>
  </si>
  <si>
    <t>How did you hear about us: Search Engine (e.g., Google, Bing)
Message: I’m reaching out from FirstSource, where we’re actively expanding our partner ecosystem to strengthen our AI data services and Generative AI capabilities. As part of this initiative, we are looking to collaborate with vendors and partners who bring proven expertise in areas such as data collection, data labeling, model development, OTS datasets, GenAI tooling, and scalable AI infrastructure.
If your organization offers soluti</t>
  </si>
  <si>
    <t>Abdullah</t>
  </si>
  <si>
    <t>abdullah@quantigo.ai</t>
  </si>
  <si>
    <t>Quantigo AI</t>
  </si>
  <si>
    <t>Country Director</t>
  </si>
  <si>
    <t>Hi AyaData Team,
I am reaching out from Quantigo AI regarding a new project that involves video data collection for AI training purposes. We are looking for vendors who can support us with large-scale video collection and possibly related annotation work.
Could you please share your capabilities and experience with similar projects, along with any initial information on timelines and pricing models? Maybe a call would help to expedite the process. 
Looking forward to your response.
Regards,
--</t>
  </si>
  <si>
    <t>Pierce</t>
  </si>
  <si>
    <t>Morrow</t>
  </si>
  <si>
    <t>pierce@keplerprecision.com</t>
  </si>
  <si>
    <t>Kepler Precision</t>
  </si>
  <si>
    <t>Message: Hi,
Hope you are well. I am reaching out to see if I can get a quote from you for annotation requirements that my team require for a Machine Learning project that we are working on. We would require key point annotations done to both CT and Angiographic Cines and segmentations done to the CT images for the vessels and lesions.
If possible could we get some infotrmation on how you operate &amp; who performs the annotations (radiologists, Cardiologists, etc.)? We would also like to know you</t>
  </si>
  <si>
    <t>M</t>
  </si>
  <si>
    <t>mshamly@innodata.com</t>
  </si>
  <si>
    <t>Message: OTS Datasets needed..
**********
I advised Shamly that we don't provide OTS datasets but happy to help with other projects, and he came back with the following response:
Good afternoon Gillian,
Thank you for your response.
Could you please confirm if Aya Data supports custom data collection? If so, it would be great if you could share your general rate card along with the types and areas of data collection you specialize in.
Looking forward to your response.
Best regards,
Sham</t>
  </si>
  <si>
    <t>DQ'ed</t>
  </si>
  <si>
    <t>Sayuka</t>
  </si>
  <si>
    <t>Hata</t>
  </si>
  <si>
    <t>sayuka.hata@fastlabel.ai</t>
  </si>
  <si>
    <t>Fast Label Co., Ltd</t>
  </si>
  <si>
    <t>Message: Dear Aya Data Team,
I hope this message finds you well.
I'm Sayuka Hata, seeking new business partners at FastLabel Co., Ltd. in Japan.
Since our founding, we have specialized in the creation of training data for AI development. We are currently seeking a new outsourcing partner to support us in delivering annotation services for client projects, and we would like to explore the possibility of working with your company.
Specifically, we are looking to outsource tasks such as image se</t>
  </si>
  <si>
    <t>Ambrogi</t>
  </si>
  <si>
    <t>j.ambrogi@engreen.world</t>
  </si>
  <si>
    <t>EnGreen</t>
  </si>
  <si>
    <t>Message: Dear Sir or Madame,
I am representing EnGreen, a technical advisory firm active in applied R&amp;D projects in Africa. We are working on a research proposal for the EU commission (€2 million) focusing on developing GenAi applications for agricultural optimisation and urban governance tools (through digital twins) to be applied in Senegal, Nigeria, Morocco, and Kenya.
We would be interested in gauging your interest in participating with a dedicated budget and with a role focusing on providin</t>
  </si>
  <si>
    <t>Sylwia</t>
  </si>
  <si>
    <t>Bankowska</t>
  </si>
  <si>
    <t>sylwia.bankowska-external@geopost.com</t>
  </si>
  <si>
    <t>Hi,
We need an audio dataset of 300 recordings in English, featuring different accents. The objective is to have each recording consist of the speaker pronouncing between 9 and 14 consecutive digits.
Could you please confirm if you are able to prepare  respecting the guidelines outlined below:
background noise
natural hesitations, pauses, repetitions, and self-corrections
variations in the pronunciation of numbers, ex :
per 1 digit : 1-2-3-4-5-6-7-8-9-0
per 2 digits : 12-34-56-78-90
per 3 digits</t>
  </si>
  <si>
    <t>Riki</t>
  </si>
  <si>
    <t>Kingston</t>
  </si>
  <si>
    <t>840367213@qq.com</t>
  </si>
  <si>
    <t>Message: want to know your company and seek for cooperation. we would like to buy some muti language data( translation text or labeling audio data) or annotation services</t>
  </si>
  <si>
    <t>Sandeep</t>
  </si>
  <si>
    <t>Panchal</t>
  </si>
  <si>
    <t>Support23@anaxee.com</t>
  </si>
  <si>
    <t>Anaxee</t>
  </si>
  <si>
    <t>Message: am from India and represent an organization involved in collecting farmer data, agriculture data, and plantation monitoring. We also use drone-based orthomosaic mapping of plots.
We are interested in understanding how your services can support our operations and would like to request a demo to see your solutions in action. Please let us know a convenient time for the demo and the process to get started.</t>
  </si>
  <si>
    <t>Azure</t>
  </si>
  <si>
    <t>Malachi</t>
  </si>
  <si>
    <t>sumdengya@gmail.com</t>
  </si>
  <si>
    <t xml:space="preserve">Message: Hi AyaGrow Team,
I’m exploring farm management solutions and am very interested in AyaGrow’s capabilities for AI-powered analytics. I wanted to confirm whether AyaGrow provides API access for integrating your data and services into external applications.
If possible, could you provide general information regarding API availability, access, and any pricing guidelines? I’m currently in the early stages of planning and just trying to understand the options.
Thank you very much for your </t>
  </si>
  <si>
    <t>Mikkel</t>
  </si>
  <si>
    <t>Loose</t>
  </si>
  <si>
    <t>mikkel@h3d.ai</t>
  </si>
  <si>
    <t>Message: We are looking into new annotation services for our 3d dental scans. We would love to hear more about your services and pricing.
We currently have our own solution with an in house team, but looking to make this more efficient and potentially outsource it all</t>
  </si>
  <si>
    <t>Justice</t>
  </si>
  <si>
    <t>Doku</t>
  </si>
  <si>
    <t>Justice.Doku@gh.nestle.com</t>
  </si>
  <si>
    <t>Nestle</t>
  </si>
  <si>
    <t>IT Manager, Supply Chain</t>
  </si>
  <si>
    <t>Dear Team,
I trust this mail finds you well.
I am Justice Doku from Nestle Central and West Africa. I am the IT Manager for Supply Chain.
I checked on Aya Data, and I believe you deliver AI services. We do have a need for an AI agent to assist with our customs documentation validation.
We will be glad if your contact can reach out to us and perform a demo to our team. Kindly share the date and time.
Regards,
Justice Doku</t>
  </si>
  <si>
    <t>Kirkwood</t>
  </si>
  <si>
    <t>henry.kirkwood@zespri.com</t>
  </si>
  <si>
    <t>Zespri</t>
  </si>
  <si>
    <t>Message: Hi,
I'd like to enquire about annotation of a dataset of images taken in kiwifruit orchards. The imageset contains both male and female kiwifruit vines and we would like to annotate the female flower buds only (male flowers do not need to be annotated). We'd like to annotate 500 images, each image is about 4110 x 1200 pixels in size and each image can contain upto 200 instances (approximately).
I'm interested to hear about your annotation team, the QA and review process and approximate</t>
  </si>
  <si>
    <t>Ansad</t>
  </si>
  <si>
    <t>Aziz</t>
  </si>
  <si>
    <t>ansad.aziz@aramcoemirateservices.com</t>
  </si>
  <si>
    <t>Aramco Trading Facility</t>
  </si>
  <si>
    <t>Procurement &amp; Logistic Supervisor | Contract Management</t>
  </si>
  <si>
    <t>Message: We are pleased to invite your esteemed company to participate in the ongoing registration process for potential suppliers, vendors, and partners for the 2025/2026 ARAMCO UAE projects.
These projects are open for all companies around the world. should you be interested to participate in the process, kindly confirm your interest by requesting for the Vendors Questionnaire and EOI.
We appreciate your interest in this invitation, and look forward to your early response.
Best Regards
Mr.</t>
  </si>
  <si>
    <t>Elfailali-lbalghiti</t>
  </si>
  <si>
    <t>simomfb2@gmail.com</t>
  </si>
  <si>
    <t>Message: Hello,
We are a , and we need to annotate coffee images 30k instances (each image contain on to two inctance).
Could you please share with us the pricing of this task,
thanks</t>
  </si>
  <si>
    <t>Andrew</t>
  </si>
  <si>
    <t>Klad</t>
  </si>
  <si>
    <t>andrewklad1@hotmail.com</t>
  </si>
  <si>
    <t>I’m looking for ai solution for shoplifting</t>
  </si>
  <si>
    <t>Martin</t>
  </si>
  <si>
    <t>Garbade</t>
  </si>
  <si>
    <t>Relios Vision GmbH</t>
  </si>
  <si>
    <t>Hello,
my name is **Martin Garbade**, CTO of the German startup **Relios Vision GmbH**.
We are currently exploring options to **outsource medical image annotation** and would like to learn more about your capabilities and pricing.
Our main requirement is the annotation of **brain MRI scans** by **expert neuroradiologists**.
Specifically:
We work with **T1 native** and **T1 contrast-enhanced (T1CE)** MRI series.
On the **contrast-enhanced series**, all **lesions or pathologies showing contrast-</t>
  </si>
  <si>
    <t>Keating</t>
  </si>
  <si>
    <t>bkeating@cortechs.ai</t>
  </si>
  <si>
    <t>Cortechs</t>
  </si>
  <si>
    <t>Senior Scientist, MLOps Lead</t>
  </si>
  <si>
    <t>Message: We're interested in segmenting brain lesions in multimodal MRI. Initial project would be for metastatic brain cancer ("mets"), with the input images being T1-precontrast, T1-postcontrast, and a subtraction image between the two. Our initial dataset is around 500 studies in nifti format (we could convert to dicom if necessary).
---Additional message ---
I’m evaluating a number of options for outsourcing some of our labeling. Does this sound like the type of project you can do? Do you ne</t>
  </si>
  <si>
    <t>Chirag</t>
  </si>
  <si>
    <t>Kawediya</t>
  </si>
  <si>
    <t>chirag@humanbehavior.co</t>
  </si>
  <si>
    <t>Human Behavior</t>
  </si>
  <si>
    <t>Message: We are really interested in annotating session replay data. We have session replays (screen recordings) of users using software products. We have AI generated second-by-second descriptions of each event in the video, and we want to check and correct hallucinations. We can provide our own environment for viewing these videos or give you mp4 + txt pairs.</t>
  </si>
  <si>
    <t>Godfred</t>
  </si>
  <si>
    <t>Markin</t>
  </si>
  <si>
    <t>godfred.it@twellium.com</t>
  </si>
  <si>
    <t>Twellium</t>
  </si>
  <si>
    <t>I have a software written in python and I want to embed an AI into the system for data analysis and accurate report [Meeting booked through Hachly bot on website]</t>
  </si>
  <si>
    <t>Nana Yaw</t>
  </si>
  <si>
    <t>Amponsah Boadu</t>
  </si>
  <si>
    <t>nanayaw@cdcconsult.org</t>
  </si>
  <si>
    <t>CDC Consult Ltd</t>
  </si>
  <si>
    <t>Lead - SMEs &amp; Access to Finance</t>
  </si>
  <si>
    <t>Dear Sir/Madam
Good morning, and I hope this message finds you well.
I am writing on behalf of CDC Consult Ltd to explore potential areas of partnership with AyaData, particularly in jointly pursuing bids in digital consulting, as well as leveraging the Aya Grow platform to support SMEs within our network in accessing financing.
CDC Consult works extensively with MSMEs, financial institutions, and development partners to enhance enterprise competitiveness and access to finance.
We believ</t>
  </si>
  <si>
    <t>Damian</t>
  </si>
  <si>
    <t>Tarasiuk</t>
  </si>
  <si>
    <t>damian_tarasiuk@uk.hrdeu.com</t>
  </si>
  <si>
    <t>Honda</t>
  </si>
  <si>
    <t>UK</t>
  </si>
  <si>
    <t>Message: Hello,
I am Damian from Honda R&amp;D Europe (U.K.) and I lead the AI research in our division. I am currently pursuing a research project which relates to affective computing and behavioral cue identification.
I am interested in finding out whether you are able to support with this type of task, and whether you are also open to pursuing an engagement with an NDA.
Kind Regards,
Damian</t>
  </si>
  <si>
    <t>Conor</t>
  </si>
  <si>
    <t>Pickering</t>
  </si>
  <si>
    <t>conor@forge-robotics.com</t>
  </si>
  <si>
    <t>Forge Robotics</t>
  </si>
  <si>
    <t>USA</t>
  </si>
  <si>
    <t>Message: Hi,
I’m looking to annotate 10,000–15,000 images for a segmentation project.
Can we schedule a call to discuss scope, workflow, and pricing?</t>
  </si>
  <si>
    <t>Levay</t>
  </si>
  <si>
    <t>mlevay@allcitynetwork.com</t>
  </si>
  <si>
    <t>All City Network</t>
  </si>
  <si>
    <t>Message: Hello, I represent an metadata-rich audio and video data library of over 500k hrs. We would be interested in becoming a data vendor if of interest. Thanks, -Michael</t>
  </si>
  <si>
    <t>Karan</t>
  </si>
  <si>
    <t>karan.sharma@promptcloud.com</t>
  </si>
  <si>
    <t>PromptCloud</t>
  </si>
  <si>
    <t>Product Marketing Manager</t>
  </si>
  <si>
    <t xml:space="preserve">Hi there,
I’m Karan from PromptCloud, where we build structured web data pipelines for AI teams across finance, retail, and e-commerce domains.
We frequently collaborate with annotation providers to offer clients an end-to-end data workflow. PromptCloud focuses on data sourcing and structuring, while partners like Aya Data bring annotation expertise in areas such as healthcare imaging and geospatial data.
I believe there’s strong alignment here for a mutual-referral partnership. We can route </t>
  </si>
  <si>
    <t>Joyce</t>
  </si>
  <si>
    <t>Liang</t>
  </si>
  <si>
    <t>liangai@datatang.com</t>
  </si>
  <si>
    <t>Datang</t>
  </si>
  <si>
    <t>China</t>
  </si>
  <si>
    <t>Message: Hope this email finds you well.
My name is Joyce from DataTang in Beijing, a leading AI data service provider.
We are currently exploring potential partnerships with specialized European data annotation providers for autonomous driving projects.
We would be interested to know if your company has specific experience in autonomous driving data annotation, particularly with 4D multi-sensor data (camera, LiDAR) for lane marking.
Could you please confirm your capabilities in this area? W</t>
  </si>
  <si>
    <t>Tahiru Issah</t>
  </si>
  <si>
    <t>aissah@andrew.cmu.edu</t>
  </si>
  <si>
    <t>Carnegie Mellon University</t>
  </si>
  <si>
    <t>Message: We need expert annotation for an AI malaria diagnosis project.
Dataset: Giemsa-stained blood smears. Task: Annotate parasite stages (rings, trophozoites, schizonts, gametocytes) and white blood cells.
Critical Requirement: We require annotators to be qualified biomedical lab experts or parasitologists with malaria microscopy experience, not generalists.
Can you confirm you have these specific experts available? If so, we would like to discuss validation of their credentials. Thank yo</t>
  </si>
  <si>
    <t>Lorenzo</t>
  </si>
  <si>
    <t>Girotti</t>
  </si>
  <si>
    <t>l.girotti@wildoo-ai.com</t>
  </si>
  <si>
    <t>Wildoo AI</t>
  </si>
  <si>
    <t>Italy</t>
  </si>
  <si>
    <t>Message: We need to annotate wildlife images from camera traps. In particular, we need to annotate images with sex, lifestage and behavior of the animal.
We'd like to know information about prices of this service.
Thanks in advance.</t>
  </si>
  <si>
    <t>Qiufei</t>
  </si>
  <si>
    <t>Hu</t>
  </si>
  <si>
    <t>business@anuttacon.com</t>
  </si>
  <si>
    <t>Annuttacon</t>
  </si>
  <si>
    <t>Message: We’re currently looking for data service providers and training dataset partners to collaborate on large-scale data projects.
If your team specializes in data collection, labeling, curation, or dataset provisioning for AI model training, we’d love to explore potential collaboration opportunities.</t>
  </si>
  <si>
    <t>Stuart</t>
  </si>
  <si>
    <t>Isaacs</t>
  </si>
  <si>
    <t>stuart@ocyachts.com</t>
  </si>
  <si>
    <t>Ocean Independence</t>
  </si>
  <si>
    <t>Message: I’m the Marketing Director at Ocean Independence, a global leader in yacht brokerage and management. We’re currently exploring ways to implement AI across the company to improve efficiency, client engagement, and data management.
I’d like to understand what your team could offer in terms of custom AI solutions, integrations with existing systems (CRM, Outlook, Teams, etc.), and automation of internal workflows.
I assume a discovery call would be appropriate, but please feel free to su</t>
  </si>
  <si>
    <t>Dorottya</t>
  </si>
  <si>
    <t>Papp</t>
  </si>
  <si>
    <t>DPapp@medisimaging.com</t>
  </si>
  <si>
    <t>Medis Medical Imaging</t>
  </si>
  <si>
    <t>Clinical Scientist</t>
  </si>
  <si>
    <t>Message: Dear Sir/Madam,
My name is Dorottya Papp, and I am a Clinical Scientist at Medis Medical Imaging (based in the Netherlands).
We are planning a project that involves the annotation of approximately 8,000–10,000 coronary X-ray angiography series, and we are seeking a reliable partner who can perform the annotations using our own annotation tool.
Project overview &amp; requirements
Modality: Coronary X-ray angiography (multiple series per case).
Tool: We will provide access to our proprietar</t>
  </si>
  <si>
    <t>Shmulik</t>
  </si>
  <si>
    <t>Edelman</t>
  </si>
  <si>
    <t>shmulik_ed@pickommerce.com</t>
  </si>
  <si>
    <t>Pickommerce AI</t>
  </si>
  <si>
    <t>VP Product</t>
  </si>
  <si>
    <t>Israel</t>
  </si>
  <si>
    <t>Hello
My name is Shmulik, I'm from Pickommerce AI Robotics.
We are looking for an image annotation service for a project that we have.
Do you provide this service?
Looking forward to your reply
Shmulik Edelman
--
Shmulik Edelman
VP Product
Pickommerce AI Robotics</t>
  </si>
  <si>
    <t>Oksana</t>
  </si>
  <si>
    <t>Charkina</t>
  </si>
  <si>
    <t>oksana.charkina@keymakr.com</t>
  </si>
  <si>
    <t>Keymakr</t>
  </si>
  <si>
    <t>Hello Aya Data team,
I’m reaching out on behalf of Keylabs — a SaaS platform and trusted partner for data annotation supporting a wide range of data types, including 2D/3D vision, text, and custom data collection. Our focus is on delivering secure, consistent, and high-quality annotation at scale for enterprise AI teams.
As we expand and take on more complex initiatives, we're exploring partnerships with annotation providers who share our commitment to quality, reliability, and operational exce</t>
  </si>
  <si>
    <t>Johnson</t>
  </si>
  <si>
    <t>Tetteh</t>
  </si>
  <si>
    <t>hello@begye.com</t>
  </si>
  <si>
    <t>Begye</t>
  </si>
  <si>
    <t>Message: Begye want to build  search engine and multi AI-agent for real estate business, tourism businesses and we need assistance.</t>
  </si>
  <si>
    <t>Tasha</t>
  </si>
  <si>
    <t>Watmore</t>
  </si>
  <si>
    <t>tasha.watmore@isla.health</t>
  </si>
  <si>
    <t>Isla Health</t>
  </si>
  <si>
    <t>Product Lead</t>
  </si>
  <si>
    <t>Message: Hello,
I'm reaching out from Isla Health to get a quote for a medical image annotation project we're working on.
We have surgical site infection (SSI) images - primarily cardiac and c-section wounds - that need annotating in v7. We're looking at getting around 1000+ images labelled initially, with potential for this to scale up depending on how the project goes.
Could you provide:
Your typical rates for medical image annotation (per image or per object)
Estimated turnaround time for</t>
  </si>
  <si>
    <t>Mahadeva</t>
  </si>
  <si>
    <t>mahadevaprasad.m94@shaip.com</t>
  </si>
  <si>
    <t>Message: Hi AyaData Team,
We are currently in the process of evaluating annotation service providers for an upcoming project and are considering your company as a potential partner based on your capabilities and industry reputation.
To proceed, we would appreciate it if you could provide a detailed price quotation for the following types of annotation services:
Type of Annotation      Image Quantity  price per Annotation
Weighted 2D-Bounding Box (Camera)       1000     
Weighted 3D-Bounding B</t>
  </si>
  <si>
    <t>David</t>
  </si>
  <si>
    <t>Quagraine</t>
  </si>
  <si>
    <t>David.Quagraine@ACCESSBANKPLC.com</t>
  </si>
  <si>
    <t>Access Bank</t>
  </si>
  <si>
    <t>CIO</t>
  </si>
  <si>
    <t>referral via Ama LS: Dear David,
Kindly reach out to Ama and let's see if there are synergies, we can draw from their capabilities to enhance our operations in delivering value to our customers
Regards
James</t>
  </si>
  <si>
    <t>Had an initial meeting with Caleb Dunyo on Nov 11. Caleb has since shared an NDA which is being reviewed internally</t>
  </si>
  <si>
    <t>Lachlan</t>
  </si>
  <si>
    <t>de Crespigny</t>
  </si>
  <si>
    <t>lach@bizscaffold.com</t>
  </si>
  <si>
    <t>Biz Scaffold</t>
  </si>
  <si>
    <t>Hi,
I run the website https://www.dataannotationcompanies.com/
I have a company that has requested a quote for work on object detection (bounding boxes) and segmentation (per-pixel labels). The dataset size is roughly 3000 frames of aerial camera images.
I wanted to know whether you do this sort of work, and if so, what more information you would need to provide an approximate quote.
Separately, I am interested in setting up a partnership with companies who would be interested in paying per l</t>
  </si>
  <si>
    <t>Cola</t>
  </si>
  <si>
    <t>Zhou</t>
  </si>
  <si>
    <t>zhoule@appen.tech</t>
  </si>
  <si>
    <t>Appen</t>
  </si>
  <si>
    <t>Vendor Management</t>
  </si>
  <si>
    <t>Hi  Aya Data,
I hope this email finds you well. This is Cola Zhou from China with Appen company, the world's largest artificial intelligence data services company. “https://www.appendata.com/”
I'm contacting you with the hope of collaborating on one of our evaluating projects which relate to recording of English audio. Below are core requirements for recording:
National/Regional Distribution of Speakers: The United Kingdom, the United States, Canada, Australia, Ireland, New Zealand, and Germany</t>
  </si>
  <si>
    <t>Dimitrios</t>
  </si>
  <si>
    <t>Psychogyios</t>
  </si>
  <si>
    <t>dimitris@panda-surgical.com</t>
  </si>
  <si>
    <t>Panda Surgical</t>
  </si>
  <si>
    <t>Snr Software Engineer</t>
  </si>
  <si>
    <t>To AYA Data,
I am a Senior Software Engineer at Panda Surgical, a medical device startup developing an endoscopic neurosurgical robot.
We are preparing a grant application to fund a new project which involves developing segmentation models for anatomy and surgical instruments in endoscopic brain surgery video.
Would it be possible to to provide me with hourly rates on:
Multi-part surgical instrument polygon mask generation:
Example dataset: https://arxiv.org/pdf/2001.11190
Expected dataset size</t>
  </si>
  <si>
    <t>Ankit</t>
  </si>
  <si>
    <t>Kumar Suman</t>
  </si>
  <si>
    <t>Ankit@labelnest.in</t>
  </si>
  <si>
    <t>Label Nest</t>
  </si>
  <si>
    <t>Hi,
I’m Ankit, Founder at LabelNest. We’re evaluating annotation partners for an upcoming agritech dataset project (image + drone frame annotation, multi-crop, India).
Could you please share 40 - 50 sample annotated agriculture images or 10 - 15 videos for evaluation, along with short notes on licensing/IP for those samples? We need to review the quality/format before moving to a paid engagement.
What we need in the sample (minimally):
50 annotated images (any Indian crops acceptable)
At leas</t>
  </si>
  <si>
    <t>Miranda</t>
  </si>
  <si>
    <t>Chen</t>
  </si>
  <si>
    <t>Hi,
Hope you’re having a productive week. I’m reaching out to share two evaluating projects.
The projects involves collecting booking-related data and ID copy (including emails, text messages, and attachments) across multiple locales (e.g., ar_AE, he_IL, pl_PL) with requirements like PII redaction and real data assurance. 
Key details (locale coverage, data volume, quality criteria) are outlined in the attached project document for your reference.
Could you please confirm your team’s capabil</t>
  </si>
  <si>
    <t>Barton</t>
  </si>
  <si>
    <t>Nguyen</t>
  </si>
  <si>
    <t>barton.nguyen@sotatek.com</t>
  </si>
  <si>
    <t>Sotatek</t>
  </si>
  <si>
    <t>Singapore</t>
  </si>
  <si>
    <t>Message: I'd love to have a look on 3D point cloud annotation service. It's great if i can have pitch deck for quick valuation.</t>
  </si>
  <si>
    <t>Freddie contacted client as Akhil was not available</t>
  </si>
  <si>
    <t>Nikita</t>
  </si>
  <si>
    <t>Gaidar</t>
  </si>
  <si>
    <t>sterling@hub.xyz</t>
  </si>
  <si>
    <t>UAE</t>
  </si>
  <si>
    <t>Message: Hello, we are currently reviewing leading HITL providers with expertise in audio file categorization and annotation. Our Head of Staff would like to schedule a short introductory call with your team to better understand your work and explore potential areas of collaboration.
Would you be open to setting up a call next week?
Looking forward to your reply.</t>
  </si>
  <si>
    <t>Daniil</t>
  </si>
  <si>
    <t>Vinokur</t>
  </si>
  <si>
    <t>daniil.vinokur@provationmedical.com</t>
  </si>
  <si>
    <t>Provation Medical</t>
  </si>
  <si>
    <t>Message: Please have someone reach out to schedule an introductory conversation to learn more about your text tagging services. Thanks, Daniil</t>
  </si>
  <si>
    <t>Usman</t>
  </si>
  <si>
    <t>drusmanbashir@gmail.com</t>
  </si>
  <si>
    <t>Message: Hi,
we are looking for manual annotators for tumours on CT scans. A team of experts who are able to use Slicer3D to provide the annotations for tumours like lymph nodes, bones etc..</t>
  </si>
  <si>
    <t>Nalina</t>
  </si>
  <si>
    <t>Clinesmith</t>
  </si>
  <si>
    <t>NK_CL@YAHOO.COM</t>
  </si>
  <si>
    <t>I’d like to learn more about your Ayagrow AI solution—specifically, its use cases for agricultural data analytics, integration with existing farm management systems, and pricing models for small-scale agricultural businesses. Could you share a case study or arrange a demo to showcase its features?</t>
  </si>
  <si>
    <t>Mahmoud</t>
  </si>
  <si>
    <t>Hegazy</t>
  </si>
  <si>
    <t>mahmoud.hegazy@kenko-venteurs.com</t>
  </si>
  <si>
    <t>Kenko Ventures</t>
  </si>
  <si>
    <t>Business Application Lead</t>
  </si>
  <si>
    <t>Egypt</t>
  </si>
  <si>
    <t>Hello Aya Data Team,
I hope this message finds you well.
I am Mahmoud Hegazy Business Application Lead, and I am reaching out on behalf of Kenko Ventures. We are currently exploring high-quality data annotation services to support our AI initiatives and portfolio companies, and your comprehensive offerings have caught our attention.
We are particularly interested in learning more about:
        * Your data annotation capabilities across different data types (image, video, text, audio) and ma</t>
  </si>
  <si>
    <t>Bundy</t>
  </si>
  <si>
    <t>sarah.bundy@PathologyNucleus.co.uk</t>
  </si>
  <si>
    <t>Pathology Nucleus</t>
  </si>
  <si>
    <t>Good Morning,
We are looking for partners to assist with pathology annotation projects— We are Consultant-Led Pathology Expertise for AI, Pharma &amp; Clinical Research 
Team of UK &amp; US-trained consultant pathologists (FRCPath/ABPath) supported by biomedical scientists. 
Dual-certified by ABPath (Anatomic Pathology &amp; Haematopathology) 
Licensed to practice in UK, USA &amp; Republic of Ireland 
30+ peer-reviewed pathology publications 
Senior consultant on AstraZeneca annotation &amp; AI validation pro</t>
  </si>
  <si>
    <t>Ganesh</t>
  </si>
  <si>
    <t>Nunnagoppula</t>
  </si>
  <si>
    <t>ganesh@getduranta.com</t>
  </si>
  <si>
    <t>Duranta</t>
  </si>
  <si>
    <t>Hi,
We at Duranta are building a one-stop-solution for landscaping. For this we want annotation services, primarily polygon annotation on aerial imagery. We would like to talk to you about our annotation needs.
Best,
Ganesh.</t>
  </si>
  <si>
    <t>Trisha</t>
  </si>
  <si>
    <t>Moore</t>
  </si>
  <si>
    <t>Moore.Trisha@lilly.com</t>
  </si>
  <si>
    <t>Lilly</t>
  </si>
  <si>
    <t>Message: Hello, I require some support and assistance, and would greatly appreciate it if you could contact me at your earliest convenience.</t>
  </si>
  <si>
    <t>Savvas</t>
  </si>
  <si>
    <t>Gkantonas</t>
  </si>
  <si>
    <t>savvas.gkantonas@pinepeak.co.uk</t>
  </si>
  <si>
    <t>Pinepeak</t>
  </si>
  <si>
    <t>Hi. I am Savvas from Pinepeak, a spinout from the University of Cambridge, based in London, UK. We are focused on wildfire forecasting and detection, employing a range of new technologies and methods.
We are currently building an AI detection model that requires the labeling of many satellite images. I wanted to reach out to discuss our project and see how you might be able to help us with this task.</t>
  </si>
  <si>
    <t>N/A</t>
  </si>
  <si>
    <t>Meeting booked via calendly for Dec 15, 2025</t>
  </si>
  <si>
    <t>Manan</t>
  </si>
  <si>
    <t>Oza</t>
  </si>
  <si>
    <t>manan_oza@microvision.com</t>
  </si>
  <si>
    <t>Microvision</t>
  </si>
  <si>
    <t>We are looking for data annotation partners who can help us label multimodal data for object detection and semantic segmentation. The data comes from two sensors, LiDAR and camera.</t>
  </si>
  <si>
    <t>Gang</t>
  </si>
  <si>
    <t>Suzhou Yiyang Technology Co., Ltd.</t>
  </si>
  <si>
    <t>Dear Potential Partners,
We are a Chinese company seeking qualified data annotation teams in Africa for potential collaboration. Below is a detailed overview of our business requirements and expectations:
1. About the Data Annotation Business
Focus Area: Bounding box annotation and semantic segmentation for automotive LiDAR scanning scenarios, including parking lots, intersections, highways, and other related scenes.
Scale: Monthly annotation volume of approximately 10,000 frames.
Work Mode: On</t>
  </si>
  <si>
    <t>Polic</t>
  </si>
  <si>
    <t>michal@frame4city.cz</t>
  </si>
  <si>
    <t>Frame4City a.s.</t>
  </si>
  <si>
    <t>Board Chair</t>
  </si>
  <si>
    <t>Dear Sir or Madam,
we are reaching out to request a quotation for manual image annotation services as part of a research and development project in the field of computer vision and automated building analysis.
Attached to this email you will find a detailed technical specification (PDF) that clearly defines:
the required annotation type (semantic segmentation),
the list of annotation classes and their definitions,
the required output data format (JSON),
the dataset structure,
the characteristic</t>
  </si>
  <si>
    <t>Mayan Books</t>
  </si>
  <si>
    <t>Referral from Gillian</t>
  </si>
  <si>
    <t>Document/OCR</t>
  </si>
  <si>
    <t>$1k–$5k</t>
  </si>
  <si>
    <t>Yes</t>
  </si>
  <si>
    <t>Proposal shared and requested invoice, approved in Dec, MOU shared and went cold, have tried to restard numerous times to no avail</t>
  </si>
  <si>
    <t>C</t>
  </si>
  <si>
    <t xml:space="preserve">⚠ MISSING: Timeline, </t>
  </si>
  <si>
    <t xml:space="preserve">Comms went cold from client side, despite reported interested </t>
  </si>
  <si>
    <t>(+233243578659</t>
  </si>
  <si>
    <t>Nestle Ghana</t>
  </si>
  <si>
    <t>IT Manager</t>
  </si>
  <si>
    <t>Unknown</t>
  </si>
  <si>
    <t>Exploratory / No timeline</t>
  </si>
  <si>
    <t>Unclear</t>
  </si>
  <si>
    <t>Quite a start-stop process, NDA and compliance stage, data has been shared but not in full, currently chasing for remainder of data in order to map workflow and produce demo, then move to proposal. Finally have a direct POC to accelerate progress as of 07/04/2026</t>
  </si>
  <si>
    <t>✓ Complete</t>
  </si>
  <si>
    <t>Joseph</t>
  </si>
  <si>
    <t>Edmund</t>
  </si>
  <si>
    <t>(+233208169014</t>
  </si>
  <si>
    <t>jedmund@bcm-group.com</t>
  </si>
  <si>
    <t>BCM Mining Ghana</t>
  </si>
  <si>
    <t>Business Improvement Manager</t>
  </si>
  <si>
    <t>Hi Brendon
Was good to meet you recently.  Joseph is our person in charge of IT system development for BCM. 
I am an end user as the Group Plant Manager responsible for asset management of our equipment.
Hi Joseph
Brendon is based in Accra as an AI specialist to help clients build systems best suited to their needs</t>
  </si>
  <si>
    <t>Mixed</t>
  </si>
  <si>
    <t>Mining/Extractives</t>
  </si>
  <si>
    <t>x2 Introductories with demos held, chasing for a discovery to map a workflow and move to proposal</t>
  </si>
  <si>
    <t>Aida</t>
  </si>
  <si>
    <t>acmartin@managingcomposites.com</t>
  </si>
  <si>
    <t>managing composites</t>
  </si>
  <si>
    <t>Spain</t>
  </si>
  <si>
    <t>Hello,
I'm contacting you from an engineering consulting firm located in Madrid. We have a need for an Artificial Intelligence project; we feed our AI with photos that need to be categorized according to various factors. Could you help us understand what it would be like to work with you, and if there's a possibility?
Thank you very much and best regards</t>
  </si>
  <si>
    <t>Scott</t>
  </si>
  <si>
    <t>scott.taylor@taybecllc.com</t>
  </si>
  <si>
    <t>Stone Harp Analytics</t>
  </si>
  <si>
    <t>My name is Scott Taylor, and I’m the CEO of Stone Harp Analytics, a U.S.-based, veteran-owned GEOINT firm staffed by senior career intelligence analysts. We specialize in turning commercial satellite imagery and OSINT into decision-grade intelligence products for government and commercial customers.
We are currently looking to stand up a robust, mission-ready object detection capability for medium-resolution EO imagery (including ~70 cm GSD), focused on real-world operational reliability rather</t>
  </si>
  <si>
    <t>Mustafa</t>
  </si>
  <si>
    <t>Jamil</t>
  </si>
  <si>
    <t>mustafajamil556@gmail.com</t>
  </si>
  <si>
    <t>Kuwait City</t>
  </si>
  <si>
    <t>Hello how can i create an augmented reality product, Please help.</t>
  </si>
  <si>
    <t>Naa</t>
  </si>
  <si>
    <t>Oboney Ashong</t>
  </si>
  <si>
    <t>naa.oboney@mnotify.com</t>
  </si>
  <si>
    <t>mNotify</t>
  </si>
  <si>
    <t>My name is Naa, writing from mNotify, a communications platform providing voice, SMS, and digital messaging solutions across Ghana and other African markets. We are currently working on a project that requires localized voice SMS and, in a later phase, potentially localized IVR and voice call capabilities specifically in Ga and Twi.
I am reaching out to inquire about access to your APIs and related documentation, as this project will require integration with your platform.
We would therefore ap</t>
  </si>
  <si>
    <t>Fillip</t>
  </si>
  <si>
    <t>Rusak</t>
  </si>
  <si>
    <t>filip.rusak@orica.com</t>
  </si>
  <si>
    <t>orica</t>
  </si>
  <si>
    <t>To Whom It May Concern,
We would like to have a meeting and learn about your services. We are looking for a reliable vendor to label our data.
Kind regards,
Filip Rusak</t>
  </si>
  <si>
    <t>Jacob</t>
  </si>
  <si>
    <t>Green</t>
  </si>
  <si>
    <t>acob@satorai.io</t>
  </si>
  <si>
    <t>Satorai</t>
  </si>
  <si>
    <t>At Satorai, we’re working on new ways to identify and protect minors online. I'm working on a research project where we're investigating the relationship between demographics and writing styles in direct messages, and exploring options for building a dataset.
What we're looking for:
Direct message conversations paired with demographic data (age, gender, education, geography, ethnicity) across various natural settings - everyday chat, work, gaming, dating, etc. We need a mix of age groups (13-50</t>
  </si>
  <si>
    <t>Antoine</t>
  </si>
  <si>
    <t>Delplace</t>
  </si>
  <si>
    <t>antoine.delplace@makipeople.com</t>
  </si>
  <si>
    <t>Makipeople</t>
  </si>
  <si>
    <t>Hello! I hope you're doing well.
We're currently exploring ways to annotate a large set of video data and would love your input on the best approach, along with estimated costs and timelines.
Dataset overview:
~1,200 webcam videos
Each video is approximately 1 minute 30 seconds
Participants are answering questions in English
Objective:
Across the full dataset, we aim to identify and annotate all instances of cheating.
For each cheating event detected in a video, we would need the following i</t>
  </si>
  <si>
    <t>Ernest</t>
  </si>
  <si>
    <t>Bediako</t>
  </si>
  <si>
    <t>(+233504582683</t>
  </si>
  <si>
    <t>e.bediako@formscapital.com</t>
  </si>
  <si>
    <t>Forms Capital</t>
  </si>
  <si>
    <t>Digital Technology Lead/Head of IT</t>
  </si>
  <si>
    <t>Dear Dr. Gillian,
I hope this message finds you well.
I am writing on behalf of Forms Capital to discuss our strategic objective of leveraging AI, automation, and advanced data analytics to strengthen our operational efficiency and decision-making capabilities. 
Given your work at Ayadata.ai and your expertise in applied AI and data-driven systems, we believe your perspective would be highly valuable to this initiative.
Our immediate focus is the development of an in-house, AI-powered credit scoring model. We are currently mining generated from our products, Xtra Cash and Xtra Balance, with the goal of building a robust system capable of extracting actionable insights from this data. 
In addition, we plan to integrate datasets from our core banking system to ensure the model effectively supports all our loan products.
We would greatly appreciate your insights on our proposed approach and any considerations you believe are critical to its success. If your schedule permits, we would also welcome the opportunity to arrange a meeting to discuss this in more detail.
I have copied our Managing Director, Mr. Jonathan Atuah, and our Business Development Manager, Mr. Ishmeal Abbey, for visibility.
We look forward to hearing from you.
Best regards,</t>
  </si>
  <si>
    <t>Layla</t>
  </si>
  <si>
    <t>lazhou@appen.com</t>
  </si>
  <si>
    <t>vendor manager</t>
  </si>
  <si>
    <t>Hi Team, I hope this email finds you well. This is Layla Zhou, vendor manager from Appen. I'm reaching out to explore a collaboration opportunity for a multilingual wake-up words &amp; ASR aduio offline data collection project.
Please check below and the attachment for the project details. Let me know if you can help. Thanks in advance!
Objective: Our client is a manufacturer of electric cars, who would like us to collect wake-up words from people in different countries to help them train their in-</t>
  </si>
  <si>
    <t>Klaus</t>
  </si>
  <si>
    <t>Zhao</t>
  </si>
  <si>
    <t>klauszhao@itniotech.com</t>
  </si>
  <si>
    <t>ITNIO</t>
  </si>
  <si>
    <t>Hi team, This is Klaus from ITNIO, we are looking for STT/TTS solution for our call center project, can we connect and discuss more on this？
Best
Klaus</t>
  </si>
  <si>
    <t>Bhavya</t>
  </si>
  <si>
    <t>Garg</t>
  </si>
  <si>
    <t>bhavya.garg@leegality.com</t>
  </si>
  <si>
    <t>leegality</t>
  </si>
  <si>
    <t>Synthetic data generation in form of PDFs, Excel, Docx, etc to detect PII.</t>
  </si>
  <si>
    <t>Lakshman</t>
  </si>
  <si>
    <t>Gidugu</t>
  </si>
  <si>
    <t>lakshman.gidugu@cognecto.com</t>
  </si>
  <si>
    <t>Cognecto</t>
  </si>
  <si>
    <t>We want to talk with you regarding Data Annotation Services.</t>
  </si>
  <si>
    <t>Kathryn</t>
  </si>
  <si>
    <t>Loving</t>
  </si>
  <si>
    <t>kathryn@transfyr.ai</t>
  </si>
  <si>
    <t>TransfyrAI</t>
  </si>
  <si>
    <t>We are collecting video of scientific lab experiments and would like support for video description verification and labeling.</t>
  </si>
  <si>
    <t>Meet</t>
  </si>
  <si>
    <t>Pandya</t>
  </si>
  <si>
    <t>Meetpandya095@gmail.com</t>
  </si>
  <si>
    <t>We are interested in learning more about your AI training and data annotation solutions, particularly for text, image, and conversational AI use cases. A demo showcasing task workflows, quality control processes, and scalability for global remote contributors would be especially helpful. 
We’d also like to understand how your platform supports model improvement, evaluation, and performance monitoring.</t>
  </si>
  <si>
    <t>Eric</t>
  </si>
  <si>
    <t>Rönnau</t>
  </si>
  <si>
    <t>eric.roennau@dialogmakers-international.com</t>
  </si>
  <si>
    <t>Dialogmakers International Ltd.</t>
  </si>
  <si>
    <t>Managing Director</t>
  </si>
  <si>
    <t>Taiwan</t>
  </si>
  <si>
    <t>My name is Eric Rönnau, Managing Director at Dialogmakers International Ltd. We specialize in high-quality human-in-the-loop services for AI training, data annotation, multilingual datasets, and audio processing. Our platform Linguafon brings together a global, vetted workforce and robust quality controls tailored for enterprise AI initiatives.
I’m reaching out to explore potential collaboration opportunities between our teams.
Our strengths include:
• Human-validated data annotation workf</t>
  </si>
  <si>
    <t>Ravikumar</t>
  </si>
  <si>
    <t>R</t>
  </si>
  <si>
    <t>ravikumar.r1@tataelxsi.co.in</t>
  </si>
  <si>
    <t>Tataelxsi</t>
  </si>
  <si>
    <t>We are looking for data annotation services for a dataset consisting of fisheye camera images with corresponding LiDAR point cloud data. The estimated volume is approximately 300,000 samples. Please share details on your capabilities, turnaround time, pricing, and any similar projects you have handled. We are based in India and would like to discuss this further.</t>
  </si>
  <si>
    <t>vaibhav@saturnlabs.ai</t>
  </si>
  <si>
    <t>SaturnlabsAI</t>
  </si>
  <si>
    <t xml:space="preserve">Perplexity </t>
  </si>
  <si>
    <t>we need hand, fingers and upper body keypoints tracked at every frame. We require the xyz position of the 21 keypoints per hand. The coordinates (body and hand) should be specified in the pelvis frame, with the pelvis pose expressed in some world frame that is gravity aligned (z points up from the floor). The world frame x and y axes should be roughly on the floor.</t>
  </si>
  <si>
    <t>Jeremy</t>
  </si>
  <si>
    <t>Audino</t>
  </si>
  <si>
    <t>jeremy@agada-medical.com</t>
  </si>
  <si>
    <t>Agada-medical</t>
  </si>
  <si>
    <t>ChatGPT</t>
  </si>
  <si>
    <t>Hello, we have a need to ground-truth (segment &amp; label) 50-150 pre-op CT datasets. Is this something that your company can help with?</t>
  </si>
  <si>
    <t>Abdallah</t>
  </si>
  <si>
    <t>mmarzouk@yahoo.com</t>
  </si>
  <si>
    <t>I need an AI for my software</t>
  </si>
  <si>
    <t xml:space="preserve"> Mishary</t>
  </si>
  <si>
    <t>Sulaiman</t>
  </si>
  <si>
    <t xml:space="preserve"> bid@seaworks.net</t>
  </si>
  <si>
    <t>Seaworks</t>
  </si>
  <si>
    <t>-</t>
  </si>
  <si>
    <t xml:space="preserve"> Qatar</t>
  </si>
  <si>
    <t>Please provide your email address so we can send you an email with attachments of the technical specifications for a LiDAR Drone System for marine survey works</t>
  </si>
  <si>
    <t>Puniket</t>
  </si>
  <si>
    <t>puniket@indiaum.in</t>
  </si>
  <si>
    <t>Indiaum</t>
  </si>
  <si>
    <t>I’m reaching out on behalf of Indiaum Solutions, a specialized AI data services partner supporting foundation models and enterprise AI development through high-quality data collection, annotation, transcription, multilingual translation, and audio dataset creation.
With a team of 500+ trained professionals, we deliver scalable, high-accuracy datasets across India and international markets including Asia, USA, and Europe. We support modern AI training pipelines by developing instruction tuning datasets, structured prompt response pairs, and multi-turn conversational data for supervised fine-tuning and alignment. Our team also builds clean, domain-specific, multilingual corpora to enhance model performance and reduce bias, along with structured annotation services such as NLP tagging, text classification, and speech annotation (ASR validation, timestamping, and diarization) aligned with LLM and multimodal model requirements.
We are proud to be ISO 9001, ISO 20000, and ISO 27001 certified, underscoring our commitment to quality management, service delivery, and information security.
If you have any current or upcoming needs in this domain, we would be happy to explore a partnership and support your project requirements.
Looking forward to the opportunity to collaborate.</t>
  </si>
  <si>
    <t>Partner- Other</t>
  </si>
  <si>
    <t>Emiliano</t>
  </si>
  <si>
    <t>Rallo</t>
  </si>
  <si>
    <t>emiliano.rallo@epicgames.com</t>
  </si>
  <si>
    <t>Epicgames</t>
  </si>
  <si>
    <t>Hello, My name is Emiliano, and I am reaching out on behalf of Epic Games and Meshcapade.
We are currently looking for a vendor who can support video/data annotation for an upcoming project and wanted to see if this aligns with your team’s capabilities.
In brief, we have a large dataset of short human-motion video clips (approximately 5–20 seconds each) which we will provide, and would in turn like each video to be annotated frame by frame. The expected deliverable is a completed Excel sheet per video, following a template that we will provide.
The core task involves:
Video frame annotations where annotators label human–scene contacts
The contact labels are:
    1. The body part in contact with the scene
    2. The type of contact (static vs. dynamic)
We are planning to begin with a small pilot batch and then scale depending on results.
If this is something your team could support, we would be happy to schedule a brief call to share more details and example materials.
Thank you, and looking forward to hearing from you!
Best regards,
Emiliano Rallo</t>
  </si>
  <si>
    <t xml:space="preserve">Cezanne </t>
  </si>
  <si>
    <t>Bianco</t>
  </si>
  <si>
    <t>cezanne@precision-medstaffing.com</t>
  </si>
  <si>
    <t>Precision-Medstaffing</t>
  </si>
  <si>
    <t>Co-Founder</t>
  </si>
  <si>
    <t>Hello,
We have some exciting news to share at Precision Med AI (formerly Precision Med Staffing).
Dr. Amar Anand, MD, has joined me as Co-Founder. Dr. Anand is a U.S. board-certified neurologist with over a decade of clinical practice, serves as Medical Director at Pacific Neuroscience Center, and brings deep expertise in neuroimaging.
Secondly, we now provide off-the-shelf and custom clinician-curated medical datasets across medical imaging, structured records, and clinical audio/text—designed to support real-world medical AI development, validation, and research.
I’ve attached our dataset catalog outlining currently available datasets, including MRI and CT imaging, traumatic brain injury data, transcribed clinical records, and EHR-derived datasets.
Happy to connect if you’d like to discuss availability or custom dataset curation.
Best,
Cezanne Bianco | Co-Founder | Email: contact@precision-medstafffing.com</t>
  </si>
  <si>
    <t>Saisie</t>
  </si>
  <si>
    <t>e.saisie@gisiinstitute.net</t>
  </si>
  <si>
    <t>Ghana Investment Securities Institute</t>
  </si>
  <si>
    <t>Admissions Manager</t>
  </si>
  <si>
    <t>GISI requires Aya Data to provide a solution that will initially focus on a scope of applications review and approval, including payment verification. This is to assist with onboarding students who want to register for one of the certification courses</t>
  </si>
  <si>
    <t xml:space="preserve">18th Feb initial discovery took place, workflow was mapped and follow-up meeting to in person proposed. GISI then underwent an office relocation. Curently chasing for next meeting to speek with key workflow owners in GISI to validate our workflow map and move to proposal stage </t>
  </si>
  <si>
    <t>Tom-Chris</t>
  </si>
  <si>
    <t>Emewulu</t>
  </si>
  <si>
    <t>tomchris@sfanonline.org</t>
  </si>
  <si>
    <t>Sfanonline</t>
  </si>
  <si>
    <t>Hello team, Stars From All Nations (SFAN) and Google AI Community Center Accra are hosting a Careers in AI coaching on Feb 25 from 10 am to 1pm.
I'd like to invite one of your AI specialists to join coaches from Google at the session.
I'd be glad to hear back before the close of the day tomorrow.</t>
  </si>
  <si>
    <t>Not a Lead, request was for a mentor for AI Workshop</t>
  </si>
  <si>
    <t>Rich</t>
  </si>
  <si>
    <t>Kilcoyne</t>
  </si>
  <si>
    <t>(+233 55 917 4731</t>
  </si>
  <si>
    <t>rkilcoyne@nomadlgx.com</t>
  </si>
  <si>
    <t xml:space="preserve">Nomad Logistics </t>
  </si>
  <si>
    <t>MD</t>
  </si>
  <si>
    <t>Hi Rich, 
Hope you had a lovely weekend, great to meet on Friday. Here is a brief summary of our meeting and some next steps.
Fleet Size: 50 trucks
Data Collection: WhatsApp texts and camscan for submission of waybills, trip reports, receipts (fuel and maintenance) and other relevant documents to feed into the Excel ecosystem.
Fleet and Operations Management: Excel based ecosystem for all operations management. Main sheets are Trip Performance Log (mainly utilized at executive level), Load Status Board (live score board) and Wialon platform (Skytrack) for live tracking of each vehicle and validation of inputs from drivers and Transport Officers.
Personnel Structure: Transport Officers manage groups of 10 vehicles, supervising drivers, vehicles (fuel and maintenance) and respective trips. Office based administrator’s primary administrative burden is manually extracting WhatsApp data to generate and fill in respective Excel sheets.
Key Operational Tools
Trip Performance Dashboard: The current executive "Master Dashboard." It tracks trips, driver performance, maintenance, and fuel. While it is highly functional, it is manual and currently lacks automated anomaly/trend detection and proactive alerts.
Fuel and Maintenance Management: Currently handled via customer/trip allocations; Nomad is currently satisfied with this specific workflow.
Telematics: Currently using Wialon (Skytrack) for GPS/vehicle tracking and validation of driver generated vehicle data.
Primary Pain Points and Potential Scope
Manual Data Entry and Automating Real-time Visibility: The transition of data from WhatsApp (the field) to Excel (the office) is the primary focus. An intervention here could be to replace manual Trip Reports with a digitally fillable form. This would allow data to be automatically extracted and pushed into the Load Status Dashboard (live score board), eliminating the need for administrators to copy-paste from WhatsApp. Office based administrator's workload would start to transition to human in the loop nature for review, verification and approval.
Insights and Alerts: The current Trip Performance Excel sheet requires manual review to find errors or outliers rather than flagging them automatically. An intervention to explore here would be to provide a logic layer to proactively issue alerts (to preferred communications channels) based on anomaly detection or early trend recognition.
Next Steps
As you rightly mentioned, the current system works and is highly effective, as such we are looking in the direction of preparing a proposal of the discussed limited scope to begin Nomad Logistics automation journey.
With the initial context we have gathered it would be great to have another discussion with your business partner and have sessions with your team to gain more insights into the individual aspects of your workflow and their experience. Kindly share your preferred timeslots to start these sessions.
Best,
Brendon Gonouya
Head of Solutions</t>
  </si>
  <si>
    <t>Tabular Data</t>
  </si>
  <si>
    <t>84 data collection points</t>
  </si>
  <si>
    <t>Immediate (this month)</t>
  </si>
  <si>
    <t>Logistics</t>
  </si>
  <si>
    <t>Discovery meetings x3 conducted, workflow map diagram and wireframe provided to client for approval, upon approval proposal with pricing was shared, currently awaiting feedback</t>
  </si>
  <si>
    <t>Jayden</t>
  </si>
  <si>
    <t>j.nguyen@motoniq.ai</t>
  </si>
  <si>
    <t>Motoniq AI</t>
  </si>
  <si>
    <t>Use Case: Training a vision-language-action (VLA) model for humanoid manipulation tasks in warehouse/logistics environments Data Requirements:
Task categories: Pick-and-place, bin sorting, object handover, shelf stocking
Environment: Warehouse/logistics setting (real-world preferred, not purely synthetic)
Modalities: RGB video (multi-view preferred), robot proprioception, end-effector pose, grasp success labels
Volume: 50,000 - 100,000 demonstrations (or equivalent hours)
Format: Compatible with standard robot learning frameworks (e.g., RLDS, LeRobot, or similar)
Quality: Human-verified labels, success/failure annotations</t>
  </si>
  <si>
    <t>Video</t>
  </si>
  <si>
    <t>$500k+</t>
  </si>
  <si>
    <t>Avaneesh</t>
  </si>
  <si>
    <t>Shah</t>
  </si>
  <si>
    <t>avaneeshshah@gmail.com</t>
  </si>
  <si>
    <t xml:space="preserve"> Hi, I am working on a specific project regarding cricket ball tracking. This is designed to help the local community. I wish to train this computer vision ball tracker for “behind-the-stumps” footage (umpire angle) rather than a broadcast angle.</t>
  </si>
  <si>
    <t xml:space="preserve">Prince </t>
  </si>
  <si>
    <t>Davies</t>
  </si>
  <si>
    <t>info@verbalscripts.com</t>
  </si>
  <si>
    <t xml:space="preserve">Verbalscripts </t>
  </si>
  <si>
    <t>Hi Aya Data,
I'm reaching out to explore whether Verbalscripts could be added to Aya Data's network of data suppliers.
We specialize in high-accuracy transcription and structured speech/language datasets the kind commonly used in annotation pipelines, AI model training, and data collection programs. We support multiple domains including legal, academic, and healthcare, and can accommodate varying turnaround and volume requirements.
If Aya Data works with external transcription or audio data providers, I'd love to know the right way to get Verbalscripts on your radar whether that's submitting through a vendor portal, connecting with a specific team, or simply staying in touch for when the need arises.
No pressure at all, even a quick pointer in the right direction would be greatly appreciated.
Regards,
Prince Davies | Verbalscripts Transcription
(580) 270-0086
info@verbalscripts.com
www.verbalscripts.com
Customer success is our success.</t>
  </si>
  <si>
    <t>Devashree</t>
  </si>
  <si>
    <t>T</t>
  </si>
  <si>
    <t>(+91) 9642850003</t>
  </si>
  <si>
    <t>devashree.thakuria@borderplus.co</t>
  </si>
  <si>
    <t>Borderplus</t>
  </si>
  <si>
    <t>Developing an AI-powered clinical support system for the German healthcare sector. We require experienced registered nurses to review and annotate Pflegeberichte (care reports), evaluate AI-generated clinical responses, and provide structured feedback to ensure documentation accuracy, safety, and alignment with real-world German nursing workflows.</t>
  </si>
  <si>
    <t>Nugent</t>
  </si>
  <si>
    <t>(+1) 2129603944</t>
  </si>
  <si>
    <t>john@tieqc.io</t>
  </si>
  <si>
    <t>Tieq</t>
  </si>
  <si>
    <t>We are building a financial document quality control platform focused on extracting and validating structured financial metrics from complex multi page PDF documents such as investor decks and board materials.
We are exploring data annotation services to support high precision document based extraction and multi pass QA workflows for detail sensitive financial data. We would also be very interested in learning more about your free data annotation pilot and how you typically structure pilots for complex document use cases.
Happy to share additional context and explore next steps.</t>
  </si>
  <si>
    <t>Dr Aygul</t>
  </si>
  <si>
    <t>Zagidullina</t>
  </si>
  <si>
    <t>(+44) 782517249</t>
  </si>
  <si>
    <t>aygul.zagidullina@bytedance.com</t>
  </si>
  <si>
    <t>Bytedance</t>
  </si>
  <si>
    <t>I work in the AI division of TikTok/Bytedance (Seed, Seedance, Seedream and other models). Our team has been really impressed by how you're applying AI to data annotation and agentic AI. We'd like to learn more about Aya Data and discuss potential collaboration with TikTok/ByteDance!</t>
  </si>
  <si>
    <t>Keaton</t>
  </si>
  <si>
    <t>Zang</t>
  </si>
  <si>
    <t xml:space="preserve"> (+1) 7176860639</t>
  </si>
  <si>
    <t>keaton.zang@gmail.com</t>
  </si>
  <si>
    <t>Hey there! We're a small, fast-growing startup looking to form a long-term partnership for data annotation services. Our current project involves keypoint annotation for American football field homography projections. We're currently looking around for some combination of pricing &gt; quality &gt; speed as our priorities. Thanks!</t>
  </si>
  <si>
    <t>Sena</t>
  </si>
  <si>
    <t>Egeli</t>
  </si>
  <si>
    <t>(+39) 329 558 9000</t>
  </si>
  <si>
    <t>sena@kluvo.com</t>
  </si>
  <si>
    <t>kluvo</t>
  </si>
  <si>
    <t>Quality Manager &amp; Regulatory Specialist</t>
  </si>
  <si>
    <t xml:space="preserve">Switzerland </t>
  </si>
  <si>
    <t>Dear Ayadata Team,
We have a project focused on dental image collection, and we are exploring potential data collection partners. We'd like to enquire about the services you offer for medical or dental imaging data.
Could you please contact us and provide the necessary information?
Thank you.
Best Regards,
Sena Egeli
Quality Manager &amp; Regulatory Specialist
M +39 329 558 9000
Hohlstrasse 186, 8004 Zürich, Switzerland</t>
  </si>
  <si>
    <t>Samantha</t>
  </si>
  <si>
    <t>Dominique</t>
  </si>
  <si>
    <t>amantha.lezarda@jassenharris.com</t>
  </si>
  <si>
    <t>Jassen Harris Industries Corp.</t>
  </si>
  <si>
    <t>Purchasing Associate</t>
  </si>
  <si>
    <t xml:space="preserve"> Philippines</t>
  </si>
  <si>
    <t>Hi Aya Data Team, Good day,
We are currently exploring enterprise AI data platform solutions for our organization and are interested in learning more about your offerings. Specifically, we are looking at a one-year subscription for approximately 20 users with capabilities covering image and video annotation, AI-assisted labeling, model training and evaluation, and deployment options.
Kindly please share your enterprise pricing/quotation and feature inclusions that meet the following specifications.
2. TECHNICAL SPECIFICATIONS
2.1. Subscription and Access:
2.1.1. One (1) year subscription
2.1.2. Twenty (20) user seats for collaboration or better
2.1.3. Data and models must be private to the account
2.1.4. Includes monthly usage credits with scalable options
2.1.5. Supports role-based access control
2.1.6. No strict limits on project or dataset size
2.2. Dataset and Annotation Tools:
2.2.1. Supports image and video annotation
2.2.2. Supports Artificial Intelligence (AI) - assisted labeling
2.2.3. Must include basic and advanced augmentation options (e.g. flip, rotate,
zoom, blur, noise, grayscale, exposure, cutout)
2.2.4. Includes dataset search and analytics
2.2.5. Supports versioning or annotation history
2.2.6. With option to avail of professional labeling services
2.3. Model Training and Evaluation:
2.3.1. Hosted training for various model types
2.3.2. Supports model weight upload and download
2.3.3. Includes model evaluation tools
2.3.4. Allows concurrent training jobs
2.4. Deployment and Inference:
2.4.1. Supports fine-tuned and foundation models
2.4.2. Includes active learning and model monitoring
2.4.3. With capability to build and deploy workflows
2.4.4. API and self-hosted deployment options Thank you, and we look forward to your immediate response.
Best Regards,
Samantha Lezarda
Purchasing Associate
Jassen Harris Industries Corp.
samantha.lezarda@jassenharris.com</t>
  </si>
  <si>
    <t>Abhishek</t>
  </si>
  <si>
    <t xml:space="preserve"> (+91) 9773848717</t>
  </si>
  <si>
    <t>abhishek.singh@ericrobotics.com</t>
  </si>
  <si>
    <t>Ericrobotics</t>
  </si>
  <si>
    <t>Our LIDAR and Profiler data has a lot of points (20 million points on average) so currently the annotation tool that we are using which runs on web browser is laggy , choppy etc when we try to upload and run it there is the data is heavy for it to run .
So our main purpose is that only that your annotation tool should be able to handle the data for annotation</t>
  </si>
  <si>
    <t xml:space="preserve"> Ruhollah</t>
  </si>
  <si>
    <t>Saeedi</t>
  </si>
  <si>
    <t xml:space="preserve"> (+44) 7377276060</t>
  </si>
  <si>
    <t>rsaeedi@roadern.com</t>
  </si>
  <si>
    <t>Roadern</t>
  </si>
  <si>
    <t>Hi,
I would like to know about your image segmentation annotation services. How is your pricing? Contact me via email, please.</t>
  </si>
  <si>
    <t>Siddharth</t>
  </si>
  <si>
    <t>Sekhar</t>
  </si>
  <si>
    <t xml:space="preserve"> (+91) 7738194049</t>
  </si>
  <si>
    <t xml:space="preserve"> siddharth.sekhar@ericrobotics.com</t>
  </si>
  <si>
    <t xml:space="preserve"> Walter</t>
  </si>
  <si>
    <t>Tian</t>
  </si>
  <si>
    <t xml:space="preserve"> (+86) 18080370949</t>
  </si>
  <si>
    <t>mandy@Itdrising.com</t>
  </si>
  <si>
    <t>Itdrising</t>
  </si>
  <si>
    <t>Dear Friend,
I’m Walter Tian, Business Development Manager at Chengdu Xishu Rising Star BPO—a global AI data services provider with over 500 professional annotators across China, Indonesia, India and Tunisia. We proudly serve top-tier Chinese and U.S. enterprises, including BYD.
We specialize in high-quality AI data solutions covering:
Multimodal data annotation (text, image, audio, video)
Multilingual data processing (Chinese, Korean, English, Hindi, Indonesian, Thai, Arabic, French, etc.)
Autonomous driving annotation (2D/3D/4D, LiDAR, semantic segmentation)
Local regulation-compliant content review
Game localization &amp; multilingual customer service
Our localized in-country teams guarantee culturally accurate, region-adapted data to support your global AI deployment. We are eager to partner with your esteemed company and deliver reliable, scalable AI data services tailored to your project needs.
Best regards,
Walter Tian
Business Development Manager
Chengdu Xishu Rising Star
Email: mandy@Itdrising.com</t>
  </si>
  <si>
    <t>Zidane</t>
  </si>
  <si>
    <t>Doctio Tsague</t>
  </si>
  <si>
    <t>(+237) 679103529</t>
  </si>
  <si>
    <t>projects@innovativeglobaltranslations.com</t>
  </si>
  <si>
    <t>Innovative Global Translations</t>
  </si>
  <si>
    <t>Founder and CEO</t>
  </si>
  <si>
    <t>Hello dear Manager of Aya Data,
I’m Zidane Doctio Tsague, Founder and CEO of Innovative Global Translations. I am reaching out to discuss a potential partnership to support Aya Data's AI training and annotation projects.
Our agency provides high-level human precision across a vast linguistic landscape. While we are masters of African and Asian languages, we maintain a heavy presence in English, French, German, Spanish, Italian, Portuguese, and Ukrainian. Our team include certified translators, annotators, evaluators and AI trainers holding a relevant academic degree.
What sets us apart is our physical infrastructure; we operate a professional in-house studio for high-fidelity audio collection and video editing. Beyond our core translation, transcription, MTPE and localization services, we have built a specialized workflow to handle the full lifecycle of AI data needs, including:
Data Labeling &amp; Annotation: Precise tagging for text, image, and video datasets.
Evaluation &amp; Judging: Human-level rating and testing for model outputs and RLHF.
Audio &amp; Video: High-quality collection, transcription, and professional editing using our studio.
Data Acquisition: Specialized data crawling and dataset curation.
Image Editing: Technical processing and labeling for computer vision training.
It would be a great honor for us to collaborate with Human Signal.
look forward to your response.
Best regards,
Zidane Doctio Tsague
Founder and CEO
Innovative Global Translations
https://www.innovativeglobaltranslations.com</t>
  </si>
  <si>
    <t>Dummy</t>
  </si>
  <si>
    <t>dummy@dummy.com</t>
  </si>
  <si>
    <t>$100k–$500k</t>
  </si>
  <si>
    <t>Lennart</t>
  </si>
  <si>
    <t>Schmidt</t>
  </si>
  <si>
    <t>(+49) 52429615328</t>
  </si>
  <si>
    <t>lennart.schmidt@toennies.de</t>
  </si>
  <si>
    <t>Toennies</t>
  </si>
  <si>
    <t xml:space="preserve">Germany </t>
  </si>
  <si>
    <t>Dear Sir or Madam
We are currently looking for a partner to support us with a large-scale image labeling task and would like to request a quotation for the project.
The dataset consists of approximately 720,000 images showing cropped sections of animal tattoos. We collect these images and compile them in a shared folder, which will be provided together with detailed instructions describing how the images should be labeled.
Each image file follows a naming convention in the format SlaughterNo_Date_Time. Maybe the filename may contain additional information such as TattooManualInput_TattooAssignment_Transponder.
For each image, we provide the tattoo that is currently assigned to it. The task of the labelers is to verify whether the tattoo visible in the image matches the assigned tattoo. Based on this verification, the assignment should either be confirmed (tattoo matches) or rejected (tattoo does not match).
Once the labeling task has been completed, we expect to receive the dataset together with the corresponding verification results.
Please let us know if you are interested in this project and provide an indication of pricing and expected turnaround time for a dataset of this size.
Best regards
Lennart</t>
  </si>
  <si>
    <t xml:space="preserve">Philip </t>
  </si>
  <si>
    <t>Brook</t>
  </si>
  <si>
    <t xml:space="preserve"> (+1) 4162580024</t>
  </si>
  <si>
    <t>philip@voiceform.com</t>
  </si>
  <si>
    <t>Voiceform</t>
  </si>
  <si>
    <t xml:space="preserve">Canada </t>
  </si>
  <si>
    <t>Looking to learn more about your partnerships. For context we are are data collection company with large datasets of conversational data in both video and audio format.</t>
  </si>
  <si>
    <t>Asampong</t>
  </si>
  <si>
    <t>(+233 53 100 8008</t>
  </si>
  <si>
    <t>thomas.asampong@prudential.com.gh</t>
  </si>
  <si>
    <t>Prudential Life Insurance Ghana</t>
  </si>
  <si>
    <t>Head Micro &amp; Telesales</t>
  </si>
  <si>
    <t>Hi Thomas, 
I hope you had a lovely weekend. 
It was a pleasure meeting with you and the Prudential team last week.
Based on our meeting, I have summarized the key areas where our capabilities align with your needs. Our goal is to provide solutions that integrate seamlessly into your existing workflows to ensure quick adoption, immediate and measurable impact. Therefore, I would like to propose a follow-up meeting to:
Gather in detail an understanding of Prudential's workflows, focusing on chosen areas. It is of the utmost importance to us that any solutions we propose are of high value to you and relevant to improving your operations.
Demo potential solutions, illustrating our capabilities, and discovering how we can optimise and customise for your use cases.
During our last meeting we discussed the following topics.
Sales Optimisation
20 Telesales agents focused on outbound, and your desire to transcribe the audio recordings of these calls. We believe this can prove particularly valuable as it can lead to the creation of a database of FAQ's and open the ability to feed insights into outbound targeting strategy, customer segmentation, inbound call management and automation of call centre tasks.
For the 60-70 Direct to Consumer field-based agents. We have solutions centred around workforce performance management, that can deliver time management efficiencies, CRM, pipeline management for both managers and field-based agents.
Claims Processing 
Exploration of linking to public datasets (Death Certificate Registry, Hospitals, and Ghana Health Insurance), in order to validate claims quickly. It was stated, current time for resolving claims is 3-5 days and there is a desire to move towards 24hrs, by addressing the current choke point of manual offline alignment and verification with external stakeholders. Another aspect here is enhancing fraudulent claims detection by using our OCR capabilities to detect anomalies in documentation.
Data Collection and Management
There is an internal analytics team in Prudential that has made significant strides in the digital transformation journey. Through partnering with Aya Data an acceleration to an internal integrated intelligence platform can be unlocked. This can be (but not limited to) database set-up, data management and integrating an agentic layer to provide automation of insights, reports and decision-making support for management.
Regarding next steps, we kindly ask you review the overview above and provide feedback. Following this, we would like to schedule another in-person meeting with the teams responsible for the items above early next week, in order to gain in-depth insights into their workflows and for us to provide deeper context into the technical aspects of the solutions briefly summarised above. This will allow us to provide you with a workflow diagram featuring Aya Data solutions for your review and approval. 
Please don't hesitate to reach out if any questions on the above. Looking forward to hearing from you.
Best,
Brendon Gonouya</t>
  </si>
  <si>
    <t>Insurance</t>
  </si>
  <si>
    <t>In-person discovery conducted, follow-up with request for next meeting shared, chasing for response</t>
  </si>
  <si>
    <t>Yan</t>
  </si>
  <si>
    <t>Maksi</t>
  </si>
  <si>
    <t>(+233) 05496467</t>
  </si>
  <si>
    <t>Yan@kamai.io</t>
  </si>
  <si>
    <t>Kamai</t>
  </si>
  <si>
    <t>AI Engineer</t>
  </si>
  <si>
    <t>I'm Yan from Kamai. We're training model to convert construction floor plans into structured data and need data lablers. The work involves annotating floor plans — tagging walls, rooms, doors, and windows with accurate labels to train our model.</t>
  </si>
  <si>
    <t>Marko</t>
  </si>
  <si>
    <t>Blagojevic</t>
  </si>
  <si>
    <t>marko@designrush.co</t>
  </si>
  <si>
    <t xml:space="preserve">DesignRush </t>
  </si>
  <si>
    <t>Senior Client Relationship Manager</t>
  </si>
  <si>
    <t>Hi Edward,
I'm Marko, Senior Client Relationship Manager at DesignRush - a B2B Media Platform Driving Brand Discovery &amp; Growth.
One of our clients is looking for a AI-driven automation company.
We believe Aya Data could be a good fit for this project #37017.
Location: No preference (open to global agencies)
Budget: up to $300,000
Industry: IT Infrastructure
Start: ASAP
Objective: Exploring an agency partner to support an AI-driven automation initiative within NetSuite. The project focuses on improving operational efficiency by implementing automation across quoting, procurement, and order management workflows. The goal is to streamline internal processes and enhance overall back-office productivity through AI-powered solutions.
The deadline to apply for this project is 10am EST, Friday, March 20.
Kindly reply to this email, or schedule a call, to discuss your fit for the project.
Thank you,
Marko Blagojevic
Senior Client Relationship Manager
DESIGNRUSH | Driving Brand Discovery &amp; Growth</t>
  </si>
  <si>
    <t>No Discovery - Was a lead generation agency requesting pay for play, without guarantee of paying clients/work</t>
  </si>
  <si>
    <t>Irene</t>
  </si>
  <si>
    <t>Li</t>
  </si>
  <si>
    <t>(+81) 09014707813</t>
  </si>
  <si>
    <t xml:space="preserve"> irene.li@weblab.t.u-tokyo.ac.jp</t>
  </si>
  <si>
    <t>Weblab</t>
  </si>
  <si>
    <t>We are researching multi-lingual medical text data, and looking for African language-English speaking medical experts to do some data verification. Specifically, Yoruba, Swahili, Zulu and Wolof. Medical students or licensed doctors will be needed.</t>
  </si>
  <si>
    <t>Text/NLP</t>
  </si>
  <si>
    <t>1360 Entries</t>
  </si>
  <si>
    <t>Short-term (1–3 months)</t>
  </si>
  <si>
    <t>Discovery call completed. Client discussed an initial requirement for 360 Yoruba and 1,000 Wolof entries; previous vendor reportedly took nearly a year to deliver 4,000 entries for $2,000, indicating possible pain around turnaround time and vendor performance. Client also expressed interest in Korean medical students, suggesting possible expansion into adjacent language/medical talent needs.</t>
  </si>
  <si>
    <t>Aisyah</t>
  </si>
  <si>
    <t>Aris</t>
  </si>
  <si>
    <t xml:space="preserve"> (+60) 123456789</t>
  </si>
  <si>
    <t>aisyah.aris@chemin.com</t>
  </si>
  <si>
    <t>Chemin</t>
  </si>
  <si>
    <t>Hi, I’m currently exploring vendors for a medical annotation use case and wanted to understand your approach for higher-complexity segmentation work.
This would involve multi-structure labeling on surgical-type data (e.g. multiple tissues/instruments per image, with some occlusion and ambiguity), with reasonably precise polygon-level annotations.
Could you share:
how you typically price this type of work (per instance vs per image/frame), and
indicative rate ranges for this level of complexity?
Also, how is SME involvement usually handled in your pricing (included vs separate)?</t>
  </si>
  <si>
    <t>Image</t>
  </si>
  <si>
    <t>Chemin AI is a competitor (AI enablement, annotation, LLM services, 18 countries). Aisyah leads Talent &amp; Partnerships from Malaysia. Inquiry is specific - polygon segmentation, multi-label, SME pricing structure. Likely subcontracting for a client project they can't staff internally, or benchmarking. No volume, budget, or timeline shared. Key qualifier still open: is this a Chemin internal project or client-facing? No call scheduled. Follow-up sent. Risk: pricing intelligence gathering.</t>
  </si>
  <si>
    <t xml:space="preserve">Christian </t>
  </si>
  <si>
    <t>Christian.Li@vivoenergy.com</t>
  </si>
  <si>
    <t>Vivo Energy</t>
  </si>
  <si>
    <t>Dear Christian,
I hope you're doing well? Godlove passed me your details and suggested I reach out. My company Aya Data builds and deploys AI solutions to transform operational efficiency in African businesses. See a brief deck here. 
I would love to meet and discuss whether there are any opportunities to add value at Vivo Energy. Would you be open and available for a call or meeting next week? 
Best,
--
Freddie</t>
  </si>
  <si>
    <t>Discovery meeting in-person conducted and follow-up sent with request for another in person session to narrow down department and workflow/s to focus on</t>
  </si>
  <si>
    <t>Ayodeji</t>
  </si>
  <si>
    <t>netlifesocial@gmail.com</t>
  </si>
  <si>
    <t>GidiGrid</t>
  </si>
  <si>
    <t>Dear Aya Data Team,
My name is Usman Ayodeji, and I am the founder of GidiGrid (in development). We are building a specialized network of contributors focused on high-fidelity data collection for African LLMs and retail analytics.
I am reaching out to see if your team is currently looking for data partners to help with:
• Voice Annotation: High-quality recordings in Pidgin, Yoruba, Igbo, and Hausa
• Retail Image Data: On-the-ground verification of product placement in local markets
• Text Corpus: Locally nuanced dialogue for model training
We manage the recruitment and quality control of contributors, ensuring you receive clean, verified data without the overhead of managing individual workers.
I would love to discuss how GidiGrid can support your current data needs — are you available for a brief 10-minute introductory call next week?
Best regards,
Usman Ayodeji
Founder, GidiGrid</t>
  </si>
  <si>
    <t>Francho</t>
  </si>
  <si>
    <t xml:space="preserve">Melendez </t>
  </si>
  <si>
    <t>francho@padmi.es</t>
  </si>
  <si>
    <t>Padmi</t>
  </si>
  <si>
    <t>Hi,
We analyze padel games from videos, and we are training a new ball tracking algorithm. We are looking for a company we can trust to reliably annotate our datasets. 
Our dataset consists of 288 short videos of a few hundred frames for a total of approximately 90K frames.
These videos contain rallies from padel games where the position of the ball needs to be annotated, in principle we only need a 2D point per ball, but we can accept bounding boxes if that would be easier/cheaper. If more than one ball is present in the frame, we want the one that "is play", so there is only one ball annotated in the frame.
We would like to know how much would it cost to annotate such a dataset in two scenarios:
Full dataset, one label per frame, we simply provide the videos.
Pre-annotated: we can annotate approximately 60% of the frames, the task, in this case, would be to revise the annotations provided, correct wrong ones and annotate those that don't have any annotation yet. 
I included a sample for reference (here). Ideally we would want the same format for labels, but again, if there is a quicker and cheaper alternative we can postprocess ourselves. 
Please let us know:
Quote for the full annotation (91823 frames if you need the exact number)
Cheaper and quicker option bounding boxes vs point annotation or both. 
Cheaper and quicker option for pre-annotated videos versus plain videos.
Thank you, looking forward to hearing from you.
play smarter.</t>
  </si>
  <si>
    <t>92000 Frames</t>
  </si>
  <si>
    <t>Padel ball tracking annotation across 92,000 video frames. Single ball per frame. Output format: CSV (Frame, Visibility, X, Y). Client building a trajectory prediction model - data quality directly impacts model accuracy.</t>
  </si>
  <si>
    <t>Another vendor could do the same project 4x faster</t>
  </si>
  <si>
    <t>Caroline</t>
  </si>
  <si>
    <t>Castro</t>
  </si>
  <si>
    <t>(+1) 6462831985</t>
  </si>
  <si>
    <t>ccastro@shutterstock.com</t>
  </si>
  <si>
    <t>Shutterstock</t>
  </si>
  <si>
    <t>We’re looking for a long-term managed human review/annotation partner. Our current projects include both video-level QC review of hand-pose overlay outputs and frame-by-frame human-scene contact annotation, using existing client files and tracking sheets. We’re specifically looking for a hands-on service partner with a dedicated human team, strong QA oversight, and a clear point of contact.</t>
  </si>
  <si>
    <t>TBD - awaiting brief</t>
  </si>
  <si>
    <t>Medium (3–6 months)</t>
  </si>
  <si>
    <t>Looking for long-term managed human review/annotation partner. Projects are one-off, not monthly retainer. Uses existing client files and tracking sheets, wants us to plug into their workflow. NDA signed and returned. Rate card shared. Awaiting high-level brief to quote.</t>
  </si>
  <si>
    <t>Ying</t>
  </si>
  <si>
    <t>Tao</t>
  </si>
  <si>
    <t>taoying@reredata.com</t>
  </si>
  <si>
    <t>Reredata</t>
  </si>
  <si>
    <t xml:space="preserve">Vendor </t>
  </si>
  <si>
    <t>Dear Aya Data,
I hope this email finds you well. I am Tao Ying, serving as the vendor management manager at ReRe Data (https://en.reredata.com/) .
ReRe Data specializes in AI model development and commercial deployment. We have stable and large-scale demand for data services, and we are continuously seeking high-quality and compliant partners worldwide.
It is a pleasure to make your acquaintance through this email.
 I am reaching out to formally express our interest in establishing a business relationship and to explore possibilities for future collaboration.
As we are actively expanding our business scope and planning to build long-term, stable partnerships with qualified overseas suppliers, we would like to gain a preliminary understanding of your company’s capabilities and service offerings.
To help us further evaluate the possibility of cooperation, could you please provide the following basic information:
1. Does your company provide services(Data Collection, Large Model Data Services, Data Annotation, Transcription, or TTS)?
2. What specific types of projects can your company undertake?
We look forward to the opportunity of cooperating with your company. If you have any questions, please feel free to contact me.
WeChat / DingTalk: t198810152004
Email:taoying@reredata.com
Thank you for your time and consideration. I eagerly await your response.
Best regards,
Ying Tao    Vendor Management</t>
  </si>
  <si>
    <t>Kayode-Onaleye</t>
  </si>
  <si>
    <t>Ayokunle</t>
  </si>
  <si>
    <t>(+44) +44746603748</t>
  </si>
  <si>
    <t>onaleyeae@rioeigen.com</t>
  </si>
  <si>
    <t>Rioeigen</t>
  </si>
  <si>
    <t>Hello, I'd like to connect with your data annotation project team or partnerships team for a conversation around annotation projects.
Thanks and best regards
Ayo.</t>
  </si>
  <si>
    <t>Anne-Rita</t>
  </si>
  <si>
    <t>Solano</t>
  </si>
  <si>
    <t>(+233)559 542 220</t>
  </si>
  <si>
    <t>anne-rita.solano@thebankhospital.com</t>
  </si>
  <si>
    <t>The Bank Hospital</t>
  </si>
  <si>
    <t>Business Development Consultant</t>
  </si>
  <si>
    <t>Hi Anne,
It was lovely to meet you the other day. I'd like to introduce you to my co-founder in cc @Freddie Monk and @Brendon Gonouya (Head of AI Solutions) who will pick up the conversation regarding how Aya can assist with any AI needs and data security concerns The Bank Hospital may have. 
I'll leave you to connect.
Have a great week !
--
Yours, &amp;c., 
Ama</t>
  </si>
  <si>
    <t>Ashwini</t>
  </si>
  <si>
    <t>s.</t>
  </si>
  <si>
    <t xml:space="preserve">sales@alphasolutions.org.in </t>
  </si>
  <si>
    <t>Alpha Solutions</t>
  </si>
  <si>
    <t>Hi Aya Data Team,
I hope you're doing well.
I’m reaching out to explore a potential collaboration. We support voice data collection across multiple Indian languages, with reliable teams and quick turnaround.
If you have any ongoing or upcoming requirements, I’d be glad to connect and see how we can support as a vendor.
Please let me know a convenient time to discuss.
Best regards,
Ashwini
Alpha Solutions</t>
  </si>
  <si>
    <t>Suresh</t>
  </si>
  <si>
    <t>Kumar. M</t>
  </si>
  <si>
    <t>(+91) 8015026030</t>
  </si>
  <si>
    <t>SureshKumar.Mohan@visonverse.com</t>
  </si>
  <si>
    <t>Visonverse Technology</t>
  </si>
  <si>
    <t>Project Manager</t>
  </si>
  <si>
    <t>I hope you are doing well.
I am Suresh Kumar, Project Manager at Visonverse Technology. I’m reaching out to explore potential collaboration opportunities in data annotation projects.
We have a team of 30 experienced annotators with strong expertise in computer vision tasks such as LiDAR, semantic segmentation, bounding boxes, and more. With over 11 years of experience and 40+ SOWs handled, we ensure high-quality output with strict QC processes and timely delivery.
We would be happy to take up pilot tasks or sample projects to demonstrate our capabilities.
Looking forward to connecting with you.
Best regards,
Suresh Kumar</t>
  </si>
  <si>
    <t>Rajnish</t>
  </si>
  <si>
    <t>Tiwari</t>
  </si>
  <si>
    <t>(+1) 123456789</t>
  </si>
  <si>
    <t>rajnish.tiwari@viabotinc.com</t>
  </si>
  <si>
    <t>Viabotinc</t>
  </si>
  <si>
    <t>Hi I am looking for Semantic Labeling of 3D LiDAR Point Clouds.</t>
  </si>
  <si>
    <t>LiDAR/3D</t>
  </si>
  <si>
    <t>Bashar</t>
  </si>
  <si>
    <t>bashar@aidatalens.com</t>
  </si>
  <si>
    <t>Aidatalens</t>
  </si>
  <si>
    <t xml:space="preserve">Managing Director
</t>
  </si>
  <si>
    <t>Bangladesh</t>
  </si>
  <si>
    <t>Dear Sir/Ma’am,
I hope this message finds you well. I am writing to formally introduce AI Data Lens Ltd., a company specialized in providing high-quality, secure, and scalable data services for artificial intelligence and machine learning applications. Our organization supports businesses in developing reliable AI systems through structured, compliant, and domain-specific data solutions.
Our services cover a wide range of data requirements, including audio, text, image, and video data collection, annotation, and processing, as well as large language model (LLM) data preparation and synthetic data generation. We work with a strong focus on quality assurance, data accuracy, and compliance standards to ensure that the datasets we deliver meet the expectations of advanced AI development environments.
With a multilingual team supporting over 456 languages, including regional dialects, across more than 112 countries, and with the successful completion of over 1434 projects, we have developed the capability to deliver diverse and domain-specific datasets suitable for global-scale AI initiatives.
In addition, we are currently working and registered as a vendor/partner with several recognized organizations in the AI data ecosystem, including DataPlus, AppTek, Shaip, LXT, Sigma AI, DataOcean AI, Appen AI, Defined.ai, and Appel AI. This experience has enabled us to operate within established industry workflows and maintain consistent delivery standards.
Our work spans multiple industries such as healthcare, finance, legal, retail, technology, and other emerging sectors where high-quality data is critical for model performance and reliability.
The purpose of this email is to introduce our capabilities and to understand whether there may be any opportunity to support your organization with data-related requirements, either currently or in the future.
Should this be of interest, I would be pleased to provide further information at your convenience.
MD ABUL BASHAR
Managing Director
AI Data Lens Ltd.</t>
  </si>
  <si>
    <t>Victor</t>
  </si>
  <si>
    <t>Bae</t>
  </si>
  <si>
    <t>victor.bae@pantima.com</t>
  </si>
  <si>
    <t>Pantima</t>
  </si>
  <si>
    <t>Dear Team,
My name is Victor, I am a manager from the Pantima company. 
I am reaching out to learn more about your company’s services, data collection capabilities and supported markets.
We are currently looking for partners to support several data collection and participant recruitment projects.  
We would like to invite you to support two data collection projects, please let me know if you are interested.
I am attaching the Collection Specifications files with the detailed information.
Here I will briefly describe the project specifications:
We currently have 2 active projects:
PROJECT 1: MULTI-TYPE DATA COLLECTION (Multiple languages)
PROJECT 2: VIDEO DATA COLLECTION (Selfie videos from participants aged 5–18 years)</t>
  </si>
  <si>
    <t xml:space="preserve">Andre </t>
  </si>
  <si>
    <t>kempe</t>
  </si>
  <si>
    <t>(+49) 176 8046 3910</t>
  </si>
  <si>
    <t>andre.kempe@prometronics.com</t>
  </si>
  <si>
    <t>Prometronics</t>
  </si>
  <si>
    <r>
      <rPr>
        <rFont val="Arial"/>
        <color theme="1"/>
        <sz val="10.0"/>
      </rPr>
      <t xml:space="preserve">Dear ai experts,
we are a German company developing ai powered asbestos object detection.
for the annotation project we need services, covering around 10.000 images to create a ground truth. Each image will contain 10s to 100s of single and bundled asbestos fibers.
Please inspect our annotation guideline and let me know if your experts for microscopy images would be able to follow those guidelines. For this natural material there are edge cases, that are appearing every day, and decisions what to annotate must be made.
PROMETRONICS-Annotation guidelines for SEM images x2200.pdf
We have two experts on our side, who will provide the data sets on our CVAT account and provide answers to cases of doubt.
Project start should be as soon as possible.
Please state your price model
would you be ready to provide a test on 100 selected images, so we can see your level of annotation detail?
thank you very much in advance 
sincerely
andre kempe
_________________________________________
ProMetronics GmbH
Dr. André Kempe - Geschäftsführer
Dom-Pedro-Straße 22
80637 München
Andre.kempe@prometronics.com
Mobil: +49 176 8046 3910
Telefon: +49 89 1570 4945
</t>
    </r>
    <r>
      <rPr>
        <rFont val="Arial"/>
        <color rgb="FF1155CC"/>
        <sz val="10.0"/>
        <u/>
      </rPr>
      <t>www.prometronics.com</t>
    </r>
  </si>
  <si>
    <t>10,000 SEM Images</t>
  </si>
  <si>
    <t xml:space="preserve"> Firew</t>
  </si>
  <si>
    <t>Abebe</t>
  </si>
  <si>
    <t>(+251) 942 111 999</t>
  </si>
  <si>
    <t>firew.abebe@polarisplc.com</t>
  </si>
  <si>
    <t>Polarisplc</t>
  </si>
  <si>
    <t xml:space="preserve">Ethiopia </t>
  </si>
  <si>
    <t>Dear Aya Data Team,
My name is Firew Abebe, founder of Nexora Technology under Polaris Star PLC. I am Ethiopian-born and US-based, with a background in computer science and enterprise IT, and I am currently building a dedicated AI data team in Addis Ababa.
I am reaching out about a specific gap: Ethiopian languages are critically underrepresented in AI training data. Amharic alone is spoken by 57 million people, yet reliable annotation services for it are almost nonexistent.
We are positioning to fill that gap across the full AI data pipeline:
Language &amp; Annotation
— Amharic, Oromiffa, and Tigrinya text annotation and classification
— Amharic OCR validation and Ethiopic script transcription
— Voice data collection in Ethiopian languages for speech AI
— Question-answer pair creation for LLM training
AI Output Evaluation
— Rating AI responses for quality, accuracy, and safety
— Preference ranking — comparing AI outputs and selecting the better response
— Harmful content detection with Ethiopian and East African cultural context
— Red teaming and edge case testing for AI models
Content Moderation
— Text, image, and video moderation with culturally grounded judgment
— Policy violation classification for African-market content
Search &amp; Relevance
— Search result quality rating
— Relevance judgments for AI-generated answers
We are in the early stage of building this capability and are actively looking to understand where companies like yours see the most demand for African language data — whether directly or through your client network.
Would you be open to a 15-minute call? Your insight would help us build something genuinely useful.
Best regards,
Firew Abebe
Founder, Nexora Technology — Polaris Star PLC
Dallas, Texas: +1 (804) 362-7741
Addis Ababa: +251 942 111 999
firew.abebe@polarisplc.com
www.polarisplc.com</t>
  </si>
  <si>
    <t>AYA DATA — SCOPING &amp; ACTIVE PIPELINE</t>
  </si>
  <si>
    <t>Leads that pass discovery call ("Move to Scoping" in Tab 1) are tracked here through scoping, PoC, and into Pilot. Lead ID links back to Tab 1 for full history.</t>
  </si>
  <si>
    <t>LEAD REFERENCE</t>
  </si>
  <si>
    <t>SCOPING / PoC</t>
  </si>
  <si>
    <t>COMMERCIAL</t>
  </si>
  <si>
    <t>DEAL STATUS &amp; PIPELINE</t>
  </si>
  <si>
    <t>OUTCOME</t>
  </si>
  <si>
    <t>Date Entered Scoping</t>
  </si>
  <si>
    <t>Project Description</t>
  </si>
  <si>
    <t>Annotation Type</t>
  </si>
  <si>
    <t>Platform Required</t>
  </si>
  <si>
    <t>Volume (units)</t>
  </si>
  <si>
    <t>Volume (est. hours)</t>
  </si>
  <si>
    <t>PoC Start Date</t>
  </si>
  <si>
    <t>PoC End Date</t>
  </si>
  <si>
    <t>PoC Cost</t>
  </si>
  <si>
    <t>PoC Outcome</t>
  </si>
  <si>
    <t>PoC Feedback</t>
  </si>
  <si>
    <t>Hourly Rate ($)</t>
  </si>
  <si>
    <t>Est. Deal Value ($)</t>
  </si>
  <si>
    <t>Pricing Model</t>
  </si>
  <si>
    <t>Estimated Gross Margin</t>
  </si>
  <si>
    <t>Finance Approved Pricing</t>
  </si>
  <si>
    <t>SOW Status</t>
  </si>
  <si>
    <t>Date SOW Sent</t>
  </si>
  <si>
    <t>Pipeline Stage</t>
  </si>
  <si>
    <t>Win Probability (%)</t>
  </si>
  <si>
    <t>Days in Scoping</t>
  </si>
  <si>
    <t>Blockers</t>
  </si>
  <si>
    <t>Next Steps</t>
  </si>
  <si>
    <t>Risk / Notes</t>
  </si>
  <si>
    <t>Last Updated</t>
  </si>
  <si>
    <t>Date Won</t>
  </si>
  <si>
    <t>Production
Start Date</t>
  </si>
  <si>
    <t>Production
End Date</t>
  </si>
  <si>
    <t>Win/Loss
Reason</t>
  </si>
  <si>
    <t>From Tab 1</t>
  </si>
  <si>
    <t>Deal / project name</t>
  </si>
  <si>
    <t>BD Owner</t>
  </si>
  <si>
    <t>Date entered</t>
  </si>
  <si>
    <t>Detailed scope</t>
  </si>
  <si>
    <t>Select</t>
  </si>
  <si>
    <t>e.g. BB, Segmentation, NLP</t>
  </si>
  <si>
    <t>v7, CVAT, Labelbox, etc.</t>
  </si>
  <si>
    <t>e.g. 50,000 images</t>
  </si>
  <si>
    <t>Est. annotator hours</t>
  </si>
  <si>
    <t>Date</t>
  </si>
  <si>
    <t>Select outcome</t>
  </si>
  <si>
    <t>Client feedback notes</t>
  </si>
  <si>
    <t>Proposed $/hr</t>
  </si>
  <si>
    <t>Total deal value</t>
  </si>
  <si>
    <t>Hourly / Per-unit / Fixed</t>
  </si>
  <si>
    <t>0-100%</t>
  </si>
  <si>
    <t>AUTO</t>
  </si>
  <si>
    <t>Select type</t>
  </si>
  <si>
    <t>Current blockers</t>
  </si>
  <si>
    <t>Immediate next action</t>
  </si>
  <si>
    <t>Free text</t>
  </si>
  <si>
    <t>When SOW signed</t>
  </si>
  <si>
    <t>Actual start</t>
  </si>
  <si>
    <t>Actual/est end</t>
  </si>
  <si>
    <t>Select reason</t>
  </si>
  <si>
    <t>Alegion - Solar (Vehicle &amp; License Plate Annotation) Project</t>
  </si>
  <si>
    <t>Solar (Vehicle &amp; License Plate Annotation) Project</t>
  </si>
  <si>
    <t>Bounding Box Annotation around vehicles, front &amp; rear license plates and Wheel/axle.</t>
  </si>
  <si>
    <t>Video (BB)</t>
  </si>
  <si>
    <t>195 records</t>
  </si>
  <si>
    <t>Signed</t>
  </si>
  <si>
    <t>One-off Project</t>
  </si>
  <si>
    <t>Waiting for project scope approval</t>
  </si>
  <si>
    <t>Align during next meeting</t>
  </si>
  <si>
    <t>Alegion - Rabona (Dual-Camera Soccer Detection)</t>
  </si>
  <si>
    <t>Rabona (Dual-Camera Soccer Detection)</t>
  </si>
  <si>
    <t>Identify and annotate persons and soccer balls on a soccer pitch with bounding boxes.</t>
  </si>
  <si>
    <t>Image (BB)</t>
  </si>
  <si>
    <t>5000 Images</t>
  </si>
  <si>
    <t>Sent to Client</t>
  </si>
  <si>
    <t>Aling on produciton</t>
  </si>
  <si>
    <t>Alegion - Video Caption Opportunity</t>
  </si>
  <si>
    <t>Video Caption Opportunity</t>
  </si>
  <si>
    <t>Video captioning of 10s~15s videos</t>
  </si>
  <si>
    <t>NLP (Captioning)</t>
  </si>
  <si>
    <t>100k - 200k videos</t>
  </si>
  <si>
    <t>Client is confirming project details, budget and deliverables internally for 2025</t>
  </si>
  <si>
    <t>Analog &amp; Verses AI</t>
  </si>
  <si>
    <t>Driver, Fleet &amp; Maintainance Data collection</t>
  </si>
  <si>
    <t>4000 Unique Driver Data points</t>
  </si>
  <si>
    <t>Waiting for Client to send SOW.</t>
  </si>
  <si>
    <t>SOW signed</t>
  </si>
  <si>
    <t>AYA-065</t>
  </si>
  <si>
    <t>MIT</t>
  </si>
  <si>
    <t>Crop Classification</t>
  </si>
  <si>
    <t>20,000 images</t>
  </si>
  <si>
    <t>Waiting feedback on proposal</t>
  </si>
  <si>
    <t>Await response from client</t>
  </si>
  <si>
    <t>AUBA</t>
  </si>
  <si>
    <t>PDF &amp; XLSX-Classification</t>
  </si>
  <si>
    <t>Data labelling and Classification</t>
  </si>
  <si>
    <t>12,000 pages</t>
  </si>
  <si>
    <t>Yet to sign the SOW (They are a returning Client)</t>
  </si>
  <si>
    <t>Arrange a call with their tech lead and Co-founder to discuss their project pipeline</t>
  </si>
  <si>
    <t>NorPalm Limited 
Confidence: (70%)</t>
  </si>
  <si>
    <t>Digitizing manual farm operations &amp; providing insights using AI &amp; Drones</t>
  </si>
  <si>
    <t>AyaGrow</t>
  </si>
  <si>
    <t>4,000 Hectares</t>
  </si>
  <si>
    <t>Delayed feedback from client on revised pricing</t>
  </si>
  <si>
    <t>Awaiting response from client</t>
  </si>
  <si>
    <t>Enugu Oil Palm Products Limited 
Confidence: (70%)</t>
  </si>
  <si>
    <t>2,000 Hectares</t>
  </si>
  <si>
    <t>TOPP 
Confidence: (80%)</t>
  </si>
  <si>
    <t>Client to give feedback on case study before we share pricing</t>
  </si>
  <si>
    <t>Proposal has been finalized and is ready to be shared with Client. Will follow up to get feedback on case study</t>
  </si>
  <si>
    <t>Volta Red 
Confidence: (60%)</t>
  </si>
  <si>
    <t>Superb AI - Marine IR Deal</t>
  </si>
  <si>
    <t>Marine IR Deal</t>
  </si>
  <si>
    <t>Our client who is doing the Marine Panoptic project wants to begin another project. Similar objects, except using bbox and it is IR data.</t>
  </si>
  <si>
    <t>Bounding Box (BB)</t>
  </si>
  <si>
    <t>11,000 images</t>
  </si>
  <si>
    <t>Yet to receive platform access</t>
  </si>
  <si>
    <t>Confirm Pricing and begin annotation</t>
  </si>
  <si>
    <t>Alegion - 99luftballons 2D segmentation (DICOM)</t>
  </si>
  <si>
    <t>99luftballons 2D segmentation (DICOM)</t>
  </si>
  <si>
    <t>Segmentation of Specific Markers on DICOM Segmentation</t>
  </si>
  <si>
    <t>MRI 2D Segmentation</t>
  </si>
  <si>
    <t>117,228 frames</t>
  </si>
  <si>
    <t>Delivering POC for client review today (19/12/2024)</t>
  </si>
  <si>
    <t>Once the Quote and POC have been delivered to the client for the 2D segmented images, and we have secured the project on Quality from the clients' confirmation - we will sign the SOW and begin production in 2025.</t>
  </si>
  <si>
    <t>- Alegion indicates that the end client is bigger on quality than on price. The client mentioned that as long as we can deliver on quality, they will pay what our going rates are but if we produce poo</t>
  </si>
  <si>
    <t>Alegion - ID Documentation Annotation Project</t>
  </si>
  <si>
    <t>ID Documentation Annotation Project</t>
  </si>
  <si>
    <t>Bounding Box annotation of ID documents images (drivers licenses, government IDs, etc.)</t>
  </si>
  <si>
    <t>12,982 images</t>
  </si>
  <si>
    <t>On Hold</t>
  </si>
  <si>
    <t>SOW Signed</t>
  </si>
  <si>
    <t>Sharing Quote after scope completion</t>
  </si>
  <si>
    <t>Visia</t>
  </si>
  <si>
    <t>Polygon Annotaiton for Scraps</t>
  </si>
  <si>
    <t>Data Annotaiton</t>
  </si>
  <si>
    <t>1082 Hours</t>
  </si>
  <si>
    <t>TPT in produciton is twice that of POC.</t>
  </si>
  <si>
    <t>Align on additonal hours with the client</t>
  </si>
  <si>
    <t>TPT in production is twice that of POC.</t>
  </si>
  <si>
    <t>Glidance</t>
  </si>
  <si>
    <t>Semantic Segmentation</t>
  </si>
  <si>
    <t>Boundary/Polygon Annotation</t>
  </si>
  <si>
    <t>2050 images</t>
  </si>
  <si>
    <t>- Delayed response to the Q&amp;A document</t>
  </si>
  <si>
    <t>AYA-022</t>
  </si>
  <si>
    <t>Thakaa Med AI</t>
  </si>
  <si>
    <t>Data Annotation &amp; collection</t>
  </si>
  <si>
    <t>Chest X-Ray - InstanceSegmentation</t>
  </si>
  <si>
    <t>3000 Images</t>
  </si>
  <si>
    <t>Meeting schedued with the client for platform walkthorugh and guidelines review</t>
  </si>
  <si>
    <t>Platform onboarding to enable scoping</t>
  </si>
  <si>
    <t>Meeting scheduled with client for platform walkthrough</t>
  </si>
  <si>
    <t>RD Software</t>
  </si>
  <si>
    <t>Data Annotation &amp;  collection</t>
  </si>
  <si>
    <t>Keypoint Annotations</t>
  </si>
  <si>
    <t>1K datasets</t>
  </si>
  <si>
    <t>Awaiting Sample data &amp; guidelines for scoping</t>
  </si>
  <si>
    <t>Rate card for Annotation to be shared and sample data with guidelines to shared after signing NDA</t>
  </si>
  <si>
    <t>Telecel</t>
  </si>
  <si>
    <t>Integrating AI-powered voice bot into chatbot system</t>
  </si>
  <si>
    <t>AyaSpeech</t>
  </si>
  <si>
    <t>Audio/Speech</t>
  </si>
  <si>
    <t>Awaiting greenlight from Telecel to carry-on with paid POC.</t>
  </si>
  <si>
    <t>Telecel to get in touch with TBI for referral before commencing with paid POC</t>
  </si>
  <si>
    <t>INBOUND-PTNR-V7-MIOVISION</t>
  </si>
  <si>
    <t>V7-MIOVISION</t>
  </si>
  <si>
    <t>Video Object Annotation &amp; Classification</t>
  </si>
  <si>
    <t>Instance Segmentation and Classification</t>
  </si>
  <si>
    <t>1688 hours (100, 1 minute videos)</t>
  </si>
  <si>
    <t>Slight Delay in data collection and finalisation of terms with Partner (v7) that delayed inception by 2 weeks before 17/03/2025.</t>
  </si>
  <si>
    <t>Production</t>
  </si>
  <si>
    <t>Slight delay in data collection</t>
  </si>
  <si>
    <t>INBOUND - PTNR - Superb AI - Korea deal - Image Sequence Semantic Segmentation</t>
  </si>
  <si>
    <t>PTNR</t>
  </si>
  <si>
    <t>Build indoor and outdoor training data for robot autonomous driving</t>
  </si>
  <si>
    <t>Semantic Segmentation (Polygon)</t>
  </si>
  <si>
    <t>250,000 instances (70,631 hours)</t>
  </si>
  <si>
    <t>- Finalized rate bands for all projects moving forward with the Superb AI Korean Team yet to be confirmed by the Korean Team
- Completed this PoC at EOD of the hard deadline due to platform issues that have been clearly communicated to the partner via email
- Yet to receive a response of acceptance.</t>
  </si>
  <si>
    <t>MSA+SOW - Signed</t>
  </si>
  <si>
    <t>Finalized rate bands - yet to be confirmed by Korean Team</t>
  </si>
  <si>
    <t>INBOUND - PTNR - Superb AI - Korea deal - Road Mark Segmentation</t>
  </si>
  <si>
    <t>Road Mark Segmentation</t>
  </si>
  <si>
    <t>5,000 images per month (for approximately 9 months in total)
712 hours per month (for approximately 9 months in total)</t>
  </si>
  <si>
    <t>- Finalized rate bands for all projects moving forward with the Superb AI Korean Team yet to be confirmed by the Korean Team
- Yet to receive a response of acceptance.</t>
  </si>
  <si>
    <t>INBOUND - PTNR - Superb AI - Korea deal -  Image Sequence Object Detection</t>
  </si>
  <si>
    <t>Detecting traffic lights within images and inputting their colors as properties.</t>
  </si>
  <si>
    <t>30,000 instances
760 hours</t>
  </si>
  <si>
    <t>INBOUND- PTNR - Superb AI - Korea deal - Pointcloud 3D Cuboid</t>
  </si>
  <si>
    <t>A project for building indoor and outdoor training data for robot autonomous driving.</t>
  </si>
  <si>
    <t>LiDAR (3D Cuboid)</t>
  </si>
  <si>
    <t>250,000 instances
12,083 hours</t>
  </si>
  <si>
    <t>Kelp Technologies</t>
  </si>
  <si>
    <t>Style Tagging, Aggregation Grouping, Style Magnet and Cataloging Slipstream</t>
  </si>
  <si>
    <t>Data Aggregation</t>
  </si>
  <si>
    <t>TBD</t>
  </si>
  <si>
    <t>- Client is currently fundraising and unable to commit to a quartely contratct for April</t>
  </si>
  <si>
    <t>Clickworker</t>
  </si>
  <si>
    <t>Data collection</t>
  </si>
  <si>
    <t>Portrait Project</t>
  </si>
  <si>
    <t>Awaiting guidelines for scoping</t>
  </si>
  <si>
    <t>Follow up by Friday on updates</t>
  </si>
  <si>
    <t>ADIESO</t>
  </si>
  <si>
    <t>Coconut Tree Counting</t>
  </si>
  <si>
    <t>Proposal has been shared with client.</t>
  </si>
  <si>
    <t>Awaiting feedback from client</t>
  </si>
  <si>
    <t>AYA-017</t>
  </si>
  <si>
    <t>INBOUND-PTNR-Liangdao-LiDAR-Annotation-Deal-PoC</t>
  </si>
  <si>
    <t>Liangdao-LiDAR-Annotation-Deal-PoC</t>
  </si>
  <si>
    <t>LiangDao Intelligence, a global leader in LiDAR sensor systems and perception solutions, is exploring an annotation partnership with Aya Data as a dedicated annotation vendor.</t>
  </si>
  <si>
    <t>2 instances (520 hours) for PoC</t>
  </si>
  <si>
    <t>- A lot of challenges with their platform of choice which caused delivery times to delay 6x times our normal Scoping duration of 2 days.
- Yet to understand if we met their quality thresholds and if we are competitive on pricing.
- Once we receive feedback of passing their quality benchmarks, we wil</t>
  </si>
  <si>
    <t>Sign MSA+SOW</t>
  </si>
  <si>
    <t>INBOUND - SanctifAI/ Alegion -Rabona (BB Annotation of Soccer Players and Ball)</t>
  </si>
  <si>
    <t>SanctifAI/ Alegion -Rabona (BB Annotation of Soccer Players and Ball)</t>
  </si>
  <si>
    <t>Annotation of Soccer Players and particular actions captured in frame</t>
  </si>
  <si>
    <t>2000 frames</t>
  </si>
  <si>
    <t>INBOUND-PTNR-Superb-AI-BOATS-IR-deal</t>
  </si>
  <si>
    <t>Superb-AI-BOATS-IR-deal</t>
  </si>
  <si>
    <t>INBOUND-PTNR-SuperbAI-Marine-IR-deal</t>
  </si>
  <si>
    <t>SuperbAI-Marine-IR-deal</t>
  </si>
  <si>
    <t>Annotation of Boat Infrared Images</t>
  </si>
  <si>
    <t>14,000 Images</t>
  </si>
  <si>
    <t>- Multiple contradictions in the guidelines and review suggestions. We have an addendum of notes accompanied by the original guidleine that the team has been authorised to proceed with.</t>
  </si>
  <si>
    <t>Sharing feasible timelines for project completion to be approved today.</t>
  </si>
  <si>
    <t>Superb AI - CCTV Project</t>
  </si>
  <si>
    <t>CCTV Project</t>
  </si>
  <si>
    <t>Bounding Box Annotation Project on CCTV Images with a Use Case capturing;
1. One bounding box per object
2. Three classes: person, non-car vehicle, animal
3. One class per object</t>
  </si>
  <si>
    <t>50,000 images</t>
  </si>
  <si>
    <t>Yet to confirm if we have won the project</t>
  </si>
  <si>
    <t>Once confirmation is given, we will share the MSA/SOW and begin production</t>
  </si>
  <si>
    <t>AUBA now Desteia</t>
  </si>
  <si>
    <t>Data extraction</t>
  </si>
  <si>
    <t>129 documents</t>
  </si>
  <si>
    <t>No blockers</t>
  </si>
  <si>
    <t>WARC</t>
  </si>
  <si>
    <t>Shea Tree Mapping using satellite</t>
  </si>
  <si>
    <t>INBOUND-PTNR-v7-CV-Deal</t>
  </si>
  <si>
    <t>v7-CV-Deal</t>
  </si>
  <si>
    <t>Computer Vision Annotation Project</t>
  </si>
  <si>
    <t>20,000 hours - 50,000 hours of work (A year's worth of work)</t>
  </si>
  <si>
    <t>Very Early Stage - Client needs to confirm if they are ready to proceed with our proposed early rate and scope for feasibility</t>
  </si>
  <si>
    <t>Scope and sign SOW</t>
  </si>
  <si>
    <t>FI Collar</t>
  </si>
  <si>
    <t>Annotation of dog 
behaviors from Fi 
Collar video data.</t>
  </si>
  <si>
    <t>Dog Video Tagging</t>
  </si>
  <si>
    <t>7,680 hours of work - 12,480 hours of work</t>
  </si>
  <si>
    <t>None at the moment</t>
  </si>
  <si>
    <t>- Deliver and Exceed expectations
- Contract Order yet to be signed for upsold monthly hours</t>
  </si>
  <si>
    <t>AYA-023</t>
  </si>
  <si>
    <t>INBOUND-PTNR-TELUS DIGITAL-DUTCH RESEARCH PROJECT (RFP for Online Data Analysts)</t>
  </si>
  <si>
    <t>Data Research in Dutch</t>
  </si>
  <si>
    <t>TELUS DIGITAL production teams are currently reviewing all submitted quotes to determine the optimal vendor selection for this project.
They will promptly notify all successful suppliers once final decisions have been confirmed. 
While they don't have a specific timeline to share at this moment, th</t>
  </si>
  <si>
    <t>- Once we are selected, we carry out a Qualification Test for feasibility and carry on from there.</t>
  </si>
  <si>
    <t>Measureprotocol</t>
  </si>
  <si>
    <t>AI Consulting</t>
  </si>
  <si>
    <t>Web Scrapping + Platform Development</t>
  </si>
  <si>
    <t>7 Million Videos a Month</t>
  </si>
  <si>
    <t>Awaiting feeddback to sign SOW</t>
  </si>
  <si>
    <t>Scoping completed,awaiting feedback from client</t>
  </si>
  <si>
    <t>TraceLight</t>
  </si>
  <si>
    <t>Data Labeling</t>
  </si>
  <si>
    <t>Semantic Labeling (Spreadsheet Range Labeling)</t>
  </si>
  <si>
    <t>500 hours</t>
  </si>
  <si>
    <t>Scoping completed - Pricing Proposal to be finalized and shared by COB 23/04</t>
  </si>
  <si>
    <t>Scoping completed - Pricing Proposal to be finalized</t>
  </si>
  <si>
    <t>Haidata</t>
  </si>
  <si>
    <t>Data Collection (Text-Rich &amp; Image Data)</t>
  </si>
  <si>
    <t>Web scrapped &amp; Organic data collecion</t>
  </si>
  <si>
    <t>56000 data point</t>
  </si>
  <si>
    <t>Awaiting for Partner to sign contract with the client and confirm pricng budget. Platform compliance checks is holding back the conversation</t>
  </si>
  <si>
    <t>Partner ( Haidata) to share update/progress report on finalized pricng/budget, timelines and contactuals by close of week (28th March) Efforts are ongoing to establish contact with contributors i.e Freelancers &amp; Vendor Partners who canprovid data from European &amp; Asian regions</t>
  </si>
  <si>
    <t>GREL</t>
  </si>
  <si>
    <t>Rubber Tree Trials using AyaGrow</t>
  </si>
  <si>
    <t>Client has given greenlight to collect data at site</t>
  </si>
  <si>
    <t>Site Visit is scheduled to be held tomorrow for data collection</t>
  </si>
  <si>
    <t>Planting Naturals</t>
  </si>
  <si>
    <t>Digitizing manual farm operations &amp; providing insights using AI &amp; Drone</t>
  </si>
  <si>
    <t>Negotiation</t>
  </si>
  <si>
    <t>EQUITORIA TEAK</t>
  </si>
  <si>
    <t>Teak Tree Count</t>
  </si>
  <si>
    <t>Dr Kristy currently OOO but will make intro to client soon as she got back</t>
  </si>
  <si>
    <t>OUTBOUND - Konica Minolta</t>
  </si>
  <si>
    <t>OUTBOUND</t>
  </si>
  <si>
    <t>Labelling and measurement of car part defects.</t>
  </si>
  <si>
    <t>Aya Data (Annotation)</t>
  </si>
  <si>
    <t>TBC</t>
  </si>
  <si>
    <t>$5b business solutions company with many branches.  Very early stages for consideration for their CV projects. The specific labelling project requires measurement of defects. Defect considered from 1-10mm. Need more info but might require a way to mathmatically measure defects from video.</t>
  </si>
  <si>
    <t>Need to speak with the business development team in Rome (Mark to introduce in 2 weeks). Introduce Akhil end of week</t>
  </si>
  <si>
    <t>INBOUND-PTNR-ALEGION-LOGO-ANNOTATION-MODEL-TRAINING-&amp;-ANNOTATION - Partner deal</t>
  </si>
  <si>
    <t>ALEGION-LOGO-ANNOTATION-MODEL-TRAINING-&amp;-ANNOTATION</t>
  </si>
  <si>
    <t>Logo Annotation &amp; Model Training in Sports Footage</t>
  </si>
  <si>
    <t>Video Annotation + Model Training (e.g. YOLOv8, Detectron2)</t>
  </si>
  <si>
    <t>~400 hours of footage</t>
  </si>
  <si>
    <t>Passed</t>
  </si>
  <si>
    <t>Scoping for full training pipeline; determining model fit</t>
  </si>
  <si>
    <t>Confirm training capabilities, advise on data strategy &amp; modeling approach</t>
  </si>
  <si>
    <t>INBOUND-PTNR-SuperbAI-Video(RGB&amp;IR)-Deal</t>
  </si>
  <si>
    <t>SuperbAI-Video(RGB&amp;IR)-Deal</t>
  </si>
  <si>
    <t>Our client, who we've previously worked together on for boats and IR data, wants to initiate a new annotation project with video data. These will be both RGB and IR videos about 40sec long. Each video will be 30fps.
The classes are:
'self, 'boat', and 'nav_marker' and the guidance given for these classes on the previous projects should be used.
Total data volume is expected to be ~100k frames.</t>
  </si>
  <si>
    <t>Bounding Box Annotations (BB)</t>
  </si>
  <si>
    <t>100,000 frames</t>
  </si>
  <si>
    <t>- Share the final quote with Tyler</t>
  </si>
  <si>
    <t>Raedial Farms</t>
  </si>
  <si>
    <t>Oil Palm Digitization</t>
  </si>
  <si>
    <t>Client gave feedback that they're wrapping up on the project internally and would get back to us once they're done.</t>
  </si>
  <si>
    <t>OUTBOUND - GEA</t>
  </si>
  <si>
    <t>Bounding boxes and skeleton data point annotation of cattle</t>
  </si>
  <si>
    <t>&lt;2000 (TBC)</t>
  </si>
  <si>
    <t>Early stages.</t>
  </si>
  <si>
    <t>Discovery call 17th June - Sample analysis to follow immedicately after.</t>
  </si>
  <si>
    <t>INBOUND - PTNR - v7 - Medtronic - LinqII</t>
  </si>
  <si>
    <t>Annotation of cathode bag seals and bubbles in battery x-ray imagery to support defect detection model training, with focus on precision polygon labeling of heat-affected zones and bubble contours.</t>
  </si>
  <si>
    <t>Polygon Annotation (Bubbles/Seals)</t>
  </si>
  <si>
    <t>500–1000 assets</t>
  </si>
  <si>
    <t>Occasional edge pixel loss using mask tool; polygon recommended for precision</t>
  </si>
  <si>
    <t>Await client review, align on tool choice, finalize SOW</t>
  </si>
  <si>
    <t>Polygon recommended for precision</t>
  </si>
  <si>
    <t>INBOUND - PTNR - Solar (Vehicle &amp; License Plate Annotation) Project</t>
  </si>
  <si>
    <t>Annotation of Vehicles
We’ve received a project request from the client regarding Batch 1. They’re currently experiencing challenges with their detection output, particularly in distinguishing large vehicle shadows from actual vehicles. To explore whether a different annotation approach might improve performance, they’ve requested the following:
Redo Batch 1 using object segmentation (vehicles only)
Exclude axle and license plate annotations
The intent is to assess whether segmentation offer</t>
  </si>
  <si>
    <t>Segmentation</t>
  </si>
  <si>
    <t>36 images</t>
  </si>
  <si>
    <t xml:space="preserve">The client is yet to give Alegion the go - ahead to inform us to go ahead and deliver on this as our team has shared the timeline estimates and pricing for this already.
We have been following up and Alegion assures us that once there is an update, they will inform us asap.
We are yet to find out </t>
  </si>
  <si>
    <t>SOW Signing</t>
  </si>
  <si>
    <t>Client yet to give go-ahead</t>
  </si>
  <si>
    <t>INBOUND-PTNR-Superb AI-Driving Compal deal</t>
  </si>
  <si>
    <t>Superb AI-Driving Compal deal</t>
  </si>
  <si>
    <t>We need to detect pedestrians, vehicles and 2-wheelers (bicycles, motorcycles, scooters) in 2D thermal images, to ensure safety in driving.
To achieve this, we will train an Object Detection DNN, which will give us a bounding box around every object of interest. 
The training data will need to have these bounding box annotations.</t>
  </si>
  <si>
    <t>10 sec videos
4 hours worth of video per month
Quaterly (Recurring)
95 Annotators per month</t>
  </si>
  <si>
    <t>To give a clearer picture: each of these test assets is only around 10 seconds of video.
When extrapolated to the client’s initial batch of 100 hours, the projected cost and effort become extremely high. 
And this is just the starting phase, with more footage expected down the line.
Tyler is yet to</t>
  </si>
  <si>
    <t>Quote to be shared and SOW to be signed upon confirmation.</t>
  </si>
  <si>
    <t>High projected cost at scale</t>
  </si>
  <si>
    <t>Kelp Technology</t>
  </si>
  <si>
    <t>Aggregation and Style tagging</t>
  </si>
  <si>
    <t>Approx 640hrs/month</t>
  </si>
  <si>
    <t>-Client is still fundraising and is likely to opt for a short term contract</t>
  </si>
  <si>
    <t>F</t>
  </si>
  <si>
    <t>Aden River Estate Ltd</t>
  </si>
  <si>
    <t>AREL</t>
  </si>
  <si>
    <t>Inventory Management Pilot</t>
  </si>
  <si>
    <t>Waiting on Client to sign MSA</t>
  </si>
  <si>
    <t>Winston</t>
  </si>
  <si>
    <t>Oil Palm Tree Count</t>
  </si>
  <si>
    <t>Waiting on client to greenlight quotation shared.</t>
  </si>
  <si>
    <t>SANE Group</t>
  </si>
  <si>
    <t>Inventory Management</t>
  </si>
  <si>
    <t>Waiting on client to accept proposal</t>
  </si>
  <si>
    <t>AYA-094</t>
  </si>
  <si>
    <t>PwC Poland</t>
  </si>
  <si>
    <t>Field Boundary Mapping</t>
  </si>
  <si>
    <t>INBOUND-PTNR-TELUS DIGITAL-COPILOT-Deal</t>
  </si>
  <si>
    <t>Domain-Specific Copilot Agent Development – corpus curation, prompt gen, and evaluation</t>
  </si>
  <si>
    <t>NLP – Query Generation, Ground Truth Creation, Agent Response Evaluation</t>
  </si>
  <si>
    <t>50 Copilot Agents</t>
  </si>
  <si>
    <t>Awaiting confirmation &amp; final scope</t>
  </si>
  <si>
    <t>Confirm interest, finalize scope, begin onboarding</t>
  </si>
  <si>
    <t>MLtwist / Audrey Smith</t>
  </si>
  <si>
    <t>Call Center Transcription QA for Financial Services</t>
  </si>
  <si>
    <t>Speech Annotation &amp; Transcription Review (2-speaker, English)</t>
  </si>
  <si>
    <t>~70,000 calls/month for HITL review; ~2.8M utterances/month</t>
  </si>
  <si>
    <t>No project duration confirmed; competing with India-based vendor; needs native English speakers</t>
  </si>
  <si>
    <t>Await feedback if selected for next phase; await duration/timeline</t>
  </si>
  <si>
    <t>MLTwist / Liana Raggio</t>
  </si>
  <si>
    <t>Retail category matching project — manual mapping of pos_product_name (with vendor/variation data) to identify brand, subvertical, category type, category, and subcategory using external search and defined guidelines.</t>
  </si>
  <si>
    <t>Classification / Categorization (Brand, Subvertical, Category_Type, Category, Subcategory)</t>
  </si>
  <si>
    <t>TBD — initial test only, full volume pending client backlog estimate</t>
  </si>
  <si>
    <t>Awaiting backlog size and projected monthly workload from client; pending clarity on client’s TPT benchmark</t>
  </si>
  <si>
    <t>Receive documentation and project invite from Liana; align pricing based on TPT; finalize MSA &amp; SOW; prepare team for 2-day lead deployment</t>
  </si>
  <si>
    <t>MLTwist (Audrey Smith)</t>
  </si>
  <si>
    <t>Toll Transaction Image Review – Manual image review for license plates, OCR validation, and flagging exceptions</t>
  </si>
  <si>
    <t>Image Data Annotation (License Plate Review)</t>
  </si>
  <si>
    <t>Tiered Volumes: 1M–10M transactions/year</t>
  </si>
  <si>
    <t>Volume-based tiering and approval of proposed rates</t>
  </si>
  <si>
    <t>- Begin labeling process following provided guidelines and dropdown ranking system</t>
  </si>
  <si>
    <t>Datasaur (Eric)</t>
  </si>
  <si>
    <t>Call Center (Finance) – HITL review for call transcriptions</t>
  </si>
  <si>
    <t>Audio &amp; Text Annotation</t>
  </si>
  <si>
    <t>1.5M calls/month (~70k calls/month HITL, ~40 utterances each)</t>
  </si>
  <si>
    <t>Confirming annotator availability (35–45 annotators)</t>
  </si>
  <si>
    <t>- Share feedback/questions via Google Doc during process</t>
  </si>
  <si>
    <t>Confirming annotator availability</t>
  </si>
  <si>
    <t>AYA-093</t>
  </si>
  <si>
    <t>COL Media (China)</t>
  </si>
  <si>
    <t>Production of video content meeting specific resolution and perspective criteria. Scope: 360P+ resolution; human-eye perspective close-range interactions or upper-body human operations (1st/3rd person view). First delivery within 22 working days of kickoff.</t>
  </si>
  <si>
    <t>Video Data Collection + HITL Validation</t>
  </si>
  <si>
    <t>8,000 hours</t>
  </si>
  <si>
    <t>No initial delivery timeline provided; new shorter schedule requested; higher cost to meet accelerated deadline</t>
  </si>
  <si>
    <t>Align on preferred production speed and budget; confirm kickoff date; mobilize scraping + validation workflow</t>
  </si>
  <si>
    <t>No initial delivery timeline; accelerated deadline</t>
  </si>
  <si>
    <t>Flock (ID Annotation) – Additional Request</t>
  </si>
  <si>
    <t>Additional annotation of 340 ID documents (~680 tasks) – mix of new and previously completed ID types</t>
  </si>
  <si>
    <t>ID Annotation (mix of new + existing ID types: Proof of Age, Social Security Card, Country Healthcar</t>
  </si>
  <si>
    <t>340 documents (~680 tasks)</t>
  </si>
  <si>
    <t>Awaiting confirmation of "~680 tasks" reference, updated guides for new ID types, and outline of rework definitions; No SBT possible due to minimal new types</t>
  </si>
  <si>
    <t>Receive client confirmation on 3-month acceptance period, rework definitions, and volume details; Finalize commercials; Begin production 3 days after data &amp; final terms</t>
  </si>
  <si>
    <t>Board Logo</t>
  </si>
  <si>
    <t>Data collection of board-level logos from corporate branding material for AI training purposes</t>
  </si>
  <si>
    <t>Image Classification &amp; Tagging</t>
  </si>
  <si>
    <t>~4,000 images</t>
  </si>
  <si>
    <t>Scope clarity and pricing confirmation pending</t>
  </si>
  <si>
    <t>Submit sample batch, finalize scope and quote</t>
  </si>
  <si>
    <t>Solidaridad</t>
  </si>
  <si>
    <t>Integrating AyaGrow + AyaSpeech APIs into current technology platform.</t>
  </si>
  <si>
    <t>AyaGrow + AyaSpeech</t>
  </si>
  <si>
    <t>Decision to engage will be made post demo presentation</t>
  </si>
  <si>
    <t>Demo presentation</t>
  </si>
  <si>
    <t>TOPP</t>
  </si>
  <si>
    <t>Awaiting management decision since sharing revised pricing and completing case study document.</t>
  </si>
  <si>
    <t>Proposal Signing</t>
  </si>
  <si>
    <t>Awaiting management decision</t>
  </si>
  <si>
    <t>CASHEW COAST</t>
  </si>
  <si>
    <t>CASHEW TREE FLOWERING DETECTION</t>
  </si>
  <si>
    <t>AgriNexus</t>
  </si>
  <si>
    <t>Satellite Land Mapping</t>
  </si>
  <si>
    <t>33,000 hectares</t>
  </si>
  <si>
    <t>TrueCoCo</t>
  </si>
  <si>
    <t>Coconut Deforestation Analysis</t>
  </si>
  <si>
    <t>EUDR</t>
  </si>
  <si>
    <t>NDB - Ka Pula Drones</t>
  </si>
  <si>
    <t>NDB</t>
  </si>
  <si>
    <t>45,000 hectares</t>
  </si>
  <si>
    <t>v7 - Miovision</t>
  </si>
  <si>
    <t>Miovision</t>
  </si>
  <si>
    <t>Annotation of fisheye intersection images to create a high-quality instance-segmented dataset focused on cyclists and related classes for improving Miovision’s ITS SmartView360 model.</t>
  </si>
  <si>
    <t>Instance Segmentation (pixel-perfect polygon masks)</t>
  </si>
  <si>
    <t>25,000 images from 8–9 intersections in Toronto (initial batch)</t>
  </si>
  <si>
    <t>- Workflow alignment between annotation and quality tabs.
- Occasional uncertainty with class definitions (e.g., Single Unit Truck vs. Work Truck).
- Handling fisheye rotation during annotation.</t>
  </si>
  <si>
    <t>- Complete annotation and review of all 25,000 images.
- Generate Quality Assurance (QA) report and cost breakdown.
- Address outstanding workflow tracking and rotation capability questions.</t>
  </si>
  <si>
    <t>Workflow alignment between annotation and quality tabs</t>
  </si>
  <si>
    <t>Earthrover</t>
  </si>
  <si>
    <t>Crop segementation</t>
  </si>
  <si>
    <t>Image Data Annotation</t>
  </si>
  <si>
    <t>No blocker</t>
  </si>
  <si>
    <t>Completing the projecting with better overal quality and speed</t>
  </si>
  <si>
    <t>Sunsave Energy</t>
  </si>
  <si>
    <t>Address scoring</t>
  </si>
  <si>
    <t>Image Annotation</t>
  </si>
  <si>
    <t>Minium of 1500</t>
  </si>
  <si>
    <t>Contract Termination 
Now voulume of Address due to client upadte to their CRM workflow</t>
  </si>
  <si>
    <t>Slowly wrapping up on the account
Case Study
End of Project Survey</t>
  </si>
  <si>
    <t>Contract Termination</t>
  </si>
  <si>
    <t>MLTwist Emission Activity Deal</t>
  </si>
  <si>
    <t>Product ranking POC – annotation of products in spreadsheet format with ranking scale (0–3). Similar to product mapping task.</t>
  </si>
  <si>
    <t>Spreadsheet-based labeling (manual ranking of products).</t>
  </si>
  <si>
    <t>300 products (Completed150 for POC).</t>
  </si>
  <si>
    <t>Actual data not yet received from client. Short turnaround (delivery by next week). Quality expected to be prioritized over speed.</t>
  </si>
  <si>
    <t>- Receive dataset from client</t>
  </si>
  <si>
    <t>MLTwist Boat Segmentation Project</t>
  </si>
  <si>
    <t>Semantic segmentation POC on video frames (categories: Boat, Water, Sky, Docks) with masks per single object.</t>
  </si>
  <si>
    <t>Video frame-based semantic segmentation (SAM + manual refinement via Dataloop tools).</t>
  </si>
  <si>
    <t>Initial scope: 200 frames (20s video). Updated scope: 50 images (per Audrey’s instruction).</t>
  </si>
  <si>
    <t>- High average TPT (41m 55s per frame).
- Customer flagged inefficiency in tool use.
- QA errors identified in first 23 images.
- Need to balance quality with speed for scalability (customer has 100 videos lined up).</t>
  </si>
  <si>
    <t>- Cap at 50 images per Audrey’s request.
- Re-QA 23 frames flagged and correct errors.
- Optimize Dataloop workflow to improve TPT efficiency.
- Revisit pricing model once revised throughput is validated.</t>
  </si>
  <si>
    <t>Alegion - Multilingual and User Evaluation Project</t>
  </si>
  <si>
    <t>Multilingual and User Evaluation Project</t>
  </si>
  <si>
    <t>Model Evaluation Project – Multilingual &amp; User Evaluation of 3 AI Models (M1, M2, M3). Two rounds per month, 48hr turnaround for each batch. Requires comparing model responses, ranking GSB (Good/Same/Bad), and providing justification remarks.</t>
  </si>
  <si>
    <t>LLM/VLM Evaluation – Text-only and text + image prompts. Single and multi-round. Ranking models in I</t>
  </si>
  <si>
    <t>Not specified (varies by language &amp; batches twice monthly). Trial set first for pre-qualification.</t>
  </si>
  <si>
    <t>Determining language coverage &amp; staffing availability. Trial completion required for qualification.</t>
  </si>
  <si>
    <t>Confirm languages Aya can support. Complete trial set and return results. Finalize evaluator roster.</t>
  </si>
  <si>
    <t>Alegion/ SanctifAI - Wrinkle Annotation</t>
  </si>
  <si>
    <t>Alegion/ Wrinkle Annotation</t>
  </si>
  <si>
    <t>High-precision instance segmentation of facial wrinkles to support development of a computer vision model for wrinkle detection and analysis.</t>
  </si>
  <si>
    <t>Instance Segmentation (polygon-based and binary mask outputs)</t>
  </si>
  <si>
    <t>[Not specified — estimated batch-based facial dataset]</t>
  </si>
  <si>
    <t>- Distinguishing wrinkles from shadows, makeup lines, or folds.
- Capturing fine lines accurately without over-annotation.
- Ensuring consistency in mask precision across annotators.</t>
  </si>
  <si>
    <t>- Complete segmentation for all facial regions of interest.
- Validate mask precision.
- Deliver in both .png (binary masks) and YOLOv8 polygon format.</t>
  </si>
  <si>
    <t>AFIQOM</t>
  </si>
  <si>
    <t>Power BI Appilication embedded in a Web based platform</t>
  </si>
  <si>
    <t>Contract Reviewing from the client is taking some time</t>
  </si>
  <si>
    <t>Invoicing for the month of October
Signing SOW</t>
  </si>
  <si>
    <t>Contract reviewing from client</t>
  </si>
  <si>
    <t>AYA-067</t>
  </si>
  <si>
    <t>INBOUND-PTNR-Degasafrica-Field_Segmentation_Annotation-deal</t>
  </si>
  <si>
    <t>Degasafrica-Field_Segmentation_Annotation-deal</t>
  </si>
  <si>
    <t>Annotate satellite imagery to identify agricultural field boundaries for two cases:
Direct Field Segmentation – Boundaries corresponding exactly to provided field centers.
Surrounding Field Segmentation – Boundaries of all farms within a 1 km² area around each field center.</t>
  </si>
  <si>
    <t>Perform the task at volumes of 1,000 fields.</t>
  </si>
  <si>
    <t>- Share  the completed polygons of first batch within 3 business days with Yumi</t>
  </si>
  <si>
    <t>AYA-070</t>
  </si>
  <si>
    <t>Superb AI-_Nuclera-ART-Droplets</t>
  </si>
  <si>
    <t>Using polygons to label droplets on scans of microchips.</t>
  </si>
  <si>
    <t>250-500 images</t>
  </si>
  <si>
    <t>Initial TPT shared with Tyler was 5 hours 7 minutes and Tyler suggested if  we could get the time down significantly further—ideally closer to the 1.5 hours which they  achieved on their  last project with the client.
Revision to reduce TPT earlier shared with Tyler since rescoping might affect th</t>
  </si>
  <si>
    <t>Reshare the estimate with Tyler, using a conservative assumption that ~50% of the droplets in the pre-annotations are correct by EOD.</t>
  </si>
  <si>
    <t>Need to reduce TPT significantly</t>
  </si>
  <si>
    <t>Superb AI - Marine Panoptic Project</t>
  </si>
  <si>
    <t>Marine Panoptic Project</t>
  </si>
  <si>
    <t>Panoptic Segmentation of Autonomous Driving Boats</t>
  </si>
  <si>
    <t>Image (Panoptic Segmentation)</t>
  </si>
  <si>
    <t>15,000 images</t>
  </si>
  <si>
    <t>Slow Delivery Cadence</t>
  </si>
  <si>
    <t>Completion of 3000 images by 19th December, 2024</t>
  </si>
  <si>
    <t>AYA-139</t>
  </si>
  <si>
    <t>Medis Medical Imaging (Netherlands)</t>
  </si>
  <si>
    <t>Coronary angiography annotation programme using Medis proprietary tool. Scope includes coronary segment labeling, stenosis/lesion marking, vessel segmentation/centerline tracing, and quality flagging with medical QA and audit trail requirements (GDPR/HIPAA).</t>
  </si>
  <si>
    <t>Medical Imaging - Coronary X-ray Angiography (2D). Labeling + segmentation/centerline + analyzabilit</t>
  </si>
  <si>
    <t>8,000–10,000 angiography series (multi-series per case)</t>
  </si>
  <si>
    <t>Client-side bandwidth/overload causing response delays. Awaiting expert availability + clarifications on conventions (ED/ES frame selection, skeleton node usage, analyzability criteria, coronary branch labeling e.g., Ramus/LCx/OM/Diag). Platform constraints during PoC impacted throughput.</t>
  </si>
  <si>
    <t>20–30 min alignment call with client expert annotator (Janny) to confirm conventions and close open questions. Apply final rework for LCA2. Agree quality-ready criteria and production workflow; confirm pricing model acceptance; progress to SOW.</t>
  </si>
  <si>
    <t>Client-side bandwidth causing response delays</t>
  </si>
  <si>
    <t>AYA-192</t>
  </si>
  <si>
    <t>Saturn Labs</t>
  </si>
  <si>
    <t>Egocentric (first-person) monocular RGB video &gt; 3D hand (MediaPipe-21) + SMPL+H upper-body/pelvis keypoints in pelvis/world frame; annotation + interpolation + QC; end-to-end delivery including post-processing + JSON schema.</t>
  </si>
  <si>
    <t>Video keypoint tracking (2D), interpolation, 3D reconstruction/lifting, world/pelvis frame alignment</t>
  </si>
  <si>
    <t>PoC: 4–5 min clips @ 10fps sampling; Production target discussed: ~10–100 hrs/day, 6+ months (exact volumes TBD).</t>
  </si>
  <si>
    <t>PoC</t>
  </si>
  <si>
    <t>Monocular RGB makes metric 3D inherently model-driven; need stable 2D &gt; 3D pipeline (EgoAllo/EgoPoser-class) + world/pelvis alignment; QC-on-all-interpolated-frames not scalable at high volumes; need agreed acceptance/quality framework and output schema.</t>
  </si>
  <si>
    <t>Get feedback on sample outputs; confirm production sampling rate (every 5th vs 10th frame) + QC policy; finalize JSON schema + QA/rework rules; engage experienced 3D pose/SMPL consultant to de-risk pipeline; convert to paid pilot/SOW.</t>
  </si>
  <si>
    <t>Need stable 2D &gt; 3D pipeline; QC scalability concerns</t>
  </si>
  <si>
    <t>AYA-193</t>
  </si>
  <si>
    <t>AGADA Medical</t>
  </si>
  <si>
    <t>Spine-centric pre-op CT ground truth: segment &amp; label each vertebra (T1–S1) + pelvis (Left Pelvis, Right Pelvis, Sacrum). Output NIfTI segmentation masks. Automation-assisted start + radiologist review/adjudication (not fully automated; do not use client tool Aprevo).</t>
  </si>
  <si>
    <t>Medical imaging segmentation (CT) + radiologist QA/adjudication</t>
  </si>
  <si>
    <t>50–150 CT studies; first 10 ASAP (target by 11-Feb)</t>
  </si>
  <si>
    <t>Budget not defined; aggressive timeline for first 10; need to align label taxonomy/naming conventions + NIfTI specifics (orientation/multi-label encoding) + data transfer/security</t>
  </si>
  <si>
    <t>Schedule scoping call (Michael to coordinate); confirm workflow + QA criteria + delivery plan for first 10; request sample dataset + any reference outputs; share commercial proposal + SOW/MSA</t>
  </si>
  <si>
    <t>Budget not defined; aggressive timeline</t>
  </si>
  <si>
    <t>Alegion - DMS Data Collection and Annotation</t>
  </si>
  <si>
    <t>DMS Data Collection and Annotation</t>
  </si>
  <si>
    <t>End-to-end data collection, annotation, and platform provisioning for an automotive-grade Driver Monitoring System dataset, covering diverse behaviors, demographics, environments, and vehicle types.</t>
  </si>
  <si>
    <t>Video Annotation – Bounding Boxes (Object Detection), Facial Keypoints (eyes, nose, mouth), Classifi</t>
  </si>
  <si>
    <t>Phase 1: ~1,000 hours of video; Phase 2: TBC (expanded dataset)</t>
  </si>
  <si>
    <t>- Data Collection of Staged Dataset Complexity and Cost Implications
- Pricing for Data Collection of Staged Dataset
- Alignment required on final taxonomy priorities 
- Dataset sizing for Phase 2
- Contract/SOW approval</t>
  </si>
  <si>
    <t>Deliver sample videos + annotated samples to Alegion; validate workflow; propose Low/Mid/High budget options; align on Phase 1 scope to close</t>
  </si>
  <si>
    <t>Alegion - B&amp;F Images</t>
  </si>
  <si>
    <t>B&amp;F Images</t>
  </si>
  <si>
    <t>Large-scale QA of paired/layered photography across 5 categories (A-E) to ensure technical &amp; creative spec compliance.</t>
  </si>
  <si>
    <t>Image QA / Auditing (Visual Consistency, IP/Safety, Metadata)</t>
  </si>
  <si>
    <t>10,000,000 images (annual)</t>
  </si>
  <si>
    <t>High rejection risk; 100% audit on pilot with a strict 95% compliance threshold.</t>
  </si>
  <si>
    <t>Execute 1,000 image set Pilot; align on requirements internally and per image set rate.</t>
  </si>
  <si>
    <t>Alegion - MEP Domain Experts</t>
  </si>
  <si>
    <t>MEP Domain Experts</t>
  </si>
  <si>
    <t>High-accuracy data extraction and validation of MEP (Mechanical, Electrical, Plumbing) product models and construction docs.</t>
  </si>
  <si>
    <t>Text Annotation / Data Extraction (Product SKUs, BIM assets, Technical Sheets)</t>
  </si>
  <si>
    <t>750 - 1,000 hours monthly
at $25/hr minimum
= $18,750/ month
6 months = $112,500</t>
  </si>
  <si>
    <t>Highly specialized profile requirement (Civil/Mech/Elec Engineers); generic annotators not accepted.</t>
  </si>
  <si>
    <t>Confirm availability of engineering profiles and provide hourly pricing to Beverly Woon.</t>
  </si>
  <si>
    <t>AYA-124</t>
  </si>
  <si>
    <t>FastLabel (Autonomous Driving)</t>
  </si>
  <si>
    <t>Autonomous driving data involving semantic segmentation and 3D point cloud tracking.</t>
  </si>
  <si>
    <t>2D Semantic Segmentation &amp; 3D Polylines/Polygons</t>
  </si>
  <si>
    <t>Annual 2D (semantic segmentation) is 10K~15K frames.
Annual 3D (polylines and polygons) is 250K~600K frames with continuous point cloud tracking every 200 frames and dynamic object tracking.</t>
  </si>
  <si>
    <t>Identify "Bad Data" (Lidar miscalibration, time jumps, lens occlusion); Office-only work.
No Outsourcing.</t>
  </si>
  <si>
    <t>Confirm capacity/constraints and office-work capability to FastLabel.</t>
  </si>
  <si>
    <t>AFRIQOM</t>
  </si>
  <si>
    <t>Resuming last week on January</t>
  </si>
  <si>
    <t>Sunrise Robotics*</t>
  </si>
  <si>
    <t>Annotation of real world PCBs
Likelyhood of working on 6D annotation</t>
  </si>
  <si>
    <t>1000-1500</t>
  </si>
  <si>
    <t>Client is currently collecting and preparing the dataset</t>
  </si>
  <si>
    <t>Receiving Guildelines and Dataset for POC</t>
  </si>
  <si>
    <t>Desteia</t>
  </si>
  <si>
    <t>File Extraction/Classification</t>
  </si>
  <si>
    <t>InDrive</t>
  </si>
  <si>
    <t>INBOUND LEADS PROGRESSION</t>
  </si>
  <si>
    <t>JAN 2026 - DEC 2026</t>
  </si>
  <si>
    <t>Services</t>
  </si>
  <si>
    <t>Jan</t>
  </si>
  <si>
    <t>Feb</t>
  </si>
  <si>
    <t>Mar</t>
  </si>
  <si>
    <t>Apr</t>
  </si>
  <si>
    <t>May</t>
  </si>
  <si>
    <t>Jun</t>
  </si>
  <si>
    <t xml:space="preserve">July </t>
  </si>
  <si>
    <t>August</t>
  </si>
  <si>
    <t>Sept</t>
  </si>
  <si>
    <t>Oct</t>
  </si>
  <si>
    <t>Nov</t>
  </si>
  <si>
    <t>Dec</t>
  </si>
  <si>
    <t>Total (YTD)</t>
  </si>
  <si>
    <t>Q1 Total</t>
  </si>
  <si>
    <t>% of Q1 total</t>
  </si>
  <si>
    <t>Q2 Total</t>
  </si>
  <si>
    <t>Q2 (% of total)</t>
  </si>
  <si>
    <t>Q3 Total</t>
  </si>
  <si>
    <t>Q3 (% of total)</t>
  </si>
  <si>
    <t>Q4 Total</t>
  </si>
  <si>
    <t>Q4 (% of total)</t>
  </si>
  <si>
    <t>2026 - YTD</t>
  </si>
  <si>
    <t>2026 (% of Total)</t>
  </si>
  <si>
    <t>AI Solutions/Agentic</t>
  </si>
  <si>
    <t>Data Acquisition</t>
  </si>
  <si>
    <t>Partnership</t>
  </si>
  <si>
    <t>Total (Monthly)</t>
  </si>
  <si>
    <t>YoY%</t>
  </si>
  <si>
    <t>OCT 2024-DEC 2025</t>
  </si>
  <si>
    <t>2025 - YTD</t>
  </si>
  <si>
    <t>2025 (% of Total)</t>
  </si>
  <si>
    <t>Agentic AI</t>
  </si>
  <si>
    <t>HOW TO USE THIS CRM SYSTEM</t>
  </si>
  <si>
    <t>THE THREE-TAB FLOW</t>
  </si>
  <si>
    <t xml:space="preserve">  •  Every lead starts in Tab 1 (Inbound Leads). A Lead ID is auto-generated when you enter a first name.</t>
  </si>
  <si>
    <t xml:space="preserve">  •  After a discovery call, the lead score auto-calculates. The "Discovery Complete?" column flags missing info.</t>
  </si>
  <si>
    <t xml:space="preserve">  •  When Stage = "Move to Scoping", create a new row in Tab 2 (Scoping &amp; Pipeline) using the same Lead ID.</t>
  </si>
  <si>
    <t xml:space="preserve">  •  In Tab 2, track the scoping process, PoC, and commercial negotiation.</t>
  </si>
  <si>
    <t xml:space="preserve">  •  When a deal reaches "Pilot Approved" or later, add it to Tab 3 (Weighted Pipeline) with probability weighting.</t>
  </si>
  <si>
    <t xml:space="preserve">  •  Tab 3 gives you real-time weighted revenue, monthly projections, and a snapshot of your committed pipeline.</t>
  </si>
  <si>
    <t>TAB 1: INBOUND LEADS — KEY RULES</t>
  </si>
  <si>
    <t xml:space="preserve">  •  Columns A–J are filled from the inbound form (or manually for partner intros). All asterisked fields are required.</t>
  </si>
  <si>
    <t xml:space="preserve">  •  Columns K–P are filled after first contact/triage. Assign an owner immediately.</t>
  </si>
  <si>
    <t xml:space="preserve">  •  Columns Q–X are filled AFTER the discovery call. The system flags incomplete discovery data with ⚠ warnings.</t>
  </si>
  <si>
    <t xml:space="preserve">  •  Lead Score (0-100) auto-calculates from: Service Line Fit (25pts), Project Clarity + Volume (20pts), Budget (20pts), Company (15pts), Urgency (10pts), Decision Maker (10pts).</t>
  </si>
  <si>
    <t xml:space="preserve">  •  Grades: A (75-100) = Hot, pursue immediately. B (50-74) = Warm. C (25-49) = Nurture. D (0-24) = Low priority.</t>
  </si>
  <si>
    <t xml:space="preserve">  •  A lead CANNOT move to scoping unless Discovery Complete shows "✓ Complete". This is your stage gate.</t>
  </si>
  <si>
    <t>TAB 2: SCOPING &amp; PIPELINE — KEY RULES</t>
  </si>
  <si>
    <t xml:space="preserve">  •  Always use the same Lead ID from Tab 1 so you can trace the full journey.</t>
  </si>
  <si>
    <t xml:space="preserve">  •  "Days in Scoping" auto-calculates. If &gt;30 days, it flags red — investigate the blocker.</t>
  </si>
  <si>
    <t xml:space="preserve">  •  PoC section: track whether a PoC was required, dates, outcome, and client feedback.</t>
  </si>
  <si>
    <t xml:space="preserve">  •  The Pipeline Stage dropdown reflects where this deal sits: Scoping → PoC → Pilot Approved → SOW → Production.</t>
  </si>
  <si>
    <t xml:space="preserve">  •  ALWAYS fill the "Blockers" and "Next Steps" columns. These drive the weekly pipeline review.</t>
  </si>
  <si>
    <t>TAB 3: WEIGHTED PIPELINE — KEY RULES</t>
  </si>
  <si>
    <t xml:space="preserve">  •  Only add deals here that have reached Pilot Approved or beyond.</t>
  </si>
  <si>
    <t xml:space="preserve">  •  Win Probability should reflect YOUR honest assessment: 10% = long shot, 50% = coin flip, 90% = near certain.</t>
  </si>
  <si>
    <t xml:space="preserve">  •  Weighted Value auto-calculates: Deal Value × Win Probability. This is what you can "bank on".</t>
  </si>
  <si>
    <t xml:space="preserve">  •  Monthly Revenue auto-calculates: Deal Value ÷ Duration. Useful for cash flow planning.</t>
  </si>
  <si>
    <t xml:space="preserve">  •  The summary KPIs at the top auto-update: Total Pipeline, Weighted Pipeline, Deal Count, Avg Size, Avg Probability.</t>
  </si>
  <si>
    <t xml:space="preserve">  •  Update "Last Updated" weekly. Stale entries (&gt;2 weeks) should be reviewed in pipeline huddles.</t>
  </si>
  <si>
    <t>WEEKLY PIPELINE REVIEW AGENDA (30 MIN)</t>
  </si>
  <si>
    <t xml:space="preserve">  •  1. Review Tab 1: Any Grade A leads without a discovery call? Any leads stalled at "Contacted"?</t>
  </si>
  <si>
    <t xml:space="preserve">  •  2. Review Tab 2: Any deals &gt;30 days in scoping? Any PoCs with no outcome recorded?</t>
  </si>
  <si>
    <t xml:space="preserve">  •  3. Review Tab 3: Update probabilities. Remove dead deals. Add new Pilot Approved deals.</t>
  </si>
  <si>
    <t xml:space="preserve">  •  4. Check the Weighted Pipeline total vs. monthly revenue target. Are you on track?</t>
  </si>
  <si>
    <t xml:space="preserve">  •  5. Assign specific next actions with dates for each stalled deal.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</si>
</sst>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
    <numFmt numFmtId="166" formatCode="0.0"/>
    <numFmt numFmtId="167" formatCode="yyyy\-mm\-dd"/>
    <numFmt numFmtId="168" formatCode="yyyy&quot;-&quot;m&quot;-&quot;d"/>
    <numFmt numFmtId="169" formatCode="dd/mm/yyyy"/>
    <numFmt numFmtId="170" formatCode="yyyy&quot;-&quot;mm&quot;-&quot;d"/>
    <numFmt numFmtId="171" formatCode="[$$-409]#,##0"/>
  </numFmts>
  <fonts count="46">
    <font>
      <sz val="11.0"/>
      <color theme="1"/>
      <name val="Calibri"/>
      <scheme val="minor"/>
    </font>
    <font>
      <b/>
      <sz val="16.0"/>
      <color rgb="FFFFFFFF"/>
      <name val="Arial"/>
    </font>
    <font/>
    <font>
      <sz val="9.0"/>
      <color theme="1"/>
      <name val="Calibri"/>
    </font>
    <font>
      <i/>
      <sz val="9.0"/>
      <color rgb="FFFFFFFF"/>
      <name val="Arial"/>
    </font>
    <font>
      <b/>
      <sz val="12.0"/>
      <color rgb="FFFFFFFF"/>
      <name val="Arial"/>
    </font>
    <font>
      <b/>
      <sz val="10.0"/>
      <color rgb="FFFFFFFF"/>
      <name val="Arial"/>
    </font>
    <font>
      <b/>
      <sz val="11.0"/>
      <color rgb="FF1B2A4A"/>
      <name val="Arial"/>
    </font>
    <font>
      <b/>
      <sz val="20.0"/>
      <color rgb="FF1B2A4A"/>
      <name val="Arial"/>
    </font>
    <font>
      <sz val="9.0"/>
      <color rgb="FF888888"/>
      <name val="Arial"/>
    </font>
    <font>
      <b/>
      <sz val="9.0"/>
      <color rgb="FFFFFFFF"/>
      <name val="Arial"/>
    </font>
    <font>
      <b/>
      <sz val="9.0"/>
      <color rgb="FF1B2A4A"/>
      <name val="Arial"/>
    </font>
    <font>
      <sz val="9.0"/>
      <color rgb="FF4A4A4A"/>
      <name val="Arial"/>
    </font>
    <font>
      <color theme="1"/>
      <name val="Calibri"/>
      <scheme val="minor"/>
    </font>
    <font>
      <b/>
      <sz val="9.0"/>
      <color rgb="FF4A4A4A"/>
      <name val="Arial"/>
    </font>
    <font>
      <sz val="11.0"/>
      <color theme="1"/>
      <name val="Calibri"/>
    </font>
    <font>
      <i/>
      <sz val="9.0"/>
      <color rgb="FF888888"/>
      <name val="Arial"/>
    </font>
    <font>
      <b/>
      <sz val="10.0"/>
      <color rgb="FF1B2A4A"/>
      <name val="Arial"/>
    </font>
    <font>
      <b/>
      <sz val="14.0"/>
      <color rgb="FFFFFFFF"/>
      <name val="Arial"/>
    </font>
    <font>
      <sz val="9.0"/>
      <color rgb="FFFFFFFF"/>
      <name val="Arial"/>
    </font>
    <font>
      <i/>
      <sz val="9.0"/>
      <color rgb="FF000000"/>
      <name val="Arial"/>
    </font>
    <font>
      <i/>
      <sz val="10.0"/>
      <color rgb="FF888888"/>
      <name val="Arial"/>
    </font>
    <font>
      <b/>
      <sz val="10.0"/>
      <color rgb="FF3A7CA5"/>
      <name val="Arial"/>
    </font>
    <font>
      <sz val="10.0"/>
      <color rgb="FF000000"/>
      <name val="Arial"/>
    </font>
    <font>
      <sz val="10.0"/>
      <color rgb="FF333333"/>
      <name val="Arial"/>
    </font>
    <font>
      <b/>
      <sz val="12.0"/>
      <color rgb="FF1B2A4A"/>
      <name val="Arial"/>
    </font>
    <font>
      <sz val="9.0"/>
      <color rgb="FF333333"/>
      <name val="Arial"/>
    </font>
    <font>
      <sz val="10.0"/>
      <color rgb="FF2471A3"/>
      <name val="Arial"/>
    </font>
    <font>
      <sz val="10.0"/>
      <color theme="1"/>
      <name val="Arial"/>
    </font>
    <font>
      <sz val="11.0"/>
      <color rgb="FF333333"/>
      <name val="Arial"/>
    </font>
    <font>
      <color theme="1"/>
      <name val="Arial"/>
    </font>
    <font>
      <sz val="9.0"/>
      <color theme="1"/>
      <name val="Arial"/>
    </font>
    <font>
      <sz val="11.0"/>
      <color theme="1"/>
      <name val="Arial"/>
    </font>
    <font>
      <sz val="10.0"/>
      <color rgb="FF434343"/>
      <name val="Arial"/>
    </font>
    <font>
      <b/>
      <sz val="9.0"/>
      <color rgb="FF3A7CA5"/>
      <name val="Arial"/>
    </font>
    <font>
      <sz val="9.0"/>
      <color rgb="FF000000"/>
      <name val="Arial"/>
    </font>
    <font>
      <u/>
      <sz val="10.0"/>
      <color theme="1"/>
      <name val="Arial"/>
    </font>
    <font>
      <b/>
      <sz val="11.0"/>
      <color rgb="FFFFFFFF"/>
      <name val="Arial"/>
    </font>
    <font>
      <i/>
      <sz val="9.0"/>
      <color rgb="FF666666"/>
      <name val="Arial"/>
    </font>
    <font>
      <b/>
      <sz val="10.0"/>
      <color rgb="FF0000FF"/>
      <name val="Arial"/>
    </font>
    <font>
      <b/>
      <sz val="10.0"/>
      <color rgb="FF333333"/>
      <name val="Arial"/>
    </font>
    <font>
      <b/>
      <sz val="11.0"/>
      <color rgb="FF333333"/>
      <name val="Arial"/>
    </font>
    <font>
      <b/>
      <sz val="14.0"/>
      <color theme="1"/>
      <name val="Onest"/>
    </font>
    <font>
      <color theme="1"/>
      <name val="Onest"/>
    </font>
    <font>
      <b/>
      <color theme="1"/>
      <name val="Onest"/>
    </font>
    <font>
      <sz val="10.0"/>
      <color theme="1"/>
      <name val="Onest"/>
    </font>
  </fonts>
  <fills count="34">
    <fill>
      <patternFill patternType="none"/>
    </fill>
    <fill>
      <patternFill patternType="lightGray"/>
    </fill>
    <fill>
      <patternFill patternType="solid">
        <fgColor rgb="FF1B2A4A"/>
        <bgColor rgb="FF1B2A4A"/>
      </patternFill>
    </fill>
    <fill>
      <patternFill patternType="solid">
        <fgColor rgb="FF2C3E6B"/>
        <bgColor rgb="FF2C3E6B"/>
      </patternFill>
    </fill>
    <fill>
      <patternFill patternType="solid">
        <fgColor rgb="FFE8F0FE"/>
        <bgColor rgb="FFE8F0FE"/>
      </patternFill>
    </fill>
    <fill>
      <patternFill patternType="solid">
        <fgColor rgb="FFFFFFFF"/>
        <bgColor rgb="FFFFFFFF"/>
      </patternFill>
    </fill>
    <fill>
      <patternFill patternType="solid">
        <fgColor rgb="FF3A7CA5"/>
        <bgColor rgb="FF3A7CA5"/>
      </patternFill>
    </fill>
    <fill>
      <patternFill patternType="solid">
        <fgColor rgb="FFFFF3CD"/>
        <bgColor rgb="FFFFF3CD"/>
      </patternFill>
    </fill>
    <fill>
      <patternFill patternType="solid">
        <fgColor rgb="FFD4EDDA"/>
        <bgColor rgb="FFD4EDDA"/>
      </patternFill>
    </fill>
    <fill>
      <patternFill patternType="solid">
        <fgColor rgb="FFF8D7DA"/>
        <bgColor rgb="FFF8D7DA"/>
      </patternFill>
    </fill>
    <fill>
      <patternFill patternType="solid">
        <fgColor rgb="FF1A5276"/>
        <bgColor rgb="FF1A5276"/>
      </patternFill>
    </fill>
    <fill>
      <patternFill patternType="solid">
        <fgColor rgb="FF1E8449"/>
        <bgColor rgb="FF1E8449"/>
      </patternFill>
    </fill>
    <fill>
      <patternFill patternType="solid">
        <fgColor rgb="FFB7950B"/>
        <bgColor rgb="FFB7950B"/>
      </patternFill>
    </fill>
    <fill>
      <patternFill patternType="solid">
        <fgColor rgb="FF922B21"/>
        <bgColor rgb="FF922B21"/>
      </patternFill>
    </fill>
    <fill>
      <patternFill patternType="solid">
        <fgColor rgb="FF7D3C98"/>
        <bgColor rgb="FF7D3C98"/>
      </patternFill>
    </fill>
    <fill>
      <patternFill patternType="solid">
        <fgColor rgb="FF2471A3"/>
        <bgColor rgb="FF2471A3"/>
      </patternFill>
    </fill>
    <fill>
      <patternFill patternType="solid">
        <fgColor rgb="FF27AE60"/>
        <bgColor rgb="FF27AE60"/>
      </patternFill>
    </fill>
    <fill>
      <patternFill patternType="solid">
        <fgColor rgb="FFD4AC0D"/>
        <bgColor rgb="FFD4AC0D"/>
      </patternFill>
    </fill>
    <fill>
      <patternFill patternType="solid">
        <fgColor rgb="FFC0392B"/>
        <bgColor rgb="FFC0392B"/>
      </patternFill>
    </fill>
    <fill>
      <patternFill patternType="solid">
        <fgColor rgb="FFF5F5F5"/>
        <bgColor rgb="FFF5F5F5"/>
      </patternFill>
    </fill>
    <fill>
      <patternFill patternType="solid">
        <fgColor rgb="FFFAFBFC"/>
        <bgColor rgb="FFFAFBFC"/>
      </patternFill>
    </fill>
    <fill>
      <patternFill patternType="solid">
        <fgColor rgb="FFF8F9FA"/>
        <bgColor rgb="FFF8F9FA"/>
      </patternFill>
    </fill>
    <fill>
      <patternFill patternType="solid">
        <fgColor theme="6"/>
        <bgColor theme="6"/>
      </patternFill>
    </fill>
    <fill>
      <patternFill patternType="solid">
        <fgColor rgb="FF1B6B4A"/>
        <bgColor rgb="FF1B6B4A"/>
      </patternFill>
    </fill>
    <fill>
      <patternFill patternType="solid">
        <fgColor rgb="FF8B4513"/>
        <bgColor rgb="FF8B4513"/>
      </patternFill>
    </fill>
    <fill>
      <patternFill patternType="solid">
        <fgColor rgb="FF4A1B2A"/>
        <bgColor rgb="FF4A1B2A"/>
      </patternFill>
    </fill>
    <fill>
      <patternFill patternType="solid">
        <fgColor rgb="FFF5E6C8"/>
        <bgColor rgb="FFF5E6C8"/>
      </patternFill>
    </fill>
    <fill>
      <patternFill patternType="solid">
        <fgColor rgb="FFF9CB9C"/>
        <bgColor rgb="FFF9CB9C"/>
      </patternFill>
    </fill>
    <fill>
      <patternFill patternType="solid">
        <fgColor rgb="FFD0E0E3"/>
        <bgColor rgb="FFD0E0E3"/>
      </patternFill>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
      <patternFill patternType="solid">
        <fgColor rgb="FFEFEFEF"/>
        <bgColor rgb="FFEFEFEF"/>
      </patternFill>
    </fill>
    <fill>
      <patternFill patternType="solid">
        <fgColor rgb="FFF3F3F3"/>
        <bgColor rgb="FFF3F3F3"/>
      </patternFill>
    </fill>
  </fills>
  <borders count="33">
    <border/>
    <border>
      <left/>
      <top/>
      <bottom/>
    </border>
    <border>
      <top/>
      <bottom/>
    </border>
    <border>
      <right/>
      <top/>
      <bottom/>
    </border>
    <border>
      <left/>
      <top/>
      <bottom style="thin">
        <color rgb="FFD0D0D0"/>
      </bottom>
    </border>
    <border>
      <top/>
      <bottom style="thin">
        <color rgb="FFD0D0D0"/>
      </bottom>
    </border>
    <border>
      <right/>
      <top/>
      <bottom style="thin">
        <color rgb="FFD0D0D0"/>
      </bottom>
    </border>
    <border>
      <left/>
      <right/>
      <top/>
      <bottom/>
    </border>
    <border>
      <left style="medium">
        <color rgb="FF3A7CA5"/>
      </left>
      <right style="medium">
        <color rgb="FF3A7CA5"/>
      </right>
      <top style="medium">
        <color rgb="FF3A7CA5"/>
      </top>
      <bottom style="medium">
        <color rgb="FF3A7CA5"/>
      </bottom>
    </border>
    <border>
      <left style="thin">
        <color rgb="FFD0D0D0"/>
      </left>
      <top style="thin">
        <color rgb="FFD0D0D0"/>
      </top>
      <bottom/>
    </border>
    <border>
      <right/>
      <top style="thin">
        <color rgb="FFD0D0D0"/>
      </top>
      <bottom/>
    </border>
    <border>
      <left/>
      <top style="medium">
        <color rgb="FF3A7CA5"/>
      </top>
      <bottom style="thick">
        <color rgb="FF1B2A4A"/>
      </bottom>
    </border>
    <border>
      <right/>
      <top style="medium">
        <color rgb="FF3A7CA5"/>
      </top>
      <bottom style="thick">
        <color rgb="FF1B2A4A"/>
      </bottom>
    </border>
    <border>
      <left style="thin">
        <color rgb="FFD0D0D0"/>
      </left>
      <right style="thin">
        <color rgb="FFD0D0D0"/>
      </right>
      <top style="thin">
        <color rgb="FFD0D0D0"/>
      </top>
      <bottom style="thin">
        <color rgb="FFD0D0D0"/>
      </bottom>
    </border>
    <border>
      <left style="thin">
        <color rgb="FFD0D0D0"/>
      </left>
      <right style="thin">
        <color rgb="FFD0D0D0"/>
      </right>
      <top style="thin">
        <color rgb="FFD0D0D0"/>
      </top>
      <bottom/>
    </border>
    <border>
      <bottom style="thick">
        <color rgb="FF1B2A4A"/>
      </bottom>
    </border>
    <border>
      <top style="thin">
        <color rgb="FFD0D0D0"/>
      </top>
      <bottom style="thick">
        <color rgb="FF1B2A4A"/>
      </bottom>
    </border>
    <border>
      <top style="thin">
        <color rgb="FFD0D0D0"/>
      </top>
    </border>
    <border>
      <left style="thin">
        <color rgb="FF999999"/>
      </left>
      <right style="thin">
        <color rgb="FF999999"/>
      </right>
      <top style="thin">
        <color rgb="FF999999"/>
      </top>
      <bottom style="thin">
        <color rgb="FF999999"/>
      </bottom>
    </border>
    <border>
      <left style="thin">
        <color rgb="FFD0D0D0"/>
      </left>
      <right/>
      <top style="thin">
        <color rgb="FFD0D0D0"/>
      </top>
      <bottom style="thin">
        <color rgb="FFD0D0D0"/>
      </bottom>
    </border>
    <border>
      <left style="thin">
        <color rgb="FFD0D0D0"/>
      </left>
      <right style="thin">
        <color rgb="FFD0D0D0"/>
      </right>
      <top style="thin">
        <color rgb="FFD0D0D0"/>
      </top>
    </border>
    <border>
      <left style="thin">
        <color rgb="FFD0D0D0"/>
      </left>
      <right style="thin">
        <color rgb="FFD0D0D0"/>
      </right>
      <bottom style="thin">
        <color rgb="FFD0D0D0"/>
      </bottom>
    </border>
    <border>
      <left style="thin">
        <color rgb="FFD0D0D0"/>
      </left>
      <right/>
      <bottom style="thin">
        <color rgb="FFD0D0D0"/>
      </bottom>
    </border>
    <border>
      <left style="thin">
        <color rgb="FFD0D0D0"/>
      </left>
      <right/>
      <top style="thin">
        <color rgb="FFD0D0D0"/>
      </top>
      <bottom/>
    </border>
    <border>
      <left style="thin">
        <color rgb="FFD0D0D0"/>
      </left>
      <right style="thin">
        <color rgb="FFD0D0D0"/>
      </right>
      <top/>
      <bottom style="thin">
        <color rgb="FFD0D0D0"/>
      </bottom>
    </border>
    <border>
      <right style="thin">
        <color rgb="FFD0D0D0"/>
      </right>
      <bottom style="thin">
        <color rgb="FFD0D0D0"/>
      </bottom>
    </border>
    <border>
      <left style="thin">
        <color rgb="FFD0D0D0"/>
      </left>
      <bottom style="thin">
        <color rgb="FFD0D0D0"/>
      </bottom>
    </border>
    <border>
      <right style="thin">
        <color rgb="FFD0D0D0"/>
      </right>
      <top style="thin">
        <color rgb="FFD0D0D0"/>
      </top>
      <bottom style="thin">
        <color rgb="FFD0D0D0"/>
      </bottom>
    </border>
    <border>
      <left style="thin">
        <color rgb="FFD0D0D0"/>
      </left>
      <top style="thin">
        <color rgb="FFD0D0D0"/>
      </top>
      <bottom style="thin">
        <color rgb="FFD0D0D0"/>
      </bottom>
    </border>
    <border>
      <right style="thin">
        <color rgb="FFD0D0D0"/>
      </right>
      <top style="thin">
        <color rgb="FFD0D0D0"/>
      </top>
    </border>
    <border>
      <left style="thin">
        <color rgb="FFD0D0D0"/>
      </left>
      <top style="thin">
        <color rgb="FFD0D0D0"/>
      </top>
    </border>
    <border>
      <top style="thin">
        <color rgb="FFD0D0D0"/>
      </top>
      <bottom style="thin">
        <color rgb="FFD0D0D0"/>
      </bottom>
    </border>
    <border>
      <right/>
      <top style="thin">
        <color rgb="FFD0D0D0"/>
      </top>
      <bottom style="thin">
        <color rgb="FFD0D0D0"/>
      </bottom>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vertical="center"/>
    </xf>
    <xf borderId="4" fillId="3" fontId="5" numFmtId="0" xfId="0" applyAlignment="1" applyBorder="1" applyFont="1">
      <alignment horizontal="left" vertical="center"/>
    </xf>
    <xf borderId="5" fillId="0" fontId="2" numFmtId="0" xfId="0" applyBorder="1" applyFont="1"/>
    <xf borderId="6" fillId="0" fontId="2" numFmtId="0" xfId="0" applyBorder="1" applyFont="1"/>
    <xf borderId="7" fillId="3" fontId="5" numFmtId="0" xfId="0" applyAlignment="1" applyBorder="1" applyFont="1">
      <alignment horizontal="left" vertical="center"/>
    </xf>
    <xf borderId="7" fillId="3" fontId="6" numFmtId="0" xfId="0" applyAlignment="1" applyBorder="1" applyFont="1">
      <alignment horizontal="right" vertical="center"/>
    </xf>
    <xf borderId="8" fillId="4" fontId="7" numFmtId="0" xfId="0" applyAlignment="1" applyBorder="1" applyFill="1" applyFont="1">
      <alignment horizontal="center" readingOrder="0" vertical="center"/>
    </xf>
    <xf borderId="9" fillId="4" fontId="8" numFmtId="3" xfId="0" applyAlignment="1" applyBorder="1" applyFont="1" applyNumberFormat="1">
      <alignment horizontal="center" shrinkToFit="0" vertical="center" wrapText="1"/>
    </xf>
    <xf borderId="10" fillId="0" fontId="2" numFmtId="0" xfId="0" applyBorder="1" applyFont="1"/>
    <xf borderId="9" fillId="4" fontId="8" numFmtId="164" xfId="0" applyAlignment="1" applyBorder="1" applyFont="1" applyNumberFormat="1">
      <alignment horizontal="center" shrinkToFit="0" vertical="center" wrapText="1"/>
    </xf>
    <xf borderId="9" fillId="4" fontId="8" numFmtId="9" xfId="0" applyAlignment="1" applyBorder="1" applyFont="1" applyNumberFormat="1">
      <alignment horizontal="center" shrinkToFit="0" vertical="center" wrapText="1"/>
    </xf>
    <xf borderId="9" fillId="4" fontId="8" numFmtId="165" xfId="0" applyAlignment="1" applyBorder="1" applyFont="1" applyNumberFormat="1">
      <alignment horizontal="center" shrinkToFit="0" vertical="center" wrapText="1"/>
    </xf>
    <xf borderId="9" fillId="4" fontId="8" numFmtId="1" xfId="0" applyAlignment="1" applyBorder="1" applyFont="1" applyNumberFormat="1">
      <alignment horizontal="center" shrinkToFit="0" vertical="center" wrapText="1"/>
    </xf>
    <xf borderId="11" fillId="5" fontId="9" numFmtId="0" xfId="0" applyAlignment="1" applyBorder="1" applyFill="1" applyFont="1">
      <alignment horizontal="center" shrinkToFit="0" vertical="center" wrapText="1"/>
    </xf>
    <xf borderId="12" fillId="0" fontId="2" numFmtId="0" xfId="0" applyBorder="1" applyFont="1"/>
    <xf borderId="1" fillId="2" fontId="5" numFmtId="0" xfId="0" applyAlignment="1" applyBorder="1" applyFont="1">
      <alignment horizontal="left" vertical="center"/>
    </xf>
    <xf borderId="13" fillId="6" fontId="10" numFmtId="0" xfId="0" applyAlignment="1" applyBorder="1" applyFill="1" applyFont="1">
      <alignment horizontal="center" shrinkToFit="0" vertical="center" wrapText="1"/>
    </xf>
    <xf borderId="13" fillId="5" fontId="11" numFmtId="0" xfId="0" applyAlignment="1" applyBorder="1" applyFont="1">
      <alignment horizontal="center" shrinkToFit="0" vertical="center" wrapText="1"/>
    </xf>
    <xf borderId="13" fillId="5" fontId="12" numFmtId="3" xfId="0" applyAlignment="1" applyBorder="1" applyFont="1" applyNumberFormat="1">
      <alignment horizontal="center" shrinkToFit="0" vertical="center" wrapText="1"/>
    </xf>
    <xf borderId="13" fillId="4" fontId="11" numFmtId="0" xfId="0" applyAlignment="1" applyBorder="1" applyFont="1">
      <alignment horizontal="center" shrinkToFit="0" vertical="center" wrapText="1"/>
    </xf>
    <xf borderId="13" fillId="4" fontId="12" numFmtId="3" xfId="0" applyAlignment="1" applyBorder="1" applyFont="1" applyNumberFormat="1">
      <alignment horizontal="center" shrinkToFit="0" vertical="center" wrapText="1"/>
    </xf>
    <xf borderId="0" fillId="0" fontId="13" numFmtId="14" xfId="0" applyFont="1" applyNumberFormat="1"/>
    <xf borderId="0" fillId="0" fontId="13" numFmtId="0" xfId="0" applyFont="1"/>
    <xf borderId="13" fillId="5" fontId="14" numFmtId="3" xfId="0" applyAlignment="1" applyBorder="1" applyFont="1" applyNumberFormat="1">
      <alignment horizontal="center" shrinkToFit="0" vertical="center" wrapText="1"/>
    </xf>
    <xf borderId="13" fillId="4" fontId="14" numFmtId="3" xfId="0" applyAlignment="1" applyBorder="1" applyFont="1" applyNumberFormat="1">
      <alignment horizontal="center" shrinkToFit="0" vertical="center" wrapText="1"/>
    </xf>
    <xf borderId="14" fillId="4" fontId="11" numFmtId="0" xfId="0" applyAlignment="1" applyBorder="1" applyFont="1">
      <alignment horizontal="center" shrinkToFit="0" vertical="center" wrapText="1"/>
    </xf>
    <xf borderId="14" fillId="4" fontId="14" numFmtId="3" xfId="0" applyAlignment="1" applyBorder="1" applyFont="1" applyNumberFormat="1">
      <alignment horizontal="center" shrinkToFit="0" vertical="center" wrapText="1"/>
    </xf>
    <xf borderId="14" fillId="4" fontId="12" numFmtId="3" xfId="0" applyAlignment="1" applyBorder="1" applyFont="1" applyNumberFormat="1">
      <alignment horizontal="center" shrinkToFit="0" vertical="center" wrapText="1"/>
    </xf>
    <xf borderId="0" fillId="0" fontId="15" numFmtId="0" xfId="0" applyFont="1"/>
    <xf borderId="15" fillId="0" fontId="15" numFmtId="0" xfId="0" applyBorder="1" applyFont="1"/>
    <xf borderId="1" fillId="3" fontId="5" numFmtId="0" xfId="0" applyAlignment="1" applyBorder="1" applyFont="1">
      <alignment horizontal="left" vertical="center"/>
    </xf>
    <xf borderId="13" fillId="5" fontId="12" numFmtId="9" xfId="0" applyAlignment="1" applyBorder="1" applyFont="1" applyNumberFormat="1">
      <alignment horizontal="center" shrinkToFit="0" vertical="center" wrapText="1"/>
    </xf>
    <xf borderId="13" fillId="5" fontId="11" numFmtId="0" xfId="0" applyAlignment="1" applyBorder="1" applyFont="1">
      <alignment horizontal="center" readingOrder="0" shrinkToFit="0" vertical="center" wrapText="1"/>
    </xf>
    <xf borderId="14" fillId="5" fontId="11" numFmtId="0" xfId="0" applyAlignment="1" applyBorder="1" applyFont="1">
      <alignment horizontal="center" shrinkToFit="0" vertical="center" wrapText="1"/>
    </xf>
    <xf borderId="14" fillId="5" fontId="12" numFmtId="3" xfId="0" applyAlignment="1" applyBorder="1" applyFont="1" applyNumberFormat="1">
      <alignment horizontal="center" shrinkToFit="0" vertical="center" wrapText="1"/>
    </xf>
    <xf borderId="14" fillId="5" fontId="12" numFmtId="9" xfId="0" applyAlignment="1" applyBorder="1" applyFont="1" applyNumberFormat="1">
      <alignment horizontal="center" shrinkToFit="0" vertical="center" wrapText="1"/>
    </xf>
    <xf borderId="13" fillId="4" fontId="12" numFmtId="9" xfId="0" applyAlignment="1" applyBorder="1" applyFont="1" applyNumberFormat="1">
      <alignment horizontal="center" shrinkToFit="0" vertical="center" wrapText="1"/>
    </xf>
    <xf borderId="14" fillId="4" fontId="12" numFmtId="9" xfId="0" applyAlignment="1" applyBorder="1" applyFont="1" applyNumberFormat="1">
      <alignment horizontal="center" shrinkToFit="0" vertical="center" wrapText="1"/>
    </xf>
    <xf borderId="16" fillId="0" fontId="15" numFmtId="0" xfId="0" applyBorder="1" applyFont="1"/>
    <xf borderId="13" fillId="7" fontId="11" numFmtId="0" xfId="0" applyAlignment="1" applyBorder="1" applyFill="1" applyFont="1">
      <alignment horizontal="center" shrinkToFit="0" vertical="center" wrapText="1"/>
    </xf>
    <xf borderId="13" fillId="7" fontId="12" numFmtId="3" xfId="0" applyAlignment="1" applyBorder="1" applyFont="1" applyNumberFormat="1">
      <alignment horizontal="center" shrinkToFit="0" vertical="center" wrapText="1"/>
    </xf>
    <xf borderId="13" fillId="7" fontId="12" numFmtId="9" xfId="0" applyAlignment="1" applyBorder="1" applyFont="1" applyNumberFormat="1">
      <alignment horizontal="center" shrinkToFit="0" vertical="center" wrapText="1"/>
    </xf>
    <xf borderId="13" fillId="8" fontId="11" numFmtId="0" xfId="0" applyAlignment="1" applyBorder="1" applyFill="1" applyFont="1">
      <alignment horizontal="center" shrinkToFit="0" vertical="center" wrapText="1"/>
    </xf>
    <xf borderId="13" fillId="8" fontId="12" numFmtId="3" xfId="0" applyAlignment="1" applyBorder="1" applyFont="1" applyNumberFormat="1">
      <alignment horizontal="center" shrinkToFit="0" vertical="center" wrapText="1"/>
    </xf>
    <xf borderId="13" fillId="8" fontId="12" numFmtId="9" xfId="0" applyAlignment="1" applyBorder="1" applyFont="1" applyNumberFormat="1">
      <alignment horizontal="center" shrinkToFit="0" vertical="center" wrapText="1"/>
    </xf>
    <xf borderId="13" fillId="9" fontId="11" numFmtId="0" xfId="0" applyAlignment="1" applyBorder="1" applyFill="1" applyFont="1">
      <alignment horizontal="center" shrinkToFit="0" vertical="center" wrapText="1"/>
    </xf>
    <xf borderId="13" fillId="9" fontId="12" numFmtId="3" xfId="0" applyAlignment="1" applyBorder="1" applyFont="1" applyNumberFormat="1">
      <alignment horizontal="center" shrinkToFit="0" vertical="center" wrapText="1"/>
    </xf>
    <xf borderId="13" fillId="9" fontId="12" numFmtId="9" xfId="0" applyAlignment="1" applyBorder="1" applyFont="1" applyNumberFormat="1">
      <alignment horizontal="center" shrinkToFit="0" vertical="center" wrapText="1"/>
    </xf>
    <xf borderId="14" fillId="9" fontId="11" numFmtId="0" xfId="0" applyAlignment="1" applyBorder="1" applyFont="1">
      <alignment horizontal="center" shrinkToFit="0" vertical="center" wrapText="1"/>
    </xf>
    <xf borderId="14" fillId="9" fontId="12" numFmtId="3" xfId="0" applyAlignment="1" applyBorder="1" applyFont="1" applyNumberFormat="1">
      <alignment horizontal="center" shrinkToFit="0" vertical="center" wrapText="1"/>
    </xf>
    <xf borderId="14" fillId="9" fontId="12" numFmtId="9" xfId="0" applyAlignment="1" applyBorder="1" applyFont="1" applyNumberFormat="1">
      <alignment horizontal="center" shrinkToFit="0" vertical="center" wrapText="1"/>
    </xf>
    <xf borderId="13" fillId="5" fontId="12" numFmtId="166" xfId="0" applyAlignment="1" applyBorder="1" applyFont="1" applyNumberFormat="1">
      <alignment horizontal="center" shrinkToFit="0" vertical="center" wrapText="1"/>
    </xf>
    <xf borderId="13" fillId="5" fontId="12" numFmtId="1" xfId="0" applyAlignment="1" applyBorder="1" applyFont="1" applyNumberFormat="1">
      <alignment horizontal="center" shrinkToFit="0" vertical="center" wrapText="1"/>
    </xf>
    <xf borderId="13" fillId="5" fontId="12" numFmtId="0" xfId="0" applyAlignment="1" applyBorder="1" applyFont="1">
      <alignment horizontal="center" shrinkToFit="0" vertical="center" wrapText="1"/>
    </xf>
    <xf borderId="13" fillId="5" fontId="16" numFmtId="0" xfId="0" applyAlignment="1" applyBorder="1" applyFont="1">
      <alignment horizontal="center" shrinkToFit="0" vertical="center" wrapText="1"/>
    </xf>
    <xf borderId="13" fillId="5" fontId="17" numFmtId="0" xfId="0" applyAlignment="1" applyBorder="1" applyFont="1">
      <alignment horizontal="center" shrinkToFit="0" vertical="center" wrapText="1"/>
    </xf>
    <xf borderId="13" fillId="5" fontId="12" numFmtId="165" xfId="0" applyAlignment="1" applyBorder="1" applyFont="1" applyNumberFormat="1">
      <alignment horizontal="center" shrinkToFit="0" vertical="center" wrapText="1"/>
    </xf>
    <xf borderId="13" fillId="5" fontId="12" numFmtId="167" xfId="0" applyAlignment="1" applyBorder="1" applyFont="1" applyNumberFormat="1">
      <alignment horizontal="center" shrinkToFit="0" vertical="center" wrapText="1"/>
    </xf>
    <xf borderId="13" fillId="4" fontId="17" numFmtId="0" xfId="0" applyAlignment="1" applyBorder="1" applyFont="1">
      <alignment horizontal="center" shrinkToFit="0" vertical="center" wrapText="1"/>
    </xf>
    <xf borderId="13" fillId="4" fontId="12" numFmtId="0" xfId="0" applyAlignment="1" applyBorder="1" applyFont="1">
      <alignment horizontal="center" shrinkToFit="0" vertical="center" wrapText="1"/>
    </xf>
    <xf borderId="13" fillId="4" fontId="12" numFmtId="165" xfId="0" applyAlignment="1" applyBorder="1" applyFont="1" applyNumberFormat="1">
      <alignment horizontal="center" shrinkToFit="0" vertical="center" wrapText="1"/>
    </xf>
    <xf borderId="13" fillId="4" fontId="12" numFmtId="167" xfId="0" applyAlignment="1" applyBorder="1" applyFont="1" applyNumberFormat="1">
      <alignment horizontal="center" shrinkToFit="0" vertical="center" wrapText="1"/>
    </xf>
    <xf borderId="14" fillId="5" fontId="17" numFmtId="0" xfId="0" applyAlignment="1" applyBorder="1" applyFont="1">
      <alignment horizontal="center" shrinkToFit="0" vertical="center" wrapText="1"/>
    </xf>
    <xf borderId="14" fillId="5" fontId="12" numFmtId="0" xfId="0" applyAlignment="1" applyBorder="1" applyFont="1">
      <alignment horizontal="center" shrinkToFit="0" vertical="center" wrapText="1"/>
    </xf>
    <xf borderId="14" fillId="5" fontId="12" numFmtId="165" xfId="0" applyAlignment="1" applyBorder="1" applyFont="1" applyNumberFormat="1">
      <alignment horizontal="center" shrinkToFit="0" vertical="center" wrapText="1"/>
    </xf>
    <xf borderId="14" fillId="5" fontId="12" numFmtId="167" xfId="0" applyAlignment="1" applyBorder="1" applyFont="1" applyNumberFormat="1">
      <alignment horizontal="center" shrinkToFit="0" vertical="center" wrapText="1"/>
    </xf>
    <xf borderId="17" fillId="5" fontId="11" numFmtId="0" xfId="0" applyAlignment="1" applyBorder="1" applyFont="1">
      <alignment horizontal="center" readingOrder="0" shrinkToFit="0" vertical="center" wrapText="1"/>
    </xf>
    <xf borderId="17" fillId="5" fontId="12" numFmtId="3" xfId="0" applyAlignment="1" applyBorder="1" applyFont="1" applyNumberFormat="1">
      <alignment horizontal="center" readingOrder="0" shrinkToFit="0" vertical="center" wrapText="1"/>
    </xf>
    <xf borderId="13" fillId="4" fontId="12" numFmtId="1" xfId="0" applyAlignment="1" applyBorder="1" applyFont="1" applyNumberFormat="1">
      <alignment horizontal="center" shrinkToFit="0" vertical="center" wrapText="1"/>
    </xf>
    <xf borderId="13" fillId="4" fontId="11" numFmtId="0" xfId="0" applyAlignment="1" applyBorder="1" applyFont="1">
      <alignment horizontal="center" readingOrder="0" shrinkToFit="0" vertical="center" wrapText="1"/>
    </xf>
    <xf borderId="13" fillId="8" fontId="11" numFmtId="3" xfId="0" applyAlignment="1" applyBorder="1" applyFont="1" applyNumberFormat="1">
      <alignment horizontal="center" shrinkToFit="0" vertical="center" wrapText="1"/>
    </xf>
    <xf borderId="13" fillId="8" fontId="11" numFmtId="165" xfId="0" applyAlignment="1" applyBorder="1" applyFont="1" applyNumberFormat="1">
      <alignment horizontal="center" shrinkToFit="0" vertical="center" wrapText="1"/>
    </xf>
    <xf borderId="13" fillId="7" fontId="11" numFmtId="3" xfId="0" applyAlignment="1" applyBorder="1" applyFont="1" applyNumberFormat="1">
      <alignment horizontal="center" shrinkToFit="0" vertical="center" wrapText="1"/>
    </xf>
    <xf borderId="13" fillId="7" fontId="11" numFmtId="165" xfId="0" applyAlignment="1" applyBorder="1" applyFont="1" applyNumberFormat="1">
      <alignment horizontal="center" shrinkToFit="0" vertical="center" wrapText="1"/>
    </xf>
    <xf borderId="13" fillId="9" fontId="11" numFmtId="3" xfId="0" applyAlignment="1" applyBorder="1" applyFont="1" applyNumberFormat="1">
      <alignment horizontal="center" shrinkToFit="0" vertical="center" wrapText="1"/>
    </xf>
    <xf borderId="13" fillId="9" fontId="11" numFmtId="165" xfId="0" applyAlignment="1" applyBorder="1" applyFont="1" applyNumberFormat="1">
      <alignment horizontal="center" shrinkToFit="0" vertical="center" wrapText="1"/>
    </xf>
    <xf borderId="13" fillId="4" fontId="17" numFmtId="3" xfId="0" applyAlignment="1" applyBorder="1" applyFont="1" applyNumberFormat="1">
      <alignment horizontal="center" shrinkToFit="0" vertical="center" wrapText="1"/>
    </xf>
    <xf borderId="13" fillId="4" fontId="17" numFmtId="165" xfId="0" applyAlignment="1" applyBorder="1" applyFont="1" applyNumberFormat="1">
      <alignment horizontal="center" shrinkToFit="0" vertical="center" wrapText="1"/>
    </xf>
    <xf borderId="1" fillId="2" fontId="18" numFmtId="0" xfId="0" applyAlignment="1" applyBorder="1" applyFont="1">
      <alignment horizontal="center" readingOrder="0" vertical="center"/>
    </xf>
    <xf borderId="1" fillId="3" fontId="19" numFmtId="0" xfId="0" applyAlignment="1" applyBorder="1" applyFont="1">
      <alignment horizontal="center" vertical="center"/>
    </xf>
    <xf borderId="1" fillId="10" fontId="6" numFmtId="0" xfId="0" applyAlignment="1" applyBorder="1" applyFill="1" applyFont="1">
      <alignment horizontal="center" vertical="center"/>
    </xf>
    <xf borderId="1" fillId="11" fontId="6" numFmtId="0" xfId="0" applyAlignment="1" applyBorder="1" applyFill="1" applyFont="1">
      <alignment horizontal="center" vertical="center"/>
    </xf>
    <xf borderId="1" fillId="12" fontId="6" numFmtId="0" xfId="0" applyAlignment="1" applyBorder="1" applyFill="1" applyFont="1">
      <alignment horizontal="center" vertical="center"/>
    </xf>
    <xf borderId="1" fillId="13" fontId="6" numFmtId="0" xfId="0" applyAlignment="1" applyBorder="1" applyFill="1" applyFont="1">
      <alignment horizontal="center" vertical="center"/>
    </xf>
    <xf borderId="7" fillId="14" fontId="6" numFmtId="0" xfId="0" applyAlignment="1" applyBorder="1" applyFill="1" applyFont="1">
      <alignment horizontal="center" vertical="center"/>
    </xf>
    <xf borderId="0" fillId="10" fontId="6" numFmtId="0" xfId="0" applyAlignment="1" applyFont="1">
      <alignment horizontal="center" vertical="center"/>
    </xf>
    <xf borderId="0" fillId="11" fontId="6" numFmtId="0" xfId="0" applyAlignment="1" applyFont="1">
      <alignment horizontal="center" vertical="center"/>
    </xf>
    <xf borderId="0" fillId="12" fontId="6" numFmtId="0" xfId="0" applyAlignment="1" applyFont="1">
      <alignment horizontal="center" vertical="center"/>
    </xf>
    <xf borderId="0" fillId="13" fontId="6" numFmtId="0" xfId="0" applyAlignment="1" applyFont="1">
      <alignment horizontal="center" vertical="center"/>
    </xf>
    <xf borderId="0" fillId="14" fontId="6" numFmtId="0" xfId="0" applyAlignment="1" applyFont="1">
      <alignment horizontal="center" vertical="center"/>
    </xf>
    <xf borderId="13" fillId="15" fontId="6" numFmtId="0" xfId="0" applyAlignment="1" applyBorder="1" applyFill="1" applyFont="1">
      <alignment horizontal="center" shrinkToFit="0" vertical="center" wrapText="1"/>
    </xf>
    <xf borderId="13" fillId="15" fontId="6" numFmtId="0" xfId="0" applyAlignment="1" applyBorder="1" applyFont="1">
      <alignment horizontal="left" shrinkToFit="0" vertical="center" wrapText="1"/>
    </xf>
    <xf borderId="13" fillId="16" fontId="6" numFmtId="0" xfId="0" applyAlignment="1" applyBorder="1" applyFill="1" applyFont="1">
      <alignment horizontal="center" shrinkToFit="0" vertical="center" wrapText="1"/>
    </xf>
    <xf borderId="13" fillId="17" fontId="6" numFmtId="0" xfId="0" applyAlignment="1" applyBorder="1" applyFill="1" applyFont="1">
      <alignment horizontal="center" shrinkToFit="0" vertical="center" wrapText="1"/>
    </xf>
    <xf borderId="13" fillId="18" fontId="6" numFmtId="0" xfId="0" applyAlignment="1" applyBorder="1" applyFill="1" applyFont="1">
      <alignment horizontal="center" shrinkToFit="0" vertical="center" wrapText="1"/>
    </xf>
    <xf borderId="13" fillId="14" fontId="6" numFmtId="0" xfId="0" applyAlignment="1" applyBorder="1" applyFont="1">
      <alignment horizontal="center" shrinkToFit="0" vertical="center" wrapText="1"/>
    </xf>
    <xf borderId="13" fillId="19" fontId="16" numFmtId="0" xfId="0" applyAlignment="1" applyBorder="1" applyFill="1" applyFont="1">
      <alignment horizontal="center" vertical="center"/>
    </xf>
    <xf borderId="13" fillId="19" fontId="20" numFmtId="0" xfId="0" applyAlignment="1" applyBorder="1" applyFont="1">
      <alignment horizontal="left" vertical="center"/>
    </xf>
    <xf borderId="13" fillId="19" fontId="20" numFmtId="0" xfId="0" applyAlignment="1" applyBorder="1" applyFont="1">
      <alignment horizontal="center" vertical="center"/>
    </xf>
    <xf borderId="13" fillId="19" fontId="16" numFmtId="0" xfId="0" applyAlignment="1" applyBorder="1" applyFont="1">
      <alignment horizontal="center" readingOrder="0" vertical="center"/>
    </xf>
    <xf borderId="13" fillId="19" fontId="16" numFmtId="0" xfId="0" applyAlignment="1" applyBorder="1" applyFont="1">
      <alignment horizontal="left" readingOrder="0" vertical="center"/>
    </xf>
    <xf borderId="13" fillId="19" fontId="21" numFmtId="0" xfId="0" applyAlignment="1" applyBorder="1" applyFont="1">
      <alignment horizontal="center" readingOrder="0" vertical="center"/>
    </xf>
    <xf borderId="13" fillId="19" fontId="21" numFmtId="0" xfId="0" applyAlignment="1" applyBorder="1" applyFont="1">
      <alignment horizontal="center" vertical="center"/>
    </xf>
    <xf borderId="13" fillId="5" fontId="22" numFmtId="0" xfId="0" applyAlignment="1" applyBorder="1" applyFont="1">
      <alignment horizontal="left" vertical="center"/>
    </xf>
    <xf borderId="13" fillId="5" fontId="23" numFmtId="167" xfId="0" applyAlignment="1" applyBorder="1" applyFont="1" applyNumberFormat="1">
      <alignment horizontal="left" vertical="center"/>
    </xf>
    <xf borderId="13" fillId="5" fontId="23" numFmtId="0" xfId="0" applyAlignment="1" applyBorder="1" applyFont="1">
      <alignment vertical="center"/>
    </xf>
    <xf borderId="13" fillId="5" fontId="24" numFmtId="0" xfId="0" applyAlignment="1" applyBorder="1" applyFont="1">
      <alignment vertical="center"/>
    </xf>
    <xf borderId="13" fillId="5" fontId="24" numFmtId="0" xfId="0" applyAlignment="1" applyBorder="1" applyFont="1">
      <alignment horizontal="left" vertical="center"/>
    </xf>
    <xf borderId="13" fillId="5" fontId="24" numFmtId="167" xfId="0" applyAlignment="1" applyBorder="1" applyFont="1" applyNumberFormat="1">
      <alignment vertical="center"/>
    </xf>
    <xf borderId="13" fillId="5" fontId="24" numFmtId="0" xfId="0" applyAlignment="1" applyBorder="1" applyFont="1">
      <alignment horizontal="center" vertical="center"/>
    </xf>
    <xf borderId="13" fillId="5" fontId="17" numFmtId="1" xfId="0" applyAlignment="1" applyBorder="1" applyFont="1" applyNumberFormat="1">
      <alignment horizontal="left" vertical="center"/>
    </xf>
    <xf borderId="13" fillId="5" fontId="25" numFmtId="0" xfId="0" applyAlignment="1" applyBorder="1" applyFont="1">
      <alignment horizontal="left" vertical="center"/>
    </xf>
    <xf borderId="13" fillId="5" fontId="26" numFmtId="0" xfId="0" applyAlignment="1" applyBorder="1" applyFont="1">
      <alignment horizontal="left" vertical="center"/>
    </xf>
    <xf borderId="13" fillId="5" fontId="22" numFmtId="0" xfId="0" applyAlignment="1" applyBorder="1" applyFont="1">
      <alignment horizontal="center" vertical="center"/>
    </xf>
    <xf borderId="13" fillId="5" fontId="23" numFmtId="0" xfId="0" applyAlignment="1" applyBorder="1" applyFont="1">
      <alignment horizontal="left" vertical="center"/>
    </xf>
    <xf borderId="13" fillId="5" fontId="24" numFmtId="49" xfId="0" applyAlignment="1" applyBorder="1" applyFont="1" applyNumberFormat="1">
      <alignment horizontal="left" vertical="center"/>
    </xf>
    <xf borderId="13" fillId="5" fontId="27" numFmtId="0" xfId="0" applyAlignment="1" applyBorder="1" applyFont="1">
      <alignment horizontal="left" vertical="center"/>
    </xf>
    <xf borderId="13" fillId="5" fontId="26" numFmtId="0" xfId="0" applyAlignment="1" applyBorder="1" applyFont="1">
      <alignment horizontal="center" vertical="center"/>
    </xf>
    <xf borderId="13" fillId="5" fontId="24" numFmtId="167" xfId="0" applyAlignment="1" applyBorder="1" applyFont="1" applyNumberFormat="1">
      <alignment horizontal="center" vertical="center"/>
    </xf>
    <xf borderId="13" fillId="5" fontId="24" numFmtId="0" xfId="0" applyAlignment="1" applyBorder="1" applyFont="1">
      <alignment horizontal="center" readingOrder="0" vertical="center"/>
    </xf>
    <xf borderId="13" fillId="5" fontId="17" numFmtId="1" xfId="0" applyAlignment="1" applyBorder="1" applyFont="1" applyNumberFormat="1">
      <alignment horizontal="center" vertical="center"/>
    </xf>
    <xf borderId="13" fillId="5" fontId="7" numFmtId="0" xfId="0" applyAlignment="1" applyBorder="1" applyFont="1">
      <alignment horizontal="center" vertical="center"/>
    </xf>
    <xf borderId="13" fillId="20" fontId="22" numFmtId="0" xfId="0" applyAlignment="1" applyBorder="1" applyFill="1" applyFont="1">
      <alignment horizontal="center" vertical="center"/>
    </xf>
    <xf borderId="13" fillId="20" fontId="23" numFmtId="167" xfId="0" applyAlignment="1" applyBorder="1" applyFont="1" applyNumberFormat="1">
      <alignment horizontal="left" vertical="center"/>
    </xf>
    <xf borderId="13" fillId="20" fontId="23" numFmtId="0" xfId="0" applyAlignment="1" applyBorder="1" applyFont="1">
      <alignment horizontal="left" vertical="center"/>
    </xf>
    <xf borderId="13" fillId="20" fontId="24" numFmtId="49" xfId="0" applyAlignment="1" applyBorder="1" applyFont="1" applyNumberFormat="1">
      <alignment horizontal="left" vertical="center"/>
    </xf>
    <xf borderId="13" fillId="20" fontId="27" numFmtId="0" xfId="0" applyAlignment="1" applyBorder="1" applyFont="1">
      <alignment horizontal="left" vertical="center"/>
    </xf>
    <xf borderId="13" fillId="20" fontId="24" numFmtId="0" xfId="0" applyAlignment="1" applyBorder="1" applyFont="1">
      <alignment horizontal="left" vertical="center"/>
    </xf>
    <xf borderId="13" fillId="20" fontId="26" numFmtId="0" xfId="0" applyAlignment="1" applyBorder="1" applyFont="1">
      <alignment horizontal="center" vertical="center"/>
    </xf>
    <xf borderId="13" fillId="20" fontId="24" numFmtId="167" xfId="0" applyAlignment="1" applyBorder="1" applyFont="1" applyNumberFormat="1">
      <alignment horizontal="center" vertical="center"/>
    </xf>
    <xf borderId="13" fillId="20" fontId="24" numFmtId="0" xfId="0" applyAlignment="1" applyBorder="1" applyFont="1">
      <alignment horizontal="center" vertical="center"/>
    </xf>
    <xf borderId="13" fillId="20" fontId="17" numFmtId="1" xfId="0" applyAlignment="1" applyBorder="1" applyFont="1" applyNumberFormat="1">
      <alignment horizontal="center" vertical="center"/>
    </xf>
    <xf borderId="13" fillId="20" fontId="7" numFmtId="0" xfId="0" applyAlignment="1" applyBorder="1" applyFont="1">
      <alignment horizontal="center" vertical="center"/>
    </xf>
    <xf borderId="13" fillId="20" fontId="26" numFmtId="0" xfId="0" applyAlignment="1" applyBorder="1" applyFont="1">
      <alignment horizontal="left" vertical="center"/>
    </xf>
    <xf borderId="13" fillId="20" fontId="24" numFmtId="0" xfId="0" applyAlignment="1" applyBorder="1" applyFont="1">
      <alignment horizontal="center" readingOrder="0" vertical="center"/>
    </xf>
    <xf borderId="13" fillId="5" fontId="23" numFmtId="168" xfId="0" applyAlignment="1" applyBorder="1" applyFont="1" applyNumberFormat="1">
      <alignment horizontal="left" readingOrder="0" vertical="center"/>
    </xf>
    <xf borderId="13" fillId="20" fontId="23" numFmtId="168" xfId="0" applyAlignment="1" applyBorder="1" applyFont="1" applyNumberFormat="1">
      <alignment horizontal="left" readingOrder="0" vertical="center"/>
    </xf>
    <xf borderId="13" fillId="5" fontId="23" numFmtId="0" xfId="0" applyAlignment="1" applyBorder="1" applyFont="1">
      <alignment horizontal="left" readingOrder="0" vertical="center"/>
    </xf>
    <xf borderId="13" fillId="5" fontId="28" numFmtId="49" xfId="0" applyAlignment="1" applyBorder="1" applyFont="1" applyNumberFormat="1">
      <alignment horizontal="left" readingOrder="0" vertical="center"/>
    </xf>
    <xf borderId="13" fillId="5" fontId="27" numFmtId="0" xfId="0" applyAlignment="1" applyBorder="1" applyFont="1">
      <alignment horizontal="left" readingOrder="0" vertical="center"/>
    </xf>
    <xf borderId="13" fillId="5" fontId="28" numFmtId="0" xfId="0" applyAlignment="1" applyBorder="1" applyFont="1">
      <alignment horizontal="left" readingOrder="0" vertical="center"/>
    </xf>
    <xf borderId="13" fillId="5" fontId="24" numFmtId="0" xfId="0" applyAlignment="1" applyBorder="1" applyFont="1">
      <alignment horizontal="left" readingOrder="0" vertical="center"/>
    </xf>
    <xf borderId="13" fillId="5" fontId="26" numFmtId="0" xfId="0" applyAlignment="1" applyBorder="1" applyFont="1">
      <alignment horizontal="center" readingOrder="0" vertical="center"/>
    </xf>
    <xf borderId="13" fillId="5" fontId="28" numFmtId="167" xfId="0" applyAlignment="1" applyBorder="1" applyFont="1" applyNumberFormat="1">
      <alignment horizontal="center" readingOrder="0" vertical="center"/>
    </xf>
    <xf borderId="13" fillId="5" fontId="28" numFmtId="0" xfId="0" applyAlignment="1" applyBorder="1" applyFont="1">
      <alignment horizontal="center" readingOrder="0" vertical="center"/>
    </xf>
    <xf borderId="13" fillId="20" fontId="29" numFmtId="0" xfId="0" applyAlignment="1" applyBorder="1" applyFont="1">
      <alignment horizontal="center" readingOrder="0" vertical="center"/>
    </xf>
    <xf borderId="13" fillId="5" fontId="28" numFmtId="167" xfId="0" applyAlignment="1" applyBorder="1" applyFont="1" applyNumberFormat="1">
      <alignment horizontal="center" vertical="center"/>
    </xf>
    <xf borderId="13" fillId="5" fontId="28" numFmtId="0" xfId="0" applyAlignment="1" applyBorder="1" applyFont="1">
      <alignment horizontal="center" vertical="center"/>
    </xf>
    <xf borderId="13" fillId="5" fontId="28" numFmtId="0" xfId="0" applyAlignment="1" applyBorder="1" applyFont="1">
      <alignment horizontal="left" vertical="center"/>
    </xf>
    <xf borderId="18" fillId="5" fontId="26" numFmtId="0" xfId="0" applyAlignment="1" applyBorder="1" applyFont="1">
      <alignment horizontal="left" vertical="center"/>
    </xf>
    <xf borderId="18" fillId="5" fontId="29" numFmtId="0" xfId="0" applyAlignment="1" applyBorder="1" applyFont="1">
      <alignment horizontal="center" readingOrder="0" vertical="center"/>
    </xf>
    <xf borderId="19" fillId="5" fontId="28" numFmtId="167" xfId="0" applyAlignment="1" applyBorder="1" applyFont="1" applyNumberFormat="1">
      <alignment horizontal="center" vertical="center"/>
    </xf>
    <xf borderId="20" fillId="20" fontId="22" numFmtId="0" xfId="0" applyAlignment="1" applyBorder="1" applyFont="1">
      <alignment horizontal="center" vertical="center"/>
    </xf>
    <xf borderId="20" fillId="20" fontId="23" numFmtId="167" xfId="0" applyAlignment="1" applyBorder="1" applyFont="1" applyNumberFormat="1">
      <alignment horizontal="left" vertical="center"/>
    </xf>
    <xf borderId="20" fillId="20" fontId="23" numFmtId="0" xfId="0" applyAlignment="1" applyBorder="1" applyFont="1">
      <alignment horizontal="left" vertical="center"/>
    </xf>
    <xf borderId="20" fillId="20" fontId="24" numFmtId="49" xfId="0" applyAlignment="1" applyBorder="1" applyFont="1" applyNumberFormat="1">
      <alignment horizontal="left" vertical="center"/>
    </xf>
    <xf borderId="20" fillId="20" fontId="27" numFmtId="0" xfId="0" applyAlignment="1" applyBorder="1" applyFont="1">
      <alignment horizontal="left" vertical="center"/>
    </xf>
    <xf borderId="20" fillId="20" fontId="24" numFmtId="0" xfId="0" applyAlignment="1" applyBorder="1" applyFont="1">
      <alignment horizontal="left" vertical="center"/>
    </xf>
    <xf borderId="20" fillId="20" fontId="26" numFmtId="0" xfId="0" applyAlignment="1" applyBorder="1" applyFont="1">
      <alignment horizontal="center" vertical="center"/>
    </xf>
    <xf borderId="20" fillId="20" fontId="24" numFmtId="167" xfId="0" applyAlignment="1" applyBorder="1" applyFont="1" applyNumberFormat="1">
      <alignment horizontal="center" vertical="center"/>
    </xf>
    <xf borderId="20" fillId="20" fontId="24" numFmtId="0" xfId="0" applyAlignment="1" applyBorder="1" applyFont="1">
      <alignment horizontal="center" vertical="center"/>
    </xf>
    <xf borderId="20" fillId="20" fontId="24" numFmtId="0" xfId="0" applyAlignment="1" applyBorder="1" applyFont="1">
      <alignment horizontal="center" readingOrder="0" vertical="center"/>
    </xf>
    <xf borderId="20" fillId="20" fontId="17" numFmtId="1" xfId="0" applyAlignment="1" applyBorder="1" applyFont="1" applyNumberFormat="1">
      <alignment horizontal="center" vertical="center"/>
    </xf>
    <xf borderId="20" fillId="20" fontId="7" numFmtId="0" xfId="0" applyAlignment="1" applyBorder="1" applyFont="1">
      <alignment horizontal="center" vertical="center"/>
    </xf>
    <xf borderId="20" fillId="20" fontId="26" numFmtId="0" xfId="0" applyAlignment="1" applyBorder="1" applyFont="1">
      <alignment horizontal="left" vertical="center"/>
    </xf>
    <xf borderId="18" fillId="20" fontId="22" numFmtId="0" xfId="0" applyAlignment="1" applyBorder="1" applyFont="1">
      <alignment horizontal="center" vertical="center"/>
    </xf>
    <xf borderId="18" fillId="5" fontId="23" numFmtId="168" xfId="0" applyAlignment="1" applyBorder="1" applyFont="1" applyNumberFormat="1">
      <alignment horizontal="left" shrinkToFit="0" wrapText="1"/>
    </xf>
    <xf borderId="18" fillId="5" fontId="23" numFmtId="0" xfId="0" applyAlignment="1" applyBorder="1" applyFont="1">
      <alignment shrinkToFit="0" wrapText="1"/>
    </xf>
    <xf borderId="18" fillId="5" fontId="30" numFmtId="49" xfId="0" applyBorder="1" applyFont="1" applyNumberFormat="1"/>
    <xf borderId="18" fillId="5" fontId="27" numFmtId="0" xfId="0" applyAlignment="1" applyBorder="1" applyFont="1">
      <alignment shrinkToFit="0" wrapText="1"/>
    </xf>
    <xf borderId="18" fillId="5" fontId="31" numFmtId="0" xfId="0" applyAlignment="1" applyBorder="1" applyFont="1">
      <alignment shrinkToFit="0" wrapText="1"/>
    </xf>
    <xf borderId="18" fillId="5" fontId="31" numFmtId="0" xfId="0" applyAlignment="1" applyBorder="1" applyFont="1">
      <alignment horizontal="left" shrinkToFit="0" wrapText="1"/>
    </xf>
    <xf borderId="18" fillId="20" fontId="24" numFmtId="0" xfId="0" applyAlignment="1" applyBorder="1" applyFont="1">
      <alignment horizontal="left" vertical="center"/>
    </xf>
    <xf borderId="18" fillId="5" fontId="31" numFmtId="0" xfId="0" applyAlignment="1" applyBorder="1" applyFont="1">
      <alignment shrinkToFit="0" wrapText="0"/>
    </xf>
    <xf borderId="18" fillId="5" fontId="26" numFmtId="0" xfId="0" applyAlignment="1" applyBorder="1" applyFont="1">
      <alignment horizontal="center" vertical="center"/>
    </xf>
    <xf borderId="18" fillId="5" fontId="26" numFmtId="167" xfId="0" applyAlignment="1" applyBorder="1" applyFont="1" applyNumberFormat="1">
      <alignment horizontal="center" vertical="center"/>
    </xf>
    <xf borderId="18" fillId="20" fontId="24" numFmtId="0" xfId="0" applyAlignment="1" applyBorder="1" applyFont="1">
      <alignment horizontal="center" readingOrder="0" vertical="center"/>
    </xf>
    <xf borderId="18" fillId="20" fontId="24" numFmtId="0" xfId="0" applyAlignment="1" applyBorder="1" applyFont="1">
      <alignment horizontal="center" vertical="center"/>
    </xf>
    <xf borderId="18" fillId="20" fontId="28" numFmtId="167" xfId="0" applyAlignment="1" applyBorder="1" applyFont="1" applyNumberFormat="1">
      <alignment horizontal="center" vertical="center"/>
    </xf>
    <xf borderId="18" fillId="20" fontId="28" numFmtId="0" xfId="0" applyAlignment="1" applyBorder="1" applyFont="1">
      <alignment horizontal="center" vertical="center"/>
    </xf>
    <xf borderId="18" fillId="20" fontId="28" numFmtId="0" xfId="0" applyAlignment="1" applyBorder="1" applyFont="1">
      <alignment horizontal="left" vertical="center"/>
    </xf>
    <xf borderId="18" fillId="20" fontId="17" numFmtId="1" xfId="0" applyAlignment="1" applyBorder="1" applyFont="1" applyNumberFormat="1">
      <alignment horizontal="center" vertical="center"/>
    </xf>
    <xf borderId="18" fillId="20" fontId="7" numFmtId="0" xfId="0" applyAlignment="1" applyBorder="1" applyFont="1">
      <alignment horizontal="center" vertical="center"/>
    </xf>
    <xf borderId="18" fillId="20" fontId="26" numFmtId="0" xfId="0" applyAlignment="1" applyBorder="1" applyFont="1">
      <alignment horizontal="left" vertical="center"/>
    </xf>
    <xf borderId="18" fillId="5" fontId="22" numFmtId="0" xfId="0" applyAlignment="1" applyBorder="1" applyFont="1">
      <alignment horizontal="center" vertical="center"/>
    </xf>
    <xf borderId="18" fillId="21" fontId="23" numFmtId="168" xfId="0" applyAlignment="1" applyBorder="1" applyFill="1" applyFont="1" applyNumberFormat="1">
      <alignment horizontal="left" shrinkToFit="0" wrapText="1"/>
    </xf>
    <xf borderId="18" fillId="21" fontId="23" numFmtId="0" xfId="0" applyAlignment="1" applyBorder="1" applyFont="1">
      <alignment shrinkToFit="0" wrapText="1"/>
    </xf>
    <xf borderId="18" fillId="21" fontId="30" numFmtId="49" xfId="0" applyBorder="1" applyFont="1" applyNumberFormat="1"/>
    <xf borderId="18" fillId="21" fontId="27" numFmtId="0" xfId="0" applyAlignment="1" applyBorder="1" applyFont="1">
      <alignment shrinkToFit="0" wrapText="1"/>
    </xf>
    <xf borderId="18" fillId="21" fontId="31" numFmtId="0" xfId="0" applyAlignment="1" applyBorder="1" applyFont="1">
      <alignment shrinkToFit="0" wrapText="1"/>
    </xf>
    <xf borderId="18" fillId="21" fontId="31" numFmtId="0" xfId="0" applyAlignment="1" applyBorder="1" applyFont="1">
      <alignment horizontal="left" shrinkToFit="0" wrapText="1"/>
    </xf>
    <xf borderId="18" fillId="21" fontId="31" numFmtId="0" xfId="0" applyAlignment="1" applyBorder="1" applyFont="1">
      <alignment shrinkToFit="0" wrapText="0"/>
    </xf>
    <xf borderId="18" fillId="21" fontId="26" numFmtId="167" xfId="0" applyAlignment="1" applyBorder="1" applyFont="1" applyNumberFormat="1">
      <alignment horizontal="center" vertical="center"/>
    </xf>
    <xf borderId="18" fillId="21" fontId="26" numFmtId="0" xfId="0" applyAlignment="1" applyBorder="1" applyFont="1">
      <alignment horizontal="center" vertical="center"/>
    </xf>
    <xf borderId="18" fillId="5" fontId="24" numFmtId="0" xfId="0" applyAlignment="1" applyBorder="1" applyFont="1">
      <alignment horizontal="center" vertical="center"/>
    </xf>
    <xf borderId="18" fillId="5" fontId="24" numFmtId="0" xfId="0" applyAlignment="1" applyBorder="1" applyFont="1">
      <alignment horizontal="center" readingOrder="0" vertical="center"/>
    </xf>
    <xf borderId="18" fillId="5" fontId="28" numFmtId="167" xfId="0" applyAlignment="1" applyBorder="1" applyFont="1" applyNumberFormat="1">
      <alignment horizontal="center" vertical="center"/>
    </xf>
    <xf borderId="18" fillId="5" fontId="28" numFmtId="0" xfId="0" applyAlignment="1" applyBorder="1" applyFont="1">
      <alignment horizontal="center" vertical="center"/>
    </xf>
    <xf borderId="18" fillId="5" fontId="28" numFmtId="0" xfId="0" applyAlignment="1" applyBorder="1" applyFont="1">
      <alignment horizontal="left" vertical="center"/>
    </xf>
    <xf borderId="18" fillId="5" fontId="24" numFmtId="0" xfId="0" applyAlignment="1" applyBorder="1" applyFont="1">
      <alignment horizontal="left" vertical="center"/>
    </xf>
    <xf borderId="18" fillId="5" fontId="17" numFmtId="1" xfId="0" applyAlignment="1" applyBorder="1" applyFont="1" applyNumberFormat="1">
      <alignment horizontal="center" vertical="center"/>
    </xf>
    <xf borderId="18" fillId="5" fontId="7" numFmtId="0" xfId="0" applyAlignment="1" applyBorder="1" applyFont="1">
      <alignment horizontal="center" vertical="center"/>
    </xf>
    <xf borderId="18" fillId="5" fontId="30" numFmtId="0" xfId="0" applyBorder="1" applyFont="1"/>
    <xf borderId="18" fillId="5" fontId="24" numFmtId="0" xfId="0" applyAlignment="1" applyBorder="1" applyFont="1">
      <alignment shrinkToFit="0" wrapText="0"/>
    </xf>
    <xf borderId="18" fillId="21" fontId="23" numFmtId="0" xfId="0" applyAlignment="1" applyBorder="1" applyFont="1">
      <alignment shrinkToFit="0" wrapText="0"/>
    </xf>
    <xf borderId="18" fillId="21" fontId="24" numFmtId="0" xfId="0" applyAlignment="1" applyBorder="1" applyFont="1">
      <alignment shrinkToFit="0" wrapText="0"/>
    </xf>
    <xf borderId="18" fillId="5" fontId="23" numFmtId="0" xfId="0" applyAlignment="1" applyBorder="1" applyFont="1">
      <alignment readingOrder="0" shrinkToFit="0" wrapText="1"/>
    </xf>
    <xf borderId="18" fillId="5" fontId="27" numFmtId="0" xfId="0" applyAlignment="1" applyBorder="1" applyFont="1">
      <alignment readingOrder="0"/>
    </xf>
    <xf borderId="18" fillId="5" fontId="31" numFmtId="0" xfId="0" applyAlignment="1" applyBorder="1" applyFont="1">
      <alignment readingOrder="0" shrinkToFit="0" wrapText="1"/>
    </xf>
    <xf borderId="18" fillId="5" fontId="26" numFmtId="0" xfId="0" applyAlignment="1" applyBorder="1" applyFont="1">
      <alignment horizontal="center" readingOrder="0" shrinkToFit="0" wrapText="0"/>
    </xf>
    <xf borderId="18" fillId="5" fontId="26" numFmtId="167" xfId="0" applyAlignment="1" applyBorder="1" applyFont="1" applyNumberFormat="1">
      <alignment horizontal="center" readingOrder="0" shrinkToFit="0" vertical="center" wrapText="0"/>
    </xf>
    <xf borderId="18" fillId="5" fontId="26" numFmtId="0" xfId="0" applyAlignment="1" applyBorder="1" applyFont="1">
      <alignment horizontal="center" readingOrder="0" shrinkToFit="0" vertical="center" wrapText="0"/>
    </xf>
    <xf borderId="18" fillId="20" fontId="28" numFmtId="167" xfId="0" applyAlignment="1" applyBorder="1" applyFont="1" applyNumberFormat="1">
      <alignment horizontal="center" readingOrder="0" vertical="center"/>
    </xf>
    <xf borderId="18" fillId="20" fontId="28" numFmtId="0" xfId="0" applyAlignment="1" applyBorder="1" applyFont="1">
      <alignment horizontal="center" readingOrder="0" vertical="center"/>
    </xf>
    <xf borderId="18" fillId="20" fontId="24" numFmtId="0" xfId="0" applyAlignment="1" applyBorder="1" applyFont="1">
      <alignment horizontal="left" readingOrder="0" vertical="center"/>
    </xf>
    <xf borderId="18" fillId="21" fontId="24" numFmtId="0" xfId="0" applyAlignment="1" applyBorder="1" applyFont="1">
      <alignment shrinkToFit="0" wrapText="1"/>
    </xf>
    <xf borderId="18" fillId="21" fontId="26" numFmtId="0" xfId="0" applyAlignment="1" applyBorder="1" applyFont="1">
      <alignment horizontal="center" readingOrder="0" shrinkToFit="0" wrapText="0"/>
    </xf>
    <xf borderId="18" fillId="21" fontId="26" numFmtId="167" xfId="0" applyAlignment="1" applyBorder="1" applyFont="1" applyNumberFormat="1">
      <alignment horizontal="center" readingOrder="0" shrinkToFit="0" vertical="center" wrapText="0"/>
    </xf>
    <xf borderId="18" fillId="21" fontId="26" numFmtId="0" xfId="0" applyAlignment="1" applyBorder="1" applyFont="1">
      <alignment horizontal="center" readingOrder="0" shrinkToFit="0" vertical="center" wrapText="0"/>
    </xf>
    <xf borderId="18" fillId="5" fontId="28" numFmtId="0" xfId="0" applyAlignment="1" applyBorder="1" applyFont="1">
      <alignment horizontal="center" readingOrder="0" vertical="center"/>
    </xf>
    <xf borderId="18" fillId="5" fontId="28" numFmtId="0" xfId="0" applyAlignment="1" applyBorder="1" applyFont="1">
      <alignment horizontal="left" readingOrder="0" vertical="center"/>
    </xf>
    <xf borderId="18" fillId="5" fontId="24" numFmtId="0" xfId="0" applyAlignment="1" applyBorder="1" applyFont="1">
      <alignment horizontal="left" readingOrder="0" vertical="center"/>
    </xf>
    <xf borderId="18" fillId="21" fontId="23" numFmtId="0" xfId="0" applyAlignment="1" applyBorder="1" applyFont="1">
      <alignment shrinkToFit="0" wrapText="1"/>
    </xf>
    <xf borderId="18" fillId="21" fontId="23" numFmtId="0" xfId="0" applyAlignment="1" applyBorder="1" applyFont="1">
      <alignment shrinkToFit="0" wrapText="0"/>
    </xf>
    <xf borderId="18" fillId="20" fontId="29" numFmtId="0" xfId="0" applyAlignment="1" applyBorder="1" applyFont="1">
      <alignment horizontal="center" readingOrder="0" vertical="center"/>
    </xf>
    <xf borderId="18" fillId="20" fontId="32" numFmtId="167" xfId="0" applyAlignment="1" applyBorder="1" applyFont="1" applyNumberFormat="1">
      <alignment horizontal="center" readingOrder="0" vertical="center"/>
    </xf>
    <xf borderId="18" fillId="20" fontId="32" numFmtId="0" xfId="0" applyAlignment="1" applyBorder="1" applyFont="1">
      <alignment horizontal="center" readingOrder="0" vertical="center"/>
    </xf>
    <xf borderId="18" fillId="20" fontId="32" numFmtId="0" xfId="0" applyAlignment="1" applyBorder="1" applyFont="1">
      <alignment horizontal="left" readingOrder="0" vertical="center"/>
    </xf>
    <xf borderId="18" fillId="5" fontId="24" numFmtId="167" xfId="0" applyAlignment="1" applyBorder="1" applyFont="1" applyNumberFormat="1">
      <alignment horizontal="center" vertical="center"/>
    </xf>
    <xf borderId="18" fillId="5" fontId="24" numFmtId="0" xfId="0" applyAlignment="1" applyBorder="1" applyFont="1">
      <alignment shrinkToFit="0" wrapText="1"/>
    </xf>
    <xf borderId="18" fillId="21" fontId="26" numFmtId="0" xfId="0" applyAlignment="1" applyBorder="1" applyFont="1">
      <alignment horizontal="center" shrinkToFit="0" wrapText="0"/>
    </xf>
    <xf borderId="18" fillId="21" fontId="26" numFmtId="167" xfId="0" applyAlignment="1" applyBorder="1" applyFont="1" applyNumberFormat="1">
      <alignment horizontal="center" shrinkToFit="0" vertical="center" wrapText="0"/>
    </xf>
    <xf borderId="18" fillId="21" fontId="26" numFmtId="0" xfId="0" applyAlignment="1" applyBorder="1" applyFont="1">
      <alignment horizontal="center" shrinkToFit="0" vertical="center" wrapText="0"/>
    </xf>
    <xf borderId="18" fillId="5" fontId="23" numFmtId="0" xfId="0" applyAlignment="1" applyBorder="1" applyFont="1">
      <alignment shrinkToFit="0" wrapText="0"/>
    </xf>
    <xf borderId="18" fillId="5" fontId="31" numFmtId="49" xfId="0" applyAlignment="1" applyBorder="1" applyFont="1" applyNumberFormat="1">
      <alignment shrinkToFit="0" wrapText="1"/>
    </xf>
    <xf borderId="18" fillId="21" fontId="31" numFmtId="49" xfId="0" applyAlignment="1" applyBorder="1" applyFont="1" applyNumberFormat="1">
      <alignment shrinkToFit="0" wrapText="1"/>
    </xf>
    <xf borderId="18" fillId="21" fontId="27" numFmtId="0" xfId="0" applyAlignment="1" applyBorder="1" applyFont="1">
      <alignment shrinkToFit="0" wrapText="0"/>
    </xf>
    <xf borderId="18" fillId="5" fontId="28" numFmtId="49" xfId="0" applyAlignment="1" applyBorder="1" applyFont="1" applyNumberFormat="1">
      <alignment shrinkToFit="0" wrapText="1"/>
    </xf>
    <xf borderId="18" fillId="5" fontId="27" numFmtId="0" xfId="0" applyAlignment="1" applyBorder="1" applyFont="1">
      <alignment shrinkToFit="0" wrapText="0"/>
    </xf>
    <xf borderId="18" fillId="5" fontId="28" numFmtId="0" xfId="0" applyAlignment="1" applyBorder="1" applyFont="1">
      <alignment shrinkToFit="0" wrapText="1"/>
    </xf>
    <xf borderId="18" fillId="5" fontId="28" numFmtId="0" xfId="0" applyAlignment="1" applyBorder="1" applyFont="1">
      <alignment horizontal="left" shrinkToFit="0" wrapText="1"/>
    </xf>
    <xf borderId="18" fillId="5" fontId="28" numFmtId="0" xfId="0" applyAlignment="1" applyBorder="1" applyFont="1">
      <alignment shrinkToFit="0" wrapText="0"/>
    </xf>
    <xf borderId="18" fillId="5" fontId="24" numFmtId="0" xfId="0" applyAlignment="1" applyBorder="1" applyFont="1">
      <alignment horizontal="center" readingOrder="0" shrinkToFit="0" wrapText="0"/>
    </xf>
    <xf borderId="18" fillId="5" fontId="24" numFmtId="167" xfId="0" applyAlignment="1" applyBorder="1" applyFont="1" applyNumberFormat="1">
      <alignment horizontal="center" readingOrder="0" shrinkToFit="0" vertical="center" wrapText="0"/>
    </xf>
    <xf borderId="18" fillId="5" fontId="24" numFmtId="0" xfId="0" applyAlignment="1" applyBorder="1" applyFont="1">
      <alignment horizontal="center" readingOrder="0" shrinkToFit="0" vertical="center" wrapText="0"/>
    </xf>
    <xf borderId="18" fillId="21" fontId="28" numFmtId="49" xfId="0" applyAlignment="1" applyBorder="1" applyFont="1" applyNumberFormat="1">
      <alignment shrinkToFit="0" wrapText="1"/>
    </xf>
    <xf borderId="18" fillId="21" fontId="28" numFmtId="0" xfId="0" applyAlignment="1" applyBorder="1" applyFont="1">
      <alignment shrinkToFit="0" wrapText="1"/>
    </xf>
    <xf borderId="18" fillId="21" fontId="28" numFmtId="0" xfId="0" applyAlignment="1" applyBorder="1" applyFont="1">
      <alignment horizontal="left" shrinkToFit="0" wrapText="1"/>
    </xf>
    <xf borderId="18" fillId="21" fontId="28" numFmtId="0" xfId="0" applyAlignment="1" applyBorder="1" applyFont="1">
      <alignment shrinkToFit="0" wrapText="0"/>
    </xf>
    <xf borderId="18" fillId="21" fontId="24" numFmtId="167" xfId="0" applyAlignment="1" applyBorder="1" applyFont="1" applyNumberFormat="1">
      <alignment horizontal="center" vertical="center"/>
    </xf>
    <xf borderId="18" fillId="21" fontId="24" numFmtId="0" xfId="0" applyAlignment="1" applyBorder="1" applyFont="1">
      <alignment horizontal="center" vertical="center"/>
    </xf>
    <xf borderId="18" fillId="0" fontId="22" numFmtId="0" xfId="0" applyAlignment="1" applyBorder="1" applyFont="1">
      <alignment horizontal="center" vertical="center"/>
    </xf>
    <xf borderId="18" fillId="5" fontId="28" numFmtId="49" xfId="0" applyAlignment="1" applyBorder="1" applyFont="1" applyNumberFormat="1">
      <alignment shrinkToFit="0" wrapText="0"/>
    </xf>
    <xf borderId="18" fillId="0" fontId="24" numFmtId="0" xfId="0" applyAlignment="1" applyBorder="1" applyFont="1">
      <alignment horizontal="center" readingOrder="0" vertical="center"/>
    </xf>
    <xf borderId="18" fillId="0" fontId="24" numFmtId="0" xfId="0" applyAlignment="1" applyBorder="1" applyFont="1">
      <alignment horizontal="center" vertical="center"/>
    </xf>
    <xf borderId="18" fillId="0" fontId="28" numFmtId="167" xfId="0" applyAlignment="1" applyBorder="1" applyFont="1" applyNumberFormat="1">
      <alignment horizontal="center" vertical="center"/>
    </xf>
    <xf borderId="18" fillId="0" fontId="28" numFmtId="0" xfId="0" applyAlignment="1" applyBorder="1" applyFont="1">
      <alignment horizontal="center" vertical="center"/>
    </xf>
    <xf borderId="18" fillId="0" fontId="28" numFmtId="0" xfId="0" applyAlignment="1" applyBorder="1" applyFont="1">
      <alignment horizontal="left" vertical="center"/>
    </xf>
    <xf borderId="18" fillId="0" fontId="24" numFmtId="0" xfId="0" applyAlignment="1" applyBorder="1" applyFont="1">
      <alignment horizontal="left" vertical="center"/>
    </xf>
    <xf borderId="18" fillId="0" fontId="17" numFmtId="1" xfId="0" applyAlignment="1" applyBorder="1" applyFont="1" applyNumberFormat="1">
      <alignment horizontal="center" vertical="center"/>
    </xf>
    <xf borderId="18" fillId="0" fontId="7" numFmtId="0" xfId="0" applyAlignment="1" applyBorder="1" applyFont="1">
      <alignment horizontal="center" vertical="center"/>
    </xf>
    <xf borderId="18" fillId="0" fontId="29" numFmtId="0" xfId="0" applyAlignment="1" applyBorder="1" applyFont="1">
      <alignment horizontal="center" readingOrder="0" vertical="center"/>
    </xf>
    <xf borderId="18" fillId="21" fontId="33" numFmtId="0" xfId="0" applyAlignment="1" applyBorder="1" applyFont="1">
      <alignment shrinkToFit="0" wrapText="0"/>
    </xf>
    <xf borderId="18" fillId="21" fontId="24" numFmtId="0" xfId="0" applyAlignment="1" applyBorder="1" applyFont="1">
      <alignment horizontal="center" readingOrder="0" shrinkToFit="0" wrapText="0"/>
    </xf>
    <xf borderId="18" fillId="21" fontId="24" numFmtId="167" xfId="0" applyAlignment="1" applyBorder="1" applyFont="1" applyNumberFormat="1">
      <alignment horizontal="center" readingOrder="0" shrinkToFit="0" vertical="center" wrapText="0"/>
    </xf>
    <xf borderId="18" fillId="21" fontId="24" numFmtId="0" xfId="0" applyAlignment="1" applyBorder="1" applyFont="1">
      <alignment horizontal="center" readingOrder="0" shrinkToFit="0" vertical="center" wrapText="0"/>
    </xf>
    <xf borderId="18" fillId="5" fontId="24" numFmtId="167" xfId="0" applyAlignment="1" applyBorder="1" applyFont="1" applyNumberFormat="1">
      <alignment horizontal="center" readingOrder="0" vertical="center"/>
    </xf>
    <xf borderId="18" fillId="5" fontId="24" numFmtId="0" xfId="0" applyAlignment="1" applyBorder="1" applyFont="1">
      <alignment horizontal="center" readingOrder="0" vertical="center"/>
    </xf>
    <xf borderId="18" fillId="21" fontId="23" numFmtId="168" xfId="0" applyAlignment="1" applyBorder="1" applyFont="1" applyNumberFormat="1">
      <alignment horizontal="left" readingOrder="0" shrinkToFit="0" wrapText="1"/>
    </xf>
    <xf borderId="18" fillId="21" fontId="23" numFmtId="0" xfId="0" applyAlignment="1" applyBorder="1" applyFont="1">
      <alignment readingOrder="0" shrinkToFit="0" wrapText="1"/>
    </xf>
    <xf borderId="18" fillId="21" fontId="28" numFmtId="49" xfId="0" applyAlignment="1" applyBorder="1" applyFont="1" applyNumberFormat="1">
      <alignment readingOrder="0" shrinkToFit="0" wrapText="1"/>
    </xf>
    <xf borderId="18" fillId="21" fontId="27" numFmtId="0" xfId="0" applyAlignment="1" applyBorder="1" applyFont="1">
      <alignment readingOrder="0" shrinkToFit="0" wrapText="0"/>
    </xf>
    <xf borderId="18" fillId="21" fontId="28" numFmtId="0" xfId="0" applyAlignment="1" applyBorder="1" applyFont="1">
      <alignment readingOrder="0" shrinkToFit="0" wrapText="1"/>
    </xf>
    <xf borderId="18" fillId="21" fontId="28" numFmtId="0" xfId="0" applyAlignment="1" applyBorder="1" applyFont="1">
      <alignment horizontal="left" readingOrder="0" shrinkToFit="0" wrapText="1"/>
    </xf>
    <xf borderId="18" fillId="21" fontId="24" numFmtId="0" xfId="0" applyAlignment="1" applyBorder="1" applyFont="1">
      <alignment readingOrder="0" shrinkToFit="0" wrapText="1"/>
    </xf>
    <xf borderId="18" fillId="21" fontId="28" numFmtId="0" xfId="0" applyAlignment="1" applyBorder="1" applyFont="1">
      <alignment readingOrder="0" shrinkToFit="0" wrapText="0"/>
    </xf>
    <xf borderId="18" fillId="5" fontId="28" numFmtId="0" xfId="0" applyAlignment="1" applyBorder="1" applyFont="1">
      <alignment readingOrder="0" shrinkToFit="0" wrapText="0"/>
    </xf>
    <xf borderId="18" fillId="5" fontId="24" numFmtId="0" xfId="0" applyAlignment="1" applyBorder="1" applyFont="1">
      <alignment horizontal="center" shrinkToFit="0" wrapText="0"/>
    </xf>
    <xf borderId="18" fillId="5" fontId="24" numFmtId="167" xfId="0" applyAlignment="1" applyBorder="1" applyFont="1" applyNumberFormat="1">
      <alignment horizontal="center" shrinkToFit="0" vertical="center" wrapText="0"/>
    </xf>
    <xf borderId="18" fillId="5" fontId="24" numFmtId="0" xfId="0" applyAlignment="1" applyBorder="1" applyFont="1">
      <alignment horizontal="center" shrinkToFit="0" vertical="center" wrapText="0"/>
    </xf>
    <xf borderId="21" fillId="20" fontId="34" numFmtId="0" xfId="0" applyAlignment="1" applyBorder="1" applyFont="1">
      <alignment horizontal="center" vertical="center"/>
    </xf>
    <xf borderId="21" fillId="21" fontId="35" numFmtId="168" xfId="0" applyAlignment="1" applyBorder="1" applyFont="1" applyNumberFormat="1">
      <alignment horizontal="left" shrinkToFit="0" wrapText="0"/>
    </xf>
    <xf borderId="21" fillId="21" fontId="23" numFmtId="0" xfId="0" applyAlignment="1" applyBorder="1" applyFont="1">
      <alignment shrinkToFit="0" wrapText="0"/>
    </xf>
    <xf borderId="21" fillId="21" fontId="23" numFmtId="49" xfId="0" applyAlignment="1" applyBorder="1" applyFont="1" applyNumberFormat="1">
      <alignment shrinkToFit="0" wrapText="0"/>
    </xf>
    <xf borderId="21" fillId="21" fontId="27" numFmtId="0" xfId="0" applyAlignment="1" applyBorder="1" applyFont="1">
      <alignment shrinkToFit="0" wrapText="0"/>
    </xf>
    <xf borderId="21" fillId="21" fontId="24" numFmtId="0" xfId="0" applyAlignment="1" applyBorder="1" applyFont="1">
      <alignment shrinkToFit="0" wrapText="0"/>
    </xf>
    <xf borderId="21" fillId="21" fontId="28" numFmtId="0" xfId="0" applyBorder="1" applyFont="1"/>
    <xf borderId="21" fillId="21" fontId="24" numFmtId="0" xfId="0" applyAlignment="1" applyBorder="1" applyFont="1">
      <alignment horizontal="left" shrinkToFit="0" wrapText="0"/>
    </xf>
    <xf borderId="21" fillId="21" fontId="24" numFmtId="0" xfId="0" applyAlignment="1" applyBorder="1" applyFont="1">
      <alignment horizontal="center" shrinkToFit="0" wrapText="0"/>
    </xf>
    <xf borderId="21" fillId="21" fontId="24" numFmtId="167" xfId="0" applyAlignment="1" applyBorder="1" applyFont="1" applyNumberFormat="1">
      <alignment horizontal="center" shrinkToFit="0" vertical="center" wrapText="0"/>
    </xf>
    <xf borderId="21" fillId="21" fontId="24" numFmtId="0" xfId="0" applyAlignment="1" applyBorder="1" applyFont="1">
      <alignment horizontal="center" shrinkToFit="0" vertical="center" wrapText="0"/>
    </xf>
    <xf borderId="21" fillId="20" fontId="26" numFmtId="0" xfId="0" applyAlignment="1" applyBorder="1" applyFont="1">
      <alignment horizontal="center" readingOrder="0" vertical="center"/>
    </xf>
    <xf borderId="21" fillId="20" fontId="31" numFmtId="167" xfId="0" applyAlignment="1" applyBorder="1" applyFont="1" applyNumberFormat="1">
      <alignment horizontal="center" vertical="center"/>
    </xf>
    <xf borderId="21" fillId="20" fontId="31" numFmtId="0" xfId="0" applyAlignment="1" applyBorder="1" applyFont="1">
      <alignment horizontal="center" readingOrder="0" vertical="center"/>
    </xf>
    <xf borderId="21" fillId="20" fontId="31" numFmtId="0" xfId="0" applyAlignment="1" applyBorder="1" applyFont="1">
      <alignment horizontal="left" vertical="center"/>
    </xf>
    <xf borderId="21" fillId="20" fontId="11" numFmtId="1" xfId="0" applyAlignment="1" applyBorder="1" applyFont="1" applyNumberFormat="1">
      <alignment horizontal="center" vertical="center"/>
    </xf>
    <xf borderId="21" fillId="20" fontId="11" numFmtId="0" xfId="0" applyAlignment="1" applyBorder="1" applyFont="1">
      <alignment horizontal="center" vertical="center"/>
    </xf>
    <xf borderId="22" fillId="20" fontId="31" numFmtId="167" xfId="0" applyAlignment="1" applyBorder="1" applyFont="1" applyNumberFormat="1">
      <alignment horizontal="center" vertical="center"/>
    </xf>
    <xf borderId="21" fillId="20" fontId="23" numFmtId="168" xfId="0" applyAlignment="1" applyBorder="1" applyFont="1" applyNumberFormat="1">
      <alignment horizontal="left" readingOrder="0" shrinkToFit="0" wrapText="0"/>
    </xf>
    <xf borderId="21" fillId="20" fontId="35" numFmtId="168" xfId="0" applyAlignment="1" applyBorder="1" applyFont="1" applyNumberFormat="1">
      <alignment horizontal="left" readingOrder="0" shrinkToFit="0" wrapText="0"/>
    </xf>
    <xf borderId="13" fillId="20" fontId="23" numFmtId="0" xfId="0" applyAlignment="1" applyBorder="1" applyFont="1">
      <alignment horizontal="left" readingOrder="0" vertical="center"/>
    </xf>
    <xf borderId="13" fillId="20" fontId="28" numFmtId="49" xfId="0" applyAlignment="1" applyBorder="1" applyFont="1" applyNumberFormat="1">
      <alignment horizontal="left" readingOrder="0" vertical="center"/>
    </xf>
    <xf borderId="13" fillId="20" fontId="27" numFmtId="0" xfId="0" applyAlignment="1" applyBorder="1" applyFont="1">
      <alignment horizontal="left" readingOrder="0" vertical="center"/>
    </xf>
    <xf borderId="13" fillId="20" fontId="28" numFmtId="0" xfId="0" applyAlignment="1" applyBorder="1" applyFont="1">
      <alignment horizontal="left" readingOrder="0" vertical="center"/>
    </xf>
    <xf borderId="13" fillId="20" fontId="24" numFmtId="0" xfId="0" applyAlignment="1" applyBorder="1" applyFont="1">
      <alignment horizontal="left" readingOrder="0" vertical="center"/>
    </xf>
    <xf borderId="13" fillId="20" fontId="31" numFmtId="167" xfId="0" applyAlignment="1" applyBorder="1" applyFont="1" applyNumberFormat="1">
      <alignment horizontal="center" vertical="center"/>
    </xf>
    <xf borderId="13" fillId="20" fontId="31" numFmtId="0" xfId="0" applyAlignment="1" applyBorder="1" applyFont="1">
      <alignment horizontal="center" vertical="center"/>
    </xf>
    <xf borderId="13" fillId="20" fontId="26" numFmtId="0" xfId="0" applyAlignment="1" applyBorder="1" applyFont="1">
      <alignment horizontal="center" readingOrder="0" vertical="center"/>
    </xf>
    <xf borderId="13" fillId="20" fontId="31" numFmtId="0" xfId="0" applyAlignment="1" applyBorder="1" applyFont="1">
      <alignment horizontal="left" vertical="center"/>
    </xf>
    <xf borderId="13" fillId="20" fontId="11" numFmtId="1" xfId="0" applyAlignment="1" applyBorder="1" applyFont="1" applyNumberFormat="1">
      <alignment horizontal="center" vertical="center"/>
    </xf>
    <xf borderId="13" fillId="20" fontId="11" numFmtId="0" xfId="0" applyAlignment="1" applyBorder="1" applyFont="1">
      <alignment horizontal="center" vertical="center"/>
    </xf>
    <xf borderId="19" fillId="20" fontId="31" numFmtId="167" xfId="0" applyAlignment="1" applyBorder="1" applyFont="1" applyNumberFormat="1">
      <alignment horizontal="center" vertical="center"/>
    </xf>
    <xf borderId="13" fillId="20" fontId="28" numFmtId="167" xfId="0" applyAlignment="1" applyBorder="1" applyFont="1" applyNumberFormat="1">
      <alignment horizontal="center" readingOrder="0" vertical="center"/>
    </xf>
    <xf borderId="13" fillId="20" fontId="28" numFmtId="0" xfId="0" applyAlignment="1" applyBorder="1" applyFont="1">
      <alignment horizontal="center" readingOrder="0" vertical="center"/>
    </xf>
    <xf borderId="13" fillId="20" fontId="28" numFmtId="0" xfId="0" applyAlignment="1" applyBorder="1" applyFont="1">
      <alignment horizontal="left" vertical="center"/>
    </xf>
    <xf borderId="19" fillId="20" fontId="28" numFmtId="167" xfId="0" applyAlignment="1" applyBorder="1" applyFont="1" applyNumberFormat="1">
      <alignment horizontal="center" vertical="center"/>
    </xf>
    <xf borderId="13" fillId="20" fontId="28" numFmtId="167" xfId="0" applyAlignment="1" applyBorder="1" applyFont="1" applyNumberFormat="1">
      <alignment horizontal="center" vertical="center"/>
    </xf>
    <xf borderId="13" fillId="20" fontId="28" numFmtId="0" xfId="0" applyAlignment="1" applyBorder="1" applyFont="1">
      <alignment horizontal="center" vertical="center"/>
    </xf>
    <xf borderId="13" fillId="5" fontId="17" numFmtId="1" xfId="0" applyAlignment="1" applyBorder="1" applyFont="1" applyNumberFormat="1">
      <alignment horizontal="center" readingOrder="0" vertical="center"/>
    </xf>
    <xf borderId="13" fillId="5" fontId="28" numFmtId="169" xfId="0" applyAlignment="1" applyBorder="1" applyFont="1" applyNumberFormat="1">
      <alignment horizontal="center" readingOrder="0" vertical="center"/>
    </xf>
    <xf borderId="13" fillId="20" fontId="28" numFmtId="49" xfId="0" applyAlignment="1" applyBorder="1" applyFont="1" applyNumberFormat="1">
      <alignment horizontal="left" vertical="center"/>
    </xf>
    <xf borderId="0" fillId="0" fontId="13" numFmtId="0" xfId="0" applyAlignment="1" applyFont="1">
      <alignment readingOrder="0"/>
    </xf>
    <xf borderId="13" fillId="5" fontId="28" numFmtId="0" xfId="0" applyAlignment="1" applyBorder="1" applyFont="1">
      <alignment horizontal="left" readingOrder="0" shrinkToFit="0" vertical="center" wrapText="1"/>
    </xf>
    <xf borderId="13" fillId="5" fontId="23" numFmtId="170" xfId="0" applyAlignment="1" applyBorder="1" applyFont="1" applyNumberFormat="1">
      <alignment horizontal="left" readingOrder="0" vertical="center"/>
    </xf>
    <xf borderId="13" fillId="20" fontId="36" numFmtId="0" xfId="0" applyAlignment="1" applyBorder="1" applyFont="1">
      <alignment horizontal="left" readingOrder="0" vertical="center"/>
    </xf>
    <xf borderId="13" fillId="5" fontId="28" numFmtId="49" xfId="0" applyAlignment="1" applyBorder="1" applyFont="1" applyNumberFormat="1">
      <alignment horizontal="left" vertical="center"/>
    </xf>
    <xf borderId="13" fillId="20" fontId="23" numFmtId="168" xfId="0" applyAlignment="1" applyBorder="1" applyFont="1" applyNumberFormat="1">
      <alignment horizontal="left" vertical="center"/>
    </xf>
    <xf borderId="13" fillId="5" fontId="23" numFmtId="168" xfId="0" applyAlignment="1" applyBorder="1" applyFont="1" applyNumberFormat="1">
      <alignment horizontal="left" vertical="center"/>
    </xf>
    <xf borderId="14" fillId="20" fontId="23" numFmtId="167" xfId="0" applyAlignment="1" applyBorder="1" applyFont="1" applyNumberFormat="1">
      <alignment horizontal="left" vertical="center"/>
    </xf>
    <xf borderId="14" fillId="20" fontId="23" numFmtId="0" xfId="0" applyAlignment="1" applyBorder="1" applyFont="1">
      <alignment horizontal="left" vertical="center"/>
    </xf>
    <xf borderId="14" fillId="20" fontId="28" numFmtId="49" xfId="0" applyAlignment="1" applyBorder="1" applyFont="1" applyNumberFormat="1">
      <alignment horizontal="left" vertical="center"/>
    </xf>
    <xf borderId="14" fillId="20" fontId="27" numFmtId="0" xfId="0" applyAlignment="1" applyBorder="1" applyFont="1">
      <alignment horizontal="left" vertical="center"/>
    </xf>
    <xf borderId="14" fillId="20" fontId="28" numFmtId="0" xfId="0" applyAlignment="1" applyBorder="1" applyFont="1">
      <alignment horizontal="left" vertical="center"/>
    </xf>
    <xf borderId="14" fillId="20" fontId="24" numFmtId="0" xfId="0" applyAlignment="1" applyBorder="1" applyFont="1">
      <alignment horizontal="left" vertical="center"/>
    </xf>
    <xf borderId="14" fillId="20" fontId="28" numFmtId="167" xfId="0" applyAlignment="1" applyBorder="1" applyFont="1" applyNumberFormat="1">
      <alignment horizontal="center" vertical="center"/>
    </xf>
    <xf borderId="14" fillId="20" fontId="28" numFmtId="0" xfId="0" applyAlignment="1" applyBorder="1" applyFont="1">
      <alignment horizontal="center" vertical="center"/>
    </xf>
    <xf borderId="23" fillId="20" fontId="28" numFmtId="167" xfId="0" applyAlignment="1" applyBorder="1" applyFont="1" applyNumberFormat="1">
      <alignment horizontal="center" vertical="center"/>
    </xf>
    <xf borderId="1" fillId="2" fontId="18" numFmtId="0" xfId="0" applyAlignment="1" applyBorder="1" applyFont="1">
      <alignment horizontal="center" shrinkToFit="0" vertical="center" wrapText="1"/>
    </xf>
    <xf borderId="1" fillId="3" fontId="19" numFmtId="0" xfId="0" applyAlignment="1" applyBorder="1" applyFont="1">
      <alignment horizontal="center" shrinkToFit="0" vertical="center" wrapText="1"/>
    </xf>
    <xf borderId="4" fillId="2" fontId="37" numFmtId="0" xfId="0" applyAlignment="1" applyBorder="1" applyFont="1">
      <alignment horizontal="center" vertical="center"/>
    </xf>
    <xf borderId="4" fillId="22" fontId="37" numFmtId="0" xfId="0" applyAlignment="1" applyBorder="1" applyFill="1" applyFont="1">
      <alignment horizontal="center" readingOrder="0" vertical="center"/>
    </xf>
    <xf borderId="4" fillId="23" fontId="37" numFmtId="0" xfId="0" applyAlignment="1" applyBorder="1" applyFill="1" applyFont="1">
      <alignment horizontal="center" vertical="center"/>
    </xf>
    <xf borderId="1" fillId="24" fontId="37" numFmtId="0" xfId="0" applyAlignment="1" applyBorder="1" applyFill="1" applyFont="1">
      <alignment horizontal="center" vertical="center"/>
    </xf>
    <xf borderId="1" fillId="25" fontId="37" numFmtId="0" xfId="0" applyAlignment="1" applyBorder="1" applyFill="1" applyFont="1">
      <alignment horizontal="center" vertical="center"/>
    </xf>
    <xf borderId="13" fillId="2" fontId="6" numFmtId="0" xfId="0" applyAlignment="1" applyBorder="1" applyFont="1">
      <alignment horizontal="center" shrinkToFit="0" vertical="center" wrapText="1"/>
    </xf>
    <xf borderId="24" fillId="2" fontId="6" numFmtId="0" xfId="0" applyAlignment="1" applyBorder="1" applyFont="1">
      <alignment horizontal="center" shrinkToFit="0" vertical="center" wrapText="1"/>
    </xf>
    <xf borderId="14" fillId="26" fontId="38" numFmtId="0" xfId="0" applyAlignment="1" applyBorder="1" applyFill="1" applyFont="1">
      <alignment horizontal="center" shrinkToFit="0" vertical="center" wrapText="1"/>
    </xf>
    <xf borderId="13" fillId="5" fontId="39" numFmtId="0" xfId="0" applyAlignment="1" applyBorder="1" applyFont="1">
      <alignment horizontal="center" vertical="center"/>
    </xf>
    <xf borderId="13" fillId="5" fontId="40" numFmtId="0" xfId="0" applyAlignment="1" applyBorder="1" applyFont="1">
      <alignment horizontal="left" shrinkToFit="0" vertical="center" wrapText="1"/>
    </xf>
    <xf borderId="13" fillId="5" fontId="24" numFmtId="0" xfId="0" applyAlignment="1" applyBorder="1" applyFont="1">
      <alignment horizontal="left" shrinkToFit="0" vertical="center" wrapText="1"/>
    </xf>
    <xf borderId="13" fillId="5" fontId="24" numFmtId="171" xfId="0" applyAlignment="1" applyBorder="1" applyFont="1" applyNumberFormat="1">
      <alignment horizontal="center" vertical="center"/>
    </xf>
    <xf borderId="13" fillId="5" fontId="24" numFmtId="164" xfId="0" applyAlignment="1" applyBorder="1" applyFont="1" applyNumberFormat="1">
      <alignment horizontal="center" vertical="center"/>
    </xf>
    <xf borderId="13" fillId="5" fontId="40" numFmtId="9" xfId="0" applyAlignment="1" applyBorder="1" applyFont="1" applyNumberFormat="1">
      <alignment horizontal="center" vertical="center"/>
    </xf>
    <xf borderId="13" fillId="5" fontId="24" numFmtId="1" xfId="0" applyAlignment="1" applyBorder="1" applyFont="1" applyNumberFormat="1">
      <alignment horizontal="center" vertical="center"/>
    </xf>
    <xf borderId="13" fillId="5" fontId="40" numFmtId="167" xfId="0" applyAlignment="1" applyBorder="1" applyFont="1" applyNumberFormat="1">
      <alignment horizontal="center" vertical="center"/>
    </xf>
    <xf borderId="13" fillId="20" fontId="39" numFmtId="0" xfId="0" applyAlignment="1" applyBorder="1" applyFont="1">
      <alignment horizontal="center" vertical="center"/>
    </xf>
    <xf borderId="13" fillId="20" fontId="40" numFmtId="0" xfId="0" applyAlignment="1" applyBorder="1" applyFont="1">
      <alignment horizontal="left" shrinkToFit="0" vertical="center" wrapText="1"/>
    </xf>
    <xf borderId="13" fillId="20" fontId="24" numFmtId="0" xfId="0" applyAlignment="1" applyBorder="1" applyFont="1">
      <alignment horizontal="left" shrinkToFit="0" vertical="center" wrapText="1"/>
    </xf>
    <xf borderId="13" fillId="20" fontId="24" numFmtId="171" xfId="0" applyAlignment="1" applyBorder="1" applyFont="1" applyNumberFormat="1">
      <alignment horizontal="center" vertical="center"/>
    </xf>
    <xf borderId="13" fillId="20" fontId="24" numFmtId="164" xfId="0" applyAlignment="1" applyBorder="1" applyFont="1" applyNumberFormat="1">
      <alignment horizontal="center" vertical="center"/>
    </xf>
    <xf borderId="13" fillId="20" fontId="40" numFmtId="9" xfId="0" applyAlignment="1" applyBorder="1" applyFont="1" applyNumberFormat="1">
      <alignment horizontal="center" vertical="center"/>
    </xf>
    <xf borderId="13" fillId="20" fontId="24" numFmtId="1" xfId="0" applyAlignment="1" applyBorder="1" applyFont="1" applyNumberFormat="1">
      <alignment horizontal="center" vertical="center"/>
    </xf>
    <xf borderId="13" fillId="20" fontId="40" numFmtId="167" xfId="0" applyAlignment="1" applyBorder="1" applyFont="1" applyNumberFormat="1">
      <alignment horizontal="center" vertical="center"/>
    </xf>
    <xf borderId="13" fillId="5" fontId="29" numFmtId="0" xfId="0" applyAlignment="1" applyBorder="1" applyFont="1">
      <alignment horizontal="center" readingOrder="0" vertical="center"/>
    </xf>
    <xf borderId="13" fillId="20" fontId="40" numFmtId="167" xfId="0" applyAlignment="1" applyBorder="1" applyFont="1" applyNumberFormat="1">
      <alignment horizontal="center" readingOrder="0" vertical="center"/>
    </xf>
    <xf borderId="13" fillId="20" fontId="40" numFmtId="9" xfId="0" applyAlignment="1" applyBorder="1" applyFont="1" applyNumberFormat="1">
      <alignment horizontal="center" readingOrder="0" vertical="center"/>
    </xf>
    <xf borderId="13" fillId="20" fontId="41" numFmtId="9" xfId="0" applyAlignment="1" applyBorder="1" applyFont="1" applyNumberFormat="1">
      <alignment horizontal="center" readingOrder="0" vertical="center"/>
    </xf>
    <xf borderId="21" fillId="0" fontId="39" numFmtId="0" xfId="0" applyAlignment="1" applyBorder="1" applyFont="1">
      <alignment horizontal="center" vertical="center"/>
    </xf>
    <xf borderId="21" fillId="0" fontId="40" numFmtId="0" xfId="0" applyAlignment="1" applyBorder="1" applyFont="1">
      <alignment horizontal="left" shrinkToFit="0" vertical="center" wrapText="1"/>
    </xf>
    <xf borderId="21" fillId="0" fontId="24" numFmtId="0" xfId="0" applyAlignment="1" applyBorder="1" applyFont="1">
      <alignment horizontal="left" vertical="center"/>
    </xf>
    <xf borderId="21" fillId="0" fontId="24" numFmtId="167" xfId="0" applyAlignment="1" applyBorder="1" applyFont="1" applyNumberFormat="1">
      <alignment horizontal="center" vertical="center"/>
    </xf>
    <xf borderId="21" fillId="0" fontId="24" numFmtId="0" xfId="0" applyAlignment="1" applyBorder="1" applyFont="1">
      <alignment horizontal="left" shrinkToFit="0" vertical="center" wrapText="1"/>
    </xf>
    <xf borderId="21" fillId="0" fontId="24" numFmtId="171" xfId="0" applyAlignment="1" applyBorder="1" applyFont="1" applyNumberFormat="1">
      <alignment horizontal="center" vertical="center"/>
    </xf>
    <xf borderId="21" fillId="0" fontId="24" numFmtId="0" xfId="0" applyAlignment="1" applyBorder="1" applyFont="1">
      <alignment horizontal="center" vertical="center"/>
    </xf>
    <xf borderId="21" fillId="0" fontId="24" numFmtId="164" xfId="0" applyAlignment="1" applyBorder="1" applyFont="1" applyNumberFormat="1">
      <alignment horizontal="center" vertical="center"/>
    </xf>
    <xf borderId="21" fillId="0" fontId="40" numFmtId="9" xfId="0" applyAlignment="1" applyBorder="1" applyFont="1" applyNumberFormat="1">
      <alignment horizontal="center" vertical="center"/>
    </xf>
    <xf borderId="21" fillId="0" fontId="24" numFmtId="1" xfId="0" applyAlignment="1" applyBorder="1" applyFont="1" applyNumberFormat="1">
      <alignment horizontal="center" vertical="center"/>
    </xf>
    <xf borderId="25" fillId="0" fontId="24" numFmtId="0" xfId="0" applyAlignment="1" applyBorder="1" applyFont="1">
      <alignment horizontal="left" shrinkToFit="0" vertical="center" wrapText="1"/>
    </xf>
    <xf borderId="21" fillId="0" fontId="40" numFmtId="167" xfId="0" applyAlignment="1" applyBorder="1" applyFont="1" applyNumberFormat="1">
      <alignment horizontal="center" vertical="center"/>
    </xf>
    <xf borderId="26" fillId="0" fontId="24" numFmtId="0" xfId="0" applyAlignment="1" applyBorder="1" applyFont="1">
      <alignment horizontal="center" vertical="center"/>
    </xf>
    <xf borderId="13" fillId="0" fontId="39" numFmtId="0" xfId="0" applyAlignment="1" applyBorder="1" applyFont="1">
      <alignment horizontal="center" vertical="center"/>
    </xf>
    <xf borderId="13" fillId="0" fontId="40" numFmtId="0" xfId="0" applyAlignment="1" applyBorder="1" applyFont="1">
      <alignment horizontal="left" shrinkToFit="0" vertical="center" wrapText="1"/>
    </xf>
    <xf borderId="13" fillId="0" fontId="24" numFmtId="0" xfId="0" applyAlignment="1" applyBorder="1" applyFont="1">
      <alignment horizontal="left" vertical="center"/>
    </xf>
    <xf borderId="13" fillId="0" fontId="24" numFmtId="167" xfId="0" applyAlignment="1" applyBorder="1" applyFont="1" applyNumberFormat="1">
      <alignment horizontal="center" vertical="center"/>
    </xf>
    <xf borderId="13" fillId="0" fontId="24" numFmtId="0" xfId="0" applyAlignment="1" applyBorder="1" applyFont="1">
      <alignment horizontal="left" shrinkToFit="0" vertical="center" wrapText="1"/>
    </xf>
    <xf borderId="13" fillId="0" fontId="24" numFmtId="171" xfId="0" applyAlignment="1" applyBorder="1" applyFont="1" applyNumberFormat="1">
      <alignment horizontal="center" vertical="center"/>
    </xf>
    <xf borderId="13" fillId="0" fontId="24" numFmtId="0" xfId="0" applyAlignment="1" applyBorder="1" applyFont="1">
      <alignment horizontal="center" vertical="center"/>
    </xf>
    <xf borderId="13" fillId="0" fontId="24" numFmtId="164" xfId="0" applyAlignment="1" applyBorder="1" applyFont="1" applyNumberFormat="1">
      <alignment horizontal="center" vertical="center"/>
    </xf>
    <xf borderId="13" fillId="0" fontId="40" numFmtId="9" xfId="0" applyAlignment="1" applyBorder="1" applyFont="1" applyNumberFormat="1">
      <alignment horizontal="center" vertical="center"/>
    </xf>
    <xf borderId="13" fillId="0" fontId="24" numFmtId="1" xfId="0" applyAlignment="1" applyBorder="1" applyFont="1" applyNumberFormat="1">
      <alignment horizontal="center" vertical="center"/>
    </xf>
    <xf borderId="27" fillId="0" fontId="24" numFmtId="0" xfId="0" applyAlignment="1" applyBorder="1" applyFont="1">
      <alignment horizontal="left" shrinkToFit="0" vertical="center" wrapText="1"/>
    </xf>
    <xf borderId="13" fillId="0" fontId="40" numFmtId="167" xfId="0" applyAlignment="1" applyBorder="1" applyFont="1" applyNumberFormat="1">
      <alignment horizontal="center" vertical="center"/>
    </xf>
    <xf borderId="28" fillId="0" fontId="24" numFmtId="0" xfId="0" applyAlignment="1" applyBorder="1" applyFont="1">
      <alignment horizontal="center" vertical="center"/>
    </xf>
    <xf borderId="27" fillId="0" fontId="39" numFmtId="0" xfId="0" applyAlignment="1" applyBorder="1" applyFont="1">
      <alignment horizontal="center" vertical="center"/>
    </xf>
    <xf borderId="28" fillId="0" fontId="24" numFmtId="0" xfId="0" applyAlignment="1" applyBorder="1" applyFont="1">
      <alignment horizontal="left" shrinkToFit="0" vertical="center" wrapText="1"/>
    </xf>
    <xf borderId="29" fillId="0" fontId="39" numFmtId="0" xfId="0" applyAlignment="1" applyBorder="1" applyFont="1">
      <alignment horizontal="center" vertical="center"/>
    </xf>
    <xf borderId="20" fillId="0" fontId="40" numFmtId="0" xfId="0" applyAlignment="1" applyBorder="1" applyFont="1">
      <alignment horizontal="left" shrinkToFit="0" vertical="center" wrapText="1"/>
    </xf>
    <xf borderId="20" fillId="0" fontId="24" numFmtId="167" xfId="0" applyAlignment="1" applyBorder="1" applyFont="1" applyNumberFormat="1">
      <alignment horizontal="center" vertical="center"/>
    </xf>
    <xf borderId="20" fillId="0" fontId="24" numFmtId="0" xfId="0" applyAlignment="1" applyBorder="1" applyFont="1">
      <alignment horizontal="left" shrinkToFit="0" vertical="center" wrapText="1"/>
    </xf>
    <xf borderId="20" fillId="0" fontId="24" numFmtId="0" xfId="0" applyAlignment="1" applyBorder="1" applyFont="1">
      <alignment horizontal="left" vertical="center"/>
    </xf>
    <xf borderId="20" fillId="0" fontId="24" numFmtId="171" xfId="0" applyAlignment="1" applyBorder="1" applyFont="1" applyNumberFormat="1">
      <alignment horizontal="center" vertical="center"/>
    </xf>
    <xf borderId="20" fillId="0" fontId="24" numFmtId="0" xfId="0" applyAlignment="1" applyBorder="1" applyFont="1">
      <alignment horizontal="center" vertical="center"/>
    </xf>
    <xf borderId="20" fillId="0" fontId="24" numFmtId="164" xfId="0" applyAlignment="1" applyBorder="1" applyFont="1" applyNumberFormat="1">
      <alignment horizontal="center" vertical="center"/>
    </xf>
    <xf borderId="30" fillId="0" fontId="24" numFmtId="0" xfId="0" applyAlignment="1" applyBorder="1" applyFont="1">
      <alignment horizontal="left" shrinkToFit="0" vertical="center" wrapText="1"/>
    </xf>
    <xf borderId="29" fillId="0" fontId="24" numFmtId="0" xfId="0" applyAlignment="1" applyBorder="1" applyFont="1">
      <alignment horizontal="left" shrinkToFit="0" vertical="center" wrapText="1"/>
    </xf>
    <xf borderId="20" fillId="0" fontId="40" numFmtId="167" xfId="0" applyAlignment="1" applyBorder="1" applyFont="1" applyNumberFormat="1">
      <alignment horizontal="center" vertical="center"/>
    </xf>
    <xf borderId="30" fillId="0" fontId="24" numFmtId="0" xfId="0" applyAlignment="1" applyBorder="1" applyFont="1">
      <alignment horizontal="center" vertical="center"/>
    </xf>
    <xf borderId="0" fillId="0" fontId="42" numFmtId="0" xfId="0" applyAlignment="1" applyFont="1">
      <alignment vertical="bottom"/>
    </xf>
    <xf borderId="0" fillId="0" fontId="43" numFmtId="0" xfId="0" applyAlignment="1" applyFont="1">
      <alignment vertical="bottom"/>
    </xf>
    <xf borderId="0" fillId="0" fontId="43" numFmtId="10" xfId="0" applyAlignment="1" applyFont="1" applyNumberFormat="1">
      <alignment vertical="bottom"/>
    </xf>
    <xf borderId="0" fillId="0" fontId="44" numFmtId="0" xfId="0" applyAlignment="1" applyFont="1">
      <alignment vertical="bottom"/>
    </xf>
    <xf borderId="0" fillId="27" fontId="44" numFmtId="0" xfId="0" applyAlignment="1" applyFill="1" applyFont="1">
      <alignment horizontal="center" vertical="bottom"/>
    </xf>
    <xf borderId="0" fillId="28" fontId="44" numFmtId="0" xfId="0" applyAlignment="1" applyFill="1" applyFont="1">
      <alignment horizontal="center" vertical="bottom"/>
    </xf>
    <xf borderId="0" fillId="29" fontId="44" numFmtId="0" xfId="0" applyAlignment="1" applyFill="1" applyFont="1">
      <alignment horizontal="center" vertical="bottom"/>
    </xf>
    <xf borderId="0" fillId="30" fontId="44" numFmtId="0" xfId="0" applyAlignment="1" applyFill="1" applyFont="1">
      <alignment horizontal="center" vertical="bottom"/>
    </xf>
    <xf borderId="0" fillId="31" fontId="44" numFmtId="0" xfId="0" applyAlignment="1" applyFill="1" applyFont="1">
      <alignment horizontal="center" vertical="bottom"/>
    </xf>
    <xf borderId="0" fillId="0" fontId="44" numFmtId="10" xfId="0" applyAlignment="1" applyFont="1" applyNumberFormat="1">
      <alignment vertical="bottom"/>
    </xf>
    <xf borderId="0" fillId="0" fontId="45" numFmtId="0" xfId="0" applyAlignment="1" applyFont="1">
      <alignment vertical="bottom"/>
    </xf>
    <xf borderId="0" fillId="32" fontId="43" numFmtId="0" xfId="0" applyAlignment="1" applyFill="1" applyFont="1">
      <alignment horizontal="center" vertical="bottom"/>
    </xf>
    <xf borderId="0" fillId="32" fontId="43" numFmtId="0" xfId="0" applyAlignment="1" applyFont="1">
      <alignment horizontal="center" readingOrder="0" vertical="bottom"/>
    </xf>
    <xf borderId="0" fillId="0" fontId="44" numFmtId="0" xfId="0" applyAlignment="1" applyFont="1">
      <alignment horizontal="right" vertical="bottom"/>
    </xf>
    <xf borderId="0" fillId="0" fontId="43" numFmtId="9" xfId="0" applyAlignment="1" applyFont="1" applyNumberFormat="1">
      <alignment horizontal="right" vertical="bottom"/>
    </xf>
    <xf borderId="0" fillId="0" fontId="43" numFmtId="9" xfId="0" applyAlignment="1" applyFont="1" applyNumberFormat="1">
      <alignment horizontal="center" vertical="bottom"/>
    </xf>
    <xf borderId="0" fillId="0" fontId="44" numFmtId="0" xfId="0" applyAlignment="1" applyFont="1">
      <alignment horizontal="right" readingOrder="0" vertical="bottom"/>
    </xf>
    <xf borderId="0" fillId="0" fontId="44" numFmtId="9" xfId="0" applyAlignment="1" applyFont="1" applyNumberFormat="1">
      <alignment horizontal="right" vertical="bottom"/>
    </xf>
    <xf borderId="0" fillId="0" fontId="44" numFmtId="9" xfId="0" applyAlignment="1" applyFont="1" applyNumberFormat="1">
      <alignment horizontal="center" vertical="bottom"/>
    </xf>
    <xf borderId="0" fillId="0" fontId="44" numFmtId="10" xfId="0" applyAlignment="1" applyFont="1" applyNumberFormat="1">
      <alignment horizontal="center" vertical="bottom"/>
    </xf>
    <xf borderId="0" fillId="0" fontId="44" numFmtId="10" xfId="0" applyAlignment="1" applyFont="1" applyNumberFormat="1">
      <alignment horizontal="right" vertical="bottom"/>
    </xf>
    <xf borderId="0" fillId="0" fontId="43" numFmtId="0" xfId="0" applyAlignment="1" applyFont="1">
      <alignment horizontal="right" vertical="bottom"/>
    </xf>
    <xf borderId="0" fillId="0" fontId="43" numFmtId="9" xfId="0" applyAlignment="1" applyFont="1" applyNumberFormat="1">
      <alignment vertical="bottom"/>
    </xf>
    <xf borderId="0" fillId="31" fontId="43" numFmtId="0" xfId="0" applyAlignment="1" applyFont="1">
      <alignment horizontal="center" vertical="bottom"/>
    </xf>
    <xf borderId="0" fillId="0" fontId="44" numFmtId="0" xfId="0" applyAlignment="1" applyFont="1">
      <alignment horizontal="center" vertical="bottom"/>
    </xf>
    <xf borderId="0" fillId="0" fontId="43" numFmtId="1" xfId="0" applyAlignment="1" applyFont="1" applyNumberFormat="1">
      <alignment horizontal="center" vertical="bottom"/>
    </xf>
    <xf borderId="0" fillId="0" fontId="43" numFmtId="0" xfId="0" applyFont="1"/>
    <xf borderId="0" fillId="32" fontId="44" numFmtId="0" xfId="0" applyAlignment="1" applyFont="1">
      <alignment horizontal="center" vertical="bottom"/>
    </xf>
    <xf borderId="0" fillId="30" fontId="43" numFmtId="0" xfId="0" applyAlignment="1" applyFont="1">
      <alignment horizontal="center" vertical="bottom"/>
    </xf>
    <xf borderId="0" fillId="28" fontId="43" numFmtId="0" xfId="0" applyAlignment="1" applyFont="1">
      <alignment horizontal="center" vertical="bottom"/>
    </xf>
    <xf borderId="0" fillId="29" fontId="43" numFmtId="0" xfId="0" applyAlignment="1" applyFont="1">
      <alignment horizontal="center" vertical="bottom"/>
    </xf>
    <xf borderId="0" fillId="30" fontId="43" numFmtId="0" xfId="0" applyAlignment="1" applyFont="1">
      <alignment vertical="bottom"/>
    </xf>
    <xf borderId="0" fillId="32" fontId="43" numFmtId="0" xfId="0" applyAlignment="1" applyFont="1">
      <alignment vertical="bottom"/>
    </xf>
    <xf borderId="0" fillId="28" fontId="43" numFmtId="0" xfId="0" applyAlignment="1" applyFont="1">
      <alignment vertical="bottom"/>
    </xf>
    <xf borderId="0" fillId="29" fontId="43" numFmtId="0" xfId="0" applyAlignment="1" applyFont="1">
      <alignment vertical="bottom"/>
    </xf>
    <xf borderId="0" fillId="33" fontId="44" numFmtId="0" xfId="0" applyAlignment="1" applyFill="1" applyFont="1">
      <alignment horizontal="center" vertical="bottom"/>
    </xf>
    <xf borderId="1" fillId="2" fontId="37" numFmtId="0" xfId="0" applyAlignment="1" applyBorder="1" applyFont="1">
      <alignment horizontal="left" vertical="center"/>
    </xf>
    <xf borderId="28" fillId="5" fontId="24" numFmtId="0" xfId="0" applyAlignment="1" applyBorder="1" applyFont="1">
      <alignment horizontal="left" shrinkToFit="0" vertical="center" wrapText="1"/>
    </xf>
    <xf borderId="31" fillId="0" fontId="2" numFmtId="0" xfId="0" applyBorder="1" applyFont="1"/>
    <xf borderId="32" fillId="0" fontId="2" numFmtId="0" xfId="0" applyBorder="1" applyFont="1"/>
    <xf borderId="28" fillId="19" fontId="24" numFmtId="0" xfId="0" applyAlignment="1" applyBorder="1" applyFont="1">
      <alignment horizontal="left" shrinkToFit="0" vertical="center" wrapText="1"/>
    </xf>
  </cellXfs>
  <cellStyles count="1">
    <cellStyle xfId="0" name="Normal" builtinId="0"/>
  </cellStyles>
  <dxfs count="9">
    <dxf>
      <font/>
      <fill>
        <patternFill patternType="none"/>
      </fill>
      <border/>
    </dxf>
    <dxf>
      <font>
        <b/>
        <color rgb="FF28A745"/>
      </font>
      <fill>
        <patternFill patternType="solid">
          <fgColor rgb="FFD4EDDA"/>
          <bgColor rgb="FFD4EDDA"/>
        </patternFill>
      </fill>
      <border/>
    </dxf>
    <dxf>
      <font>
        <b/>
        <color rgb="FF3A7CA5"/>
      </font>
      <fill>
        <patternFill patternType="solid">
          <fgColor rgb="FFE8F0FE"/>
          <bgColor rgb="FFE8F0FE"/>
        </patternFill>
      </fill>
      <border/>
    </dxf>
    <dxf>
      <font>
        <b/>
        <color rgb="FFB7950B"/>
      </font>
      <fill>
        <patternFill patternType="solid">
          <fgColor rgb="FFFFF3CD"/>
          <bgColor rgb="FFFFF3CD"/>
        </patternFill>
      </fill>
      <border/>
    </dxf>
    <dxf>
      <font>
        <b/>
        <color rgb="FFDC3545"/>
      </font>
      <fill>
        <patternFill patternType="solid">
          <fgColor rgb="FFF8D7DA"/>
          <bgColor rgb="FFF8D7DA"/>
        </patternFill>
      </fill>
      <border/>
    </dxf>
    <dxf>
      <font/>
      <fill>
        <patternFill patternType="solid">
          <fgColor rgb="FFD4EDDA"/>
          <bgColor rgb="FFD4EDDA"/>
        </patternFill>
      </fill>
      <border/>
    </dxf>
    <dxf>
      <font/>
      <fill>
        <patternFill patternType="solid">
          <fgColor rgb="FFF8D7DA"/>
          <bgColor rgb="FFF8D7DA"/>
        </patternFill>
      </fill>
      <border/>
    </dxf>
    <dxf>
      <font>
        <b/>
        <color rgb="FF1E8449"/>
      </font>
      <fill>
        <patternFill patternType="solid">
          <fgColor rgb="FFD5F5E3"/>
          <bgColor rgb="FFD5F5E3"/>
        </patternFill>
      </fill>
      <border/>
    </dxf>
    <dxf>
      <font/>
      <fill>
        <patternFill patternType="solid">
          <fgColor rgb="FFFFF3CD"/>
          <bgColor rgb="FFFFF3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Inbound Leads per Month</a:t>
            </a:r>
          </a:p>
        </c:rich>
      </c:tx>
      <c:overlay val="0"/>
    </c:title>
    <c:plotArea>
      <c:layout/>
      <c:barChart>
        <c:barDir val="col"/>
        <c:ser>
          <c:idx val="0"/>
          <c:order val="0"/>
          <c:tx>
            <c:v>Leads</c:v>
          </c:tx>
          <c:spPr>
            <a:solidFill>
              <a:srgbClr val="3A7CA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Dashboard!$A$9:$A$32</c:f>
            </c:strRef>
          </c:cat>
          <c:val>
            <c:numRef>
              <c:f>Dashboard!$B$9:$B$32</c:f>
              <c:numCache/>
            </c:numRef>
          </c:val>
        </c:ser>
        <c:ser>
          <c:idx val="1"/>
          <c:order val="1"/>
          <c:cat>
            <c:strRef>
              <c:f>Dashboard!$A$9:$A$32</c:f>
            </c:strRef>
          </c:cat>
          <c:val>
            <c:numRef>
              <c:f>Dashboard!$C$8:$C$32</c:f>
              <c:numCache/>
            </c:numRef>
          </c:val>
        </c:ser>
        <c:axId val="1984131528"/>
        <c:axId val="1692587578"/>
      </c:barChart>
      <c:catAx>
        <c:axId val="1984131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1692587578"/>
      </c:catAx>
      <c:valAx>
        <c:axId val="16925875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1000">
                    <a:solidFill>
                      <a:srgbClr val="000000"/>
                    </a:solidFill>
                    <a:latin typeface="Calibri"/>
                  </a:defRPr>
                </a:pPr>
                <a:r>
                  <a:rPr b="1" i="0" sz="1000">
                    <a:solidFill>
                      <a:srgbClr val="000000"/>
                    </a:solidFill>
                    <a:latin typeface="Calibri"/>
                  </a:rPr>
                  <a:t>Leads</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98413152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Leads by Business Unit</a:t>
            </a:r>
          </a:p>
        </c:rich>
      </c:tx>
      <c:overlay val="0"/>
    </c:title>
    <c:plotArea>
      <c:layout/>
      <c:pieChart>
        <c:varyColors val="1"/>
        <c:ser>
          <c:idx val="0"/>
          <c:order val="0"/>
          <c:dPt>
            <c:idx val="0"/>
            <c:explosion val="0"/>
            <c:spPr>
              <a:solidFill>
                <a:srgbClr val="28A745"/>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Dashboard!$A$36:$A$38</c:f>
            </c:strRef>
          </c:cat>
          <c:val>
            <c:numRef>
              <c:f>Dashboard!$B$36:$B$38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2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vs Vertical</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Dashboard!$A$42:$A$51</c:f>
            </c:strRef>
          </c:cat>
          <c:val>
            <c:numRef>
              <c:f>Dashboard!$B$42:$B$51</c:f>
              <c:numCache/>
            </c:numRef>
          </c:val>
        </c:ser>
        <c:axId val="984186224"/>
        <c:axId val="1549133160"/>
      </c:barChart>
      <c:catAx>
        <c:axId val="9841862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Vertical</a:t>
                </a:r>
              </a:p>
            </c:rich>
          </c:tx>
          <c:overlay val="0"/>
        </c:title>
        <c:numFmt formatCode="General" sourceLinked="1"/>
        <c:majorTickMark val="none"/>
        <c:minorTickMark val="none"/>
        <c:spPr/>
        <c:txPr>
          <a:bodyPr/>
          <a:lstStyle/>
          <a:p>
            <a:pPr lvl="0">
              <a:defRPr b="0">
                <a:solidFill>
                  <a:srgbClr val="000000"/>
                </a:solidFill>
                <a:latin typeface="+mn-lt"/>
              </a:defRPr>
            </a:pPr>
          </a:p>
        </c:txPr>
        <c:crossAx val="1549133160"/>
      </c:catAx>
      <c:valAx>
        <c:axId val="15491331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418622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Leads by Country</a:t>
            </a:r>
          </a:p>
        </c:rich>
      </c:tx>
      <c:overlay val="0"/>
    </c:title>
    <c:plotArea>
      <c:layout/>
      <c:barChart>
        <c:barDir val="col"/>
        <c:ser>
          <c:idx val="0"/>
          <c:order val="0"/>
          <c:tx>
            <c:v>Count</c:v>
          </c:tx>
          <c:spPr>
            <a:solidFill>
              <a:srgbClr val="1E844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Dashboard!$A$55:$A$72</c:f>
            </c:strRef>
          </c:cat>
          <c:val>
            <c:numRef>
              <c:f>Dashboard!$B$55:$B$72</c:f>
              <c:numCache/>
            </c:numRef>
          </c:val>
        </c:ser>
        <c:axId val="1148163465"/>
        <c:axId val="984321595"/>
      </c:barChart>
      <c:catAx>
        <c:axId val="1148163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984321595"/>
      </c:catAx>
      <c:valAx>
        <c:axId val="9843215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148163465"/>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Monthly Funnel Conversion Rates</a:t>
            </a:r>
          </a:p>
        </c:rich>
      </c:tx>
      <c:overlay val="0"/>
    </c:title>
    <c:plotArea>
      <c:layout/>
      <c:lineChart>
        <c:ser>
          <c:idx val="0"/>
          <c:order val="0"/>
          <c:tx>
            <c:v>Lead→Scope %</c:v>
          </c:tx>
          <c:spPr>
            <a:ln cmpd="sng" w="19050">
              <a:solidFill>
                <a:srgbClr val="3A7CA5">
                  <a:alpha val="100000"/>
                </a:srgbClr>
              </a:solidFill>
              <a:prstDash val="solid"/>
            </a:ln>
          </c:spPr>
          <c:marker>
            <c:symbol val="circle"/>
            <c:size val="10"/>
            <c:spPr>
              <a:solidFill>
                <a:srgbClr val="3A7CA5">
                  <a:alpha val="100000"/>
                </a:srgbClr>
              </a:solidFill>
              <a:ln cmpd="sng">
                <a:solidFill>
                  <a:srgbClr val="3A7CA5">
                    <a:alpha val="100000"/>
                  </a:srgbClr>
                </a:solidFill>
              </a:ln>
            </c:spPr>
          </c:marker>
          <c:cat>
            <c:strRef>
              <c:f>Dashboard!$A$77:$A$100</c:f>
            </c:strRef>
          </c:cat>
          <c:val>
            <c:numRef>
              <c:f>Dashboard!$D$77:$D$100</c:f>
              <c:numCache/>
            </c:numRef>
          </c:val>
          <c:smooth val="1"/>
        </c:ser>
        <c:ser>
          <c:idx val="1"/>
          <c:order val="1"/>
          <c:tx>
            <c:v>Scope→PoC %</c:v>
          </c:tx>
          <c:spPr>
            <a:ln cmpd="sng" w="19050">
              <a:solidFill>
                <a:srgbClr val="B7950B">
                  <a:alpha val="100000"/>
                </a:srgbClr>
              </a:solidFill>
              <a:prstDash val="solid"/>
            </a:ln>
          </c:spPr>
          <c:marker>
            <c:symbol val="circle"/>
            <c:size val="10"/>
            <c:spPr>
              <a:solidFill>
                <a:srgbClr val="B7950B">
                  <a:alpha val="100000"/>
                </a:srgbClr>
              </a:solidFill>
              <a:ln cmpd="sng">
                <a:solidFill>
                  <a:srgbClr val="B7950B">
                    <a:alpha val="100000"/>
                  </a:srgbClr>
                </a:solidFill>
              </a:ln>
            </c:spPr>
          </c:marker>
          <c:cat>
            <c:strRef>
              <c:f>Dashboard!$A$77:$A$100</c:f>
            </c:strRef>
          </c:cat>
          <c:val>
            <c:numRef>
              <c:f>Dashboard!$F$77:$F$100</c:f>
              <c:numCache/>
            </c:numRef>
          </c:val>
          <c:smooth val="1"/>
        </c:ser>
        <c:ser>
          <c:idx val="2"/>
          <c:order val="2"/>
          <c:tx>
            <c:v>PoC→Won %</c:v>
          </c:tx>
          <c:spPr>
            <a:ln cmpd="sng" w="19050">
              <a:solidFill>
                <a:srgbClr val="28A745">
                  <a:alpha val="100000"/>
                </a:srgbClr>
              </a:solidFill>
              <a:prstDash val="solid"/>
            </a:ln>
          </c:spPr>
          <c:marker>
            <c:symbol val="circle"/>
            <c:size val="10"/>
            <c:spPr>
              <a:solidFill>
                <a:srgbClr val="28A745">
                  <a:alpha val="100000"/>
                </a:srgbClr>
              </a:solidFill>
              <a:ln cmpd="sng">
                <a:solidFill>
                  <a:srgbClr val="28A745">
                    <a:alpha val="100000"/>
                  </a:srgbClr>
                </a:solidFill>
              </a:ln>
            </c:spPr>
          </c:marker>
          <c:cat>
            <c:strRef>
              <c:f>Dashboard!$A$77:$A$100</c:f>
            </c:strRef>
          </c:cat>
          <c:val>
            <c:numRef>
              <c:f>Dashboard!$H$77:$H$100</c:f>
              <c:numCache/>
            </c:numRef>
          </c:val>
          <c:smooth val="1"/>
        </c:ser>
        <c:axId val="2109788251"/>
        <c:axId val="1326099066"/>
      </c:lineChart>
      <c:catAx>
        <c:axId val="2109788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1326099066"/>
      </c:catAx>
      <c:valAx>
        <c:axId val="132609906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Conversion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210978825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Current Funnel — Leads at Each Stage</a:t>
            </a:r>
          </a:p>
        </c:rich>
      </c:tx>
      <c:overlay val="0"/>
    </c:title>
    <c:plotArea>
      <c:layout/>
      <c:barChart>
        <c:barDir val="col"/>
        <c:ser>
          <c:idx val="0"/>
          <c:order val="0"/>
          <c:tx>
            <c:v>Count</c:v>
          </c:tx>
          <c:spPr>
            <a:solidFill>
              <a:srgbClr val="3A7CA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Dashboard!$A$105:$A$116</c:f>
            </c:strRef>
          </c:cat>
          <c:val>
            <c:numRef>
              <c:f>Dashboard!$B$105:$B$116</c:f>
              <c:numCache/>
            </c:numRef>
          </c:val>
        </c:ser>
        <c:axId val="1843735895"/>
        <c:axId val="1539113728"/>
      </c:barChart>
      <c:catAx>
        <c:axId val="18437358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1539113728"/>
      </c:catAx>
      <c:valAx>
        <c:axId val="15391137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843735895"/>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Avg Days at Each Funnel Stage</a:t>
            </a:r>
          </a:p>
        </c:rich>
      </c:tx>
      <c:overlay val="0"/>
    </c:title>
    <c:plotArea>
      <c:layout/>
      <c:barChart>
        <c:barDir val="col"/>
        <c:ser>
          <c:idx val="0"/>
          <c:order val="0"/>
          <c:tx>
            <c:v>Avg Days</c:v>
          </c:tx>
          <c:spPr>
            <a:solidFill>
              <a:srgbClr val="DC3545"/>
            </a:solidFill>
            <a:ln cmpd="sng">
              <a:solidFill>
                <a:srgbClr val="000000"/>
              </a:solidFill>
            </a:ln>
          </c:spPr>
          <c:dLbls>
            <c:numFmt formatCode="General" sourceLinked="1"/>
            <c:txPr>
              <a:bodyPr/>
              <a:lstStyle/>
              <a:p>
                <a:pPr lvl="0">
                  <a:defRPr>
                    <a:solidFill>
                      <a:srgbClr val="0000FF"/>
                    </a:solidFill>
                  </a:defRPr>
                </a:pPr>
              </a:p>
            </c:txPr>
            <c:showLegendKey val="0"/>
            <c:showVal val="1"/>
            <c:showCatName val="0"/>
            <c:showSerName val="0"/>
            <c:showPercent val="0"/>
            <c:showBubbleSize val="0"/>
          </c:dLbls>
          <c:cat>
            <c:strRef>
              <c:f>Dashboard!$A$121:$A$126</c:f>
            </c:strRef>
          </c:cat>
          <c:val>
            <c:numRef>
              <c:f>Dashboard!$B$121:$B$126</c:f>
              <c:numCache/>
            </c:numRef>
          </c:val>
        </c:ser>
        <c:ser>
          <c:idx val="1"/>
          <c:order val="1"/>
          <c:tx>
            <c:v>Target (days)</c:v>
          </c:tx>
          <c:spPr>
            <a:solidFill>
              <a:srgbClr val="D4EDDA"/>
            </a:solidFill>
            <a:ln cmpd="sng">
              <a:solidFill>
                <a:srgbClr val="000000"/>
              </a:solidFill>
            </a:ln>
          </c:spPr>
          <c:dLbls>
            <c:numFmt formatCode="General" sourceLinked="1"/>
            <c:txPr>
              <a:bodyPr/>
              <a:lstStyle/>
              <a:p>
                <a:pPr lvl="0">
                  <a:defRPr>
                    <a:solidFill>
                      <a:srgbClr val="0000FF"/>
                    </a:solidFill>
                  </a:defRPr>
                </a:pPr>
              </a:p>
            </c:txPr>
            <c:showLegendKey val="0"/>
            <c:showVal val="1"/>
            <c:showCatName val="0"/>
            <c:showSerName val="0"/>
            <c:showPercent val="0"/>
            <c:showBubbleSize val="0"/>
          </c:dLbls>
          <c:cat>
            <c:strRef>
              <c:f>Dashboard!$A$121:$A$126</c:f>
            </c:strRef>
          </c:cat>
          <c:val>
            <c:numRef>
              <c:f>Dashboard!$C$121:$C$126</c:f>
              <c:numCache/>
            </c:numRef>
          </c:val>
        </c:ser>
        <c:axId val="560467586"/>
        <c:axId val="832211343"/>
      </c:barChart>
      <c:catAx>
        <c:axId val="560467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832211343"/>
      </c:catAx>
      <c:valAx>
        <c:axId val="83221134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Days</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560467586"/>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Owner Performance — Leads Assigned vs Won</a:t>
            </a:r>
          </a:p>
        </c:rich>
      </c:tx>
      <c:overlay val="0"/>
    </c:title>
    <c:plotArea>
      <c:layout/>
      <c:barChart>
        <c:barDir val="col"/>
        <c:ser>
          <c:idx val="0"/>
          <c:order val="0"/>
          <c:tx>
            <c:v>Leads Assigned</c:v>
          </c:tx>
          <c:spPr>
            <a:solidFill>
              <a:srgbClr val="3A7CA5"/>
            </a:solidFill>
            <a:ln cmpd="sng">
              <a:solidFill>
                <a:srgbClr val="000000"/>
              </a:solidFill>
            </a:ln>
          </c:spPr>
          <c:cat>
            <c:strRef>
              <c:f>Dashboard!$A$150:$A$157</c:f>
            </c:strRef>
          </c:cat>
          <c:val>
            <c:numRef>
              <c:f>Dashboard!$B$150:$B$157</c:f>
              <c:numCache/>
            </c:numRef>
          </c:val>
        </c:ser>
        <c:ser>
          <c:idx val="1"/>
          <c:order val="1"/>
          <c:tx>
            <c:v>Moved to Scoping</c:v>
          </c:tx>
          <c:spPr>
            <a:solidFill>
              <a:srgbClr val="B7950B"/>
            </a:solidFill>
            <a:ln cmpd="sng">
              <a:solidFill>
                <a:srgbClr val="000000"/>
              </a:solidFill>
            </a:ln>
          </c:spPr>
          <c:cat>
            <c:strRef>
              <c:f>Dashboard!$A$150:$A$157</c:f>
            </c:strRef>
          </c:cat>
          <c:val>
            <c:numRef>
              <c:f>Dashboard!$E$150:$E$156</c:f>
              <c:numCache/>
            </c:numRef>
          </c:val>
        </c:ser>
        <c:ser>
          <c:idx val="2"/>
          <c:order val="2"/>
          <c:tx>
            <c:v>Deals Won</c:v>
          </c:tx>
          <c:spPr>
            <a:solidFill>
              <a:srgbClr val="28A745"/>
            </a:solidFill>
            <a:ln cmpd="sng">
              <a:solidFill>
                <a:srgbClr val="000000"/>
              </a:solidFill>
            </a:ln>
          </c:spPr>
          <c:cat>
            <c:strRef>
              <c:f>Dashboard!$A$150:$A$157</c:f>
            </c:strRef>
          </c:cat>
          <c:val>
            <c:numRef>
              <c:f>Dashboard!$H$150:$H$156</c:f>
              <c:numCache/>
            </c:numRef>
          </c:val>
        </c:ser>
        <c:axId val="137371205"/>
        <c:axId val="2004254909"/>
      </c:barChart>
      <c:catAx>
        <c:axId val="137371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200">
                <a:solidFill>
                  <a:srgbClr val="000000"/>
                </a:solidFill>
                <a:latin typeface="Calibri"/>
              </a:defRPr>
            </a:pPr>
          </a:p>
        </c:txPr>
        <c:crossAx val="2004254909"/>
      </c:catAx>
      <c:valAx>
        <c:axId val="200425490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137371205"/>
      </c:valAx>
    </c:plotArea>
    <c:legend>
      <c:legendPos val="r"/>
      <c:overlay val="0"/>
      <c:txPr>
        <a:bodyPr/>
        <a:lstStyle/>
        <a:p>
          <a:pPr lvl="0">
            <a:defRPr b="0" i="0" sz="1200">
              <a:solidFill>
                <a:srgbClr val="000000"/>
              </a:solidFill>
              <a:latin typeface="Calibri"/>
            </a:defRPr>
          </a:pPr>
        </a:p>
      </c:txPr>
    </c:legend>
    <c:plotVisOnly val="1"/>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Lead Source — Volume vs Conversion</a:t>
            </a:r>
          </a:p>
        </c:rich>
      </c:tx>
      <c:overlay val="0"/>
    </c:title>
    <c:plotArea>
      <c:layout/>
      <c:barChart>
        <c:barDir val="col"/>
        <c:ser>
          <c:idx val="0"/>
          <c:order val="0"/>
          <c:tx>
            <c:v>Leads</c:v>
          </c:tx>
          <c:spPr>
            <a:solidFill>
              <a:srgbClr val="3A7CA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Dashboard!$A$162:$A$172</c:f>
            </c:strRef>
          </c:cat>
          <c:val>
            <c:numRef>
              <c:f>Dashboard!$B$162:$B$173</c:f>
              <c:numCache/>
            </c:numRef>
          </c:val>
        </c:ser>
        <c:ser>
          <c:idx val="1"/>
          <c:order val="1"/>
          <c:tx>
            <c:v>To Scoping</c:v>
          </c:tx>
          <c:spPr>
            <a:solidFill>
              <a:srgbClr val="28A74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Dashboard!$A$162:$A$172</c:f>
            </c:strRef>
          </c:cat>
          <c:val>
            <c:numRef>
              <c:f>Dashboard!$C$162:$C$172</c:f>
              <c:numCache/>
            </c:numRef>
          </c:val>
        </c:ser>
        <c:axId val="676371021"/>
        <c:axId val="2084566762"/>
      </c:barChart>
      <c:catAx>
        <c:axId val="6763710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a:lstStyle/>
          <a:p>
            <a:pPr lvl="0">
              <a:defRPr b="0" i="0" sz="1200">
                <a:solidFill>
                  <a:srgbClr val="000000"/>
                </a:solidFill>
                <a:latin typeface="Calibri"/>
              </a:defRPr>
            </a:pPr>
          </a:p>
        </c:txPr>
        <c:crossAx val="2084566762"/>
      </c:catAx>
      <c:valAx>
        <c:axId val="20845667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000">
                <a:solidFill>
                  <a:srgbClr val="000000"/>
                </a:solidFill>
                <a:latin typeface="Calibri"/>
              </a:defRPr>
            </a:pPr>
          </a:p>
        </c:txPr>
        <c:crossAx val="676371021"/>
      </c:valAx>
    </c:plotArea>
    <c:legend>
      <c:legendPos val="r"/>
      <c:overlay val="0"/>
      <c:txPr>
        <a:bodyPr/>
        <a:lstStyle/>
        <a:p>
          <a:pPr lvl="0">
            <a:defRPr b="0" i="0" sz="1200">
              <a:solidFill>
                <a:srgbClr val="000000"/>
              </a:solidFill>
              <a:latin typeface="Calibri"/>
            </a:defRPr>
          </a:pPr>
        </a:p>
      </c:txPr>
    </c:legend>
    <c:plotVisOnly val="1"/>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Why We Lose Deals</a:t>
            </a:r>
          </a:p>
        </c:rich>
      </c:tx>
      <c:overlay val="0"/>
    </c:title>
    <c:plotArea>
      <c:layout/>
      <c:pieChart>
        <c:varyColors val="1"/>
        <c:ser>
          <c:idx val="0"/>
          <c:order val="0"/>
          <c:dPt>
            <c:idx val="0"/>
            <c:spPr>
              <a:solidFill>
                <a:srgbClr val="28A745"/>
              </a:solidFill>
            </c:spPr>
          </c:dPt>
          <c:dPt>
            <c:idx val="1"/>
            <c:spPr>
              <a:solidFill>
                <a:srgbClr val="AB4744"/>
              </a:solidFill>
            </c:spPr>
          </c:dPt>
          <c:dPt>
            <c:idx val="2"/>
            <c:spPr>
              <a:solidFill>
                <a:srgbClr val="FF00FF"/>
              </a:solidFill>
            </c:spPr>
          </c:dPt>
          <c:dPt>
            <c:idx val="3"/>
            <c:spPr>
              <a:solidFill>
                <a:srgbClr val="725990"/>
              </a:solidFill>
            </c:spPr>
          </c:dPt>
          <c:dPt>
            <c:idx val="4"/>
            <c:spPr>
              <a:solidFill>
                <a:srgbClr val="4299B0"/>
              </a:solidFill>
            </c:spPr>
          </c:dPt>
          <c:dPt>
            <c:idx val="5"/>
            <c:spPr>
              <a:solidFill>
                <a:srgbClr val="DC853E"/>
              </a:solidFill>
            </c:spPr>
          </c:dPt>
          <c:dPt>
            <c:idx val="6"/>
            <c:spPr>
              <a:solidFill>
                <a:srgbClr val="93A9CE"/>
              </a:solidFill>
            </c:spPr>
          </c:dPt>
          <c:dPt>
            <c:idx val="7"/>
            <c:spPr>
              <a:solidFill>
                <a:srgbClr val="D09493"/>
              </a:solidFill>
            </c:spPr>
          </c:dPt>
          <c:dLbls>
            <c:showLegendKey val="0"/>
            <c:showVal val="0"/>
            <c:showCatName val="0"/>
            <c:showSerName val="0"/>
            <c:showPercent val="0"/>
            <c:showBubbleSize val="0"/>
            <c:showLeaderLines val="1"/>
          </c:dLbls>
          <c:cat>
            <c:strRef>
              <c:f>Dashboard!$A$191:$A$198</c:f>
            </c:strRef>
          </c:cat>
          <c:val>
            <c:numRef>
              <c:f>Dashboard!$D$191:$D$198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200">
              <a:solidFill>
                <a:srgbClr val="000000"/>
              </a:solidFill>
              <a:latin typeface="Calibri"/>
            </a:defRPr>
          </a:pPr>
        </a:p>
      </c:txPr>
    </c:legend>
    <c:plotVisOnly val="1"/>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Qualified Inbound Leads (Jan 2026-Dec 2026)</a:t>
            </a:r>
          </a:p>
        </c:rich>
      </c:tx>
      <c:layout>
        <c:manualLayout>
          <c:xMode val="edge"/>
          <c:yMode val="edge"/>
          <c:x val="0.030030959752321985"/>
          <c:y val="0.05"/>
        </c:manualLayout>
      </c:layout>
      <c:overlay val="0"/>
    </c:title>
    <c:plotArea>
      <c:layout/>
      <c:barChart>
        <c:barDir val="col"/>
        <c:grouping val="stacked"/>
        <c:ser>
          <c:idx val="0"/>
          <c:order val="0"/>
          <c:tx>
            <c:strRef>
              <c:f>'Leads Progression'!$A$5</c:f>
            </c:strRef>
          </c:tx>
          <c:spPr>
            <a:solidFill>
              <a:schemeClr val="accent1"/>
            </a:solidFill>
            <a:ln cmpd="sng">
              <a:solidFill>
                <a:srgbClr val="000000"/>
              </a:solidFill>
            </a:ln>
          </c:spPr>
          <c:cat>
            <c:strRef>
              <c:f>'Leads Progression'!$B$4:$M$4</c:f>
            </c:strRef>
          </c:cat>
          <c:val>
            <c:numRef>
              <c:f>'Leads Progression'!$B$5:$M$5</c:f>
              <c:numCache/>
            </c:numRef>
          </c:val>
        </c:ser>
        <c:ser>
          <c:idx val="1"/>
          <c:order val="1"/>
          <c:tx>
            <c:strRef>
              <c:f>'Leads Progression'!$A$6</c:f>
            </c:strRef>
          </c:tx>
          <c:spPr>
            <a:solidFill>
              <a:schemeClr val="accent2"/>
            </a:solidFill>
            <a:ln cmpd="sng">
              <a:solidFill>
                <a:srgbClr val="000000"/>
              </a:solidFill>
            </a:ln>
          </c:spPr>
          <c:cat>
            <c:strRef>
              <c:f>'Leads Progression'!$B$4:$M$4</c:f>
            </c:strRef>
          </c:cat>
          <c:val>
            <c:numRef>
              <c:f>'Leads Progression'!$B$6:$M$6</c:f>
              <c:numCache/>
            </c:numRef>
          </c:val>
        </c:ser>
        <c:ser>
          <c:idx val="2"/>
          <c:order val="2"/>
          <c:tx>
            <c:strRef>
              <c:f>'Leads Progression'!$A$7</c:f>
            </c:strRef>
          </c:tx>
          <c:spPr>
            <a:solidFill>
              <a:schemeClr val="accent3"/>
            </a:solidFill>
            <a:ln cmpd="sng">
              <a:solidFill>
                <a:srgbClr val="000000"/>
              </a:solidFill>
            </a:ln>
          </c:spPr>
          <c:cat>
            <c:strRef>
              <c:f>'Leads Progression'!$B$4:$M$4</c:f>
            </c:strRef>
          </c:cat>
          <c:val>
            <c:numRef>
              <c:f>'Leads Progression'!$B$7:$M$7</c:f>
              <c:numCache/>
            </c:numRef>
          </c:val>
        </c:ser>
        <c:ser>
          <c:idx val="3"/>
          <c:order val="3"/>
          <c:tx>
            <c:strRef>
              <c:f>'Leads Progression'!$A$8</c:f>
            </c:strRef>
          </c:tx>
          <c:spPr>
            <a:solidFill>
              <a:schemeClr val="accent4"/>
            </a:solidFill>
            <a:ln cmpd="sng">
              <a:solidFill>
                <a:srgbClr val="000000"/>
              </a:solidFill>
            </a:ln>
          </c:spPr>
          <c:cat>
            <c:strRef>
              <c:f>'Leads Progression'!$B$4:$M$4</c:f>
            </c:strRef>
          </c:cat>
          <c:val>
            <c:numRef>
              <c:f>'Leads Progression'!$B$8:$M$8</c:f>
              <c:numCache/>
            </c:numRef>
          </c:val>
        </c:ser>
        <c:ser>
          <c:idx val="4"/>
          <c:order val="4"/>
          <c:tx>
            <c:strRef>
              <c:f>'Leads Progression'!$A$9</c:f>
            </c:strRef>
          </c:tx>
          <c:spPr>
            <a:solidFill>
              <a:schemeClr val="accent5"/>
            </a:solidFill>
            <a:ln cmpd="sng">
              <a:solidFill>
                <a:srgbClr val="000000"/>
              </a:solidFill>
            </a:ln>
          </c:spPr>
          <c:cat>
            <c:strRef>
              <c:f>'Leads Progression'!$B$4:$M$4</c:f>
            </c:strRef>
          </c:cat>
          <c:val>
            <c:numRef>
              <c:f>'Leads Progression'!$B$9:$M$9</c:f>
              <c:numCache/>
            </c:numRef>
          </c:val>
        </c:ser>
        <c:ser>
          <c:idx val="5"/>
          <c:order val="5"/>
          <c:tx>
            <c:strRef>
              <c:f>'Leads Progression'!$A$10</c:f>
            </c:strRef>
          </c:tx>
          <c:spPr>
            <a:solidFill>
              <a:schemeClr val="accent6"/>
            </a:solidFill>
            <a:ln cmpd="sng">
              <a:solidFill>
                <a:srgbClr val="000000"/>
              </a:solidFill>
            </a:ln>
          </c:spPr>
          <c:cat>
            <c:strRef>
              <c:f>'Leads Progression'!$B$4:$M$4</c:f>
            </c:strRef>
          </c:cat>
          <c:val>
            <c:numRef>
              <c:f>'Leads Progression'!$B$10:$M$10</c:f>
              <c:numCache/>
            </c:numRef>
          </c:val>
        </c:ser>
        <c:overlap val="100"/>
        <c:axId val="191741594"/>
        <c:axId val="1022066393"/>
      </c:barChart>
      <c:catAx>
        <c:axId val="1917415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22066393"/>
      </c:catAx>
      <c:valAx>
        <c:axId val="10220663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741594"/>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Aya Qualified Inbound Leads (Jan 2026-Dec 2026)</a:t>
            </a:r>
          </a:p>
        </c:rich>
      </c:tx>
      <c:overlay val="0"/>
    </c:title>
    <c:plotArea>
      <c:layout/>
      <c:barChart>
        <c:barDir val="col"/>
        <c:grouping val="stacked"/>
        <c:ser>
          <c:idx val="0"/>
          <c:order val="0"/>
          <c:tx>
            <c:strRef>
              <c:f>'Leads Progression'!$A$5</c:f>
            </c:strRef>
          </c:tx>
          <c:spPr>
            <a:solidFill>
              <a:schemeClr val="accent1"/>
            </a:solidFill>
            <a:ln cmpd="sng">
              <a:solidFill>
                <a:srgbClr val="000000"/>
              </a:solidFill>
            </a:ln>
          </c:spPr>
          <c:cat>
            <c:strRef>
              <c:f>'Leads Progression'!$B$4:$M$4</c:f>
            </c:strRef>
          </c:cat>
          <c:val>
            <c:numRef>
              <c:f>'Leads Progression'!$B$5:$M$5</c:f>
              <c:numCache/>
            </c:numRef>
          </c:val>
        </c:ser>
        <c:ser>
          <c:idx val="1"/>
          <c:order val="1"/>
          <c:tx>
            <c:strRef>
              <c:f>'Leads Progression'!$A$6</c:f>
            </c:strRef>
          </c:tx>
          <c:spPr>
            <a:solidFill>
              <a:schemeClr val="accent2"/>
            </a:solidFill>
            <a:ln cmpd="sng">
              <a:solidFill>
                <a:srgbClr val="000000"/>
              </a:solidFill>
            </a:ln>
          </c:spPr>
          <c:cat>
            <c:strRef>
              <c:f>'Leads Progression'!$B$4:$M$4</c:f>
            </c:strRef>
          </c:cat>
          <c:val>
            <c:numRef>
              <c:f>'Leads Progression'!$B$6:$M$6</c:f>
              <c:numCache/>
            </c:numRef>
          </c:val>
        </c:ser>
        <c:ser>
          <c:idx val="2"/>
          <c:order val="2"/>
          <c:tx>
            <c:strRef>
              <c:f>'Leads Progression'!$A$7</c:f>
            </c:strRef>
          </c:tx>
          <c:spPr>
            <a:solidFill>
              <a:schemeClr val="accent3"/>
            </a:solidFill>
            <a:ln cmpd="sng">
              <a:solidFill>
                <a:srgbClr val="000000"/>
              </a:solidFill>
            </a:ln>
          </c:spPr>
          <c:cat>
            <c:strRef>
              <c:f>'Leads Progression'!$B$4:$M$4</c:f>
            </c:strRef>
          </c:cat>
          <c:val>
            <c:numRef>
              <c:f>'Leads Progression'!$B$7:$M$7</c:f>
              <c:numCache/>
            </c:numRef>
          </c:val>
        </c:ser>
        <c:ser>
          <c:idx val="3"/>
          <c:order val="3"/>
          <c:tx>
            <c:strRef>
              <c:f>'Leads Progression'!$A$8</c:f>
            </c:strRef>
          </c:tx>
          <c:spPr>
            <a:solidFill>
              <a:schemeClr val="accent4"/>
            </a:solidFill>
            <a:ln cmpd="sng">
              <a:solidFill>
                <a:srgbClr val="000000"/>
              </a:solidFill>
            </a:ln>
          </c:spPr>
          <c:cat>
            <c:strRef>
              <c:f>'Leads Progression'!$B$4:$M$4</c:f>
            </c:strRef>
          </c:cat>
          <c:val>
            <c:numRef>
              <c:f>'Leads Progression'!$B$8:$M$8</c:f>
              <c:numCache/>
            </c:numRef>
          </c:val>
        </c:ser>
        <c:ser>
          <c:idx val="4"/>
          <c:order val="4"/>
          <c:tx>
            <c:strRef>
              <c:f>'Leads Progression'!$A$9</c:f>
            </c:strRef>
          </c:tx>
          <c:spPr>
            <a:solidFill>
              <a:schemeClr val="accent5"/>
            </a:solidFill>
            <a:ln cmpd="sng">
              <a:solidFill>
                <a:srgbClr val="000000"/>
              </a:solidFill>
            </a:ln>
          </c:spPr>
          <c:cat>
            <c:strRef>
              <c:f>'Leads Progression'!$B$4:$M$4</c:f>
            </c:strRef>
          </c:cat>
          <c:val>
            <c:numRef>
              <c:f>'Leads Progression'!$B$9:$M$9</c:f>
              <c:numCache/>
            </c:numRef>
          </c:val>
        </c:ser>
        <c:ser>
          <c:idx val="5"/>
          <c:order val="5"/>
          <c:tx>
            <c:strRef>
              <c:f>'Leads Progression'!$A$10</c:f>
            </c:strRef>
          </c:tx>
          <c:spPr>
            <a:solidFill>
              <a:schemeClr val="accent6"/>
            </a:solidFill>
            <a:ln cmpd="sng">
              <a:solidFill>
                <a:srgbClr val="000000"/>
              </a:solidFill>
            </a:ln>
          </c:spPr>
          <c:cat>
            <c:strRef>
              <c:f>'Leads Progression'!$B$4:$M$4</c:f>
            </c:strRef>
          </c:cat>
          <c:val>
            <c:numRef>
              <c:f>'Leads Progression'!$B$10:$M$10</c:f>
              <c:numCache/>
            </c:numRef>
          </c:val>
        </c:ser>
        <c:overlap val="100"/>
        <c:axId val="461966892"/>
        <c:axId val="1158399448"/>
      </c:barChart>
      <c:catAx>
        <c:axId val="4619668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8399448"/>
      </c:catAx>
      <c:valAx>
        <c:axId val="11583994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196689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image" Target="../media/Chart12.png"/><Relationship Id="rId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6</xdr:row>
      <xdr:rowOff>390525</xdr:rowOff>
    </xdr:from>
    <xdr:ext cx="7181850" cy="4076700"/>
    <xdr:graphicFrame>
      <xdr:nvGraphicFramePr>
        <xdr:cNvPr id="35822002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161925</xdr:colOff>
      <xdr:row>34</xdr:row>
      <xdr:rowOff>9525</xdr:rowOff>
    </xdr:from>
    <xdr:ext cx="4171950" cy="3733800"/>
    <xdr:graphicFrame>
      <xdr:nvGraphicFramePr>
        <xdr:cNvPr id="206284965"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523875</xdr:colOff>
      <xdr:row>33</xdr:row>
      <xdr:rowOff>9525</xdr:rowOff>
    </xdr:from>
    <xdr:ext cx="6305550" cy="4133850"/>
    <xdr:graphicFrame>
      <xdr:nvGraphicFramePr>
        <xdr:cNvPr id="1633834024"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161925</xdr:colOff>
      <xdr:row>51</xdr:row>
      <xdr:rowOff>76200</xdr:rowOff>
    </xdr:from>
    <xdr:ext cx="7381875" cy="3829050"/>
    <xdr:graphicFrame>
      <xdr:nvGraphicFramePr>
        <xdr:cNvPr id="1381420346"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438150</xdr:colOff>
      <xdr:row>76</xdr:row>
      <xdr:rowOff>104775</xdr:rowOff>
    </xdr:from>
    <xdr:ext cx="4572000" cy="3933825"/>
    <xdr:graphicFrame>
      <xdr:nvGraphicFramePr>
        <xdr:cNvPr id="2105715274"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371475</xdr:colOff>
      <xdr:row>103</xdr:row>
      <xdr:rowOff>28575</xdr:rowOff>
    </xdr:from>
    <xdr:ext cx="6953250" cy="2790825"/>
    <xdr:graphicFrame>
      <xdr:nvGraphicFramePr>
        <xdr:cNvPr id="137189827"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342900</xdr:colOff>
      <xdr:row>119</xdr:row>
      <xdr:rowOff>76200</xdr:rowOff>
    </xdr:from>
    <xdr:ext cx="8277225" cy="2190750"/>
    <xdr:graphicFrame>
      <xdr:nvGraphicFramePr>
        <xdr:cNvPr id="1045050994"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xdr:col>
      <xdr:colOff>342900</xdr:colOff>
      <xdr:row>148</xdr:row>
      <xdr:rowOff>19050</xdr:rowOff>
    </xdr:from>
    <xdr:ext cx="6572250" cy="2038350"/>
    <xdr:graphicFrame>
      <xdr:nvGraphicFramePr>
        <xdr:cNvPr id="2100374285"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638175</xdr:colOff>
      <xdr:row>160</xdr:row>
      <xdr:rowOff>38100</xdr:rowOff>
    </xdr:from>
    <xdr:ext cx="10553700" cy="2733675"/>
    <xdr:graphicFrame>
      <xdr:nvGraphicFramePr>
        <xdr:cNvPr id="358307591"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xdr:col>
      <xdr:colOff>771525</xdr:colOff>
      <xdr:row>192</xdr:row>
      <xdr:rowOff>19050</xdr:rowOff>
    </xdr:from>
    <xdr:ext cx="4572000" cy="2790825"/>
    <xdr:graphicFrame>
      <xdr:nvGraphicFramePr>
        <xdr:cNvPr id="419265195"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13</xdr:col>
      <xdr:colOff>9525</xdr:colOff>
      <xdr:row>6</xdr:row>
      <xdr:rowOff>390525</xdr:rowOff>
    </xdr:from>
    <xdr:ext cx="6153150" cy="4076700"/>
    <xdr:graphicFrame>
      <xdr:nvGraphicFramePr>
        <xdr:cNvPr id="98258294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48</xdr:row>
      <xdr:rowOff>142875</xdr:rowOff>
    </xdr:from>
    <xdr:ext cx="10658475" cy="3533775"/>
    <xdr:pic>
      <xdr:nvPicPr>
        <xdr:cNvPr id="206962120" name="Chart1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104775</xdr:colOff>
      <xdr:row>16</xdr:row>
      <xdr:rowOff>28575</xdr:rowOff>
    </xdr:from>
    <xdr:ext cx="8153400" cy="3581400"/>
    <xdr:graphicFrame>
      <xdr:nvGraphicFramePr>
        <xdr:cNvPr id="39634866" name="Chart 1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prometronics.com/"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A4A"/>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22.0"/>
    <col customWidth="1" min="2" max="2" width="12.0"/>
    <col customWidth="1" min="3" max="4" width="14.0"/>
    <col customWidth="1" min="5" max="6" width="12.0"/>
    <col customWidth="1" min="7" max="9" width="14.0"/>
    <col customWidth="1" min="10" max="15" width="12.0"/>
    <col customWidth="1" min="16" max="16" width="19.57"/>
    <col customWidth="1" min="17" max="20" width="12.0"/>
    <col customWidth="1" hidden="1" min="21" max="21" width="12.71"/>
    <col customWidth="1" min="22" max="32" width="8.71"/>
  </cols>
  <sheetData>
    <row r="1" ht="39.75" customHeight="1">
      <c r="A1" s="1" t="s">
        <v>0</v>
      </c>
      <c r="B1" s="2"/>
      <c r="C1" s="2"/>
      <c r="D1" s="2"/>
      <c r="E1" s="2"/>
      <c r="F1" s="2"/>
      <c r="G1" s="2"/>
      <c r="H1" s="2"/>
      <c r="I1" s="2"/>
      <c r="J1" s="2"/>
      <c r="K1" s="2"/>
      <c r="L1" s="2"/>
      <c r="M1" s="2"/>
      <c r="N1" s="2"/>
      <c r="O1" s="2"/>
      <c r="P1" s="2"/>
      <c r="Q1" s="2"/>
      <c r="R1" s="2"/>
      <c r="S1" s="2"/>
      <c r="T1" s="3"/>
      <c r="U1" s="4" t="s">
        <v>1</v>
      </c>
    </row>
    <row r="2" ht="24.0" customHeight="1">
      <c r="A2" s="5" t="s">
        <v>2</v>
      </c>
      <c r="B2" s="2"/>
      <c r="C2" s="2"/>
      <c r="D2" s="2"/>
      <c r="E2" s="2"/>
      <c r="F2" s="2"/>
      <c r="G2" s="2"/>
      <c r="H2" s="2"/>
      <c r="I2" s="2"/>
      <c r="J2" s="2"/>
      <c r="K2" s="2"/>
      <c r="L2" s="2"/>
      <c r="M2" s="2"/>
      <c r="N2" s="2"/>
      <c r="O2" s="2"/>
      <c r="P2" s="2"/>
      <c r="Q2" s="2"/>
      <c r="R2" s="2"/>
      <c r="S2" s="2"/>
      <c r="T2" s="3"/>
      <c r="U2" s="4">
        <v>2025.0</v>
      </c>
    </row>
    <row r="3" ht="31.5" customHeight="1">
      <c r="A3" s="6" t="s">
        <v>3</v>
      </c>
      <c r="B3" s="7"/>
      <c r="C3" s="7"/>
      <c r="D3" s="7"/>
      <c r="E3" s="7"/>
      <c r="F3" s="7"/>
      <c r="G3" s="7"/>
      <c r="H3" s="7"/>
      <c r="I3" s="7"/>
      <c r="J3" s="7"/>
      <c r="K3" s="7"/>
      <c r="L3" s="8"/>
      <c r="M3" s="9"/>
      <c r="N3" s="9"/>
      <c r="O3" s="10" t="s">
        <v>4</v>
      </c>
      <c r="P3" s="11">
        <v>2026.0</v>
      </c>
      <c r="Q3" s="9"/>
      <c r="R3" s="9"/>
      <c r="S3" s="9"/>
      <c r="T3" s="9"/>
      <c r="U3" s="4">
        <v>2026.0</v>
      </c>
    </row>
    <row r="4" ht="33.75" customHeight="1">
      <c r="A4" s="12">
        <f>COUNTIFS('1. Inbound Leads'!B8:B1000, "&gt;="&amp;U10, '1. Inbound Leads'!B8:B1000, "&lt;="&amp;U12)</f>
        <v>63</v>
      </c>
      <c r="B4" s="13"/>
      <c r="C4" s="12">
        <f>COUNTIFS('1. Inbound Leads'!AC8:AC396,"Move to Scoping",'1. Inbound Leads'!B8:B396,"&gt;="&amp;U10,'1. Inbound Leads'!B8:B396,"&lt;="&amp;U12)</f>
        <v>1</v>
      </c>
      <c r="D4" s="13"/>
      <c r="E4" s="14">
        <f>IFERROR(C4/A4,0)</f>
        <v>0.01587301587</v>
      </c>
      <c r="F4" s="13"/>
      <c r="G4" s="12">
        <f>COUNTIFS('2. Scoping &amp; PoC'!Y7:Y183,"Scoping",'2. Scoping &amp; PoC'!E7:E183,"&gt;="&amp;U10,'2. Scoping &amp; PoC'!E7:E183,"&lt;="&amp;U12)+COUNTIFS('2. Scoping &amp; PoC'!Y7:Y183,"PoC In Progress",'2. Scoping &amp; PoC'!E7:E183,"&gt;="&amp;U10,'2. Scoping &amp; PoC'!E7:E183,"&lt;="&amp;U12)+COUNTIFS('2. Scoping &amp; PoC'!Y7:Y183,"PoC Complete",'2. Scoping &amp; PoC'!E7:E183,"&gt;="&amp;U10,'2. Scoping &amp; PoC'!E7:E183,"&lt;="&amp;U12)</f>
        <v>5</v>
      </c>
      <c r="H4" s="13"/>
      <c r="I4" s="12">
        <f>COUNTIFS('2. Scoping &amp; PoC'!Y7:Y183,"PoC In Progress",'2. Scoping &amp; PoC'!E7:E183,"&gt;="&amp;U10,'2. Scoping &amp; PoC'!E7:E183,"&lt;="&amp;U12)</f>
        <v>0</v>
      </c>
      <c r="J4" s="13"/>
      <c r="K4" s="12">
        <f>COUNTIFS('2. Scoping &amp; PoC'!Y7:Y183,"Won*",'2. Scoping &amp; PoC'!E7:E183,"&gt;="&amp;U10,'2. Scoping &amp; PoC'!E7:E183,"&lt;="&amp;U12)</f>
        <v>4</v>
      </c>
      <c r="L4" s="13"/>
      <c r="M4" s="12">
        <f>COUNTIFS('2. Scoping &amp; PoC'!Y7:Y183,"Lost",'2. Scoping &amp; PoC'!E7:E183,"&gt;="&amp;U10,'2. Scoping &amp; PoC'!E7:E183,"&lt;="&amp;U12)</f>
        <v>4</v>
      </c>
      <c r="N4" s="13"/>
      <c r="O4" s="15">
        <f>IFERROR(K4/(K4+M4),0)</f>
        <v>0.5</v>
      </c>
      <c r="P4" s="13"/>
      <c r="Q4" s="16">
        <f t="array" ref="Q4">IFERROR(SUMPRODUCT(('2. Scoping &amp; PoC'!AA6:AA1996&lt;&gt;"")*IF(ISNUMBER('2. Scoping &amp; PoC'!AA6:AA1996),'2. Scoping &amp; PoC'!AA6:AA1996,0)),0)</f>
        <v>24000</v>
      </c>
      <c r="R4" s="13"/>
      <c r="S4" s="17">
        <f>IFERROR(AVERAGE('2. Scoping &amp; PoC'!Z7:Z183),0)</f>
        <v>0.34</v>
      </c>
      <c r="T4" s="13"/>
      <c r="U4" s="4" t="s">
        <v>5</v>
      </c>
    </row>
    <row r="5" ht="19.5" customHeight="1">
      <c r="A5" s="18" t="s">
        <v>6</v>
      </c>
      <c r="B5" s="19"/>
      <c r="C5" s="18" t="s">
        <v>7</v>
      </c>
      <c r="D5" s="19"/>
      <c r="E5" s="18" t="s">
        <v>8</v>
      </c>
      <c r="F5" s="19"/>
      <c r="G5" s="18" t="s">
        <v>9</v>
      </c>
      <c r="H5" s="19"/>
      <c r="I5" s="18" t="s">
        <v>10</v>
      </c>
      <c r="J5" s="19"/>
      <c r="K5" s="18" t="s">
        <v>11</v>
      </c>
      <c r="L5" s="19"/>
      <c r="M5" s="18" t="s">
        <v>12</v>
      </c>
      <c r="N5" s="19"/>
      <c r="O5" s="18" t="s">
        <v>13</v>
      </c>
      <c r="P5" s="19"/>
      <c r="Q5" s="18" t="s">
        <v>14</v>
      </c>
      <c r="R5" s="19"/>
      <c r="S5" s="18" t="s">
        <v>15</v>
      </c>
      <c r="T5" s="19"/>
      <c r="U5" s="4" t="s">
        <v>16</v>
      </c>
    </row>
    <row r="6" ht="14.25" customHeight="1">
      <c r="U6" s="4" t="s">
        <v>17</v>
      </c>
    </row>
    <row r="7" ht="31.5" customHeight="1">
      <c r="A7" s="20" t="s">
        <v>18</v>
      </c>
      <c r="B7" s="2"/>
      <c r="C7" s="2"/>
      <c r="D7" s="2"/>
      <c r="E7" s="2"/>
      <c r="F7" s="2"/>
      <c r="G7" s="2"/>
      <c r="H7" s="2"/>
      <c r="I7" s="2"/>
      <c r="J7" s="2"/>
      <c r="K7" s="2"/>
      <c r="L7" s="2"/>
      <c r="M7" s="2"/>
      <c r="N7" s="2"/>
      <c r="O7" s="2"/>
      <c r="P7" s="2"/>
      <c r="Q7" s="2"/>
      <c r="R7" s="2"/>
      <c r="S7" s="2"/>
      <c r="T7" s="3"/>
    </row>
    <row r="8" ht="27.75" customHeight="1">
      <c r="A8" s="21" t="s">
        <v>19</v>
      </c>
      <c r="B8" s="21" t="s">
        <v>20</v>
      </c>
      <c r="C8" s="21"/>
      <c r="U8" s="4" t="s">
        <v>21</v>
      </c>
    </row>
    <row r="9" ht="15.0" customHeight="1">
      <c r="A9" s="22" t="s">
        <v>22</v>
      </c>
      <c r="B9" s="23">
        <f>COUNTIFS('1. Inbound Leads'!B8:B203,"&gt;="&amp;DATE(2025,1,1),'1. Inbound Leads'!B8:B203,"&lt;"&amp;DATE(2025,2,1))</f>
        <v>9</v>
      </c>
      <c r="C9" s="23"/>
      <c r="U9" s="4" t="s">
        <v>23</v>
      </c>
    </row>
    <row r="10" ht="15.0" customHeight="1">
      <c r="A10" s="24" t="s">
        <v>24</v>
      </c>
      <c r="B10" s="25">
        <f>COUNTIFS('1. Inbound Leads'!B8:B203,"&gt;="&amp;DATE(2025,2,1),'1. Inbound Leads'!B8:B203,"&lt;"&amp;DATE(2025,3,1))</f>
        <v>15</v>
      </c>
      <c r="C10" s="25"/>
      <c r="U10" s="26">
        <f>IF(P3="All Time",DATE(2000,1,1),IF(P3&amp;""="2025",DATE(2025,1,1),IF(P3&amp;""="2026",DATE(2026,1,1),IF(P3="Last 3 months",EDATE(TODAY(),-3),IF(P3="Last 6 months",EDATE(TODAY(),-6),IF(P3="YTD 2025",DATE(2025,1,1),DATE(2000,1,1)))))))</f>
        <v>46023</v>
      </c>
    </row>
    <row r="11" ht="15.0" customHeight="1">
      <c r="A11" s="22" t="s">
        <v>25</v>
      </c>
      <c r="B11" s="23">
        <f>COUNTIFS('1. Inbound Leads'!B8:B203,"&gt;="&amp;DATE(2025,3,1),'1. Inbound Leads'!B8:B203,"&lt;"&amp;DATE(2025,4,1))</f>
        <v>9</v>
      </c>
      <c r="C11" s="23"/>
      <c r="U11" s="4" t="s">
        <v>26</v>
      </c>
    </row>
    <row r="12" ht="15.0" customHeight="1">
      <c r="A12" s="24" t="s">
        <v>27</v>
      </c>
      <c r="B12" s="25">
        <f>COUNTIFS('1. Inbound Leads'!B8:B203,"&gt;="&amp;DATE(2025,4,1),'1. Inbound Leads'!B8:B203,"&lt;"&amp;DATE(2025,5,1))</f>
        <v>11</v>
      </c>
      <c r="C12" s="25"/>
      <c r="U12" s="26">
        <f>IF(P3="All Time",DATE(2030,12,31),IF(P3&amp;""="2025",DATE(2025,12,31),IF(P3&amp;""="2026",DATE(2026,12,31),IF(P3="Last 3 months",TODAY(),IF(P3="Last 6 months",TODAY(),IF(P3="YTD 2025",TODAY(),DATE(2030,12,31)))))))</f>
        <v>46387</v>
      </c>
    </row>
    <row r="13" ht="15.0" customHeight="1">
      <c r="A13" s="22" t="s">
        <v>28</v>
      </c>
      <c r="B13" s="23">
        <f>COUNTIFS('1. Inbound Leads'!B8:B203,"&gt;="&amp;DATE(2025,5,1),'1. Inbound Leads'!B8:B203,"&lt;"&amp;DATE(2025,6,1))</f>
        <v>17</v>
      </c>
      <c r="C13" s="23"/>
      <c r="U13" s="4" t="s">
        <v>29</v>
      </c>
    </row>
    <row r="14" ht="15.0" customHeight="1">
      <c r="A14" s="24" t="s">
        <v>30</v>
      </c>
      <c r="B14" s="25">
        <f>COUNTIFS('1. Inbound Leads'!B8:B203,"&gt;="&amp;DATE(2025,6,1),'1. Inbound Leads'!B8:B203,"&lt;"&amp;DATE(2025,7,1))</f>
        <v>13</v>
      </c>
      <c r="C14" s="25"/>
      <c r="U14" s="27">
        <f>P3</f>
        <v>2026</v>
      </c>
    </row>
    <row r="15" ht="15.0" customHeight="1">
      <c r="A15" s="22" t="s">
        <v>31</v>
      </c>
      <c r="B15" s="23">
        <f>COUNTIFS('1. Inbound Leads'!B8:B203,"&gt;="&amp;DATE(2025,7,1),'1. Inbound Leads'!B8:B203,"&lt;"&amp;DATE(2025,8,1))</f>
        <v>14</v>
      </c>
      <c r="C15" s="23"/>
    </row>
    <row r="16" ht="15.0" customHeight="1">
      <c r="A16" s="24" t="s">
        <v>32</v>
      </c>
      <c r="B16" s="25">
        <f>COUNTIFS('1. Inbound Leads'!B8:B203,"&gt;="&amp;DATE(2025,8,1),'1. Inbound Leads'!B8:B203,"&lt;"&amp;DATE(2025,9,1))</f>
        <v>15</v>
      </c>
      <c r="C16" s="25"/>
    </row>
    <row r="17" ht="15.0" customHeight="1">
      <c r="A17" s="22" t="s">
        <v>33</v>
      </c>
      <c r="B17" s="23">
        <f>COUNTIFS('1. Inbound Leads'!B8:B203,"&gt;="&amp;DATE(2025,9,1),'1. Inbound Leads'!B8:B203,"&lt;"&amp;DATE(2025,10,1))</f>
        <v>16</v>
      </c>
      <c r="C17" s="23"/>
    </row>
    <row r="18" ht="15.0" customHeight="1">
      <c r="A18" s="24" t="s">
        <v>34</v>
      </c>
      <c r="B18" s="25">
        <f>COUNTIFS('1. Inbound Leads'!B8:B203,"&gt;="&amp;DATE(2025,10,1),'1. Inbound Leads'!B8:B203,"&lt;"&amp;DATE(2025,11,1))</f>
        <v>23</v>
      </c>
      <c r="C18" s="25"/>
    </row>
    <row r="19" ht="15.0" customHeight="1">
      <c r="A19" s="22" t="s">
        <v>35</v>
      </c>
      <c r="B19" s="23">
        <f>COUNTIFS('1. Inbound Leads'!B8:B203,"&gt;="&amp;DATE(2025,11,1),'1. Inbound Leads'!B8:B203,"&lt;"&amp;DATE(2025,12,1))</f>
        <v>13</v>
      </c>
      <c r="C19" s="23"/>
    </row>
    <row r="20" ht="15.0" customHeight="1">
      <c r="A20" s="24" t="s">
        <v>36</v>
      </c>
      <c r="B20" s="25">
        <f>COUNTIFS('1. Inbound Leads'!B8:B203,"&gt;="&amp;DATE(2025,12,1),'1. Inbound Leads'!B8:B203,"&lt;"&amp;DATE(2026,1,1))</f>
        <v>10</v>
      </c>
      <c r="C20" s="25"/>
    </row>
    <row r="21" ht="15.0" customHeight="1">
      <c r="A21" s="22" t="s">
        <v>37</v>
      </c>
      <c r="B21" s="28">
        <f>COUNTIFS('1. Inbound Leads'!B8:B203,"&gt;="&amp;DATE(2026,1,1),'1. Inbound Leads'!B8:B203,"&lt;"&amp;DATE(2026,2,1))</f>
        <v>15</v>
      </c>
      <c r="C21" s="23"/>
    </row>
    <row r="22" ht="15.0" customHeight="1">
      <c r="A22" s="24" t="s">
        <v>38</v>
      </c>
      <c r="B22" s="29">
        <f>COUNTIFS('1. Inbound Leads'!B8:B396,"&gt;="&amp;DATE(2026,2,1),'1. Inbound Leads'!B8:B396,"&lt;"&amp;DATE(2026,3,1))</f>
        <v>19</v>
      </c>
      <c r="C22" s="25"/>
    </row>
    <row r="23" ht="15.0" customHeight="1">
      <c r="A23" s="22" t="s">
        <v>39</v>
      </c>
      <c r="B23" s="28">
        <f>COUNTIFS('1. Inbound Leads'!B8:B396,"&gt;="&amp;DATE(2026,3,1),'1. Inbound Leads'!B8:B396,"&lt;"&amp;DATE(2026,4,1))</f>
        <v>24</v>
      </c>
      <c r="C23" s="23"/>
    </row>
    <row r="24" ht="15.0" customHeight="1">
      <c r="A24" s="24" t="s">
        <v>40</v>
      </c>
      <c r="B24" s="29">
        <f>COUNTIFS('1. Inbound Leads'!B8:B396,"&gt;="&amp;DATE(2026,4,1),'1. Inbound Leads'!B8:B396,"&lt;"&amp;DATE(2026,5,1))</f>
        <v>5</v>
      </c>
      <c r="C24" s="25"/>
    </row>
    <row r="25" ht="15.0" customHeight="1">
      <c r="A25" s="22" t="s">
        <v>41</v>
      </c>
      <c r="B25" s="28">
        <f>COUNTIFS('1. Inbound Leads'!B8:B203,"&gt;="&amp;DATE(2026,5,1),'1. Inbound Leads'!B8:B203,"&lt;"&amp;DATE(2026,6,1))</f>
        <v>0</v>
      </c>
      <c r="C25" s="23"/>
    </row>
    <row r="26" ht="15.0" customHeight="1">
      <c r="A26" s="24" t="s">
        <v>42</v>
      </c>
      <c r="B26" s="29">
        <f>COUNTIFS('1. Inbound Leads'!B8:B203,"&gt;="&amp;DATE(2026,6,1),'1. Inbound Leads'!B8:B203,"&lt;"&amp;DATE(2026,7,1))</f>
        <v>0</v>
      </c>
      <c r="C26" s="25"/>
    </row>
    <row r="27" ht="15.0" customHeight="1">
      <c r="A27" s="22" t="s">
        <v>43</v>
      </c>
      <c r="B27" s="28">
        <f>COUNTIFS('1. Inbound Leads'!B8:B203,"&gt;="&amp;DATE(2026,7,1),'1. Inbound Leads'!B8:B203,"&lt;"&amp;DATE(2026,8,1))</f>
        <v>0</v>
      </c>
      <c r="C27" s="23"/>
    </row>
    <row r="28" ht="15.0" customHeight="1">
      <c r="A28" s="24" t="s">
        <v>44</v>
      </c>
      <c r="B28" s="29">
        <f>COUNTIFS('1. Inbound Leads'!B8:B203,"&gt;="&amp;DATE(2026,8,1),'1. Inbound Leads'!B8:B203,"&lt;"&amp;DATE(2026,9,1))</f>
        <v>0</v>
      </c>
      <c r="C28" s="25"/>
    </row>
    <row r="29" ht="15.0" customHeight="1">
      <c r="A29" s="22" t="s">
        <v>45</v>
      </c>
      <c r="B29" s="28">
        <f>COUNTIFS('1. Inbound Leads'!B8:B203,"&gt;="&amp;DATE(2026,9,1),'1. Inbound Leads'!B8:B203,"&lt;"&amp;DATE(2026,10,1))</f>
        <v>0</v>
      </c>
      <c r="C29" s="23"/>
    </row>
    <row r="30" ht="15.0" customHeight="1">
      <c r="A30" s="24" t="s">
        <v>46</v>
      </c>
      <c r="B30" s="29">
        <f>COUNTIFS('1. Inbound Leads'!B8:B203,"&gt;="&amp;DATE(2026,10,1),'1. Inbound Leads'!B8:B203,"&lt;"&amp;DATE(2026,11,1))</f>
        <v>0</v>
      </c>
      <c r="C30" s="25"/>
    </row>
    <row r="31" ht="15.0" customHeight="1">
      <c r="A31" s="22" t="s">
        <v>47</v>
      </c>
      <c r="B31" s="28">
        <f>COUNTIFS('1. Inbound Leads'!B8:B203,"&gt;="&amp;DATE(2026,11,1),'1. Inbound Leads'!B8:B203,"&lt;"&amp;DATE(2026,12,1))</f>
        <v>0</v>
      </c>
      <c r="C31" s="23"/>
    </row>
    <row r="32" ht="15.0" customHeight="1">
      <c r="A32" s="30" t="s">
        <v>48</v>
      </c>
      <c r="B32" s="31">
        <f>COUNTIFS('1. Inbound Leads'!B8:B203,"&gt;="&amp;DATE(2026,12,1),'1. Inbound Leads'!B8:B203,"&lt;"&amp;DATE(2027,1,1))</f>
        <v>0</v>
      </c>
      <c r="C32" s="32"/>
      <c r="D32" s="33"/>
      <c r="E32" s="33"/>
      <c r="F32" s="33"/>
      <c r="G32" s="33"/>
      <c r="H32" s="33"/>
      <c r="I32" s="33"/>
      <c r="J32" s="33"/>
    </row>
    <row r="33" ht="14.25" customHeight="1">
      <c r="A33" s="34"/>
      <c r="B33" s="34"/>
      <c r="C33" s="34"/>
      <c r="D33" s="34"/>
      <c r="E33" s="34"/>
      <c r="F33" s="34"/>
      <c r="G33" s="34"/>
      <c r="H33" s="34"/>
      <c r="I33" s="34"/>
      <c r="J33" s="34"/>
    </row>
    <row r="34" ht="31.5" customHeight="1">
      <c r="A34" s="35" t="s">
        <v>49</v>
      </c>
      <c r="B34" s="2"/>
      <c r="C34" s="2"/>
      <c r="D34" s="3"/>
    </row>
    <row r="35" ht="27.75" customHeight="1">
      <c r="A35" s="21" t="s">
        <v>50</v>
      </c>
      <c r="B35" s="21" t="s">
        <v>51</v>
      </c>
      <c r="C35" s="21" t="s">
        <v>52</v>
      </c>
      <c r="D35" s="21"/>
    </row>
    <row r="36" ht="15.0" customHeight="1">
      <c r="A36" s="22" t="s">
        <v>53</v>
      </c>
      <c r="B36" s="23">
        <f>COUNTIF('1. Inbound Leads'!O8:O451,"Data Annotation")</f>
        <v>170</v>
      </c>
      <c r="C36" s="36">
        <f>IFERROR(B36/SUM(B36:B38),0)</f>
        <v>0.7555555556</v>
      </c>
    </row>
    <row r="37" ht="15.0" customHeight="1">
      <c r="A37" s="22" t="s">
        <v>54</v>
      </c>
      <c r="B37" s="23">
        <f>COUNTIF('1. Inbound Leads'!O8:O451,"AI Solutions")</f>
        <v>43</v>
      </c>
      <c r="C37" s="36">
        <f>IFERROR(B37/SUM(B36:B38),0)</f>
        <v>0.1911111111</v>
      </c>
    </row>
    <row r="38" ht="15.0" customHeight="1">
      <c r="A38" s="22" t="s">
        <v>55</v>
      </c>
      <c r="B38" s="23">
        <f>COUNTIF('1. Inbound Leads'!O8:O450,"Partnerships")</f>
        <v>12</v>
      </c>
      <c r="C38" s="36">
        <f>IFERROR(B38/SUM(B36:B38),0)</f>
        <v>0.05333333333</v>
      </c>
    </row>
    <row r="39" ht="14.25" customHeight="1"/>
    <row r="40" ht="31.5" customHeight="1">
      <c r="A40" s="35" t="s">
        <v>56</v>
      </c>
      <c r="B40" s="2"/>
      <c r="C40" s="2"/>
      <c r="D40" s="3"/>
    </row>
    <row r="41" ht="27.75" customHeight="1">
      <c r="A41" s="21" t="s">
        <v>57</v>
      </c>
      <c r="B41" s="21" t="s">
        <v>51</v>
      </c>
      <c r="C41" s="21" t="s">
        <v>52</v>
      </c>
      <c r="D41" s="21"/>
    </row>
    <row r="42" ht="15.0" customHeight="1">
      <c r="A42" s="22" t="s">
        <v>58</v>
      </c>
      <c r="B42" s="23">
        <f>COUNTIF('1. Inbound Leads'!X8:X396,"Healthcare/Medical")</f>
        <v>21</v>
      </c>
      <c r="C42" s="36">
        <f t="shared" ref="C42:C51" si="1">IFERROR(B42/SUM(B$42:B$51),0)</f>
        <v>0.2763157895</v>
      </c>
    </row>
    <row r="43" ht="15.0" customHeight="1">
      <c r="A43" s="22" t="s">
        <v>59</v>
      </c>
      <c r="B43" s="23">
        <f>COUNTIF('1. Inbound Leads'!X8:X396,"Automotive/AV")</f>
        <v>29</v>
      </c>
      <c r="C43" s="36">
        <f t="shared" si="1"/>
        <v>0.3815789474</v>
      </c>
    </row>
    <row r="44" ht="15.0" customHeight="1">
      <c r="A44" s="22" t="s">
        <v>60</v>
      </c>
      <c r="B44" s="23">
        <f>COUNTIF('1. Inbound Leads'!X8:X396,"Agriculture/Geo")</f>
        <v>0</v>
      </c>
      <c r="C44" s="36">
        <f t="shared" si="1"/>
        <v>0</v>
      </c>
    </row>
    <row r="45" ht="15.0" customHeight="1">
      <c r="A45" s="22" t="s">
        <v>61</v>
      </c>
      <c r="B45" s="23">
        <f>COUNTIF('1. Inbound Leads'!X8:X396,"Finance")</f>
        <v>0</v>
      </c>
      <c r="C45" s="36">
        <f t="shared" si="1"/>
        <v>0</v>
      </c>
    </row>
    <row r="46" ht="15.0" customHeight="1">
      <c r="A46" s="22" t="s">
        <v>62</v>
      </c>
      <c r="B46" s="23">
        <f>COUNTIF('1. Inbound Leads'!X8:X396,"Retail/E-commerce")</f>
        <v>2</v>
      </c>
      <c r="C46" s="36">
        <f t="shared" si="1"/>
        <v>0.02631578947</v>
      </c>
    </row>
    <row r="47" ht="15.0" customHeight="1">
      <c r="A47" s="22" t="s">
        <v>63</v>
      </c>
      <c r="B47" s="23">
        <f>COUNTIF('1. Inbound Leads'!X8:X203,"Robotics")</f>
        <v>0</v>
      </c>
      <c r="C47" s="36">
        <f t="shared" si="1"/>
        <v>0</v>
      </c>
    </row>
    <row r="48" ht="15.0" customHeight="1">
      <c r="A48" s="22" t="s">
        <v>64</v>
      </c>
      <c r="B48" s="23">
        <f>COUNTIF('1. Inbound Leads'!X8:X400,"Government/Defence")</f>
        <v>0</v>
      </c>
      <c r="C48" s="36">
        <f t="shared" si="1"/>
        <v>0</v>
      </c>
    </row>
    <row r="49" ht="15.0" customHeight="1">
      <c r="A49" s="22" t="s">
        <v>65</v>
      </c>
      <c r="B49" s="23">
        <f>COUNTIF('1. Inbound Leads'!X8:X2396,"Education")</f>
        <v>2</v>
      </c>
      <c r="C49" s="36">
        <f t="shared" si="1"/>
        <v>0.02631578947</v>
      </c>
    </row>
    <row r="50" ht="15.0" customHeight="1">
      <c r="A50" s="22" t="s">
        <v>66</v>
      </c>
      <c r="B50" s="23">
        <f>COUNTIF('1. Inbound Leads'!X8:X396,"Tech/SaaS")</f>
        <v>11</v>
      </c>
      <c r="C50" s="36">
        <f t="shared" si="1"/>
        <v>0.1447368421</v>
      </c>
    </row>
    <row r="51" ht="15.0" customHeight="1">
      <c r="A51" s="22" t="s">
        <v>67</v>
      </c>
      <c r="B51" s="23">
        <f>COUNTIF('1. Inbound Leads'!X8:X396,"Other")</f>
        <v>11</v>
      </c>
      <c r="C51" s="36">
        <f t="shared" si="1"/>
        <v>0.1447368421</v>
      </c>
    </row>
    <row r="52" ht="14.25" customHeight="1"/>
    <row r="53" ht="31.5" customHeight="1">
      <c r="A53" s="35" t="s">
        <v>68</v>
      </c>
      <c r="B53" s="2"/>
      <c r="C53" s="2"/>
      <c r="D53" s="3"/>
    </row>
    <row r="54" ht="27.75" customHeight="1">
      <c r="A54" s="21" t="s">
        <v>69</v>
      </c>
      <c r="B54" s="21" t="s">
        <v>51</v>
      </c>
      <c r="C54" s="21" t="s">
        <v>52</v>
      </c>
      <c r="D54" s="21"/>
    </row>
    <row r="55" ht="15.0" customHeight="1">
      <c r="A55" s="22" t="s">
        <v>70</v>
      </c>
      <c r="B55" s="23">
        <f>COUNTIF('1. Inbound Leads'!I8:I950,"*USA*")</f>
        <v>19</v>
      </c>
      <c r="C55" s="36">
        <f t="shared" ref="C55:C72" si="2">IFERROR(B55/SUM(B$55:B$72),0)</f>
        <v>0.1979166667</v>
      </c>
    </row>
    <row r="56" ht="15.0" customHeight="1">
      <c r="A56" s="22" t="s">
        <v>71</v>
      </c>
      <c r="B56" s="23">
        <f>COUNTIF('1. Inbound Leads'!I8:I996,"*UK*")</f>
        <v>13</v>
      </c>
      <c r="C56" s="36">
        <f t="shared" si="2"/>
        <v>0.1354166667</v>
      </c>
    </row>
    <row r="57" ht="15.0" customHeight="1">
      <c r="A57" s="22" t="s">
        <v>72</v>
      </c>
      <c r="B57" s="23">
        <f>COUNTIF('1. Inbound Leads'!I8:I996,"*India*")</f>
        <v>11</v>
      </c>
      <c r="C57" s="36">
        <f t="shared" si="2"/>
        <v>0.1145833333</v>
      </c>
    </row>
    <row r="58" ht="15.0" customHeight="1">
      <c r="A58" s="22" t="s">
        <v>73</v>
      </c>
      <c r="B58" s="23">
        <f>COUNTIF('1. Inbound Leads'!I8:I996,"*Nigeria*")</f>
        <v>0</v>
      </c>
      <c r="C58" s="36">
        <f t="shared" si="2"/>
        <v>0</v>
      </c>
    </row>
    <row r="59" ht="15.0" customHeight="1">
      <c r="A59" s="22" t="s">
        <v>74</v>
      </c>
      <c r="B59" s="23">
        <f>COUNTIF('1. Inbound Leads'!I8:I396,"*Ghana*")</f>
        <v>18</v>
      </c>
      <c r="C59" s="36">
        <f t="shared" si="2"/>
        <v>0.1875</v>
      </c>
    </row>
    <row r="60" ht="15.0" customHeight="1">
      <c r="A60" s="22" t="s">
        <v>75</v>
      </c>
      <c r="B60" s="23">
        <f>COUNTIF('1. Inbound Leads'!I8:I996,"*Kenya*")</f>
        <v>0</v>
      </c>
      <c r="C60" s="36">
        <f t="shared" si="2"/>
        <v>0</v>
      </c>
    </row>
    <row r="61" ht="15.0" customHeight="1">
      <c r="A61" s="22" t="s">
        <v>76</v>
      </c>
      <c r="B61" s="23">
        <f>COUNTIF('1. Inbound Leads'!I8:I960,"*South Africa*")</f>
        <v>0</v>
      </c>
      <c r="C61" s="36">
        <f t="shared" si="2"/>
        <v>0</v>
      </c>
    </row>
    <row r="62" ht="15.0" customHeight="1">
      <c r="A62" s="22" t="s">
        <v>77</v>
      </c>
      <c r="B62" s="23">
        <f>COUNTIF('1. Inbound Leads'!I8:I950,"*Germany*")</f>
        <v>2</v>
      </c>
      <c r="C62" s="36">
        <f t="shared" si="2"/>
        <v>0.02083333333</v>
      </c>
    </row>
    <row r="63" ht="15.0" customHeight="1">
      <c r="A63" s="22" t="s">
        <v>78</v>
      </c>
      <c r="B63" s="23">
        <f>COUNTIF('1. Inbound Leads'!I8:I950,"*Australia*")</f>
        <v>2</v>
      </c>
      <c r="C63" s="36">
        <f t="shared" si="2"/>
        <v>0.02083333333</v>
      </c>
    </row>
    <row r="64" ht="15.0" customHeight="1">
      <c r="A64" s="22" t="s">
        <v>79</v>
      </c>
      <c r="B64" s="23">
        <f>COUNTIF('1. Inbound Leads'!I8:I950,"*Canada*")</f>
        <v>1</v>
      </c>
      <c r="C64" s="36">
        <f t="shared" si="2"/>
        <v>0.01041666667</v>
      </c>
    </row>
    <row r="65" ht="15.0" customHeight="1">
      <c r="A65" s="22" t="s">
        <v>80</v>
      </c>
      <c r="B65" s="23">
        <f>COUNTIF('1. Inbound Leads'!I8:I996,"*France*")</f>
        <v>1</v>
      </c>
      <c r="C65" s="36">
        <f t="shared" si="2"/>
        <v>0.01041666667</v>
      </c>
    </row>
    <row r="66" ht="15.0" customHeight="1">
      <c r="A66" s="22" t="s">
        <v>81</v>
      </c>
      <c r="B66" s="23">
        <f>COUNTIF('1. Inbound Leads'!I8:I996,"*Cameroon*")</f>
        <v>1</v>
      </c>
      <c r="C66" s="36">
        <f t="shared" si="2"/>
        <v>0.01041666667</v>
      </c>
    </row>
    <row r="67" ht="15.0" customHeight="1">
      <c r="A67" s="37" t="s">
        <v>82</v>
      </c>
      <c r="B67" s="23">
        <f>COUNTIF('1. Inbound Leads'!I8:I996,"*Japan*")</f>
        <v>1</v>
      </c>
      <c r="C67" s="36">
        <f t="shared" si="2"/>
        <v>0.01041666667</v>
      </c>
    </row>
    <row r="68" ht="15.0" customHeight="1">
      <c r="A68" s="37" t="s">
        <v>83</v>
      </c>
      <c r="B68" s="23">
        <f>COUNTIF('1. Inbound Leads'!I8:I996,"*Malaysia*")</f>
        <v>1</v>
      </c>
      <c r="C68" s="36">
        <f t="shared" si="2"/>
        <v>0.01041666667</v>
      </c>
    </row>
    <row r="69" ht="15.0" customHeight="1">
      <c r="A69" s="22" t="s">
        <v>84</v>
      </c>
      <c r="B69" s="23">
        <f>COUNTIF('1. Inbound Leads'!I8:I996,"*Rwanda*")</f>
        <v>1</v>
      </c>
      <c r="C69" s="36">
        <f t="shared" si="2"/>
        <v>0.01041666667</v>
      </c>
    </row>
    <row r="70" ht="15.0" customHeight="1">
      <c r="A70" s="37" t="s">
        <v>85</v>
      </c>
      <c r="B70" s="23">
        <f>COUNTIF('1. Inbound Leads'!I9:I997,"*Isreal*")</f>
        <v>1</v>
      </c>
      <c r="C70" s="36">
        <f t="shared" si="2"/>
        <v>0.01041666667</v>
      </c>
    </row>
    <row r="71" ht="15.0" customHeight="1">
      <c r="A71" s="22" t="s">
        <v>86</v>
      </c>
      <c r="B71" s="23">
        <f>COUNTIF('1. Inbound Leads'!I8:I996,"*Netherlands*")</f>
        <v>1</v>
      </c>
      <c r="C71" s="36">
        <f t="shared" si="2"/>
        <v>0.01041666667</v>
      </c>
    </row>
    <row r="72" ht="15.0" customHeight="1">
      <c r="A72" s="38" t="s">
        <v>67</v>
      </c>
      <c r="B72" s="39">
        <f>COUNTA('1. Inbound Leads'!I8:I450)-SUM(B55:B71)</f>
        <v>23</v>
      </c>
      <c r="C72" s="40">
        <f t="shared" si="2"/>
        <v>0.2395833333</v>
      </c>
      <c r="D72" s="33"/>
      <c r="E72" s="33"/>
      <c r="F72" s="33"/>
      <c r="G72" s="33"/>
      <c r="H72" s="33"/>
      <c r="I72" s="33"/>
      <c r="J72" s="33"/>
    </row>
    <row r="73" ht="14.25" customHeight="1">
      <c r="A73" s="34"/>
      <c r="B73" s="34"/>
      <c r="C73" s="34"/>
      <c r="D73" s="34"/>
      <c r="E73" s="34"/>
      <c r="F73" s="34"/>
      <c r="G73" s="34"/>
      <c r="H73" s="34"/>
      <c r="I73" s="34"/>
      <c r="J73" s="34"/>
    </row>
    <row r="74" ht="14.25" customHeight="1"/>
    <row r="75" ht="31.5" customHeight="1">
      <c r="A75" s="20" t="s">
        <v>87</v>
      </c>
      <c r="B75" s="2"/>
      <c r="C75" s="2"/>
      <c r="D75" s="2"/>
      <c r="E75" s="2"/>
      <c r="F75" s="2"/>
      <c r="G75" s="2"/>
      <c r="H75" s="2"/>
      <c r="I75" s="2"/>
      <c r="J75" s="2"/>
      <c r="K75" s="2"/>
      <c r="L75" s="2"/>
      <c r="M75" s="2"/>
      <c r="N75" s="2"/>
      <c r="O75" s="2"/>
      <c r="P75" s="2"/>
      <c r="Q75" s="2"/>
      <c r="R75" s="2"/>
      <c r="S75" s="2"/>
      <c r="T75" s="3"/>
    </row>
    <row r="76" ht="27.75" customHeight="1">
      <c r="A76" s="21" t="s">
        <v>19</v>
      </c>
      <c r="B76" s="21" t="s">
        <v>88</v>
      </c>
      <c r="C76" s="21" t="s">
        <v>89</v>
      </c>
      <c r="D76" s="21" t="s">
        <v>90</v>
      </c>
      <c r="E76" s="21" t="s">
        <v>91</v>
      </c>
      <c r="F76" s="21" t="s">
        <v>92</v>
      </c>
      <c r="G76" s="21" t="s">
        <v>93</v>
      </c>
      <c r="H76" s="21" t="s">
        <v>94</v>
      </c>
      <c r="I76" s="21" t="s">
        <v>95</v>
      </c>
      <c r="J76" s="21" t="s">
        <v>96</v>
      </c>
    </row>
    <row r="77" ht="15.0" customHeight="1">
      <c r="A77" s="22" t="s">
        <v>22</v>
      </c>
      <c r="B77" s="23">
        <f>COUNTIFS('1. Inbound Leads'!B8:B203,"&gt;="&amp;DATE(2025,1,1),'1. Inbound Leads'!B8:B203,"&lt;"&amp;DATE(2025,2,1))</f>
        <v>9</v>
      </c>
      <c r="C77" s="23">
        <f>COUNTIFS('1. Inbound Leads'!AE8:AE203,"&gt;="&amp;DATE(2025,1,1),'1. Inbound Leads'!AE8:AE203,"&lt;"&amp;DATE(2025,2,1))</f>
        <v>0</v>
      </c>
      <c r="D77" s="36">
        <f t="shared" ref="D77:D100" si="3">IFERROR(C77/B77,0)</f>
        <v>0</v>
      </c>
      <c r="E77" s="23">
        <f>COUNTIFS('2. Scoping &amp; PoC'!M7:M183,"&gt;="&amp;DATE(2025,1,1),'2. Scoping &amp; PoC'!M7:M183,"&lt;"&amp;DATE(2025,2,1))</f>
        <v>0</v>
      </c>
      <c r="F77" s="36">
        <f t="shared" ref="F77:F100" si="4">IFERROR(E77/C77,0)</f>
        <v>0</v>
      </c>
      <c r="G77" s="23">
        <f>COUNTIFS('2. Scoping &amp; PoC'!AH7:AH450,"&gt;="&amp;DATE(2025,1,1),'2. Scoping &amp; PoC'!AH7:AH450,"&lt;"&amp;DATE(2025,2,1))</f>
        <v>0</v>
      </c>
      <c r="H77" s="36">
        <f t="shared" ref="H77:H100" si="5">IFERROR(G77/E77,0)</f>
        <v>0</v>
      </c>
      <c r="I77" s="23">
        <f>COUNTIFS('2. Scoping &amp; PoC'!Y7:Y183,"Lost",'2. Scoping &amp; PoC'!E7:E183,"&gt;="&amp;DATE(2025,1,1),'2. Scoping &amp; PoC'!E7:E183,"&lt;"&amp;DATE(2025,2,1))</f>
        <v>1</v>
      </c>
      <c r="J77" s="23">
        <f>COUNTIFS('1. Inbound Leads'!AC8:AC203,"Dead — No Response",'1. Inbound Leads'!B8:B203,"&gt;="&amp;DATE(2025,1,1),'1. Inbound Leads'!B8:B203,"&lt;"&amp;DATE(2025,2,1))</f>
        <v>6</v>
      </c>
    </row>
    <row r="78" ht="15.0" customHeight="1">
      <c r="A78" s="24" t="s">
        <v>24</v>
      </c>
      <c r="B78" s="25">
        <f>COUNTIFS('1. Inbound Leads'!B8:B203,"&gt;="&amp;DATE(2025,2,1),'1. Inbound Leads'!B8:B203,"&lt;"&amp;DATE(2025,3,1))</f>
        <v>15</v>
      </c>
      <c r="C78" s="25">
        <f>COUNTIFS('1. Inbound Leads'!AE8:AE203,"&gt;="&amp;DATE(2025,2,1),'1. Inbound Leads'!AE8:AE203,"&lt;"&amp;DATE(2025,3,1))</f>
        <v>0</v>
      </c>
      <c r="D78" s="41">
        <f t="shared" si="3"/>
        <v>0</v>
      </c>
      <c r="E78" s="25">
        <f>COUNTIFS('2. Scoping &amp; PoC'!M7:M183,"&gt;="&amp;DATE(2025,2,1),'2. Scoping &amp; PoC'!M7:M183,"&lt;"&amp;DATE(2025,3,1))</f>
        <v>0</v>
      </c>
      <c r="F78" s="41">
        <f t="shared" si="4"/>
        <v>0</v>
      </c>
      <c r="G78" s="25">
        <f>COUNTIFS('2. Scoping &amp; PoC'!AH7:AH183,"&gt;="&amp;DATE(2025,2,1),'2. Scoping &amp; PoC'!AH7:AH183,"&lt;"&amp;DATE(2025,3,1))</f>
        <v>0</v>
      </c>
      <c r="H78" s="41">
        <f t="shared" si="5"/>
        <v>0</v>
      </c>
      <c r="I78" s="25">
        <f>COUNTIFS('2. Scoping &amp; PoC'!Y7:Y183,"Lost",'2. Scoping &amp; PoC'!E7:E183,"&gt;="&amp;DATE(2025,2,1),'2. Scoping &amp; PoC'!E7:E183,"&lt;"&amp;DATE(2025,3,1))</f>
        <v>3</v>
      </c>
      <c r="J78" s="25">
        <f>COUNTIFS('1. Inbound Leads'!AC8:AC203,"Dead — No Response",'1. Inbound Leads'!B8:B203,"&gt;="&amp;DATE(2025,2,1),'1. Inbound Leads'!B8:B203,"&lt;"&amp;DATE(2025,3,1))</f>
        <v>7</v>
      </c>
    </row>
    <row r="79" ht="15.0" customHeight="1">
      <c r="A79" s="22" t="s">
        <v>25</v>
      </c>
      <c r="B79" s="23">
        <f>COUNTIFS('1. Inbound Leads'!B8:B203,"&gt;="&amp;DATE(2025,3,1),'1. Inbound Leads'!B8:B203,"&lt;"&amp;DATE(2025,4,1))</f>
        <v>9</v>
      </c>
      <c r="C79" s="23">
        <f>COUNTIFS('1. Inbound Leads'!AE8:AE203,"&gt;="&amp;DATE(2025,3,1),'1. Inbound Leads'!AE8:AE203,"&lt;"&amp;DATE(2025,4,1))</f>
        <v>0</v>
      </c>
      <c r="D79" s="36">
        <f t="shared" si="3"/>
        <v>0</v>
      </c>
      <c r="E79" s="23">
        <f>COUNTIFS('2. Scoping &amp; PoC'!M7:M183,"&gt;="&amp;DATE(2025,3,1),'2. Scoping &amp; PoC'!M7:M183,"&lt;"&amp;DATE(2025,4,1))</f>
        <v>0</v>
      </c>
      <c r="F79" s="36">
        <f t="shared" si="4"/>
        <v>0</v>
      </c>
      <c r="G79" s="23">
        <f>COUNTIFS('2. Scoping &amp; PoC'!AH7:AH183,"&gt;="&amp;DATE(2025,3,1),'2. Scoping &amp; PoC'!AH7:AH183,"&lt;"&amp;DATE(2025,4,1))</f>
        <v>0</v>
      </c>
      <c r="H79" s="36">
        <f t="shared" si="5"/>
        <v>0</v>
      </c>
      <c r="I79" s="23">
        <f>COUNTIFS('2. Scoping &amp; PoC'!Y7:Y183,"Lost",'2. Scoping &amp; PoC'!E7:E183,"&gt;="&amp;DATE(2025,3,1),'2. Scoping &amp; PoC'!E7:E183,"&lt;"&amp;DATE(2025,4,1))</f>
        <v>6</v>
      </c>
      <c r="J79" s="23">
        <f>COUNTIFS('1. Inbound Leads'!AC8:AC203,"Dead — No Response",'1. Inbound Leads'!B8:B203,"&gt;="&amp;DATE(2025,3,1),'1. Inbound Leads'!B8:B203,"&lt;"&amp;DATE(2025,4,1))</f>
        <v>1</v>
      </c>
    </row>
    <row r="80" ht="15.0" customHeight="1">
      <c r="A80" s="24" t="s">
        <v>27</v>
      </c>
      <c r="B80" s="25">
        <f>COUNTIFS('1. Inbound Leads'!B8:B203,"&gt;="&amp;DATE(2025,4,1),'1. Inbound Leads'!B8:B203,"&lt;"&amp;DATE(2025,5,1))</f>
        <v>11</v>
      </c>
      <c r="C80" s="25">
        <f>COUNTIFS('1. Inbound Leads'!AE8:AE203,"&gt;="&amp;DATE(2025,4,1),'1. Inbound Leads'!AE8:AE203,"&lt;"&amp;DATE(2025,5,1))</f>
        <v>0</v>
      </c>
      <c r="D80" s="41">
        <f t="shared" si="3"/>
        <v>0</v>
      </c>
      <c r="E80" s="25">
        <f>COUNTIFS('2. Scoping &amp; PoC'!M7:M183,"&gt;="&amp;DATE(2025,4,1),'2. Scoping &amp; PoC'!M7:M183,"&lt;"&amp;DATE(2025,5,1))</f>
        <v>0</v>
      </c>
      <c r="F80" s="41">
        <f t="shared" si="4"/>
        <v>0</v>
      </c>
      <c r="G80" s="25">
        <f>COUNTIFS('2. Scoping &amp; PoC'!AH7:AH183,"&gt;="&amp;DATE(2025,4,1),'2. Scoping &amp; PoC'!AH7:AH183,"&lt;"&amp;DATE(2025,5,1))</f>
        <v>0</v>
      </c>
      <c r="H80" s="41">
        <f t="shared" si="5"/>
        <v>0</v>
      </c>
      <c r="I80" s="25">
        <f>COUNTIFS('2. Scoping &amp; PoC'!Y7:Y183,"Lost",'2. Scoping &amp; PoC'!E7:E183,"&gt;="&amp;DATE(2025,4,1),'2. Scoping &amp; PoC'!E7:E183,"&lt;"&amp;DATE(2025,5,1))</f>
        <v>5</v>
      </c>
      <c r="J80" s="25">
        <f>COUNTIFS('1. Inbound Leads'!AC8:AC203,"Dead — No Response",'1. Inbound Leads'!B8:B203,"&gt;="&amp;DATE(2025,4,1),'1. Inbound Leads'!B8:B203,"&lt;"&amp;DATE(2025,5,1))</f>
        <v>1</v>
      </c>
    </row>
    <row r="81" ht="15.0" customHeight="1">
      <c r="A81" s="22" t="s">
        <v>28</v>
      </c>
      <c r="B81" s="23">
        <f>COUNTIFS('1. Inbound Leads'!B8:B203,"&gt;="&amp;DATE(2025,5,1),'1. Inbound Leads'!B8:B203,"&lt;"&amp;DATE(2025,6,1))</f>
        <v>17</v>
      </c>
      <c r="C81" s="23">
        <f>COUNTIFS('1. Inbound Leads'!AE8:AE203,"&gt;="&amp;DATE(2025,5,1),'1. Inbound Leads'!AE8:AE203,"&lt;"&amp;DATE(2025,6,1))</f>
        <v>0</v>
      </c>
      <c r="D81" s="36">
        <f t="shared" si="3"/>
        <v>0</v>
      </c>
      <c r="E81" s="23">
        <f>COUNTIFS('2. Scoping &amp; PoC'!M7:M183,"&gt;="&amp;DATE(2025,5,1),'2. Scoping &amp; PoC'!M7:M183,"&lt;"&amp;DATE(2025,6,1))</f>
        <v>0</v>
      </c>
      <c r="F81" s="36">
        <f t="shared" si="4"/>
        <v>0</v>
      </c>
      <c r="G81" s="23">
        <f>COUNTIFS('2. Scoping &amp; PoC'!AH7:AH183,"&gt;="&amp;DATE(2025,5,1),'2. Scoping &amp; PoC'!AH7:AH183,"&lt;"&amp;DATE(2025,6,1))</f>
        <v>0</v>
      </c>
      <c r="H81" s="36">
        <f t="shared" si="5"/>
        <v>0</v>
      </c>
      <c r="I81" s="23">
        <f>COUNTIFS('2. Scoping &amp; PoC'!Y7:Y183,"Lost",'2. Scoping &amp; PoC'!E7:E183,"&gt;="&amp;DATE(2025,5,1),'2. Scoping &amp; PoC'!E7:E183,"&lt;"&amp;DATE(2025,6,1))</f>
        <v>6</v>
      </c>
      <c r="J81" s="23">
        <f>COUNTIFS('1. Inbound Leads'!AC8:AC203,"Dead — No Response",'1. Inbound Leads'!B8:B203,"&gt;="&amp;DATE(2025,5,1),'1. Inbound Leads'!B8:B203,"&lt;"&amp;DATE(2025,6,1))</f>
        <v>4</v>
      </c>
    </row>
    <row r="82" ht="15.0" customHeight="1">
      <c r="A82" s="24" t="s">
        <v>30</v>
      </c>
      <c r="B82" s="25">
        <f>COUNTIFS('1. Inbound Leads'!B8:B203,"&gt;="&amp;DATE(2025,6,1),'1. Inbound Leads'!B8:B203,"&lt;"&amp;DATE(2025,7,1))</f>
        <v>13</v>
      </c>
      <c r="C82" s="25">
        <f>COUNTIFS('1. Inbound Leads'!AE8:AE203,"&gt;="&amp;DATE(2025,6,1),'1. Inbound Leads'!AE8:AE203,"&lt;"&amp;DATE(2025,7,1))</f>
        <v>0</v>
      </c>
      <c r="D82" s="41">
        <f t="shared" si="3"/>
        <v>0</v>
      </c>
      <c r="E82" s="25">
        <f>COUNTIFS('2. Scoping &amp; PoC'!M7:M183,"&gt;="&amp;DATE(2025,6,1),'2. Scoping &amp; PoC'!M7:M183,"&lt;"&amp;DATE(2025,7,1))</f>
        <v>0</v>
      </c>
      <c r="F82" s="41">
        <f t="shared" si="4"/>
        <v>0</v>
      </c>
      <c r="G82" s="25">
        <f>COUNTIFS('2. Scoping &amp; PoC'!AH7:AH183,"&gt;="&amp;DATE(2025,6,1),'2. Scoping &amp; PoC'!AH7:AH183,"&lt;"&amp;DATE(2025,7,1))</f>
        <v>0</v>
      </c>
      <c r="H82" s="41">
        <f t="shared" si="5"/>
        <v>0</v>
      </c>
      <c r="I82" s="25">
        <f>COUNTIFS('2. Scoping &amp; PoC'!Y7:Y183,"Lost",'2. Scoping &amp; PoC'!E7:E183,"&gt;="&amp;DATE(2025,6,1),'2. Scoping &amp; PoC'!E7:E183,"&lt;"&amp;DATE(2025,7,1))</f>
        <v>2</v>
      </c>
      <c r="J82" s="25">
        <f>COUNTIFS('1. Inbound Leads'!AC8:AC203,"Dead — No Response",'1. Inbound Leads'!B8:B203,"&gt;="&amp;DATE(2025,6,1),'1. Inbound Leads'!B8:B203,"&lt;"&amp;DATE(2025,7,1))</f>
        <v>1</v>
      </c>
    </row>
    <row r="83" ht="15.0" customHeight="1">
      <c r="A83" s="22" t="s">
        <v>31</v>
      </c>
      <c r="B83" s="23">
        <f>COUNTIFS('1. Inbound Leads'!B8:B203,"&gt;="&amp;DATE(2025,7,1),'1. Inbound Leads'!B8:B203,"&lt;"&amp;DATE(2025,8,1))</f>
        <v>14</v>
      </c>
      <c r="C83" s="23">
        <f>COUNTIFS('1. Inbound Leads'!AE8:AE203,"&gt;="&amp;DATE(2025,7,1),'1. Inbound Leads'!AE8:AE203,"&lt;"&amp;DATE(2025,8,1))</f>
        <v>0</v>
      </c>
      <c r="D83" s="36">
        <f t="shared" si="3"/>
        <v>0</v>
      </c>
      <c r="E83" s="23">
        <f>COUNTIFS('2. Scoping &amp; PoC'!M7:M183,"&gt;="&amp;DATE(2025,7,1),'2. Scoping &amp; PoC'!M7:M183,"&lt;"&amp;DATE(2025,8,1))</f>
        <v>0</v>
      </c>
      <c r="F83" s="36">
        <f t="shared" si="4"/>
        <v>0</v>
      </c>
      <c r="G83" s="23">
        <f>COUNTIFS('2. Scoping &amp; PoC'!AH7:AH183,"&gt;="&amp;DATE(2025,7,1),'2. Scoping &amp; PoC'!AH7:AH183,"&lt;"&amp;DATE(2025,8,1))</f>
        <v>0</v>
      </c>
      <c r="H83" s="36">
        <f t="shared" si="5"/>
        <v>0</v>
      </c>
      <c r="I83" s="23">
        <f>COUNTIFS('2. Scoping &amp; PoC'!Y7:Y183,"Lost",'2. Scoping &amp; PoC'!E7:E183,"&gt;="&amp;DATE(2025,7,1),'2. Scoping &amp; PoC'!E7:E183,"&lt;"&amp;DATE(2025,8,1))</f>
        <v>5</v>
      </c>
      <c r="J83" s="23">
        <f>COUNTIFS('1. Inbound Leads'!AC8:AC203,"Dead — No Response",'1. Inbound Leads'!B8:B203,"&gt;="&amp;DATE(2025,7,1),'1. Inbound Leads'!B8:B203,"&lt;"&amp;DATE(2025,8,1))</f>
        <v>0</v>
      </c>
    </row>
    <row r="84" ht="15.0" customHeight="1">
      <c r="A84" s="24" t="s">
        <v>32</v>
      </c>
      <c r="B84" s="25">
        <f>COUNTIFS('1. Inbound Leads'!B8:B203,"&gt;="&amp;DATE(2025,8,1),'1. Inbound Leads'!B8:B203,"&lt;"&amp;DATE(2025,9,1))</f>
        <v>15</v>
      </c>
      <c r="C84" s="25">
        <f>COUNTIFS('1. Inbound Leads'!AE8:AE203,"&gt;="&amp;DATE(2025,8,1),'1. Inbound Leads'!AE8:AE203,"&lt;"&amp;DATE(2025,9,1))</f>
        <v>0</v>
      </c>
      <c r="D84" s="41">
        <f t="shared" si="3"/>
        <v>0</v>
      </c>
      <c r="E84" s="25">
        <f>COUNTIFS('2. Scoping &amp; PoC'!M7:M183,"&gt;="&amp;DATE(2025,8,1),'2. Scoping &amp; PoC'!M7:M183,"&lt;"&amp;DATE(2025,9,1))</f>
        <v>0</v>
      </c>
      <c r="F84" s="41">
        <f t="shared" si="4"/>
        <v>0</v>
      </c>
      <c r="G84" s="25">
        <f>COUNTIFS('2. Scoping &amp; PoC'!AH7:AH183,"&gt;="&amp;DATE(2025,8,1),'2. Scoping &amp; PoC'!AH7:AH183,"&lt;"&amp;DATE(2025,9,1))</f>
        <v>0</v>
      </c>
      <c r="H84" s="41">
        <f t="shared" si="5"/>
        <v>0</v>
      </c>
      <c r="I84" s="25">
        <f>COUNTIFS('2. Scoping &amp; PoC'!Y7:Y183,"Lost",'2. Scoping &amp; PoC'!E7:E183,"&gt;="&amp;DATE(2025,8,1),'2. Scoping &amp; PoC'!E7:E183,"&lt;"&amp;DATE(2025,9,1))</f>
        <v>2</v>
      </c>
      <c r="J84" s="25">
        <f>COUNTIFS('1. Inbound Leads'!AC8:AC203,"Dead — No Response",'1. Inbound Leads'!B8:B203,"&gt;="&amp;DATE(2025,8,1),'1. Inbound Leads'!B8:B203,"&lt;"&amp;DATE(2025,9,1))</f>
        <v>0</v>
      </c>
    </row>
    <row r="85" ht="15.0" customHeight="1">
      <c r="A85" s="22" t="s">
        <v>33</v>
      </c>
      <c r="B85" s="23">
        <f>COUNTIFS('1. Inbound Leads'!B8:B203,"&gt;="&amp;DATE(2025,9,1),'1. Inbound Leads'!B8:B203,"&lt;"&amp;DATE(2025,10,1))</f>
        <v>16</v>
      </c>
      <c r="C85" s="23">
        <f>COUNTIFS('1. Inbound Leads'!AE8:AE203,"&gt;="&amp;DATE(2025,9,1),'1. Inbound Leads'!AE8:AE203,"&lt;"&amp;DATE(2025,10,1))</f>
        <v>0</v>
      </c>
      <c r="D85" s="36">
        <f t="shared" si="3"/>
        <v>0</v>
      </c>
      <c r="E85" s="23">
        <f>COUNTIFS('2. Scoping &amp; PoC'!M7:M183,"&gt;="&amp;DATE(2025,9,1),'2. Scoping &amp; PoC'!M7:M183,"&lt;"&amp;DATE(2025,10,1))</f>
        <v>0</v>
      </c>
      <c r="F85" s="36">
        <f t="shared" si="4"/>
        <v>0</v>
      </c>
      <c r="G85" s="23">
        <f>COUNTIFS('2. Scoping &amp; PoC'!AH7:AH183,"&gt;="&amp;DATE(2025,9,1),'2. Scoping &amp; PoC'!AH7:AH183,"&lt;"&amp;DATE(2025,10,1))</f>
        <v>0</v>
      </c>
      <c r="H85" s="36">
        <f t="shared" si="5"/>
        <v>0</v>
      </c>
      <c r="I85" s="23">
        <f>COUNTIFS('2. Scoping &amp; PoC'!Y7:Y183,"Lost",'2. Scoping &amp; PoC'!E7:E183,"&gt;="&amp;DATE(2025,9,1),'2. Scoping &amp; PoC'!E7:E183,"&lt;"&amp;DATE(2025,10,1))</f>
        <v>9</v>
      </c>
      <c r="J85" s="23">
        <f>COUNTIFS('1. Inbound Leads'!AC8:AC203,"Dead — No Response",'1. Inbound Leads'!B8:B203,"&gt;="&amp;DATE(2025,9,1),'1. Inbound Leads'!B8:B203,"&lt;"&amp;DATE(2025,10,1))</f>
        <v>0</v>
      </c>
    </row>
    <row r="86" ht="15.0" customHeight="1">
      <c r="A86" s="24" t="s">
        <v>34</v>
      </c>
      <c r="B86" s="25">
        <f>COUNTIFS('1. Inbound Leads'!B8:B203,"&gt;="&amp;DATE(2025,10,1),'1. Inbound Leads'!B8:B203,"&lt;"&amp;DATE(2025,11,1))</f>
        <v>23</v>
      </c>
      <c r="C86" s="25">
        <f>COUNTIFS('1. Inbound Leads'!AE8:AE203,"&gt;="&amp;DATE(2025,10,1),'1. Inbound Leads'!AE8:AE203,"&lt;"&amp;DATE(2025,11,1))</f>
        <v>0</v>
      </c>
      <c r="D86" s="41">
        <f t="shared" si="3"/>
        <v>0</v>
      </c>
      <c r="E86" s="25">
        <f>COUNTIFS('2. Scoping &amp; PoC'!M7:M183,"&gt;="&amp;DATE(2025,10,1),'2. Scoping &amp; PoC'!M7:M183,"&lt;"&amp;DATE(2025,11,1))</f>
        <v>0</v>
      </c>
      <c r="F86" s="41">
        <f t="shared" si="4"/>
        <v>0</v>
      </c>
      <c r="G86" s="25">
        <f>COUNTIFS('2. Scoping &amp; PoC'!AH7:AH183,"&gt;="&amp;DATE(2025,10,1),'2. Scoping &amp; PoC'!AH7:AH183,"&lt;"&amp;DATE(2025,11,1))</f>
        <v>0</v>
      </c>
      <c r="H86" s="41">
        <f t="shared" si="5"/>
        <v>0</v>
      </c>
      <c r="I86" s="25">
        <f>COUNTIFS('2. Scoping &amp; PoC'!Y7:Y183,"Lost",'2. Scoping &amp; PoC'!E7:E183,"&gt;="&amp;DATE(2025,10,1),'2. Scoping &amp; PoC'!E7:E183,"&lt;"&amp;DATE(2025,11,1))</f>
        <v>0</v>
      </c>
      <c r="J86" s="25">
        <f>COUNTIFS('1. Inbound Leads'!AC8:AC203,"Dead — No Response",'1. Inbound Leads'!B8:B203,"&gt;="&amp;DATE(2025,10,1),'1. Inbound Leads'!B8:B203,"&lt;"&amp;DATE(2025,11,1))</f>
        <v>1</v>
      </c>
    </row>
    <row r="87" ht="15.0" customHeight="1">
      <c r="A87" s="22" t="s">
        <v>35</v>
      </c>
      <c r="B87" s="23">
        <f>COUNTIFS('1. Inbound Leads'!B8:B203,"&gt;="&amp;DATE(2025,11,1),'1. Inbound Leads'!B8:B203,"&lt;"&amp;DATE(2025,12,1))</f>
        <v>13</v>
      </c>
      <c r="C87" s="23">
        <f>COUNTIFS('1. Inbound Leads'!AE8:AE203,"&gt;="&amp;DATE(2025,11,1),'1. Inbound Leads'!AE8:AE203,"&lt;"&amp;DATE(2025,12,1))</f>
        <v>0</v>
      </c>
      <c r="D87" s="36">
        <f t="shared" si="3"/>
        <v>0</v>
      </c>
      <c r="E87" s="23">
        <f>COUNTIFS('2. Scoping &amp; PoC'!M7:M183,"&gt;="&amp;DATE(2025,11,1),'2. Scoping &amp; PoC'!M7:M183,"&lt;"&amp;DATE(2025,12,1))</f>
        <v>0</v>
      </c>
      <c r="F87" s="36">
        <f t="shared" si="4"/>
        <v>0</v>
      </c>
      <c r="G87" s="23">
        <f>COUNTIFS('2. Scoping &amp; PoC'!AH7:AH183,"&gt;="&amp;DATE(2025,11,1),'2. Scoping &amp; PoC'!AH7:AH183,"&lt;"&amp;DATE(2025,12,1))</f>
        <v>0</v>
      </c>
      <c r="H87" s="36">
        <f t="shared" si="5"/>
        <v>0</v>
      </c>
      <c r="I87" s="23">
        <f>COUNTIFS('2. Scoping &amp; PoC'!Y7:Y183,"Lost",'2. Scoping &amp; PoC'!E7:E183,"&gt;="&amp;DATE(2025,11,1),'2. Scoping &amp; PoC'!E7:E183,"&lt;"&amp;DATE(2025,12,1))</f>
        <v>0</v>
      </c>
      <c r="J87" s="23">
        <f>COUNTIFS('1. Inbound Leads'!AC8:AC203,"Dead — No Response",'1. Inbound Leads'!B8:B203,"&gt;="&amp;DATE(2025,11,1),'1. Inbound Leads'!B8:B203,"&lt;"&amp;DATE(2025,12,1))</f>
        <v>0</v>
      </c>
    </row>
    <row r="88" ht="15.0" customHeight="1">
      <c r="A88" s="24" t="s">
        <v>36</v>
      </c>
      <c r="B88" s="25">
        <f>COUNTIFS('1. Inbound Leads'!B8:B203,"&gt;="&amp;DATE(2025,12,1),'1. Inbound Leads'!B8:B203,"&lt;"&amp;DATE(2026,1,1))</f>
        <v>10</v>
      </c>
      <c r="C88" s="25">
        <f>COUNTIFS('1. Inbound Leads'!AE8:AE203,"&gt;="&amp;DATE(2025,12,1),'1. Inbound Leads'!AE8:AE203,"&lt;"&amp;DATE(2026,1,1))</f>
        <v>0</v>
      </c>
      <c r="D88" s="41">
        <f t="shared" si="3"/>
        <v>0</v>
      </c>
      <c r="E88" s="25">
        <f>COUNTIFS('2. Scoping &amp; PoC'!M7:M183,"&gt;="&amp;DATE(2025,12,1),'2. Scoping &amp; PoC'!M7:M183,"&lt;"&amp;DATE(2026,1,1))</f>
        <v>0</v>
      </c>
      <c r="F88" s="41">
        <f t="shared" si="4"/>
        <v>0</v>
      </c>
      <c r="G88" s="25">
        <f>COUNTIFS('2. Scoping &amp; PoC'!AH7:AH183,"&gt;="&amp;DATE(2025,12,1),'2. Scoping &amp; PoC'!AH7:AH183,"&lt;"&amp;DATE(2026,1,1))</f>
        <v>0</v>
      </c>
      <c r="H88" s="41">
        <f t="shared" si="5"/>
        <v>0</v>
      </c>
      <c r="I88" s="25">
        <f>COUNTIFS('2. Scoping &amp; PoC'!Y7:Y183,"Lost",'2. Scoping &amp; PoC'!E7:E183,"&gt;="&amp;DATE(2025,12,1),'2. Scoping &amp; PoC'!E7:E183,"&lt;"&amp;DATE(2026,1,1))</f>
        <v>4</v>
      </c>
      <c r="J88" s="25">
        <f>COUNTIFS('1. Inbound Leads'!AC8:AC203,"Dead — No Response",'1. Inbound Leads'!B8:B203,"&gt;="&amp;DATE(2025,12,1),'1. Inbound Leads'!B8:B203,"&lt;"&amp;DATE(2026,1,1))</f>
        <v>0</v>
      </c>
    </row>
    <row r="89" ht="15.0" customHeight="1">
      <c r="A89" s="22" t="s">
        <v>37</v>
      </c>
      <c r="B89" s="23">
        <f>COUNTIFS('1. Inbound Leads'!B8:B203,"&gt;="&amp;DATE(2026,1,1),'1. Inbound Leads'!B8:B203,"&lt;"&amp;DATE(2026,2,1))</f>
        <v>15</v>
      </c>
      <c r="C89" s="23">
        <f>COUNTIFS('1. Inbound Leads'!AE8:AE450,"&gt;="&amp;DATE(2026,1,1),'1. Inbound Leads'!AE8:AE450,"&lt;"&amp;DATE(2026,2,1))</f>
        <v>0</v>
      </c>
      <c r="D89" s="36">
        <f t="shared" si="3"/>
        <v>0</v>
      </c>
      <c r="E89" s="23">
        <f>COUNTIFS('2. Scoping &amp; PoC'!M7:M183,"&gt;="&amp;DATE(2026,1,1),'2. Scoping &amp; PoC'!M7:M183,"&lt;"&amp;DATE(2026,2,1))</f>
        <v>0</v>
      </c>
      <c r="F89" s="36">
        <f t="shared" si="4"/>
        <v>0</v>
      </c>
      <c r="G89" s="23">
        <f>COUNTIFS('2. Scoping &amp; PoC'!AH7:AH183,"&gt;="&amp;DATE(2026,1,1),'2. Scoping &amp; PoC'!AH7:AH183,"&lt;"&amp;DATE(2026,2,1))</f>
        <v>0</v>
      </c>
      <c r="H89" s="36">
        <f t="shared" si="5"/>
        <v>0</v>
      </c>
      <c r="I89" s="23">
        <f>COUNTIFS('2. Scoping &amp; PoC'!Y7:Y183,"Lost",'2. Scoping &amp; PoC'!E7:E183,"&gt;="&amp;DATE(2026,1,1),'2. Scoping &amp; PoC'!E7:E183,"&lt;"&amp;DATE(2026,2,1))</f>
        <v>1</v>
      </c>
      <c r="J89" s="23">
        <f>COUNTIFS('1. Inbound Leads'!AC8:AC203,"Dead — No Response",'1. Inbound Leads'!B8:B203,"&gt;="&amp;DATE(2026,1,1),'1. Inbound Leads'!B8:B203,"&lt;"&amp;DATE(2026,2,1))</f>
        <v>0</v>
      </c>
    </row>
    <row r="90" ht="15.0" customHeight="1">
      <c r="A90" s="24" t="s">
        <v>38</v>
      </c>
      <c r="B90" s="25">
        <f>COUNTIFS('1. Inbound Leads'!B8:B396,"&gt;="&amp;DATE(2026,2,1),'1. Inbound Leads'!B8:B396,"&lt;"&amp;DATE(2026,3,1))</f>
        <v>19</v>
      </c>
      <c r="C90" s="23">
        <f>COUNTIFS('1. Inbound Leads'!AE9:AE451,"&gt;="&amp;DATE(2026,1,1),'1. Inbound Leads'!AE9:AE451,"&lt;"&amp;DATE(2026,2,1))</f>
        <v>0</v>
      </c>
      <c r="D90" s="41">
        <f t="shared" si="3"/>
        <v>0</v>
      </c>
      <c r="E90" s="25">
        <f>COUNTIFS('2. Scoping &amp; PoC'!M7:M183,"&gt;="&amp;DATE(2026,2,1),'2. Scoping &amp; PoC'!M7:M183,"&lt;"&amp;DATE(2026,3,1))</f>
        <v>0</v>
      </c>
      <c r="F90" s="41">
        <f t="shared" si="4"/>
        <v>0</v>
      </c>
      <c r="G90" s="25">
        <f>COUNTIFS('2. Scoping &amp; PoC'!AH7:AH183,"&gt;="&amp;DATE(2026,2,1),'2. Scoping &amp; PoC'!AH7:AH183,"&lt;"&amp;DATE(2026,3,1))</f>
        <v>0</v>
      </c>
      <c r="H90" s="41">
        <f t="shared" si="5"/>
        <v>0</v>
      </c>
      <c r="I90" s="25">
        <f>COUNTIFS('2. Scoping &amp; PoC'!Y7:Y183,"Lost",'2. Scoping &amp; PoC'!E7:E183,"&gt;="&amp;DATE(2026,2,1),'2. Scoping &amp; PoC'!E7:E183,"&lt;"&amp;DATE(2026,3,1))</f>
        <v>3</v>
      </c>
      <c r="J90" s="25">
        <f>COUNTIFS('1. Inbound Leads'!AC8:AC203,"Dead — No Response",'1. Inbound Leads'!B8:B203,"&gt;="&amp;DATE(2026,2,1),'1. Inbound Leads'!B8:B203,"&lt;"&amp;DATE(2026,3,1))</f>
        <v>0</v>
      </c>
    </row>
    <row r="91" ht="15.0" customHeight="1">
      <c r="A91" s="22" t="s">
        <v>39</v>
      </c>
      <c r="B91" s="23">
        <f>COUNTIFS('1. Inbound Leads'!B8:B395,"&gt;="&amp;DATE(2026,3,1),'1. Inbound Leads'!B8:B395,"&lt;"&amp;DATE(2026,4,1))</f>
        <v>24</v>
      </c>
      <c r="C91" s="23">
        <f>COUNTIFS('1. Inbound Leads'!AE8:AE951,"&gt;="&amp;DATE(2026,3,1),'1. Inbound Leads'!AE8:AE951,"&lt;"&amp;DATE(2026,4,1))</f>
        <v>0</v>
      </c>
      <c r="D91" s="36">
        <f t="shared" si="3"/>
        <v>0</v>
      </c>
      <c r="E91" s="23">
        <f>COUNTIFS('2. Scoping &amp; PoC'!M7:M183,"&gt;="&amp;DATE(2026,3,1),'2. Scoping &amp; PoC'!M7:M183,"&lt;"&amp;DATE(2026,4,1))</f>
        <v>0</v>
      </c>
      <c r="F91" s="36">
        <f t="shared" si="4"/>
        <v>0</v>
      </c>
      <c r="G91" s="23">
        <f>COUNTIFS('2. Scoping &amp; PoC'!AH7:AH183,"&gt;="&amp;DATE(2026,3,1),'2. Scoping &amp; PoC'!AH7:AH183,"&lt;"&amp;DATE(2026,4,1))</f>
        <v>0</v>
      </c>
      <c r="H91" s="36">
        <f t="shared" si="5"/>
        <v>0</v>
      </c>
      <c r="I91" s="23">
        <f>COUNTIFS('2. Scoping &amp; PoC'!Y7:Y183,"Lost",'2. Scoping &amp; PoC'!E7:E183,"&gt;="&amp;DATE(2026,3,1),'2. Scoping &amp; PoC'!E7:E183,"&lt;"&amp;DATE(2026,4,1))</f>
        <v>0</v>
      </c>
      <c r="J91" s="23">
        <f>COUNTIFS('1. Inbound Leads'!AC8:AC203,"Dead — No Response",'1. Inbound Leads'!B8:B203,"&gt;="&amp;DATE(2026,3,1),'1. Inbound Leads'!B8:B203,"&lt;"&amp;DATE(2026,4,1))</f>
        <v>0</v>
      </c>
    </row>
    <row r="92" ht="15.0" customHeight="1">
      <c r="A92" s="24" t="s">
        <v>40</v>
      </c>
      <c r="B92" s="25">
        <f>COUNTIFS('1. Inbound Leads'!B8:B451,"&gt;="&amp;DATE(2026,4,1),'1. Inbound Leads'!B8:B451,"&lt;"&amp;DATE(2026,5,1))</f>
        <v>5</v>
      </c>
      <c r="C92" s="25">
        <f>COUNTIFS('1. Inbound Leads'!AE8:AE951,"&gt;="&amp;DATE(2026,4,1),'1. Inbound Leads'!AE8:AE951,"&lt;"&amp;DATE(2026,5,1))</f>
        <v>0</v>
      </c>
      <c r="D92" s="41">
        <f t="shared" si="3"/>
        <v>0</v>
      </c>
      <c r="E92" s="25">
        <f>COUNTIFS('2. Scoping &amp; PoC'!M7:M183,"&gt;="&amp;DATE(2026,4,1),'2. Scoping &amp; PoC'!M7:M183,"&lt;"&amp;DATE(2026,5,1))</f>
        <v>0</v>
      </c>
      <c r="F92" s="41">
        <f t="shared" si="4"/>
        <v>0</v>
      </c>
      <c r="G92" s="25">
        <f>COUNTIFS('2. Scoping &amp; PoC'!AH7:AH183,"&gt;="&amp;DATE(2026,4,1),'2. Scoping &amp; PoC'!AH7:AH183,"&lt;"&amp;DATE(2026,5,1))</f>
        <v>0</v>
      </c>
      <c r="H92" s="41">
        <f t="shared" si="5"/>
        <v>0</v>
      </c>
      <c r="I92" s="25">
        <f>COUNTIFS('2. Scoping &amp; PoC'!Y7:Y183,"Lost",'2. Scoping &amp; PoC'!E7:E183,"&gt;="&amp;DATE(2026,4,1),'2. Scoping &amp; PoC'!E7:E183,"&lt;"&amp;DATE(2026,5,1))</f>
        <v>0</v>
      </c>
      <c r="J92" s="25">
        <f>COUNTIFS('1. Inbound Leads'!AC8:AC203,"Dead — No Response",'1. Inbound Leads'!B8:B203,"&gt;="&amp;DATE(2026,4,1),'1. Inbound Leads'!B8:B203,"&lt;"&amp;DATE(2026,5,1))</f>
        <v>0</v>
      </c>
    </row>
    <row r="93" ht="15.0" customHeight="1">
      <c r="A93" s="22" t="s">
        <v>41</v>
      </c>
      <c r="B93" s="23">
        <f>COUNTIFS('1. Inbound Leads'!B8:B451,"&gt;="&amp;DATE(2026,5,1),'1. Inbound Leads'!B8:B451,"&lt;"&amp;DATE(2026,6,1))</f>
        <v>0</v>
      </c>
      <c r="C93" s="23">
        <f>COUNTIFS('1. Inbound Leads'!AE8:AE203,"&gt;="&amp;DATE(2026,5,1),'1. Inbound Leads'!AE8:AE203,"&lt;"&amp;DATE(2026,6,1))</f>
        <v>0</v>
      </c>
      <c r="D93" s="36">
        <f t="shared" si="3"/>
        <v>0</v>
      </c>
      <c r="E93" s="23">
        <f>COUNTIFS('2. Scoping &amp; PoC'!M7:M183,"&gt;="&amp;DATE(2026,5,1),'2. Scoping &amp; PoC'!M7:M183,"&lt;"&amp;DATE(2026,6,1))</f>
        <v>0</v>
      </c>
      <c r="F93" s="36">
        <f t="shared" si="4"/>
        <v>0</v>
      </c>
      <c r="G93" s="23">
        <f>COUNTIFS('2. Scoping &amp; PoC'!AH7:AH183,"&gt;="&amp;DATE(2026,5,1),'2. Scoping &amp; PoC'!AH7:AH183,"&lt;"&amp;DATE(2026,6,1))</f>
        <v>0</v>
      </c>
      <c r="H93" s="36">
        <f t="shared" si="5"/>
        <v>0</v>
      </c>
      <c r="I93" s="23">
        <f>COUNTIFS('2. Scoping &amp; PoC'!Y7:Y183,"Lost",'2. Scoping &amp; PoC'!E7:E183,"&gt;="&amp;DATE(2026,5,1),'2. Scoping &amp; PoC'!E7:E183,"&lt;"&amp;DATE(2026,6,1))</f>
        <v>0</v>
      </c>
      <c r="J93" s="23">
        <f>COUNTIFS('1. Inbound Leads'!AC8:AC203,"Dead — No Response",'1. Inbound Leads'!B8:B203,"&gt;="&amp;DATE(2026,5,1),'1. Inbound Leads'!B8:B203,"&lt;"&amp;DATE(2026,6,1))</f>
        <v>0</v>
      </c>
    </row>
    <row r="94" ht="15.0" customHeight="1">
      <c r="A94" s="24" t="s">
        <v>42</v>
      </c>
      <c r="B94" s="25">
        <f>COUNTIFS('1. Inbound Leads'!B8:B451,"&gt;="&amp;DATE(2026,6,1),'1. Inbound Leads'!B8:B451,"&lt;"&amp;DATE(2026,7,1))</f>
        <v>0</v>
      </c>
      <c r="C94" s="25">
        <f>COUNTIFS('1. Inbound Leads'!AE8:AE203,"&gt;="&amp;DATE(2026,6,1),'1. Inbound Leads'!AE8:AE203,"&lt;"&amp;DATE(2026,7,1))</f>
        <v>0</v>
      </c>
      <c r="D94" s="41">
        <f t="shared" si="3"/>
        <v>0</v>
      </c>
      <c r="E94" s="25">
        <f>COUNTIFS('2. Scoping &amp; PoC'!M7:M183,"&gt;="&amp;DATE(2026,6,1),'2. Scoping &amp; PoC'!M7:M183,"&lt;"&amp;DATE(2026,7,1))</f>
        <v>0</v>
      </c>
      <c r="F94" s="41">
        <f t="shared" si="4"/>
        <v>0</v>
      </c>
      <c r="G94" s="25">
        <f>COUNTIFS('2. Scoping &amp; PoC'!AH7:AH183,"&gt;="&amp;DATE(2026,6,1),'2. Scoping &amp; PoC'!AH7:AH183,"&lt;"&amp;DATE(2026,7,1))</f>
        <v>0</v>
      </c>
      <c r="H94" s="41">
        <f t="shared" si="5"/>
        <v>0</v>
      </c>
      <c r="I94" s="25">
        <f>COUNTIFS('2. Scoping &amp; PoC'!Y7:Y183,"Lost",'2. Scoping &amp; PoC'!E7:E183,"&gt;="&amp;DATE(2026,6,1),'2. Scoping &amp; PoC'!E7:E183,"&lt;"&amp;DATE(2026,7,1))</f>
        <v>0</v>
      </c>
      <c r="J94" s="25">
        <f>COUNTIFS('1. Inbound Leads'!AC8:AC203,"Dead — No Response",'1. Inbound Leads'!B8:B203,"&gt;="&amp;DATE(2026,6,1),'1. Inbound Leads'!B8:B203,"&lt;"&amp;DATE(2026,7,1))</f>
        <v>0</v>
      </c>
    </row>
    <row r="95" ht="15.0" customHeight="1">
      <c r="A95" s="22" t="s">
        <v>43</v>
      </c>
      <c r="B95" s="23">
        <f>COUNTIFS('1. Inbound Leads'!B8:B203,"&gt;="&amp;DATE(2026,7,1),'1. Inbound Leads'!B8:B203,"&lt;"&amp;DATE(2026,8,1))</f>
        <v>0</v>
      </c>
      <c r="C95" s="23">
        <f>COUNTIFS('1. Inbound Leads'!AE8:AE203,"&gt;="&amp;DATE(2026,7,1),'1. Inbound Leads'!AE8:AE203,"&lt;"&amp;DATE(2026,8,1))</f>
        <v>0</v>
      </c>
      <c r="D95" s="36">
        <f t="shared" si="3"/>
        <v>0</v>
      </c>
      <c r="E95" s="23">
        <f>COUNTIFS('2. Scoping &amp; PoC'!M7:M183,"&gt;="&amp;DATE(2026,7,1),'2. Scoping &amp; PoC'!M7:M183,"&lt;"&amp;DATE(2026,8,1))</f>
        <v>0</v>
      </c>
      <c r="F95" s="36">
        <f t="shared" si="4"/>
        <v>0</v>
      </c>
      <c r="G95" s="23">
        <f>COUNTIFS('2. Scoping &amp; PoC'!AH7:AH183,"&gt;="&amp;DATE(2026,7,1),'2. Scoping &amp; PoC'!AH7:AH183,"&lt;"&amp;DATE(2026,8,1))</f>
        <v>0</v>
      </c>
      <c r="H95" s="36">
        <f t="shared" si="5"/>
        <v>0</v>
      </c>
      <c r="I95" s="23">
        <f>COUNTIFS('2. Scoping &amp; PoC'!Y7:Y183,"Lost",'2. Scoping &amp; PoC'!E7:E183,"&gt;="&amp;DATE(2026,7,1),'2. Scoping &amp; PoC'!E7:E183,"&lt;"&amp;DATE(2026,8,1))</f>
        <v>0</v>
      </c>
      <c r="J95" s="23">
        <f>COUNTIFS('1. Inbound Leads'!AC8:AC203,"Dead — No Response",'1. Inbound Leads'!B8:B203,"&gt;="&amp;DATE(2026,7,1),'1. Inbound Leads'!B8:B203,"&lt;"&amp;DATE(2026,8,1))</f>
        <v>0</v>
      </c>
    </row>
    <row r="96" ht="15.0" customHeight="1">
      <c r="A96" s="24" t="s">
        <v>44</v>
      </c>
      <c r="B96" s="25">
        <f>COUNTIFS('1. Inbound Leads'!B8:B203,"&gt;="&amp;DATE(2026,8,1),'1. Inbound Leads'!B8:B203,"&lt;"&amp;DATE(2026,9,1))</f>
        <v>0</v>
      </c>
      <c r="C96" s="25">
        <f>COUNTIFS('1. Inbound Leads'!AE8:AE203,"&gt;="&amp;DATE(2026,8,1),'1. Inbound Leads'!AE8:AE203,"&lt;"&amp;DATE(2026,9,1))</f>
        <v>0</v>
      </c>
      <c r="D96" s="41">
        <f t="shared" si="3"/>
        <v>0</v>
      </c>
      <c r="E96" s="25">
        <f>COUNTIFS('2. Scoping &amp; PoC'!M7:M183,"&gt;="&amp;DATE(2026,8,1),'2. Scoping &amp; PoC'!M7:M183,"&lt;"&amp;DATE(2026,9,1))</f>
        <v>0</v>
      </c>
      <c r="F96" s="41">
        <f t="shared" si="4"/>
        <v>0</v>
      </c>
      <c r="G96" s="25">
        <f>COUNTIFS('2. Scoping &amp; PoC'!AH7:AH183,"&gt;="&amp;DATE(2026,8,1),'2. Scoping &amp; PoC'!AH7:AH183,"&lt;"&amp;DATE(2026,9,1))</f>
        <v>0</v>
      </c>
      <c r="H96" s="41">
        <f t="shared" si="5"/>
        <v>0</v>
      </c>
      <c r="I96" s="25">
        <f>COUNTIFS('2. Scoping &amp; PoC'!Y7:Y183,"Lost",'2. Scoping &amp; PoC'!E7:E183,"&gt;="&amp;DATE(2026,8,1),'2. Scoping &amp; PoC'!E7:E183,"&lt;"&amp;DATE(2026,9,1))</f>
        <v>0</v>
      </c>
      <c r="J96" s="25">
        <f>COUNTIFS('1. Inbound Leads'!AC8:AC203,"Dead — No Response",'1. Inbound Leads'!B8:B203,"&gt;="&amp;DATE(2026,8,1),'1. Inbound Leads'!B8:B203,"&lt;"&amp;DATE(2026,9,1))</f>
        <v>0</v>
      </c>
    </row>
    <row r="97" ht="15.0" customHeight="1">
      <c r="A97" s="22" t="s">
        <v>45</v>
      </c>
      <c r="B97" s="23">
        <f>COUNTIFS('1. Inbound Leads'!B8:B203,"&gt;="&amp;DATE(2026,9,1),'1. Inbound Leads'!B8:B203,"&lt;"&amp;DATE(2026,10,1))</f>
        <v>0</v>
      </c>
      <c r="C97" s="23">
        <f>COUNTIFS('1. Inbound Leads'!AE8:AE203,"&gt;="&amp;DATE(2026,9,1),'1. Inbound Leads'!AE8:AE203,"&lt;"&amp;DATE(2026,10,1))</f>
        <v>0</v>
      </c>
      <c r="D97" s="36">
        <f t="shared" si="3"/>
        <v>0</v>
      </c>
      <c r="E97" s="23">
        <f>COUNTIFS('2. Scoping &amp; PoC'!M7:M183,"&gt;="&amp;DATE(2026,9,1),'2. Scoping &amp; PoC'!M7:M183,"&lt;"&amp;DATE(2026,10,1))</f>
        <v>0</v>
      </c>
      <c r="F97" s="36">
        <f t="shared" si="4"/>
        <v>0</v>
      </c>
      <c r="G97" s="23">
        <f>COUNTIFS('2. Scoping &amp; PoC'!AH7:AH183,"&gt;="&amp;DATE(2026,9,1),'2. Scoping &amp; PoC'!AH7:AH183,"&lt;"&amp;DATE(2026,10,1))</f>
        <v>0</v>
      </c>
      <c r="H97" s="36">
        <f t="shared" si="5"/>
        <v>0</v>
      </c>
      <c r="I97" s="23">
        <f>COUNTIFS('2. Scoping &amp; PoC'!Y7:Y183,"Lost",'2. Scoping &amp; PoC'!E7:E183,"&gt;="&amp;DATE(2026,9,1),'2. Scoping &amp; PoC'!E7:E183,"&lt;"&amp;DATE(2026,10,1))</f>
        <v>0</v>
      </c>
      <c r="J97" s="23">
        <f>COUNTIFS('1. Inbound Leads'!AC8:AC203,"Dead — No Response",'1. Inbound Leads'!B8:B203,"&gt;="&amp;DATE(2026,9,1),'1. Inbound Leads'!B8:B203,"&lt;"&amp;DATE(2026,10,1))</f>
        <v>0</v>
      </c>
    </row>
    <row r="98" ht="15.0" customHeight="1">
      <c r="A98" s="24" t="s">
        <v>46</v>
      </c>
      <c r="B98" s="25">
        <f>COUNTIFS('1. Inbound Leads'!B8:B203,"&gt;="&amp;DATE(2026,10,1),'1. Inbound Leads'!B8:B203,"&lt;"&amp;DATE(2026,11,1))</f>
        <v>0</v>
      </c>
      <c r="C98" s="25">
        <f>COUNTIFS('1. Inbound Leads'!AE8:AE203,"&gt;="&amp;DATE(2026,10,1),'1. Inbound Leads'!AE8:AE203,"&lt;"&amp;DATE(2026,11,1))</f>
        <v>0</v>
      </c>
      <c r="D98" s="41">
        <f t="shared" si="3"/>
        <v>0</v>
      </c>
      <c r="E98" s="25">
        <f>COUNTIFS('2. Scoping &amp; PoC'!M7:M183,"&gt;="&amp;DATE(2026,10,1),'2. Scoping &amp; PoC'!M7:M183,"&lt;"&amp;DATE(2026,11,1))</f>
        <v>0</v>
      </c>
      <c r="F98" s="41">
        <f t="shared" si="4"/>
        <v>0</v>
      </c>
      <c r="G98" s="25">
        <f>COUNTIFS('2. Scoping &amp; PoC'!AH7:AH183,"&gt;="&amp;DATE(2026,10,1),'2. Scoping &amp; PoC'!AH7:AH183,"&lt;"&amp;DATE(2026,11,1))</f>
        <v>0</v>
      </c>
      <c r="H98" s="41">
        <f t="shared" si="5"/>
        <v>0</v>
      </c>
      <c r="I98" s="25">
        <f>COUNTIFS('2. Scoping &amp; PoC'!Y7:Y183,"Lost",'2. Scoping &amp; PoC'!E7:E183,"&gt;="&amp;DATE(2026,10,1),'2. Scoping &amp; PoC'!E7:E183,"&lt;"&amp;DATE(2026,11,1))</f>
        <v>0</v>
      </c>
      <c r="J98" s="25">
        <f>COUNTIFS('1. Inbound Leads'!AC8:AC203,"Dead — No Response",'1. Inbound Leads'!B8:B203,"&gt;="&amp;DATE(2026,10,1),'1. Inbound Leads'!B8:B203,"&lt;"&amp;DATE(2026,11,1))</f>
        <v>0</v>
      </c>
    </row>
    <row r="99" ht="15.0" customHeight="1">
      <c r="A99" s="22" t="s">
        <v>47</v>
      </c>
      <c r="B99" s="23">
        <f>COUNTIFS('1. Inbound Leads'!B8:B203,"&gt;="&amp;DATE(2026,11,1),'1. Inbound Leads'!B8:B203,"&lt;"&amp;DATE(2026,12,1))</f>
        <v>0</v>
      </c>
      <c r="C99" s="23">
        <f>COUNTIFS('1. Inbound Leads'!AE8:AE203,"&gt;="&amp;DATE(2026,11,1),'1. Inbound Leads'!AE8:AE203,"&lt;"&amp;DATE(2026,12,1))</f>
        <v>0</v>
      </c>
      <c r="D99" s="36">
        <f t="shared" si="3"/>
        <v>0</v>
      </c>
      <c r="E99" s="23">
        <f>COUNTIFS('2. Scoping &amp; PoC'!M7:M183,"&gt;="&amp;DATE(2026,11,1),'2. Scoping &amp; PoC'!M7:M183,"&lt;"&amp;DATE(2026,12,1))</f>
        <v>0</v>
      </c>
      <c r="F99" s="36">
        <f t="shared" si="4"/>
        <v>0</v>
      </c>
      <c r="G99" s="23">
        <f>COUNTIFS('2. Scoping &amp; PoC'!AH7:AH183,"&gt;="&amp;DATE(2026,11,1),'2. Scoping &amp; PoC'!AH7:AH183,"&lt;"&amp;DATE(2026,12,1))</f>
        <v>0</v>
      </c>
      <c r="H99" s="36">
        <f t="shared" si="5"/>
        <v>0</v>
      </c>
      <c r="I99" s="23">
        <f>COUNTIFS('2. Scoping &amp; PoC'!Y7:Y183,"Lost",'2. Scoping &amp; PoC'!E7:E183,"&gt;="&amp;DATE(2026,11,1),'2. Scoping &amp; PoC'!E7:E183,"&lt;"&amp;DATE(2026,12,1))</f>
        <v>0</v>
      </c>
      <c r="J99" s="23">
        <f>COUNTIFS('1. Inbound Leads'!AC8:AC203,"Dead — No Response",'1. Inbound Leads'!B8:B203,"&gt;="&amp;DATE(2026,11,1),'1. Inbound Leads'!B8:B203,"&lt;"&amp;DATE(2026,12,1))</f>
        <v>0</v>
      </c>
    </row>
    <row r="100" ht="15.0" customHeight="1">
      <c r="A100" s="30" t="s">
        <v>48</v>
      </c>
      <c r="B100" s="32">
        <f>COUNTIFS('1. Inbound Leads'!B8:B203,"&gt;="&amp;DATE(2026,12,1),'1. Inbound Leads'!B8:B203,"&lt;"&amp;DATE(2027,1,1))</f>
        <v>0</v>
      </c>
      <c r="C100" s="32">
        <f>COUNTIFS('1. Inbound Leads'!AE8:AE203,"&gt;="&amp;DATE(2026,12,1),'1. Inbound Leads'!AE8:AE203,"&lt;"&amp;DATE(2027,1,1))</f>
        <v>0</v>
      </c>
      <c r="D100" s="42">
        <f t="shared" si="3"/>
        <v>0</v>
      </c>
      <c r="E100" s="32">
        <f>COUNTIFS('2. Scoping &amp; PoC'!M7:M183,"&gt;="&amp;DATE(2026,12,1),'2. Scoping &amp; PoC'!M7:M183,"&lt;"&amp;DATE(2027,1,1))</f>
        <v>0</v>
      </c>
      <c r="F100" s="42">
        <f t="shared" si="4"/>
        <v>0</v>
      </c>
      <c r="G100" s="32">
        <f>COUNTIFS('2. Scoping &amp; PoC'!AH7:AH183,"&gt;="&amp;DATE(2026,12,1),'2. Scoping &amp; PoC'!AH7:AH183,"&lt;"&amp;DATE(2027,1,1))</f>
        <v>0</v>
      </c>
      <c r="H100" s="42">
        <f t="shared" si="5"/>
        <v>0</v>
      </c>
      <c r="I100" s="32">
        <f>COUNTIFS('2. Scoping &amp; PoC'!Y7:Y183,"Lost",'2. Scoping &amp; PoC'!E7:E183,"&gt;="&amp;DATE(2026,12,1),'2. Scoping &amp; PoC'!E7:E183,"&lt;"&amp;DATE(2027,1,1))</f>
        <v>0</v>
      </c>
      <c r="J100" s="32">
        <f>COUNTIFS('1. Inbound Leads'!AC8:AC203,"Dead — No Response",'1. Inbound Leads'!B8:B203,"&gt;="&amp;DATE(2026,12,1),'1. Inbound Leads'!B8:B203,"&lt;"&amp;DATE(2027,1,1))</f>
        <v>0</v>
      </c>
    </row>
    <row r="101" ht="14.25" customHeight="1">
      <c r="A101" s="43"/>
      <c r="B101" s="43"/>
      <c r="C101" s="43"/>
      <c r="D101" s="43"/>
      <c r="E101" s="43"/>
      <c r="F101" s="43"/>
      <c r="G101" s="43"/>
      <c r="H101" s="43"/>
      <c r="I101" s="43"/>
      <c r="J101" s="43"/>
    </row>
    <row r="102" ht="14.25" customHeight="1"/>
    <row r="103" ht="31.5" customHeight="1">
      <c r="A103" s="20" t="s">
        <v>97</v>
      </c>
      <c r="B103" s="2"/>
      <c r="C103" s="2"/>
      <c r="D103" s="2"/>
      <c r="E103" s="2"/>
      <c r="F103" s="2"/>
      <c r="G103" s="2"/>
      <c r="H103" s="2"/>
      <c r="I103" s="2"/>
      <c r="J103" s="2"/>
      <c r="K103" s="2"/>
      <c r="L103" s="2"/>
      <c r="M103" s="2"/>
      <c r="N103" s="2"/>
      <c r="O103" s="2"/>
      <c r="P103" s="2"/>
      <c r="Q103" s="2"/>
      <c r="R103" s="2"/>
      <c r="S103" s="2"/>
      <c r="T103" s="3"/>
    </row>
    <row r="104" ht="27.75" customHeight="1">
      <c r="A104" s="21" t="s">
        <v>98</v>
      </c>
      <c r="B104" s="21" t="s">
        <v>51</v>
      </c>
      <c r="C104" s="21" t="s">
        <v>99</v>
      </c>
      <c r="D104" s="21"/>
    </row>
    <row r="105" ht="15.0" customHeight="1">
      <c r="A105" s="24" t="s">
        <v>100</v>
      </c>
      <c r="B105" s="25">
        <f>COUNTIF('1. Inbound Leads'!AC8:AC451,"New Lead")</f>
        <v>95</v>
      </c>
      <c r="C105" s="41">
        <f t="shared" ref="C105:C116" si="6">IFERROR(B105/SUM(B$105:B$116),0)</f>
        <v>0.3380782918</v>
      </c>
    </row>
    <row r="106" ht="15.0" customHeight="1">
      <c r="A106" s="24" t="s">
        <v>101</v>
      </c>
      <c r="B106" s="25">
        <f>COUNTIF('1. Inbound Leads'!AC8:AC451,"Contacted")</f>
        <v>27</v>
      </c>
      <c r="C106" s="41">
        <f t="shared" si="6"/>
        <v>0.09608540925</v>
      </c>
    </row>
    <row r="107" ht="15.0" customHeight="1">
      <c r="A107" s="24" t="s">
        <v>102</v>
      </c>
      <c r="B107" s="25">
        <f>COUNTIF('1. Inbound Leads'!AC8:AC451,"Discovery Scheduled")</f>
        <v>1</v>
      </c>
      <c r="C107" s="41">
        <f t="shared" si="6"/>
        <v>0.003558718861</v>
      </c>
    </row>
    <row r="108" ht="15.0" customHeight="1">
      <c r="A108" s="24" t="s">
        <v>103</v>
      </c>
      <c r="B108" s="25">
        <f>COUNTIF('1. Inbound Leads'!AC8:AC450,"Discovery Complete")</f>
        <v>18</v>
      </c>
      <c r="C108" s="41">
        <f t="shared" si="6"/>
        <v>0.0640569395</v>
      </c>
    </row>
    <row r="109" ht="15.0" customHeight="1">
      <c r="A109" s="44" t="s">
        <v>104</v>
      </c>
      <c r="B109" s="45">
        <f>COUNTIF('2. Scoping &amp; PoC'!Y7:Y450,"Scoping")</f>
        <v>5</v>
      </c>
      <c r="C109" s="46">
        <f t="shared" si="6"/>
        <v>0.01779359431</v>
      </c>
    </row>
    <row r="110" ht="15.0" customHeight="1">
      <c r="A110" s="44" t="s">
        <v>105</v>
      </c>
      <c r="B110" s="45">
        <f>COUNTIF('2. Scoping &amp; PoC'!Y7:Y450,"PoC In Progress")</f>
        <v>0</v>
      </c>
      <c r="C110" s="46">
        <f t="shared" si="6"/>
        <v>0</v>
      </c>
    </row>
    <row r="111" ht="15.0" customHeight="1">
      <c r="A111" s="44" t="s">
        <v>106</v>
      </c>
      <c r="B111" s="45">
        <f>COUNTIF('2. Scoping &amp; PoC'!Y7:Y450,"PoC Complete")</f>
        <v>0</v>
      </c>
      <c r="C111" s="46">
        <f t="shared" si="6"/>
        <v>0</v>
      </c>
    </row>
    <row r="112" ht="15.0" customHeight="1">
      <c r="A112" s="47" t="s">
        <v>107</v>
      </c>
      <c r="B112" s="48">
        <f>COUNTIF('2. Scoping &amp; PoC'!Y7:Y450,"Pilot Approved")</f>
        <v>0</v>
      </c>
      <c r="C112" s="49">
        <f t="shared" si="6"/>
        <v>0</v>
      </c>
    </row>
    <row r="113" ht="15.0" customHeight="1">
      <c r="A113" s="47" t="s">
        <v>108</v>
      </c>
      <c r="B113" s="48">
        <f>COUNTIF('2. Scoping &amp; PoC'!Y7:Y450,"SOW Negotiation")</f>
        <v>0</v>
      </c>
      <c r="C113" s="49">
        <f t="shared" si="6"/>
        <v>0</v>
      </c>
    </row>
    <row r="114" ht="15.0" customHeight="1">
      <c r="A114" s="47" t="s">
        <v>109</v>
      </c>
      <c r="B114" s="48">
        <f>COUNTIF('2. Scoping &amp; PoC'!Y7:Y450,"Won*")</f>
        <v>27</v>
      </c>
      <c r="C114" s="49">
        <f t="shared" si="6"/>
        <v>0.09608540925</v>
      </c>
    </row>
    <row r="115" ht="15.0" customHeight="1">
      <c r="A115" s="50" t="s">
        <v>95</v>
      </c>
      <c r="B115" s="51">
        <f>COUNTIF('2. Scoping &amp; PoC'!Y7:Y450,"Lost")</f>
        <v>54</v>
      </c>
      <c r="C115" s="52">
        <f t="shared" si="6"/>
        <v>0.1921708185</v>
      </c>
    </row>
    <row r="116" ht="15.0" customHeight="1">
      <c r="A116" s="53" t="s">
        <v>110</v>
      </c>
      <c r="B116" s="54">
        <f>COUNTIF('1. Inbound Leads'!AC8:AC451,"Dead*")</f>
        <v>54</v>
      </c>
      <c r="C116" s="55">
        <f t="shared" si="6"/>
        <v>0.1921708185</v>
      </c>
      <c r="D116" s="33"/>
    </row>
    <row r="117" ht="14.25" customHeight="1">
      <c r="A117" s="34"/>
      <c r="B117" s="34"/>
      <c r="C117" s="34"/>
      <c r="D117" s="34"/>
    </row>
    <row r="118" ht="14.25" customHeight="1"/>
    <row r="119" ht="31.5" customHeight="1">
      <c r="A119" s="20" t="s">
        <v>111</v>
      </c>
      <c r="B119" s="2"/>
      <c r="C119" s="2"/>
      <c r="D119" s="2"/>
      <c r="E119" s="2"/>
      <c r="F119" s="2"/>
      <c r="G119" s="2"/>
      <c r="H119" s="2"/>
      <c r="I119" s="2"/>
      <c r="J119" s="2"/>
      <c r="K119" s="2"/>
      <c r="L119" s="2"/>
      <c r="M119" s="2"/>
      <c r="N119" s="2"/>
      <c r="O119" s="2"/>
      <c r="P119" s="2"/>
      <c r="Q119" s="2"/>
      <c r="R119" s="2"/>
      <c r="S119" s="2"/>
      <c r="T119" s="3"/>
    </row>
    <row r="120" ht="27.75" customHeight="1">
      <c r="A120" s="21" t="s">
        <v>112</v>
      </c>
      <c r="B120" s="21" t="s">
        <v>113</v>
      </c>
      <c r="C120" s="21" t="s">
        <v>114</v>
      </c>
      <c r="D120" s="21" t="s">
        <v>115</v>
      </c>
      <c r="E120" s="21" t="s">
        <v>116</v>
      </c>
      <c r="F120" s="21"/>
    </row>
    <row r="121" ht="32.25" customHeight="1">
      <c r="A121" s="22" t="s">
        <v>117</v>
      </c>
      <c r="B121" s="56">
        <f>IFERROR(AVERAGE(IF(('1. Inbound Leads'!M8:M203&lt;&gt;""),('1. Inbound Leads'!M8:M203-'1. Inbound Leads'!B8:B451))),0)</f>
        <v>0</v>
      </c>
      <c r="C121" s="57">
        <v>1.0</v>
      </c>
      <c r="D121" s="58" t="str">
        <f t="shared" ref="D121:D126" si="7">IF(B121="","-",IF(B121&lt;=C121,"✓ On Track","⚠ Slow"))</f>
        <v>✓ On Track</v>
      </c>
      <c r="E121" s="59" t="s">
        <v>118</v>
      </c>
    </row>
    <row r="122" ht="18.0" customHeight="1">
      <c r="A122" s="22" t="s">
        <v>119</v>
      </c>
      <c r="B122" s="56">
        <f>IFERROR(AVERAGE(IF(('1. Inbound Leads'!R8:R203&lt;&gt;""),('1. Inbound Leads'!R8:R203-'1. Inbound Leads'!M8:M451))),0)</f>
        <v>0</v>
      </c>
      <c r="C122" s="57">
        <v>5.0</v>
      </c>
      <c r="D122" s="58" t="str">
        <f t="shared" si="7"/>
        <v>✓ On Track</v>
      </c>
      <c r="E122" s="59" t="s">
        <v>120</v>
      </c>
    </row>
    <row r="123" ht="15.0" customHeight="1">
      <c r="A123" s="22" t="s">
        <v>121</v>
      </c>
      <c r="B123" s="56">
        <f>IFERROR(AVERAGE(IF(('1. Inbound Leads'!AE8:AE450&lt;&gt;""),('1. Inbound Leads'!AE8:AE450-'1. Inbound Leads'!R8:R451))),0)</f>
        <v>0</v>
      </c>
      <c r="C123" s="57">
        <v>3.0</v>
      </c>
      <c r="D123" s="58" t="str">
        <f t="shared" si="7"/>
        <v>✓ On Track</v>
      </c>
      <c r="E123" s="59" t="s">
        <v>122</v>
      </c>
    </row>
    <row r="124" ht="21.75" customHeight="1">
      <c r="A124" s="22" t="s">
        <v>123</v>
      </c>
      <c r="B124" s="56">
        <f>IFERROR(AVERAGE('2. Scoping &amp; PoC'!Z7:Z450),0)</f>
        <v>0.34</v>
      </c>
      <c r="C124" s="57">
        <v>21.0</v>
      </c>
      <c r="D124" s="58" t="str">
        <f t="shared" si="7"/>
        <v>✓ On Track</v>
      </c>
      <c r="E124" s="59" t="s">
        <v>124</v>
      </c>
    </row>
    <row r="125" ht="15.0" customHeight="1">
      <c r="A125" s="22" t="s">
        <v>125</v>
      </c>
      <c r="B125" s="56">
        <f>IFERROR(AVERAGE(IF(('2. Scoping &amp; PoC'!N7:N450&lt;&gt;""),('2. Scoping &amp; PoC'!N7:N450-'2. Scoping &amp; PoC'!M7:M450))),0)</f>
        <v>0</v>
      </c>
      <c r="C125" s="57">
        <v>14.0</v>
      </c>
      <c r="D125" s="58" t="str">
        <f t="shared" si="7"/>
        <v>✓ On Track</v>
      </c>
      <c r="E125" s="59" t="s">
        <v>126</v>
      </c>
    </row>
    <row r="126" ht="32.25" customHeight="1">
      <c r="A126" s="22" t="s">
        <v>127</v>
      </c>
      <c r="B126" s="56">
        <f>IFERROR(AVERAGE(IF(('2. Scoping &amp; PoC'!AH7:AH450&lt;&gt;""),('2. Scoping &amp; PoC'!AH7:AH450-'2. Scoping &amp; PoC'!E7:E450))),0)</f>
        <v>0</v>
      </c>
      <c r="C126" s="57">
        <v>45.0</v>
      </c>
      <c r="D126" s="58" t="str">
        <f t="shared" si="7"/>
        <v>✓ On Track</v>
      </c>
      <c r="E126" s="59" t="s">
        <v>128</v>
      </c>
    </row>
    <row r="127" ht="14.25" customHeight="1"/>
    <row r="128" ht="14.25" customHeight="1"/>
    <row r="129" ht="31.5" customHeight="1">
      <c r="A129" s="20" t="s">
        <v>129</v>
      </c>
      <c r="B129" s="2"/>
      <c r="C129" s="2"/>
      <c r="D129" s="2"/>
      <c r="E129" s="2"/>
      <c r="F129" s="2"/>
      <c r="G129" s="2"/>
      <c r="H129" s="2"/>
      <c r="I129" s="2"/>
      <c r="J129" s="2"/>
      <c r="K129" s="2"/>
      <c r="L129" s="2"/>
      <c r="M129" s="2"/>
      <c r="N129" s="2"/>
      <c r="O129" s="2"/>
      <c r="P129" s="2"/>
      <c r="Q129" s="2"/>
      <c r="R129" s="2"/>
      <c r="S129" s="2"/>
      <c r="T129" s="3"/>
    </row>
    <row r="130" ht="27.75" customHeight="1">
      <c r="A130" s="21" t="s">
        <v>130</v>
      </c>
      <c r="B130" s="21" t="s">
        <v>131</v>
      </c>
      <c r="C130" s="21" t="s">
        <v>132</v>
      </c>
      <c r="D130" s="21" t="s">
        <v>133</v>
      </c>
      <c r="E130" s="21" t="s">
        <v>134</v>
      </c>
      <c r="F130" s="21" t="s">
        <v>135</v>
      </c>
      <c r="G130" s="21" t="s">
        <v>136</v>
      </c>
      <c r="H130" s="21" t="s">
        <v>137</v>
      </c>
      <c r="I130" s="21" t="s">
        <v>138</v>
      </c>
      <c r="J130" s="21" t="s">
        <v>139</v>
      </c>
    </row>
    <row r="131" ht="15.0" customHeight="1">
      <c r="A131" s="60">
        <v>1.0</v>
      </c>
      <c r="B131" s="58" t="str">
        <f t="array" ref="B131">IFERROR(INDEX('2. Scoping &amp; PoC'!B6:B1996,MATCH(LARGE('2. Scoping &amp; PoC'!AA6:AA1996,1),'2. Scoping &amp; PoC'!AA6:AA1996,0)),"")</f>
        <v>Saturn Labs</v>
      </c>
      <c r="C131" s="58" t="str">
        <f t="array" ref="C131">IFERROR(INDEX('2. Scoping &amp; PoC'!G6:G1996,MATCH(LARGE('2. Scoping &amp; PoC'!AA6:AA1996,1),'2. Scoping &amp; PoC'!AA6:AA1996,0)),"")</f>
        <v>Medical AI Annotation</v>
      </c>
      <c r="D131" s="58" t="str">
        <f t="array" ref="D131">IFERROR(INDEX('2. Scoping &amp; PoC'!D6:D1996,MATCH(LARGE('2. Scoping &amp; PoC'!AA6:AA1996,1),'2. Scoping &amp; PoC'!AA6:AA1996,0)),"")</f>
        <v>Akhil</v>
      </c>
      <c r="E131" s="58" t="str">
        <f t="array" ref="E131">IFERROR(INDEX('2. Scoping &amp; PoC'!Y6:Y1996,MATCH(LARGE('2. Scoping &amp; PoC'!AA6:AA1996,1),'2. Scoping &amp; PoC'!AA6:AA1996,0)),"")</f>
        <v>PoC</v>
      </c>
      <c r="F131" s="61">
        <f>IFERROR(LARGE('2. Scoping &amp; PoC'!S6:S1996,1),"")</f>
        <v>2058801.8</v>
      </c>
      <c r="G131" s="36">
        <f t="array" ref="G131">IFERROR(INDEX('2. Scoping &amp; PoC'!Z6:Z1996,MATCH(LARGE('2. Scoping &amp; PoC'!AA6:AA1996,1),'2. Scoping &amp; PoC'!AA6:AA1996,0)),"")</f>
        <v>0.3</v>
      </c>
      <c r="H131" s="61">
        <f>IFERROR(LARGE('2. Scoping &amp; PoC'!AA6:AA1996,1),"")</f>
        <v>24000</v>
      </c>
      <c r="I131" s="62">
        <f t="array" ref="I131">IFERROR(INDEX('2. Scoping &amp; PoC'!E6:E1996,MATCH(LARGE('2. Scoping &amp; PoC'!AA6:AA1996,1),'2. Scoping &amp; PoC'!AA6:AA1996,0)),"")</f>
        <v>46054</v>
      </c>
      <c r="J131" s="58" t="str">
        <f t="array" ref="J131">IFERROR(INDEX('2. Scoping &amp; PoC'!AB6:AB1996,MATCH(LARGE('2. Scoping &amp; PoC'!AA6:AA1996,1),'2. Scoping &amp; PoC'!AA6:AA1996,0)),"")</f>
        <v>One-off Project</v>
      </c>
    </row>
    <row r="132" ht="15.0" customHeight="1">
      <c r="A132" s="63">
        <v>2.0</v>
      </c>
      <c r="B132" s="64" t="str">
        <f t="array" ref="B132">IFERROR(INDEX('2. Scoping &amp; PoC'!B6:B1996,MATCH(LARGE('2. Scoping &amp; PoC'!AA6:AA1996,2),'2. Scoping &amp; PoC'!AA6:AA1996,0)),"")</f>
        <v/>
      </c>
      <c r="C132" s="64" t="str">
        <f t="array" ref="C132">IFERROR(INDEX('2. Scoping &amp; PoC'!G6:G1996,MATCH(LARGE('2. Scoping &amp; PoC'!AA6:AA1996,2),'2. Scoping &amp; PoC'!AA6:AA1996,0)),"")</f>
        <v/>
      </c>
      <c r="D132" s="64" t="str">
        <f t="array" ref="D132">IFERROR(INDEX('2. Scoping &amp; PoC'!D6:D1996,MATCH(LARGE('2. Scoping &amp; PoC'!AA6:AA1996,2),'2. Scoping &amp; PoC'!AA6:AA1996,0)),"")</f>
        <v/>
      </c>
      <c r="E132" s="64" t="str">
        <f t="array" ref="E132">IFERROR(INDEX('2. Scoping &amp; PoC'!Y6:Y1996,MATCH(LARGE('2. Scoping &amp; PoC'!AA6:AA1996,2),'2. Scoping &amp; PoC'!AA6:AA1996,0)),"")</f>
        <v/>
      </c>
      <c r="F132" s="65">
        <f>IFERROR(LARGE('2. Scoping &amp; PoC'!S6:S1996,2),"")</f>
        <v>345600</v>
      </c>
      <c r="G132" s="41" t="str">
        <f t="array" ref="G132">IFERROR(INDEX('2. Scoping &amp; PoC'!Z6:Z1996,MATCH(LARGE('2. Scoping &amp; PoC'!AA6:AA1996,2),'2. Scoping &amp; PoC'!AA6:AA1996,0)),"")</f>
        <v/>
      </c>
      <c r="H132" s="65" t="str">
        <f>IFERROR(LARGE('2. Scoping &amp; PoC'!AA6:AA1996,2),"")</f>
        <v/>
      </c>
      <c r="I132" s="66" t="str">
        <f t="array" ref="I132">IFERROR(INDEX('2. Scoping &amp; PoC'!E6:E1996,MATCH(LARGE('2. Scoping &amp; PoC'!AA6:AA1996,2),'2. Scoping &amp; PoC'!AA6:AA1996,0)),"")</f>
        <v/>
      </c>
      <c r="J132" s="64" t="str">
        <f t="array" ref="J132">IFERROR(INDEX('2. Scoping &amp; PoC'!AB6:AB1996,MATCH(LARGE('2. Scoping &amp; PoC'!AA6:AA1996,2),'2. Scoping &amp; PoC'!AA6:AA1996,0)),"")</f>
        <v/>
      </c>
    </row>
    <row r="133" ht="15.0" customHeight="1">
      <c r="A133" s="60">
        <v>3.0</v>
      </c>
      <c r="B133" s="58" t="str">
        <f t="array" ref="B133">IFERROR(INDEX('2. Scoping &amp; PoC'!B6:B1996,MATCH(LARGE('2. Scoping &amp; PoC'!AA6:AA1996,3),'2. Scoping &amp; PoC'!AA6:AA1996,0)),"")</f>
        <v/>
      </c>
      <c r="C133" s="58" t="str">
        <f t="array" ref="C133">IFERROR(INDEX('2. Scoping &amp; PoC'!G6:G1996,MATCH(LARGE('2. Scoping &amp; PoC'!AA6:AA1996,3),'2. Scoping &amp; PoC'!AA6:AA1996,0)),"")</f>
        <v/>
      </c>
      <c r="D133" s="58" t="str">
        <f t="array" ref="D133">IFERROR(INDEX('2. Scoping &amp; PoC'!D6:D1996,MATCH(LARGE('2. Scoping &amp; PoC'!AA6:AA1996,3),'2. Scoping &amp; PoC'!AA6:AA1996,0)),"")</f>
        <v/>
      </c>
      <c r="E133" s="58" t="str">
        <f t="array" ref="E133">IFERROR(INDEX('2. Scoping &amp; PoC'!Y6:Y1996,MATCH(LARGE('2. Scoping &amp; PoC'!AA6:AA1996,3),'2. Scoping &amp; PoC'!AA6:AA1996,0)),"")</f>
        <v/>
      </c>
      <c r="F133" s="61">
        <f>IFERROR(LARGE('2. Scoping &amp; PoC'!S6:S1996,3),"")</f>
        <v>254271.6</v>
      </c>
      <c r="G133" s="36" t="str">
        <f t="array" ref="G133">IFERROR(INDEX('2. Scoping &amp; PoC'!Z6:Z1996,MATCH(LARGE('2. Scoping &amp; PoC'!AA6:AA1996,3),'2. Scoping &amp; PoC'!AA6:AA1996,0)),"")</f>
        <v/>
      </c>
      <c r="H133" s="61" t="str">
        <f>IFERROR(LARGE('2. Scoping &amp; PoC'!AA6:AA1996,3),"")</f>
        <v/>
      </c>
      <c r="I133" s="62" t="str">
        <f t="array" ref="I133">IFERROR(INDEX('2. Scoping &amp; PoC'!E6:E1996,MATCH(LARGE('2. Scoping &amp; PoC'!AA6:AA1996,3),'2. Scoping &amp; PoC'!AA6:AA1996,0)),"")</f>
        <v/>
      </c>
      <c r="J133" s="58" t="str">
        <f t="array" ref="J133">IFERROR(INDEX('2. Scoping &amp; PoC'!AB6:AB1996,MATCH(LARGE('2. Scoping &amp; PoC'!AA6:AA1996,3),'2. Scoping &amp; PoC'!AA6:AA1996,0)),"")</f>
        <v/>
      </c>
    </row>
    <row r="134" ht="15.0" customHeight="1">
      <c r="A134" s="63">
        <v>4.0</v>
      </c>
      <c r="B134" s="64" t="str">
        <f t="array" ref="B134">IFERROR(INDEX('2. Scoping &amp; PoC'!B6:B1996,MATCH(LARGE('2. Scoping &amp; PoC'!AA6:AA1996,4),'2. Scoping &amp; PoC'!AA6:AA1996,0)),"")</f>
        <v/>
      </c>
      <c r="C134" s="64" t="str">
        <f t="array" ref="C134">IFERROR(INDEX('2. Scoping &amp; PoC'!G6:G1996,MATCH(LARGE('2. Scoping &amp; PoC'!AA6:AA1996,4),'2. Scoping &amp; PoC'!AA6:AA1996,0)),"")</f>
        <v/>
      </c>
      <c r="D134" s="64" t="str">
        <f t="array" ref="D134">IFERROR(INDEX('2. Scoping &amp; PoC'!D6:D1996,MATCH(LARGE('2. Scoping &amp; PoC'!AA6:AA1996,4),'2. Scoping &amp; PoC'!AA6:AA1996,0)),"")</f>
        <v/>
      </c>
      <c r="E134" s="64" t="str">
        <f t="array" ref="E134">IFERROR(INDEX('2. Scoping &amp; PoC'!Y6:Y1996,MATCH(LARGE('2. Scoping &amp; PoC'!AA6:AA1996,4),'2. Scoping &amp; PoC'!AA6:AA1996,0)),"")</f>
        <v/>
      </c>
      <c r="F134" s="65">
        <f>IFERROR(LARGE('2. Scoping &amp; PoC'!S6:S1996,4),"")</f>
        <v>180576</v>
      </c>
      <c r="G134" s="41" t="str">
        <f t="array" ref="G134">IFERROR(INDEX('2. Scoping &amp; PoC'!Z6:Z1996,MATCH(LARGE('2. Scoping &amp; PoC'!AA6:AA1996,4),'2. Scoping &amp; PoC'!AA6:AA1996,0)),"")</f>
        <v/>
      </c>
      <c r="H134" s="65" t="str">
        <f>IFERROR(LARGE('2. Scoping &amp; PoC'!AA6:AA1996,4),"")</f>
        <v/>
      </c>
      <c r="I134" s="66" t="str">
        <f t="array" ref="I134">IFERROR(INDEX('2. Scoping &amp; PoC'!E6:E1996,MATCH(LARGE('2. Scoping &amp; PoC'!AA6:AA1996,4),'2. Scoping &amp; PoC'!AA6:AA1996,0)),"")</f>
        <v/>
      </c>
      <c r="J134" s="64" t="str">
        <f t="array" ref="J134">IFERROR(INDEX('2. Scoping &amp; PoC'!AB6:AB1996,MATCH(LARGE('2. Scoping &amp; PoC'!AA6:AA1996,4),'2. Scoping &amp; PoC'!AA6:AA1996,0)),"")</f>
        <v/>
      </c>
    </row>
    <row r="135" ht="15.0" customHeight="1">
      <c r="A135" s="60">
        <v>5.0</v>
      </c>
      <c r="B135" s="58" t="str">
        <f t="array" ref="B135">IFERROR(INDEX('2. Scoping &amp; PoC'!B6:B1996,MATCH(LARGE('2. Scoping &amp; PoC'!AA6:AA1996,5),'2. Scoping &amp; PoC'!AA6:AA1996,0)),"")</f>
        <v/>
      </c>
      <c r="C135" s="58" t="str">
        <f t="array" ref="C135">IFERROR(INDEX('2. Scoping &amp; PoC'!G6:G1996,MATCH(LARGE('2. Scoping &amp; PoC'!AA6:AA1996,5),'2. Scoping &amp; PoC'!AA6:AA1996,0)),"")</f>
        <v/>
      </c>
      <c r="D135" s="58" t="str">
        <f t="array" ref="D135">IFERROR(INDEX('2. Scoping &amp; PoC'!D6:D1996,MATCH(LARGE('2. Scoping &amp; PoC'!AA6:AA1996,5),'2. Scoping &amp; PoC'!AA6:AA1996,0)),"")</f>
        <v/>
      </c>
      <c r="E135" s="58" t="str">
        <f t="array" ref="E135">IFERROR(INDEX('2. Scoping &amp; PoC'!Y6:Y1996,MATCH(LARGE('2. Scoping &amp; PoC'!AA6:AA1996,5),'2. Scoping &amp; PoC'!AA6:AA1996,0)),"")</f>
        <v/>
      </c>
      <c r="F135" s="61">
        <f>IFERROR(LARGE('2. Scoping &amp; PoC'!S6:S1996,5),"")</f>
        <v>120000</v>
      </c>
      <c r="G135" s="36" t="str">
        <f t="array" ref="G135">IFERROR(INDEX('2. Scoping &amp; PoC'!Z6:Z1996,MATCH(LARGE('2. Scoping &amp; PoC'!AA6:AA1996,5),'2. Scoping &amp; PoC'!AA6:AA1996,0)),"")</f>
        <v/>
      </c>
      <c r="H135" s="61" t="str">
        <f>IFERROR(LARGE('2. Scoping &amp; PoC'!AA6:AA1996,5),"")</f>
        <v/>
      </c>
      <c r="I135" s="62" t="str">
        <f t="array" ref="I135">IFERROR(INDEX('2. Scoping &amp; PoC'!E6:E1996,MATCH(LARGE('2. Scoping &amp; PoC'!AA6:AA1996,5),'2. Scoping &amp; PoC'!AA6:AA1996,0)),"")</f>
        <v/>
      </c>
      <c r="J135" s="58" t="str">
        <f t="array" ref="J135">IFERROR(INDEX('2. Scoping &amp; PoC'!AB6:AB1996,MATCH(LARGE('2. Scoping &amp; PoC'!AA6:AA1996,5),'2. Scoping &amp; PoC'!AA6:AA1996,0)),"")</f>
        <v/>
      </c>
    </row>
    <row r="136" ht="15.0" customHeight="1">
      <c r="A136" s="63">
        <v>6.0</v>
      </c>
      <c r="B136" s="64" t="str">
        <f t="array" ref="B136">IFERROR(INDEX('2. Scoping &amp; PoC'!B6:B1996,MATCH(LARGE('2. Scoping &amp; PoC'!AA6:AA1996,6),'2. Scoping &amp; PoC'!AA6:AA1996,0)),"")</f>
        <v/>
      </c>
      <c r="C136" s="64" t="str">
        <f t="array" ref="C136">IFERROR(INDEX('2. Scoping &amp; PoC'!G6:G1996,MATCH(LARGE('2. Scoping &amp; PoC'!AA6:AA1996,6),'2. Scoping &amp; PoC'!AA6:AA1996,0)),"")</f>
        <v/>
      </c>
      <c r="D136" s="64" t="str">
        <f t="array" ref="D136">IFERROR(INDEX('2. Scoping &amp; PoC'!D6:D1996,MATCH(LARGE('2. Scoping &amp; PoC'!AA6:AA1996,6),'2. Scoping &amp; PoC'!AA6:AA1996,0)),"")</f>
        <v/>
      </c>
      <c r="E136" s="64" t="str">
        <f t="array" ref="E136">IFERROR(INDEX('2. Scoping &amp; PoC'!Y6:Y1996,MATCH(LARGE('2. Scoping &amp; PoC'!AA6:AA1996,6),'2. Scoping &amp; PoC'!AA6:AA1996,0)),"")</f>
        <v/>
      </c>
      <c r="F136" s="65">
        <f>IFERROR(LARGE('2. Scoping &amp; PoC'!S6:S1996,6),"")</f>
        <v>94000</v>
      </c>
      <c r="G136" s="41" t="str">
        <f t="array" ref="G136">IFERROR(INDEX('2. Scoping &amp; PoC'!Z6:Z1996,MATCH(LARGE('2. Scoping &amp; PoC'!AA6:AA1996,6),'2. Scoping &amp; PoC'!AA6:AA1996,0)),"")</f>
        <v/>
      </c>
      <c r="H136" s="65" t="str">
        <f>IFERROR(LARGE('2. Scoping &amp; PoC'!AA6:AA1996,6),"")</f>
        <v/>
      </c>
      <c r="I136" s="66" t="str">
        <f t="array" ref="I136">IFERROR(INDEX('2. Scoping &amp; PoC'!E6:E1996,MATCH(LARGE('2. Scoping &amp; PoC'!AA6:AA1996,6),'2. Scoping &amp; PoC'!AA6:AA1996,0)),"")</f>
        <v/>
      </c>
      <c r="J136" s="64" t="str">
        <f t="array" ref="J136">IFERROR(INDEX('2. Scoping &amp; PoC'!AB6:AB1996,MATCH(LARGE('2. Scoping &amp; PoC'!AA6:AA1996,6),'2. Scoping &amp; PoC'!AA6:AA1996,0)),"")</f>
        <v/>
      </c>
    </row>
    <row r="137" ht="15.0" customHeight="1">
      <c r="A137" s="60">
        <v>7.0</v>
      </c>
      <c r="B137" s="58" t="str">
        <f t="array" ref="B137">IFERROR(INDEX('2. Scoping &amp; PoC'!B6:B1996,MATCH(LARGE('2. Scoping &amp; PoC'!AA6:AA1996,7),'2. Scoping &amp; PoC'!AA6:AA1996,0)),"")</f>
        <v/>
      </c>
      <c r="C137" s="58" t="str">
        <f t="array" ref="C137">IFERROR(INDEX('2. Scoping &amp; PoC'!G6:G1996,MATCH(LARGE('2. Scoping &amp; PoC'!AA6:AA1996,7),'2. Scoping &amp; PoC'!AA6:AA1996,0)),"")</f>
        <v/>
      </c>
      <c r="D137" s="58" t="str">
        <f t="array" ref="D137">IFERROR(INDEX('2. Scoping &amp; PoC'!D6:D1996,MATCH(LARGE('2. Scoping &amp; PoC'!AA6:AA1996,7),'2. Scoping &amp; PoC'!AA6:AA1996,0)),"")</f>
        <v/>
      </c>
      <c r="E137" s="58" t="str">
        <f t="array" ref="E137">IFERROR(INDEX('2. Scoping &amp; PoC'!Y6:Y1996,MATCH(LARGE('2. Scoping &amp; PoC'!AA6:AA1996,7),'2. Scoping &amp; PoC'!AA6:AA1996,0)),"")</f>
        <v/>
      </c>
      <c r="F137" s="61">
        <f>IFERROR(LARGE('2. Scoping &amp; PoC'!S6:S1996,7),"")</f>
        <v>80000</v>
      </c>
      <c r="G137" s="36" t="str">
        <f t="array" ref="G137">IFERROR(INDEX('2. Scoping &amp; PoC'!Z6:Z1996,MATCH(LARGE('2. Scoping &amp; PoC'!AA6:AA1996,7),'2. Scoping &amp; PoC'!AA6:AA1996,0)),"")</f>
        <v/>
      </c>
      <c r="H137" s="61" t="str">
        <f>IFERROR(LARGE('2. Scoping &amp; PoC'!AA6:AA1996,7),"")</f>
        <v/>
      </c>
      <c r="I137" s="62" t="str">
        <f t="array" ref="I137">IFERROR(INDEX('2. Scoping &amp; PoC'!E6:E1996,MATCH(LARGE('2. Scoping &amp; PoC'!AA6:AA1996,7),'2. Scoping &amp; PoC'!AA6:AA1996,0)),"")</f>
        <v/>
      </c>
      <c r="J137" s="58" t="str">
        <f t="array" ref="J137">IFERROR(INDEX('2. Scoping &amp; PoC'!AB6:AB1996,MATCH(LARGE('2. Scoping &amp; PoC'!AA6:AA1996,7),'2. Scoping &amp; PoC'!AA6:AA1996,0)),"")</f>
        <v/>
      </c>
    </row>
    <row r="138" ht="15.0" customHeight="1">
      <c r="A138" s="63">
        <v>8.0</v>
      </c>
      <c r="B138" s="64" t="str">
        <f t="array" ref="B138">IFERROR(INDEX('2. Scoping &amp; PoC'!B6:B1996,MATCH(LARGE('2. Scoping &amp; PoC'!AA6:AA1996,8),'2. Scoping &amp; PoC'!AA6:AA1996,0)),"")</f>
        <v/>
      </c>
      <c r="C138" s="64" t="str">
        <f t="array" ref="C138">IFERROR(INDEX('2. Scoping &amp; PoC'!G6:G1996,MATCH(LARGE('2. Scoping &amp; PoC'!AA6:AA1996,8),'2. Scoping &amp; PoC'!AA6:AA1996,0)),"")</f>
        <v/>
      </c>
      <c r="D138" s="64" t="str">
        <f t="array" ref="D138">IFERROR(INDEX('2. Scoping &amp; PoC'!D6:D1996,MATCH(LARGE('2. Scoping &amp; PoC'!AA6:AA1996,8),'2. Scoping &amp; PoC'!AA6:AA1996,0)),"")</f>
        <v/>
      </c>
      <c r="E138" s="64" t="str">
        <f t="array" ref="E138">IFERROR(INDEX('2. Scoping &amp; PoC'!Y6:Y1996,MATCH(LARGE('2. Scoping &amp; PoC'!AA6:AA1996,8),'2. Scoping &amp; PoC'!AA6:AA1996,0)),"")</f>
        <v/>
      </c>
      <c r="F138" s="65">
        <f>IFERROR(LARGE('2. Scoping &amp; PoC'!S6:S1996,8),"")</f>
        <v>80000</v>
      </c>
      <c r="G138" s="41" t="str">
        <f t="array" ref="G138">IFERROR(INDEX('2. Scoping &amp; PoC'!Z6:Z1996,MATCH(LARGE('2. Scoping &amp; PoC'!AA6:AA1996,8),'2. Scoping &amp; PoC'!AA6:AA1996,0)),"")</f>
        <v/>
      </c>
      <c r="H138" s="65" t="str">
        <f>IFERROR(LARGE('2. Scoping &amp; PoC'!AA6:AA1996,8),"")</f>
        <v/>
      </c>
      <c r="I138" s="66" t="str">
        <f t="array" ref="I138">IFERROR(INDEX('2. Scoping &amp; PoC'!E6:E1996,MATCH(LARGE('2. Scoping &amp; PoC'!AA6:AA1996,8),'2. Scoping &amp; PoC'!AA6:AA1996,0)),"")</f>
        <v/>
      </c>
      <c r="J138" s="64" t="str">
        <f t="array" ref="J138">IFERROR(INDEX('2. Scoping &amp; PoC'!AB6:AB1996,MATCH(LARGE('2. Scoping &amp; PoC'!AA6:AA1996,8),'2. Scoping &amp; PoC'!AA6:AA1996,0)),"")</f>
        <v/>
      </c>
    </row>
    <row r="139" ht="15.0" customHeight="1">
      <c r="A139" s="60">
        <v>9.0</v>
      </c>
      <c r="B139" s="58" t="str">
        <f t="array" ref="B139">IFERROR(INDEX('2. Scoping &amp; PoC'!B6:B1996,MATCH(LARGE('2. Scoping &amp; PoC'!AA6:AA1996,9),'2. Scoping &amp; PoC'!AA6:AA1996,0)),"")</f>
        <v/>
      </c>
      <c r="C139" s="58" t="str">
        <f t="array" ref="C139">IFERROR(INDEX('2. Scoping &amp; PoC'!G6:G1996,MATCH(LARGE('2. Scoping &amp; PoC'!AA6:AA1996,9),'2. Scoping &amp; PoC'!AA6:AA1996,0)),"")</f>
        <v/>
      </c>
      <c r="D139" s="58" t="str">
        <f t="array" ref="D139">IFERROR(INDEX('2. Scoping &amp; PoC'!D6:D1996,MATCH(LARGE('2. Scoping &amp; PoC'!AA6:AA1996,9),'2. Scoping &amp; PoC'!AA6:AA1996,0)),"")</f>
        <v/>
      </c>
      <c r="E139" s="58" t="str">
        <f t="array" ref="E139">IFERROR(INDEX('2. Scoping &amp; PoC'!Y6:Y1996,MATCH(LARGE('2. Scoping &amp; PoC'!AA6:AA1996,9),'2. Scoping &amp; PoC'!AA6:AA1996,0)),"")</f>
        <v/>
      </c>
      <c r="F139" s="61">
        <f>IFERROR(LARGE('2. Scoping &amp; PoC'!S6:S1996,9),"")</f>
        <v>50400</v>
      </c>
      <c r="G139" s="36" t="str">
        <f t="array" ref="G139">IFERROR(INDEX('2. Scoping &amp; PoC'!Z6:Z1996,MATCH(LARGE('2. Scoping &amp; PoC'!AA6:AA1996,9),'2. Scoping &amp; PoC'!AA6:AA1996,0)),"")</f>
        <v/>
      </c>
      <c r="H139" s="61" t="str">
        <f>IFERROR(LARGE('2. Scoping &amp; PoC'!AA6:AA1996,9),"")</f>
        <v/>
      </c>
      <c r="I139" s="62" t="str">
        <f t="array" ref="I139">IFERROR(INDEX('2. Scoping &amp; PoC'!E6:E1996,MATCH(LARGE('2. Scoping &amp; PoC'!AA6:AA1996,9),'2. Scoping &amp; PoC'!AA6:AA1996,0)),"")</f>
        <v/>
      </c>
      <c r="J139" s="58" t="str">
        <f t="array" ref="J139">IFERROR(INDEX('2. Scoping &amp; PoC'!AB6:AB1996,MATCH(LARGE('2. Scoping &amp; PoC'!AA6:AA1996,9),'2. Scoping &amp; PoC'!AA6:AA1996,0)),"")</f>
        <v/>
      </c>
    </row>
    <row r="140" ht="15.0" customHeight="1">
      <c r="A140" s="63">
        <v>10.0</v>
      </c>
      <c r="B140" s="64" t="str">
        <f t="array" ref="B140">IFERROR(INDEX('2. Scoping &amp; PoC'!B6:B1996,MATCH(LARGE('2. Scoping &amp; PoC'!AA6:AA1996,10),'2. Scoping &amp; PoC'!AA6:AA1996,0)),"")</f>
        <v/>
      </c>
      <c r="C140" s="64" t="str">
        <f t="array" ref="C140">IFERROR(INDEX('2. Scoping &amp; PoC'!G6:G1996,MATCH(LARGE('2. Scoping &amp; PoC'!AA6:AA1996,10),'2. Scoping &amp; PoC'!AA6:AA1996,0)),"")</f>
        <v/>
      </c>
      <c r="D140" s="64" t="str">
        <f t="array" ref="D140">IFERROR(INDEX('2. Scoping &amp; PoC'!D6:D1996,MATCH(LARGE('2. Scoping &amp; PoC'!AA6:AA1996,10),'2. Scoping &amp; PoC'!AA6:AA1996,0)),"")</f>
        <v/>
      </c>
      <c r="E140" s="64" t="str">
        <f t="array" ref="E140">IFERROR(INDEX('2. Scoping &amp; PoC'!Y6:Y1996,MATCH(LARGE('2. Scoping &amp; PoC'!AA6:AA1996,10),'2. Scoping &amp; PoC'!AA6:AA1996,0)),"")</f>
        <v/>
      </c>
      <c r="F140" s="65">
        <f>IFERROR(LARGE('2. Scoping &amp; PoC'!S6:S1996,10),"")</f>
        <v>45000</v>
      </c>
      <c r="G140" s="41" t="str">
        <f t="array" ref="G140">IFERROR(INDEX('2. Scoping &amp; PoC'!Z6:Z1996,MATCH(LARGE('2. Scoping &amp; PoC'!AA6:AA1996,10),'2. Scoping &amp; PoC'!AA6:AA1996,0)),"")</f>
        <v/>
      </c>
      <c r="H140" s="65" t="str">
        <f>IFERROR(LARGE('2. Scoping &amp; PoC'!AA6:AA1996,10),"")</f>
        <v/>
      </c>
      <c r="I140" s="66" t="str">
        <f t="array" ref="I140">IFERROR(INDEX('2. Scoping &amp; PoC'!E6:E1996,MATCH(LARGE('2. Scoping &amp; PoC'!AA6:AA1996,10),'2. Scoping &amp; PoC'!AA6:AA1996,0)),"")</f>
        <v/>
      </c>
      <c r="J140" s="64" t="str">
        <f t="array" ref="J140">IFERROR(INDEX('2. Scoping &amp; PoC'!AB6:AB1996,MATCH(LARGE('2. Scoping &amp; PoC'!AA6:AA1996,10),'2. Scoping &amp; PoC'!AA6:AA1996,0)),"")</f>
        <v/>
      </c>
    </row>
    <row r="141" ht="15.0" customHeight="1">
      <c r="A141" s="60">
        <v>11.0</v>
      </c>
      <c r="B141" s="58" t="str">
        <f t="array" ref="B141">IFERROR(INDEX('2. Scoping &amp; PoC'!B6:B1996,MATCH(LARGE('2. Scoping &amp; PoC'!AA6:AA1996,11),'2. Scoping &amp; PoC'!AA6:AA1996,0)),"")</f>
        <v/>
      </c>
      <c r="C141" s="58" t="str">
        <f t="array" ref="C141">IFERROR(INDEX('2. Scoping &amp; PoC'!G6:G1996,MATCH(LARGE('2. Scoping &amp; PoC'!AA6:AA1996,11),'2. Scoping &amp; PoC'!AA6:AA1996,0)),"")</f>
        <v/>
      </c>
      <c r="D141" s="58" t="str">
        <f t="array" ref="D141">IFERROR(INDEX('2. Scoping &amp; PoC'!D6:D1996,MATCH(LARGE('2. Scoping &amp; PoC'!AA6:AA1996,11),'2. Scoping &amp; PoC'!AA6:AA1996,0)),"")</f>
        <v/>
      </c>
      <c r="E141" s="58" t="str">
        <f t="array" ref="E141">IFERROR(INDEX('2. Scoping &amp; PoC'!Y6:Y1996,MATCH(LARGE('2. Scoping &amp; PoC'!AA6:AA1996,11),'2. Scoping &amp; PoC'!AA6:AA1996,0)),"")</f>
        <v/>
      </c>
      <c r="F141" s="61">
        <f>IFERROR(LARGE('2. Scoping &amp; PoC'!S6:S1996,11),"")</f>
        <v>43498.8</v>
      </c>
      <c r="G141" s="36" t="str">
        <f t="array" ref="G141">IFERROR(INDEX('2. Scoping &amp; PoC'!Z6:Z1996,MATCH(LARGE('2. Scoping &amp; PoC'!AA6:AA1996,11),'2. Scoping &amp; PoC'!AA6:AA1996,0)),"")</f>
        <v/>
      </c>
      <c r="H141" s="61" t="str">
        <f>IFERROR(LARGE('2. Scoping &amp; PoC'!AA6:AA1996,11),"")</f>
        <v/>
      </c>
      <c r="I141" s="62" t="str">
        <f t="array" ref="I141">IFERROR(INDEX('2. Scoping &amp; PoC'!E6:E1996,MATCH(LARGE('2. Scoping &amp; PoC'!AA6:AA1996,11),'2. Scoping &amp; PoC'!AA6:AA1996,0)),"")</f>
        <v/>
      </c>
      <c r="J141" s="58" t="str">
        <f t="array" ref="J141">IFERROR(INDEX('2. Scoping &amp; PoC'!AB6:AB1996,MATCH(LARGE('2. Scoping &amp; PoC'!AA6:AA1996,11),'2. Scoping &amp; PoC'!AA6:AA1996,0)),"")</f>
        <v/>
      </c>
    </row>
    <row r="142" ht="15.0" customHeight="1">
      <c r="A142" s="63">
        <v>12.0</v>
      </c>
      <c r="B142" s="64" t="str">
        <f t="array" ref="B142">IFERROR(INDEX('2. Scoping &amp; PoC'!B6:B1996,MATCH(LARGE('2. Scoping &amp; PoC'!AA6:AA1996,12),'2. Scoping &amp; PoC'!AA6:AA1996,0)),"")</f>
        <v/>
      </c>
      <c r="C142" s="64" t="str">
        <f t="array" ref="C142">IFERROR(INDEX('2. Scoping &amp; PoC'!G6:G1996,MATCH(LARGE('2. Scoping &amp; PoC'!AA6:AA1996,12),'2. Scoping &amp; PoC'!AA6:AA1996,0)),"")</f>
        <v/>
      </c>
      <c r="D142" s="64" t="str">
        <f t="array" ref="D142">IFERROR(INDEX('2. Scoping &amp; PoC'!D6:D1996,MATCH(LARGE('2. Scoping &amp; PoC'!AA6:AA1996,12),'2. Scoping &amp; PoC'!AA6:AA1996,0)),"")</f>
        <v/>
      </c>
      <c r="E142" s="64" t="str">
        <f t="array" ref="E142">IFERROR(INDEX('2. Scoping &amp; PoC'!Y6:Y1996,MATCH(LARGE('2. Scoping &amp; PoC'!AA6:AA1996,12),'2. Scoping &amp; PoC'!AA6:AA1996,0)),"")</f>
        <v/>
      </c>
      <c r="F142" s="65">
        <f>IFERROR(LARGE('2. Scoping &amp; PoC'!S6:S1996,12),"")</f>
        <v>42788</v>
      </c>
      <c r="G142" s="41" t="str">
        <f t="array" ref="G142">IFERROR(INDEX('2. Scoping &amp; PoC'!Z6:Z1996,MATCH(LARGE('2. Scoping &amp; PoC'!AA6:AA1996,12),'2. Scoping &amp; PoC'!AA6:AA1996,0)),"")</f>
        <v/>
      </c>
      <c r="H142" s="65" t="str">
        <f>IFERROR(LARGE('2. Scoping &amp; PoC'!AA6:AA1996,12),"")</f>
        <v/>
      </c>
      <c r="I142" s="66" t="str">
        <f t="array" ref="I142">IFERROR(INDEX('2. Scoping &amp; PoC'!E6:E1996,MATCH(LARGE('2. Scoping &amp; PoC'!AA6:AA1996,12),'2. Scoping &amp; PoC'!AA6:AA1996,0)),"")</f>
        <v/>
      </c>
      <c r="J142" s="64" t="str">
        <f t="array" ref="J142">IFERROR(INDEX('2. Scoping &amp; PoC'!AB6:AB1996,MATCH(LARGE('2. Scoping &amp; PoC'!AA6:AA1996,12),'2. Scoping &amp; PoC'!AA6:AA1996,0)),"")</f>
        <v/>
      </c>
    </row>
    <row r="143" ht="15.0" customHeight="1">
      <c r="A143" s="60">
        <v>13.0</v>
      </c>
      <c r="B143" s="58" t="str">
        <f t="array" ref="B143">IFERROR(INDEX('2. Scoping &amp; PoC'!B6:B1996,MATCH(LARGE('2. Scoping &amp; PoC'!AA6:AA1996,13),'2. Scoping &amp; PoC'!AA6:AA1996,0)),"")</f>
        <v/>
      </c>
      <c r="C143" s="58" t="str">
        <f t="array" ref="C143">IFERROR(INDEX('2. Scoping &amp; PoC'!G6:G1996,MATCH(LARGE('2. Scoping &amp; PoC'!AA6:AA1996,13),'2. Scoping &amp; PoC'!AA6:AA1996,0)),"")</f>
        <v/>
      </c>
      <c r="D143" s="58" t="str">
        <f t="array" ref="D143">IFERROR(INDEX('2. Scoping &amp; PoC'!D6:D1996,MATCH(LARGE('2. Scoping &amp; PoC'!AA6:AA1996,13),'2. Scoping &amp; PoC'!AA6:AA1996,0)),"")</f>
        <v/>
      </c>
      <c r="E143" s="58" t="str">
        <f t="array" ref="E143">IFERROR(INDEX('2. Scoping &amp; PoC'!Y6:Y1996,MATCH(LARGE('2. Scoping &amp; PoC'!AA6:AA1996,13),'2. Scoping &amp; PoC'!AA6:AA1996,0)),"")</f>
        <v/>
      </c>
      <c r="F143" s="61">
        <f>IFERROR(LARGE('2. Scoping &amp; PoC'!S6:S1996,13),"")</f>
        <v>37000</v>
      </c>
      <c r="G143" s="36" t="str">
        <f t="array" ref="G143">IFERROR(INDEX('2. Scoping &amp; PoC'!Z6:Z1996,MATCH(LARGE('2. Scoping &amp; PoC'!AA6:AA1996,13),'2. Scoping &amp; PoC'!AA6:AA1996,0)),"")</f>
        <v/>
      </c>
      <c r="H143" s="61" t="str">
        <f>IFERROR(LARGE('2. Scoping &amp; PoC'!AA6:AA1996,13),"")</f>
        <v/>
      </c>
      <c r="I143" s="62" t="str">
        <f t="array" ref="I143">IFERROR(INDEX('2. Scoping &amp; PoC'!E6:E1996,MATCH(LARGE('2. Scoping &amp; PoC'!AA6:AA1996,13),'2. Scoping &amp; PoC'!AA6:AA1996,0)),"")</f>
        <v/>
      </c>
      <c r="J143" s="58" t="str">
        <f t="array" ref="J143">IFERROR(INDEX('2. Scoping &amp; PoC'!AB6:AB1996,MATCH(LARGE('2. Scoping &amp; PoC'!AA6:AA1996,13),'2. Scoping &amp; PoC'!AA6:AA1996,0)),"")</f>
        <v/>
      </c>
    </row>
    <row r="144" ht="15.0" customHeight="1">
      <c r="A144" s="63">
        <v>14.0</v>
      </c>
      <c r="B144" s="64" t="str">
        <f t="array" ref="B144">IFERROR(INDEX('2. Scoping &amp; PoC'!B6:B1996,MATCH(LARGE('2. Scoping &amp; PoC'!AA6:AA1996,14),'2. Scoping &amp; PoC'!AA6:AA1996,0)),"")</f>
        <v/>
      </c>
      <c r="C144" s="64" t="str">
        <f t="array" ref="C144">IFERROR(INDEX('2. Scoping &amp; PoC'!G6:G1996,MATCH(LARGE('2. Scoping &amp; PoC'!AA6:AA1996,14),'2. Scoping &amp; PoC'!AA6:AA1996,0)),"")</f>
        <v/>
      </c>
      <c r="D144" s="64" t="str">
        <f t="array" ref="D144">IFERROR(INDEX('2. Scoping &amp; PoC'!D6:D1996,MATCH(LARGE('2. Scoping &amp; PoC'!AA6:AA1996,14),'2. Scoping &amp; PoC'!AA6:AA1996,0)),"")</f>
        <v/>
      </c>
      <c r="E144" s="64" t="str">
        <f t="array" ref="E144">IFERROR(INDEX('2. Scoping &amp; PoC'!Y6:Y1996,MATCH(LARGE('2. Scoping &amp; PoC'!AA6:AA1996,14),'2. Scoping &amp; PoC'!AA6:AA1996,0)),"")</f>
        <v/>
      </c>
      <c r="F144" s="65">
        <f>IFERROR(LARGE('2. Scoping &amp; PoC'!S6:S1996,14),"")</f>
        <v>35000</v>
      </c>
      <c r="G144" s="41" t="str">
        <f t="array" ref="G144">IFERROR(INDEX('2. Scoping &amp; PoC'!Z6:Z1996,MATCH(LARGE('2. Scoping &amp; PoC'!AA6:AA1996,14),'2. Scoping &amp; PoC'!AA6:AA1996,0)),"")</f>
        <v/>
      </c>
      <c r="H144" s="65" t="str">
        <f>IFERROR(LARGE('2. Scoping &amp; PoC'!AA6:AA1996,14),"")</f>
        <v/>
      </c>
      <c r="I144" s="66" t="str">
        <f t="array" ref="I144">IFERROR(INDEX('2. Scoping &amp; PoC'!E6:E1996,MATCH(LARGE('2. Scoping &amp; PoC'!AA6:AA1996,14),'2. Scoping &amp; PoC'!AA6:AA1996,0)),"")</f>
        <v/>
      </c>
      <c r="J144" s="64" t="str">
        <f t="array" ref="J144">IFERROR(INDEX('2. Scoping &amp; PoC'!AB6:AB1996,MATCH(LARGE('2. Scoping &amp; PoC'!AA6:AA1996,14),'2. Scoping &amp; PoC'!AA6:AA1996,0)),"")</f>
        <v/>
      </c>
    </row>
    <row r="145" ht="15.0" customHeight="1">
      <c r="A145" s="67">
        <v>15.0</v>
      </c>
      <c r="B145" s="68" t="str">
        <f t="array" ref="B145">IFERROR(INDEX('2. Scoping &amp; PoC'!B6:B1996,MATCH(LARGE('2. Scoping &amp; PoC'!AA6:AA1996,15),'2. Scoping &amp; PoC'!AA6:AA1996,0)),"")</f>
        <v/>
      </c>
      <c r="C145" s="68" t="str">
        <f t="array" ref="C145">IFERROR(INDEX('2. Scoping &amp; PoC'!G6:G1996,MATCH(LARGE('2. Scoping &amp; PoC'!AA6:AA1996,15),'2. Scoping &amp; PoC'!AA6:AA1996,0)),"")</f>
        <v/>
      </c>
      <c r="D145" s="68" t="str">
        <f t="array" ref="D145">IFERROR(INDEX('2. Scoping &amp; PoC'!D6:D1996,MATCH(LARGE('2. Scoping &amp; PoC'!AA6:AA1996,15),'2. Scoping &amp; PoC'!AA6:AA1996,0)),"")</f>
        <v/>
      </c>
      <c r="E145" s="68" t="str">
        <f t="array" ref="E145">IFERROR(INDEX('2. Scoping &amp; PoC'!Y6:Y1996,MATCH(LARGE('2. Scoping &amp; PoC'!AA6:AA1996,15),'2. Scoping &amp; PoC'!AA6:AA1996,0)),"")</f>
        <v/>
      </c>
      <c r="F145" s="69">
        <f>IFERROR(LARGE('2. Scoping &amp; PoC'!S6:S1996,15),"")</f>
        <v>32500</v>
      </c>
      <c r="G145" s="40" t="str">
        <f t="array" ref="G145">IFERROR(INDEX('2. Scoping &amp; PoC'!Z6:Z1996,MATCH(LARGE('2. Scoping &amp; PoC'!AA6:AA1996,15),'2. Scoping &amp; PoC'!AA6:AA1996,0)),"")</f>
        <v/>
      </c>
      <c r="H145" s="69" t="str">
        <f>IFERROR(LARGE('2. Scoping &amp; PoC'!AA6:AA1996,15),"")</f>
        <v/>
      </c>
      <c r="I145" s="70" t="str">
        <f t="array" ref="I145">IFERROR(INDEX('2. Scoping &amp; PoC'!E6:E1996,MATCH(LARGE('2. Scoping &amp; PoC'!AA6:AA1996,15),'2. Scoping &amp; PoC'!AA6:AA1996,0)),"")</f>
        <v/>
      </c>
      <c r="J145" s="68" t="str">
        <f t="array" ref="J145">IFERROR(INDEX('2. Scoping &amp; PoC'!AB6:AB1996,MATCH(LARGE('2. Scoping &amp; PoC'!AA6:AA1996,15),'2. Scoping &amp; PoC'!AA6:AA1996,0)),"")</f>
        <v/>
      </c>
    </row>
    <row r="146" ht="14.25" customHeight="1">
      <c r="A146" s="43"/>
      <c r="B146" s="43"/>
      <c r="C146" s="43"/>
      <c r="D146" s="43"/>
      <c r="E146" s="43"/>
      <c r="F146" s="43"/>
      <c r="G146" s="43"/>
      <c r="H146" s="43"/>
      <c r="I146" s="43"/>
      <c r="J146" s="43"/>
    </row>
    <row r="147" ht="14.25" customHeight="1"/>
    <row r="148" ht="31.5" customHeight="1">
      <c r="A148" s="20" t="s">
        <v>140</v>
      </c>
      <c r="B148" s="2"/>
      <c r="C148" s="2"/>
      <c r="D148" s="2"/>
      <c r="E148" s="2"/>
      <c r="F148" s="2"/>
      <c r="G148" s="2"/>
      <c r="H148" s="2"/>
      <c r="I148" s="2"/>
      <c r="J148" s="2"/>
      <c r="K148" s="2"/>
      <c r="L148" s="2"/>
      <c r="M148" s="2"/>
      <c r="N148" s="2"/>
      <c r="O148" s="2"/>
      <c r="P148" s="2"/>
      <c r="Q148" s="2"/>
      <c r="R148" s="2"/>
      <c r="S148" s="2"/>
      <c r="T148" s="3"/>
    </row>
    <row r="149" ht="27.75" customHeight="1">
      <c r="A149" s="21" t="s">
        <v>133</v>
      </c>
      <c r="B149" s="21" t="s">
        <v>141</v>
      </c>
      <c r="C149" s="21" t="s">
        <v>142</v>
      </c>
      <c r="D149" s="21" t="s">
        <v>143</v>
      </c>
      <c r="E149" s="21" t="s">
        <v>7</v>
      </c>
      <c r="F149" s="21" t="s">
        <v>144</v>
      </c>
      <c r="G149" s="21" t="s">
        <v>145</v>
      </c>
      <c r="H149" s="21" t="s">
        <v>11</v>
      </c>
      <c r="I149" s="21" t="s">
        <v>146</v>
      </c>
      <c r="J149" s="21" t="s">
        <v>147</v>
      </c>
    </row>
    <row r="150" ht="15.0" customHeight="1">
      <c r="A150" s="22" t="s">
        <v>148</v>
      </c>
      <c r="B150" s="23">
        <f>COUNTIF('1. Inbound Leads'!L8:L450,"Akhil")</f>
        <v>132</v>
      </c>
      <c r="C150" s="23">
        <f>COUNTIFS('1. Inbound Leads'!L8:L450,"Akhil",'1. Inbound Leads'!R8:R450,"&lt;&gt;")</f>
        <v>4</v>
      </c>
      <c r="D150" s="36">
        <f t="shared" ref="D150:D157" si="8">IFERROR(C150/B150,0)</f>
        <v>0.0303030303</v>
      </c>
      <c r="E150" s="23">
        <f>COUNTIFS('1. Inbound Leads'!L8:L450,"Akhil",'1. Inbound Leads'!AC8:AC450,"Move to Scoping")</f>
        <v>4</v>
      </c>
      <c r="F150" s="36">
        <f t="shared" ref="F150:F157" si="9">IFERROR(E150/B150,0)</f>
        <v>0.0303030303</v>
      </c>
      <c r="G150" s="23">
        <f>COUNTIFS('2. Scoping &amp; PoC'!D7:D183,"Akhil",'2. Scoping &amp; PoC'!M7:M183,"&lt;&gt;")</f>
        <v>0</v>
      </c>
      <c r="H150" s="23">
        <f>COUNTIFS('2. Scoping &amp; PoC'!D7:D183,"Akhil",'2. Scoping &amp; PoC'!Y7:Y183,"Won*")</f>
        <v>1</v>
      </c>
      <c r="I150" s="36">
        <f>IFERROR(H150/(H150+COUNTIFS('2. Scoping &amp; PoC'!D7:D183,"Akhil",'2. Scoping &amp; PoC'!Y7:Y183,"Lost")),0)</f>
        <v>0.3333333333</v>
      </c>
      <c r="J150" s="61">
        <f>SUMIFS('2. Scoping &amp; PoC'!S7:S183,'2. Scoping &amp; PoC'!D7:D183,"Akhil")</f>
        <v>122951</v>
      </c>
    </row>
    <row r="151" ht="15.0" customHeight="1">
      <c r="A151" s="24" t="s">
        <v>149</v>
      </c>
      <c r="B151" s="25">
        <f>COUNTIF('1. Inbound Leads'!L8:L450,"Seyram")</f>
        <v>38</v>
      </c>
      <c r="C151" s="25">
        <f>COUNTIFS('1. Inbound Leads'!L8:L450,"Seyram",'1. Inbound Leads'!R8:R450,"&lt;&gt;")</f>
        <v>0</v>
      </c>
      <c r="D151" s="41">
        <f t="shared" si="8"/>
        <v>0</v>
      </c>
      <c r="E151" s="25">
        <f>COUNTIFS('1. Inbound Leads'!L8:L450,"Seyram",'1. Inbound Leads'!AC8:AC450,"Move to Scoping")</f>
        <v>2</v>
      </c>
      <c r="F151" s="41">
        <f t="shared" si="9"/>
        <v>0.05263157895</v>
      </c>
      <c r="G151" s="25">
        <f>COUNTIFS('2. Scoping &amp; PoC'!D7:D183,"Seyram",'2. Scoping &amp; PoC'!M7:M183,"&lt;&gt;")</f>
        <v>0</v>
      </c>
      <c r="H151" s="25">
        <f>COUNTIFS('2. Scoping &amp; PoC'!D7:D183,"Seyram",'2. Scoping &amp; PoC'!Y7:Y183,"Won*")</f>
        <v>9</v>
      </c>
      <c r="I151" s="41">
        <f>IFERROR(H151/(H151+COUNTIFS('2. Scoping &amp; PoC'!D7:D183,"Seyram",'2. Scoping &amp; PoC'!Y7:Y183,"Lost")),0)</f>
        <v>0.2647058824</v>
      </c>
      <c r="J151" s="65">
        <f>SUMIFS('2. Scoping &amp; PoC'!S7:S183,'2. Scoping &amp; PoC'!D7:D183,"Seyram")</f>
        <v>3243019.272</v>
      </c>
    </row>
    <row r="152" ht="15.0" customHeight="1">
      <c r="A152" s="22" t="s">
        <v>150</v>
      </c>
      <c r="B152" s="23">
        <f>COUNTIF('1. Inbound Leads'!L8:L395,"Darius")</f>
        <v>0</v>
      </c>
      <c r="C152" s="23">
        <f>COUNTIFS('1. Inbound Leads'!L8:L450,"Darius",'1. Inbound Leads'!R8:R450,"&lt;&gt;")</f>
        <v>0</v>
      </c>
      <c r="D152" s="36">
        <f t="shared" si="8"/>
        <v>0</v>
      </c>
      <c r="E152" s="23">
        <f>COUNTIFS('1. Inbound Leads'!L8:L450,"Darius",'1. Inbound Leads'!AC8:AC450,"Move to Scoping")</f>
        <v>0</v>
      </c>
      <c r="F152" s="36">
        <f t="shared" si="9"/>
        <v>0</v>
      </c>
      <c r="G152" s="23">
        <f>COUNTIFS('2. Scoping &amp; PoC'!D7:D183,"Darius",'2. Scoping &amp; PoC'!M7:M183,"&lt;&gt;")</f>
        <v>0</v>
      </c>
      <c r="H152" s="23">
        <f>COUNTIFS('2. Scoping &amp; PoC'!D7:D183,"Darius",'2. Scoping &amp; PoC'!Y7:Y183,"Won*")</f>
        <v>8</v>
      </c>
      <c r="I152" s="36">
        <f>IFERROR(H152/(H152+COUNTIFS('2. Scoping &amp; PoC'!D7:D183,"Darius",'2. Scoping &amp; PoC'!Y7:Y183,"Lost")),0)</f>
        <v>1</v>
      </c>
      <c r="J152" s="61">
        <f>SUMIFS('2. Scoping &amp; PoC'!S7:S183,'2. Scoping &amp; PoC'!D7:D183,"Darius")</f>
        <v>38227.05</v>
      </c>
    </row>
    <row r="153" ht="15.0" customHeight="1">
      <c r="A153" s="24" t="s">
        <v>151</v>
      </c>
      <c r="B153" s="25">
        <f>COUNTIF('1. Inbound Leads'!L8:L395,"Michael")</f>
        <v>11</v>
      </c>
      <c r="C153" s="25">
        <f>COUNTIFS('1. Inbound Leads'!L8:L450,"Michael",'1. Inbound Leads'!R8:R450,"&lt;&gt;")</f>
        <v>0</v>
      </c>
      <c r="D153" s="41">
        <f t="shared" si="8"/>
        <v>0</v>
      </c>
      <c r="E153" s="25">
        <f>COUNTIFS('1. Inbound Leads'!L8:L450,"Michael",'1. Inbound Leads'!AC8:AC450,"Move to Scoping")</f>
        <v>0</v>
      </c>
      <c r="F153" s="41">
        <f t="shared" si="9"/>
        <v>0</v>
      </c>
      <c r="G153" s="25">
        <f>COUNTIFS('2. Scoping &amp; PoC'!D7:D183,"Michael",'2. Scoping &amp; PoC'!M7:M183,"&lt;&gt;")</f>
        <v>0</v>
      </c>
      <c r="H153" s="25">
        <f>COUNTIFS('2. Scoping &amp; PoC'!D7:D183,"Michael",'2. Scoping &amp; PoC'!Y7:Y183,"Won*")</f>
        <v>3</v>
      </c>
      <c r="I153" s="41">
        <f>IFERROR(H153/(H153+COUNTIFS('2. Scoping &amp; PoC'!D7:D183,"Michael",'2. Scoping &amp; PoC'!Y7:Y183,"Lost")),0)</f>
        <v>0.375</v>
      </c>
      <c r="J153" s="65">
        <f>SUMIFS('2. Scoping &amp; PoC'!S7:S183,'2. Scoping &amp; PoC'!D7:D183,"Michael")</f>
        <v>89926</v>
      </c>
    </row>
    <row r="154" ht="15.0" customHeight="1">
      <c r="A154" s="22" t="s">
        <v>152</v>
      </c>
      <c r="B154" s="23">
        <f>COUNTIF('1. Inbound Leads'!L8:L399,"Olivia")</f>
        <v>5</v>
      </c>
      <c r="C154" s="23">
        <f>COUNTIFS('1. Inbound Leads'!L8:L450,"Olivia",'1. Inbound Leads'!R8:R450,"&lt;&gt;")</f>
        <v>0</v>
      </c>
      <c r="D154" s="36">
        <f t="shared" si="8"/>
        <v>0</v>
      </c>
      <c r="E154" s="23">
        <f>COUNTIFS('1. Inbound Leads'!L8:L450,"Olivia",'1. Inbound Leads'!AC8:AC450,"Move to Scoping")</f>
        <v>0</v>
      </c>
      <c r="F154" s="36">
        <f t="shared" si="9"/>
        <v>0</v>
      </c>
      <c r="G154" s="23">
        <f>COUNTIFS('2. Scoping &amp; PoC'!D7:D183,"Olivia",'2. Scoping &amp; PoC'!M7:M183,"&lt;&gt;")</f>
        <v>0</v>
      </c>
      <c r="H154" s="23">
        <f>COUNTIFS('2. Scoping &amp; PoC'!D7:D183,"Olivia",'2. Scoping &amp; PoC'!Y7:Y183,"Won*")</f>
        <v>0</v>
      </c>
      <c r="I154" s="36">
        <f>IFERROR(H154/(H154+COUNTIFS('2. Scoping &amp; PoC'!D7:D183,"Olivia",'2. Scoping &amp; PoC'!Y7:Y183,"Lost")),0)</f>
        <v>0</v>
      </c>
      <c r="J154" s="61">
        <f>SUMIFS('2. Scoping &amp; PoC'!S7:S183,'2. Scoping &amp; PoC'!D7:D183,"Olivia")</f>
        <v>0</v>
      </c>
    </row>
    <row r="155" ht="15.0" customHeight="1">
      <c r="A155" s="24" t="s">
        <v>153</v>
      </c>
      <c r="B155" s="25">
        <f>COUNTIF('1. Inbound Leads'!L8:L395,"Freddie")</f>
        <v>8</v>
      </c>
      <c r="C155" s="25">
        <f>COUNTIFS('1. Inbound Leads'!L8:L450,"Freddie",'1. Inbound Leads'!R8:R450,"&lt;&gt;")</f>
        <v>0</v>
      </c>
      <c r="D155" s="41">
        <f t="shared" si="8"/>
        <v>0</v>
      </c>
      <c r="E155" s="25">
        <f>COUNTIFS('1. Inbound Leads'!L8:L450,"Freddie",'1. Inbound Leads'!AC8:AC450,"Move to Scoping")</f>
        <v>1</v>
      </c>
      <c r="F155" s="41">
        <f t="shared" si="9"/>
        <v>0.125</v>
      </c>
      <c r="G155" s="25">
        <f>COUNTIFS('2. Scoping &amp; PoC'!D7:D183,"Freddie",'2. Scoping &amp; PoC'!M7:M183,"&lt;&gt;")</f>
        <v>0</v>
      </c>
      <c r="H155" s="25">
        <f>COUNTIFS('2. Scoping &amp; PoC'!D7:D183,"Freddie",'2. Scoping &amp; PoC'!Y7:Y183,"Won*")</f>
        <v>0</v>
      </c>
      <c r="I155" s="41">
        <f>IFERROR(H155/(H155+COUNTIFS('2. Scoping &amp; PoC'!D7:D183,"Freddie",'2. Scoping &amp; PoC'!Y7:Y183,"Lost")),0)</f>
        <v>0</v>
      </c>
      <c r="J155" s="65">
        <f>SUMIFS('2. Scoping &amp; PoC'!S7:S183,'2. Scoping &amp; PoC'!D7:D183,"Freddie")</f>
        <v>0</v>
      </c>
    </row>
    <row r="156" ht="15.0" customHeight="1">
      <c r="A156" s="38" t="s">
        <v>154</v>
      </c>
      <c r="B156" s="39">
        <f>COUNTIF('1. Inbound Leads'!L8:L450,"Elton")</f>
        <v>0</v>
      </c>
      <c r="C156" s="39">
        <f>COUNTIFS('1. Inbound Leads'!L8:L450,"Elton",'1. Inbound Leads'!R8:R450,"&lt;&gt;")</f>
        <v>0</v>
      </c>
      <c r="D156" s="40">
        <f t="shared" si="8"/>
        <v>0</v>
      </c>
      <c r="E156" s="39">
        <f>COUNTIFS('1. Inbound Leads'!L8:L450,"Brendon",'1. Inbound Leads'!AC8:AC450,"Move to Scoping")</f>
        <v>0</v>
      </c>
      <c r="F156" s="40">
        <f t="shared" si="9"/>
        <v>0</v>
      </c>
      <c r="G156" s="39">
        <f>COUNTIFS('2. Scoping &amp; PoC'!D7:D183,"Elton",'2. Scoping &amp; PoC'!M7:M183,"&lt;&gt;")</f>
        <v>0</v>
      </c>
      <c r="H156" s="39">
        <f>COUNTIFS('2. Scoping &amp; PoC'!D7:D183,"Elton",'2. Scoping &amp; PoC'!Y7:Y183,"Won*")</f>
        <v>0</v>
      </c>
      <c r="I156" s="40">
        <f>IFERROR(H156/(H156+COUNTIFS('2. Scoping &amp; PoC'!D7:D183,"Brendon",'2. Scoping &amp; PoC'!Y7:Y183,"Lost")),0)</f>
        <v>0</v>
      </c>
      <c r="J156" s="69">
        <f>SUMIFS('2. Scoping &amp; PoC'!S7:S183,'2. Scoping &amp; PoC'!D7:D183,"Elton")</f>
        <v>0</v>
      </c>
    </row>
    <row r="157" ht="15.0" customHeight="1">
      <c r="A157" s="71" t="s">
        <v>155</v>
      </c>
      <c r="B157" s="72">
        <f>COUNTIF('1. Inbound Leads'!L8:L395,"*Brendon*")
</f>
        <v>11</v>
      </c>
      <c r="C157" s="39">
        <f>COUNTIFS('1. Inbound Leads'!L9:L450,"*Brendon*",'1. Inbound Leads'!R9:R450,"&lt;&gt;")</f>
        <v>7</v>
      </c>
      <c r="D157" s="40">
        <f t="shared" si="8"/>
        <v>0.6363636364</v>
      </c>
      <c r="E157" s="39">
        <f>COUNTIFS('1. Inbound Leads'!L9:L450,"*Brendon*",'1. Inbound Leads'!AC9:AC450,"Move to Scoping")</f>
        <v>0</v>
      </c>
      <c r="F157" s="40">
        <f t="shared" si="9"/>
        <v>0</v>
      </c>
      <c r="G157" s="39">
        <f>COUNTIFS('2. Scoping &amp; PoC'!D8:D184,"*Brendon*",'2. Scoping &amp; PoC'!M8:M184,"&lt;&gt;")</f>
        <v>0</v>
      </c>
      <c r="H157" s="39">
        <f>COUNTIFS('2. Scoping &amp; PoC'!D8:D184,"*Brendon*",'2. Scoping &amp; PoC'!Y8:Y184,"Won*")</f>
        <v>0</v>
      </c>
      <c r="I157" s="40">
        <f>IFERROR(H157/(H157+COUNTIFS('2. Scoping &amp; PoC'!D8:D184,"*Brendon*",'2. Scoping &amp; PoC'!Y8:Y184,"Lost")),0)</f>
        <v>0</v>
      </c>
      <c r="J157" s="69">
        <f>SUMIFS('2. Scoping &amp; PoC'!S8:S184,'2. Scoping &amp; PoC'!D8:D184,"*Brendon*")</f>
        <v>0</v>
      </c>
    </row>
    <row r="158" ht="14.25" customHeight="1">
      <c r="A158" s="43"/>
      <c r="B158" s="43"/>
      <c r="C158" s="43"/>
      <c r="D158" s="43"/>
      <c r="E158" s="43"/>
      <c r="F158" s="43"/>
      <c r="G158" s="43"/>
      <c r="H158" s="43"/>
      <c r="I158" s="43"/>
      <c r="J158" s="43"/>
    </row>
    <row r="159" ht="14.25" customHeight="1"/>
    <row r="160" ht="31.5" customHeight="1">
      <c r="A160" s="20" t="s">
        <v>156</v>
      </c>
      <c r="B160" s="2"/>
      <c r="C160" s="2"/>
      <c r="D160" s="2"/>
      <c r="E160" s="2"/>
      <c r="F160" s="2"/>
      <c r="G160" s="2"/>
      <c r="H160" s="2"/>
      <c r="I160" s="2"/>
      <c r="J160" s="2"/>
      <c r="K160" s="2"/>
      <c r="L160" s="2"/>
      <c r="M160" s="2"/>
      <c r="N160" s="2"/>
      <c r="O160" s="2"/>
      <c r="P160" s="2"/>
      <c r="Q160" s="2"/>
      <c r="R160" s="2"/>
      <c r="S160" s="2"/>
      <c r="T160" s="3"/>
    </row>
    <row r="161" ht="27.75" customHeight="1">
      <c r="A161" s="21" t="s">
        <v>157</v>
      </c>
      <c r="B161" s="21" t="s">
        <v>20</v>
      </c>
      <c r="C161" s="21" t="s">
        <v>89</v>
      </c>
      <c r="D161" s="21" t="s">
        <v>158</v>
      </c>
      <c r="E161" s="21" t="s">
        <v>11</v>
      </c>
      <c r="F161" s="21" t="s">
        <v>146</v>
      </c>
      <c r="G161" s="21" t="s">
        <v>147</v>
      </c>
    </row>
    <row r="162" ht="15.0" customHeight="1">
      <c r="A162" s="22" t="s">
        <v>159</v>
      </c>
      <c r="B162" s="23">
        <f>COUNTIF('1. Inbound Leads'!J8:J395,"Website Form")</f>
        <v>18</v>
      </c>
      <c r="C162" s="23">
        <f>COUNTIFS('1. Inbound Leads'!J8:J203,"Website Form",'1. Inbound Leads'!AC8:AC203,"Move to Scoping")</f>
        <v>0</v>
      </c>
      <c r="D162" s="36">
        <f t="shared" ref="D162:D172" si="10">IFERROR(C162/B162,0)</f>
        <v>0</v>
      </c>
      <c r="E162" s="57">
        <f>COUNTIFS('1. Inbound Leads'!J8:J450,"Website Form",'1. Inbound Leads'!AC8:AC450,"Move to Scoping")*IFERROR(COUNTIF('2. Scoping &amp; PoC'!Y7:Y183,"Won*")/COUNTA('2. Scoping &amp; PoC'!A7:A183),0)</f>
        <v>0</v>
      </c>
      <c r="F162" s="36">
        <f t="shared" ref="F162:F172" si="11">IFERROR(E162/B162,0)</f>
        <v>0</v>
      </c>
      <c r="G162" s="61">
        <f t="shared" ref="G162:G172" si="12">0</f>
        <v>0</v>
      </c>
    </row>
    <row r="163" ht="15.0" customHeight="1">
      <c r="A163" s="24" t="s">
        <v>160</v>
      </c>
      <c r="B163" s="25">
        <f>COUNTIF('1. Inbound Leads'!J8:J395,"Google Ads")</f>
        <v>15</v>
      </c>
      <c r="C163" s="25">
        <f>COUNTIFS('1. Inbound Leads'!J8:J450,"Google Ads",'1. Inbound Leads'!AC8:AC450,"Move to Scoping")</f>
        <v>0</v>
      </c>
      <c r="D163" s="41">
        <f t="shared" si="10"/>
        <v>0</v>
      </c>
      <c r="E163" s="73">
        <f>COUNTIFS('1. Inbound Leads'!J8:J203,"Google Ads",'1. Inbound Leads'!AC8:AC203,"Move to Scoping")*IFERROR(COUNTIF('2. Scoping &amp; PoC'!Y7:Y183,"Won*")/COUNTA('2. Scoping &amp; PoC'!A7:A183),0)</f>
        <v>0</v>
      </c>
      <c r="F163" s="41">
        <f t="shared" si="11"/>
        <v>0</v>
      </c>
      <c r="G163" s="65">
        <f t="shared" si="12"/>
        <v>0</v>
      </c>
    </row>
    <row r="164" ht="15.0" customHeight="1">
      <c r="A164" s="24" t="s">
        <v>161</v>
      </c>
      <c r="B164" s="25">
        <f>COUNTIF('1. Inbound Leads'!J8:AF396,"Search Engine")</f>
        <v>92</v>
      </c>
      <c r="C164" s="25">
        <f>COUNTIFS('1. Inbound Leads'!J8:J450,"Search Engine",'1. Inbound Leads'!AC8:AC450,"Move to Scoping")</f>
        <v>2</v>
      </c>
      <c r="D164" s="41">
        <f t="shared" si="10"/>
        <v>0.02173913043</v>
      </c>
      <c r="E164" s="73">
        <f>COUNTIFS('1. Inbound Leads'!J8:J450,"Search Engine",'1. Inbound Leads'!AC8:AC450,"Move to Scoping")*IFERROR(COUNTIF('2. Scoping &amp; PoC'!Y7:Y183,"Won*")/COUNTA('2. Scoping &amp; PoC'!A7:A183),0)</f>
        <v>4.153846154</v>
      </c>
      <c r="F164" s="41">
        <f t="shared" si="11"/>
        <v>0.04515050167</v>
      </c>
      <c r="G164" s="65">
        <f t="shared" si="12"/>
        <v>0</v>
      </c>
    </row>
    <row r="165" ht="15.0" customHeight="1">
      <c r="A165" s="22" t="s">
        <v>162</v>
      </c>
      <c r="B165" s="23">
        <f>COUNTIF('1. Inbound Leads'!J8:J203,"LinkedIn")</f>
        <v>7</v>
      </c>
      <c r="C165" s="23">
        <f>COUNTIFS('1. Inbound Leads'!J8:J450,"LinkedIn",'1. Inbound Leads'!AC8:AC450,"Move to Scoping")</f>
        <v>0</v>
      </c>
      <c r="D165" s="36">
        <f t="shared" si="10"/>
        <v>0</v>
      </c>
      <c r="E165" s="73">
        <f>COUNTIFS('1. Inbound Leads'!J9:J451,"LinkedIn",'1. Inbound Leads'!AC9:AC451,"Move to Scoping")*IFERROR(COUNTIF('2. Scoping &amp; PoC'!Y8:Y184,"Won*")/COUNTA('2. Scoping &amp; PoC'!A8:A184),0)</f>
        <v>0</v>
      </c>
      <c r="F165" s="36">
        <f t="shared" si="11"/>
        <v>0</v>
      </c>
      <c r="G165" s="61">
        <f t="shared" si="12"/>
        <v>0</v>
      </c>
    </row>
    <row r="166" ht="15.0" customHeight="1">
      <c r="A166" s="24" t="s">
        <v>163</v>
      </c>
      <c r="B166" s="25">
        <f>COUNTIF('1. Inbound Leads'!J8:J203,"Referral")</f>
        <v>12</v>
      </c>
      <c r="C166" s="25">
        <f>COUNTIFS('1. Inbound Leads'!J8:J203,"Referral",'1. Inbound Leads'!AC8:AC203,"Move to Scoping")</f>
        <v>0</v>
      </c>
      <c r="D166" s="41">
        <f t="shared" si="10"/>
        <v>0</v>
      </c>
      <c r="E166" s="73">
        <f>COUNTIFS('1. Inbound Leads'!J8:J450,"Referral",'1. Inbound Leads'!AC8:AC450,"Move to Scoping")*IFERROR(COUNTIF('2. Scoping &amp; PoC'!Y7:Y183,"Won*")/COUNTA('2. Scoping &amp; PoC'!A7:A183),0)</f>
        <v>0</v>
      </c>
      <c r="F166" s="41">
        <f t="shared" si="11"/>
        <v>0</v>
      </c>
      <c r="G166" s="65">
        <f t="shared" si="12"/>
        <v>0</v>
      </c>
    </row>
    <row r="167" ht="15.0" customHeight="1">
      <c r="A167" s="22" t="s">
        <v>164</v>
      </c>
      <c r="B167" s="23">
        <f>COUNTIF('1. Inbound Leads'!J8:J450,"Partner Intro")</f>
        <v>1</v>
      </c>
      <c r="C167" s="23">
        <f>COUNTIFS('1. Inbound Leads'!J8:J450,"Partner Intro",'1. Inbound Leads'!AC8:AC450,"Move to Scoping")</f>
        <v>0</v>
      </c>
      <c r="D167" s="36">
        <f t="shared" si="10"/>
        <v>0</v>
      </c>
      <c r="E167" s="57">
        <f>COUNTIFS('1. Inbound Leads'!J8:J450,"Partner Intro",'1. Inbound Leads'!AC8:AC450,"Move to Scoping")*IFERROR(COUNTIF('2. Scoping &amp; PoC'!Y7:Y183,"Won*")/COUNTA('2. Scoping &amp; PoC'!A7:A183),0)</f>
        <v>0</v>
      </c>
      <c r="F167" s="36">
        <f t="shared" si="11"/>
        <v>0</v>
      </c>
      <c r="G167" s="61">
        <f t="shared" si="12"/>
        <v>0</v>
      </c>
    </row>
    <row r="168" ht="15.0" customHeight="1">
      <c r="A168" s="74" t="s">
        <v>165</v>
      </c>
      <c r="B168" s="25">
        <f>COUNTIF('1. Inbound Leads'!J8:J450, "ChatGPT*") + COUNTIF('1. Inbound Leads'!J8:J450, "Perplexity*")</f>
        <v>3</v>
      </c>
      <c r="C168" s="25">
        <f t="array" ref="C168">SUM(COUNTIFS('1. Inbound Leads'!J8:J450, {"*ChatGPT*", "*Perplexity*"}, '1. Inbound Leads'!AC8:AC450, "Move to Scoping"))</f>
        <v>0</v>
      </c>
      <c r="D168" s="41">
        <f t="shared" si="10"/>
        <v>0</v>
      </c>
      <c r="E168" s="73">
        <f t="array" ref="E168">SUM(COUNTIFS('1. Inbound Leads'!J9:J450, {"*ChatGPT*", "*Perplexity*"}, '1. Inbound Leads'!AC9:AC450, "Move to Scoping")) * IFERROR(COUNTIF('2. Scoping &amp; PoC'!Y8:Y184,"Won*")/COUNTA('2. Scoping &amp; PoC'!A8:A184),0)</f>
        <v>0</v>
      </c>
      <c r="F168" s="41">
        <f t="shared" si="11"/>
        <v>0</v>
      </c>
      <c r="G168" s="65">
        <f t="shared" si="12"/>
        <v>0</v>
      </c>
    </row>
    <row r="169" ht="15.0" customHeight="1">
      <c r="A169" s="22" t="s">
        <v>166</v>
      </c>
      <c r="B169" s="23">
        <f>COUNTIF('1. Inbound Leads'!J8:J203,"Event/Conference")</f>
        <v>0</v>
      </c>
      <c r="C169" s="23">
        <f>COUNTIFS('1. Inbound Leads'!J8:J203,"Event/Conference",'1. Inbound Leads'!AC8:AC203,"Move to Scoping")</f>
        <v>0</v>
      </c>
      <c r="D169" s="36">
        <f t="shared" si="10"/>
        <v>0</v>
      </c>
      <c r="E169" s="57">
        <f>COUNTIFS('1. Inbound Leads'!J8:J450,"Event/Conference",'1. Inbound Leads'!AC8:AC450,"Move to Scoping")*IFERROR(COUNTIF('2. Scoping &amp; PoC'!Y7:Y183,"Won*")/COUNTA('2. Scoping &amp; PoC'!A7:A183),0)</f>
        <v>0</v>
      </c>
      <c r="F169" s="36">
        <f t="shared" si="11"/>
        <v>0</v>
      </c>
      <c r="G169" s="61">
        <f t="shared" si="12"/>
        <v>0</v>
      </c>
    </row>
    <row r="170" ht="15.0" customHeight="1">
      <c r="A170" s="24" t="s">
        <v>167</v>
      </c>
      <c r="B170" s="25">
        <f>COUNTIF('1. Inbound Leads'!J8:J396,"Cold Outreach")</f>
        <v>42</v>
      </c>
      <c r="C170" s="25">
        <f>COUNTIFS('1. Inbound Leads'!J8:J203,"Cold Outreach",'1. Inbound Leads'!AC8:AC203,"Move to Scoping")</f>
        <v>3</v>
      </c>
      <c r="D170" s="41">
        <f t="shared" si="10"/>
        <v>0.07142857143</v>
      </c>
      <c r="E170" s="73">
        <f>COUNTIFS('1. Inbound Leads'!J8:J450,"Cold Outreach",'1. Inbound Leads'!AC8:AC450,"Move to Scoping")*IFERROR(COUNTIF('2. Scoping &amp; PoC'!Y7:Y183,"Won*")/COUNTA('2. Scoping &amp; PoC'!A7:A183),0)</f>
        <v>6.230769231</v>
      </c>
      <c r="F170" s="41">
        <f t="shared" si="11"/>
        <v>0.1483516484</v>
      </c>
      <c r="G170" s="65">
        <f t="shared" si="12"/>
        <v>0</v>
      </c>
    </row>
    <row r="171" ht="15.0" customHeight="1">
      <c r="A171" s="22" t="s">
        <v>168</v>
      </c>
      <c r="B171" s="23">
        <f>COUNTIF('1. Inbound Leads'!J8:J396,"Collective OS")</f>
        <v>4</v>
      </c>
      <c r="C171" s="23">
        <f>COUNTIFS('1. Inbound Leads'!J8:J203,"Collective OS",'1. Inbound Leads'!AC8:AC203,"Move to Scoping")</f>
        <v>0</v>
      </c>
      <c r="D171" s="36">
        <f t="shared" si="10"/>
        <v>0</v>
      </c>
      <c r="E171" s="57">
        <f>COUNTIFS('1. Inbound Leads'!J8:J450,"Collective OS",'1. Inbound Leads'!AC8:AC450,"Move to Scoping")*IFERROR(COUNTIF('2. Scoping &amp; PoC'!Y7:Y183,"Won*")/COUNTA('2. Scoping &amp; PoC'!A7:A183),0)</f>
        <v>0</v>
      </c>
      <c r="F171" s="36">
        <f t="shared" si="11"/>
        <v>0</v>
      </c>
      <c r="G171" s="61">
        <f t="shared" si="12"/>
        <v>0</v>
      </c>
    </row>
    <row r="172" ht="15.0" customHeight="1">
      <c r="A172" s="24" t="s">
        <v>67</v>
      </c>
      <c r="B172" s="25">
        <f>COUNTIF('1. Inbound Leads'!J8:J396,"Other")</f>
        <v>13</v>
      </c>
      <c r="C172" s="25">
        <f>COUNTIFS('1. Inbound Leads'!J8:J203,"Other",'1. Inbound Leads'!AC8:AC203,"Move to Scoping")</f>
        <v>0</v>
      </c>
      <c r="D172" s="41">
        <f t="shared" si="10"/>
        <v>0</v>
      </c>
      <c r="E172" s="73">
        <f>COUNTIFS('1. Inbound Leads'!J8:J203,"Other",'1. Inbound Leads'!AC8:AC203,"Move to Scoping")*IFERROR(COUNTIF('2. Scoping &amp; PoC'!Y7:Y183,"Won*")/COUNTA('2. Scoping &amp; PoC'!A7:A183),0)</f>
        <v>0</v>
      </c>
      <c r="F172" s="41">
        <f t="shared" si="11"/>
        <v>0</v>
      </c>
      <c r="G172" s="65">
        <f t="shared" si="12"/>
        <v>0</v>
      </c>
    </row>
    <row r="173" ht="14.25" customHeight="1"/>
    <row r="174" ht="14.25" customHeight="1"/>
    <row r="175" ht="31.5" customHeight="1">
      <c r="A175" s="20" t="s">
        <v>169</v>
      </c>
      <c r="B175" s="2"/>
      <c r="C175" s="2"/>
      <c r="D175" s="2"/>
      <c r="E175" s="2"/>
      <c r="F175" s="2"/>
      <c r="G175" s="2"/>
      <c r="H175" s="2"/>
      <c r="I175" s="2"/>
      <c r="J175" s="2"/>
      <c r="K175" s="2"/>
      <c r="L175" s="2"/>
      <c r="M175" s="2"/>
      <c r="N175" s="2"/>
      <c r="O175" s="2"/>
      <c r="P175" s="2"/>
      <c r="Q175" s="2"/>
      <c r="R175" s="2"/>
      <c r="S175" s="2"/>
      <c r="T175" s="3"/>
    </row>
    <row r="176" ht="27.75" customHeight="1">
      <c r="A176" s="21" t="s">
        <v>170</v>
      </c>
      <c r="B176" s="21" t="s">
        <v>20</v>
      </c>
      <c r="C176" s="21" t="s">
        <v>89</v>
      </c>
      <c r="D176" s="21" t="s">
        <v>171</v>
      </c>
      <c r="E176" s="21" t="s">
        <v>172</v>
      </c>
      <c r="F176" s="21" t="s">
        <v>93</v>
      </c>
      <c r="G176" s="21" t="s">
        <v>95</v>
      </c>
      <c r="H176" s="21" t="s">
        <v>146</v>
      </c>
      <c r="I176" s="21"/>
      <c r="J176" s="21"/>
    </row>
    <row r="177" ht="15.0" customHeight="1">
      <c r="A177" s="22" t="s">
        <v>173</v>
      </c>
      <c r="B177" s="23">
        <f>COUNTIF('1. Inbound Leads'!Q8:Q451,"Direct")</f>
        <v>214</v>
      </c>
      <c r="C177" s="23">
        <f>COUNTIFS('1. Inbound Leads'!Q8:Q451,"Direct",'1. Inbound Leads'!AC8:AC451,"Move to Scoping")</f>
        <v>7</v>
      </c>
      <c r="D177" s="36">
        <f t="shared" ref="D177:D178" si="14">IFERROR(C177/B177,0)</f>
        <v>0.03271028037</v>
      </c>
      <c r="E177" s="61">
        <f>IFERROR(AVERAGEIF('1. Inbound Leads'!Q8:Q203,"Direct",'2. Scoping &amp; PoC'!S7:S450),0)</f>
        <v>55044.2046</v>
      </c>
      <c r="F177" s="23">
        <f t="shared" ref="F177:G177" si="13">0</f>
        <v>0</v>
      </c>
      <c r="G177" s="23">
        <f t="shared" si="13"/>
        <v>0</v>
      </c>
      <c r="H177" s="36">
        <f t="shared" ref="H177:H178" si="16">IFERROR(F177/(F177+G177),0)</f>
        <v>0</v>
      </c>
    </row>
    <row r="178" ht="15.0" customHeight="1">
      <c r="A178" s="22" t="s">
        <v>174</v>
      </c>
      <c r="B178" s="23">
        <f>COUNTIF('1. Inbound Leads'!Q8:Q951, "Partner*")</f>
        <v>12</v>
      </c>
      <c r="C178" s="23">
        <f>COUNTIFS('1. Inbound Leads'!Q8:Q450,"Partner*",'1. Inbound Leads'!AC8:AC450,"Move to Scoping")</f>
        <v>0</v>
      </c>
      <c r="D178" s="36">
        <f t="shared" si="14"/>
        <v>0</v>
      </c>
      <c r="E178" s="61">
        <f t="shared" ref="E178:G178" si="15">0</f>
        <v>0</v>
      </c>
      <c r="F178" s="23">
        <f t="shared" si="15"/>
        <v>0</v>
      </c>
      <c r="G178" s="23">
        <f t="shared" si="15"/>
        <v>0</v>
      </c>
      <c r="H178" s="36">
        <f t="shared" si="16"/>
        <v>0</v>
      </c>
    </row>
    <row r="179" ht="14.25" customHeight="1"/>
    <row r="180" ht="14.25" customHeight="1"/>
    <row r="181" ht="31.5" customHeight="1">
      <c r="A181" s="20" t="s">
        <v>175</v>
      </c>
      <c r="B181" s="2"/>
      <c r="C181" s="2"/>
      <c r="D181" s="2"/>
      <c r="E181" s="2"/>
      <c r="F181" s="2"/>
      <c r="G181" s="2"/>
      <c r="H181" s="2"/>
      <c r="I181" s="2"/>
      <c r="J181" s="2"/>
      <c r="K181" s="2"/>
      <c r="L181" s="2"/>
      <c r="M181" s="2"/>
      <c r="N181" s="2"/>
      <c r="O181" s="2"/>
      <c r="P181" s="2"/>
      <c r="Q181" s="2"/>
      <c r="R181" s="2"/>
      <c r="S181" s="2"/>
      <c r="T181" s="3"/>
    </row>
    <row r="182" ht="27.75" customHeight="1">
      <c r="A182" s="21" t="s">
        <v>176</v>
      </c>
      <c r="B182" s="21" t="s">
        <v>177</v>
      </c>
      <c r="C182" s="21" t="s">
        <v>178</v>
      </c>
      <c r="D182" s="21" t="s">
        <v>179</v>
      </c>
      <c r="E182" s="21"/>
      <c r="F182" s="21"/>
    </row>
    <row r="183" ht="15.0" customHeight="1">
      <c r="A183" s="47" t="s">
        <v>180</v>
      </c>
      <c r="B183" s="75">
        <f>COUNTIFS('2. Scoping &amp; PoC'!Z6:Z2000,"&gt;0.79",'2. Scoping &amp; PoC'!Y6:Y2000,"&lt;&gt;Won*",'2. Scoping &amp; PoC'!Y6:Y2000,"&lt;&gt;Lost",'2. Scoping &amp; PoC'!Y6:Y2000,"&lt;&gt;On Hold")</f>
        <v>0</v>
      </c>
      <c r="C183" s="76">
        <f>SUMIFS('2. Scoping &amp; PoC'!S6:S2000,'2. Scoping &amp; PoC'!Z6:Z2000,"&gt;0.79",'2. Scoping &amp; PoC'!Y6:Y2000,"&lt;&gt;Won*",'2. Scoping &amp; PoC'!Y6:Y2000,"&lt;&gt;Lost",'2. Scoping &amp; PoC'!Y6:Y2000,"&lt;&gt;On Hold")</f>
        <v>0</v>
      </c>
      <c r="D183" s="76">
        <f>SUMIFS('2. Scoping &amp; PoC'!AA6:AA2000,'2. Scoping &amp; PoC'!Z6:Z2000,"&gt;0.79",'2. Scoping &amp; PoC'!Y6:Y2000,"&lt;&gt;Won*",'2. Scoping &amp; PoC'!Y6:Y2000,"&lt;&gt;Lost",'2. Scoping &amp; PoC'!Y6:Y2000,"&lt;&gt;On Hold")</f>
        <v>0</v>
      </c>
    </row>
    <row r="184" ht="15.0" customHeight="1">
      <c r="A184" s="44" t="s">
        <v>181</v>
      </c>
      <c r="B184" s="77">
        <f>COUNTIFS('2. Scoping &amp; PoC'!Z6:Z2000,"&gt;0.49",'2. Scoping &amp; PoC'!Z6:Z2000,"&lt;=0.8",'2. Scoping &amp; PoC'!Y6:Y2000,"&lt;&gt;Won*",'2. Scoping &amp; PoC'!Y6:Y2000,"&lt;&gt;Lost",'2. Scoping &amp; PoC'!Y6:Y2000,"&lt;&gt;On Hold")</f>
        <v>0</v>
      </c>
      <c r="C184" s="78">
        <f>SUMIFS('2. Scoping &amp; PoC'!S6:S2000,'2. Scoping &amp; PoC'!Z6:Z2000,"&gt;0.49",'2. Scoping &amp; PoC'!Z6:Z2000,"&lt;=0.8",'2. Scoping &amp; PoC'!Y6:Y2000,"&lt;&gt;Won*",'2. Scoping &amp; PoC'!Y6:Y2000,"&lt;&gt;Lost",'2. Scoping &amp; PoC'!Y6:Y2000,"&lt;&gt;On Hold")</f>
        <v>0</v>
      </c>
      <c r="D184" s="78">
        <f>SUMIFS('2. Scoping &amp; PoC'!AA6:AA2000,'2. Scoping &amp; PoC'!Z6:Z2000,"&gt;0.49",'2. Scoping &amp; PoC'!Z6:Z2000,"&lt;=0.8",'2. Scoping &amp; PoC'!Y6:Y2000,"&lt;&gt;Won*",'2. Scoping &amp; PoC'!Y6:Y2000,"&lt;&gt;Lost",'2. Scoping &amp; PoC'!Y6:Y2000,"&lt;&gt;On Hold")</f>
        <v>0</v>
      </c>
    </row>
    <row r="185" ht="15.0" customHeight="1">
      <c r="A185" s="50" t="s">
        <v>182</v>
      </c>
      <c r="B185" s="79">
        <f>COUNTIFS('2. Scoping &amp; PoC'!Z6:Z2000,"&gt;0",'2. Scoping &amp; PoC'!Z6:Z2000,"&lt;=0.5",'2. Scoping &amp; PoC'!Y6:Y2000,"&lt;&gt;Won*",'2. Scoping &amp; PoC'!Y6:Y2000,"&lt;&gt;Lost",'2. Scoping &amp; PoC'!Y6:Y2000,"&lt;&gt;On Hold")</f>
        <v>2</v>
      </c>
      <c r="C185" s="80">
        <f>SUMIFS('2. Scoping &amp; PoC'!S6:S2000,'2. Scoping &amp; PoC'!Z6:Z2000,"&gt;0",'2. Scoping &amp; PoC'!Z6:Z2000,"&lt;=0.5",'2. Scoping &amp; PoC'!Y6:Y2000,"&lt;&gt;Won*",'2. Scoping &amp; PoC'!Y6:Y2000,"&lt;&gt;Lost",'2. Scoping &amp; PoC'!Y6:Y2000,"&lt;&gt;On Hold")</f>
        <v>80000</v>
      </c>
      <c r="D185" s="80">
        <f>SUMIFS('2. Scoping &amp; PoC'!AA6:AA2000,'2. Scoping &amp; PoC'!Z6:Z2000,"&gt;0",'2. Scoping &amp; PoC'!Z6:Z2000,"&lt;=0.5",'2. Scoping &amp; PoC'!Y6:Y2000,"&lt;&gt;Won*",'2. Scoping &amp; PoC'!Y6:Y2000,"&lt;&gt;Lost",'2. Scoping &amp; PoC'!Y6:Y2000,"&lt;&gt;On Hold")</f>
        <v>24000</v>
      </c>
    </row>
    <row r="186" ht="15.0" customHeight="1">
      <c r="A186" s="63" t="s">
        <v>183</v>
      </c>
      <c r="B186" s="81">
        <f>COUNTIFS('2. Scoping &amp; PoC'!Z6:Z2000,"&gt;0",'2. Scoping &amp; PoC'!Y6:Y2000,"&lt;&gt;Won*",'2. Scoping &amp; PoC'!Y6:Y2000,"&lt;&gt;Lost",'2. Scoping &amp; PoC'!Y6:Y2000,"&lt;&gt;On Hold")</f>
        <v>2</v>
      </c>
      <c r="C186" s="82">
        <f>SUMIFS('2. Scoping &amp; PoC'!S6:S2000,'2. Scoping &amp; PoC'!Z6:Z2000,"&gt;0",'2. Scoping &amp; PoC'!Y6:Y2000,"&lt;&gt;Won*",'2. Scoping &amp; PoC'!Y6:Y2000,"&lt;&gt;Lost",'2. Scoping &amp; PoC'!Y6:Y2000,"&lt;&gt;On Hold")</f>
        <v>80000</v>
      </c>
      <c r="D186" s="82">
        <f>SUM('2. Scoping &amp; PoC'!AA6:AA2000)</f>
        <v>24000</v>
      </c>
    </row>
    <row r="187" ht="14.25" customHeight="1"/>
    <row r="188" ht="14.25" customHeight="1"/>
    <row r="189" ht="31.5" customHeight="1">
      <c r="A189" s="20" t="s">
        <v>184</v>
      </c>
      <c r="B189" s="2"/>
      <c r="C189" s="2"/>
      <c r="D189" s="2"/>
      <c r="E189" s="2"/>
      <c r="F189" s="2"/>
      <c r="G189" s="2"/>
      <c r="H189" s="2"/>
      <c r="I189" s="2"/>
      <c r="J189" s="2"/>
      <c r="K189" s="2"/>
      <c r="L189" s="2"/>
      <c r="M189" s="2"/>
      <c r="N189" s="2"/>
      <c r="O189" s="2"/>
      <c r="P189" s="2"/>
      <c r="Q189" s="2"/>
      <c r="R189" s="2"/>
      <c r="S189" s="2"/>
      <c r="T189" s="3"/>
    </row>
    <row r="190" ht="27.75" customHeight="1">
      <c r="A190" s="21" t="s">
        <v>185</v>
      </c>
      <c r="B190" s="21" t="s">
        <v>186</v>
      </c>
      <c r="C190" s="21" t="s">
        <v>187</v>
      </c>
      <c r="D190" s="21" t="s">
        <v>188</v>
      </c>
      <c r="E190" s="21"/>
      <c r="F190" s="21"/>
    </row>
    <row r="191" ht="15.0" customHeight="1">
      <c r="A191" s="22" t="s">
        <v>189</v>
      </c>
      <c r="B191" s="23">
        <f>COUNTIF('1. Inbound Leads'!AD8:AD450,"*No Response*")+COUNTIF('1. Inbound Leads'!AC8:AC450,"*No Response*")</f>
        <v>45</v>
      </c>
      <c r="C191" s="23">
        <f>COUNTIF('2. Scoping &amp; PoC'!AK7:AK183,"*No Response*")</f>
        <v>0</v>
      </c>
      <c r="D191" s="23">
        <f t="shared" ref="D191:D198" si="17">B191+C191</f>
        <v>45</v>
      </c>
    </row>
    <row r="192" ht="15.0" customHeight="1">
      <c r="A192" s="50" t="s">
        <v>190</v>
      </c>
      <c r="B192" s="51">
        <f>COUNTIF('1. Inbound Leads'!AD8:AD450,"*Not a Fit*")+COUNTIF('1. Inbound Leads'!AC8:AC450,"*Not a Fit*")</f>
        <v>45</v>
      </c>
      <c r="C192" s="51">
        <f>COUNTIF('2. Scoping &amp; PoC'!AK7:AK183,"*Not a Fit*")</f>
        <v>0</v>
      </c>
      <c r="D192" s="51">
        <f t="shared" si="17"/>
        <v>45</v>
      </c>
    </row>
    <row r="193" ht="15.0" customHeight="1">
      <c r="A193" s="22" t="s">
        <v>191</v>
      </c>
      <c r="B193" s="23">
        <f>COUNTIF('1. Inbound Leads'!AD8:AD450,"*Lost to Competitor*")+COUNTIF('1. Inbound Leads'!AC8:AC450,"*Lost to Competitor*")</f>
        <v>9</v>
      </c>
      <c r="C193" s="23">
        <f>COUNTIF('2. Scoping &amp; PoC'!AK7:AK183,"*Lost to Competitor*")</f>
        <v>0</v>
      </c>
      <c r="D193" s="23">
        <f t="shared" si="17"/>
        <v>9</v>
      </c>
    </row>
    <row r="194" ht="15.0" customHeight="1">
      <c r="A194" s="50" t="s">
        <v>192</v>
      </c>
      <c r="B194" s="51">
        <f>COUNTIF('1. Inbound Leads'!AD8:AD450,"*No Budget*")+COUNTIF('1. Inbound Leads'!AC8:AC450,"*No Budget*")</f>
        <v>2</v>
      </c>
      <c r="C194" s="51">
        <f>COUNTIF('2. Scoping &amp; PoC'!AK7:AK183,"*No Budget*")</f>
        <v>0</v>
      </c>
      <c r="D194" s="51">
        <f t="shared" si="17"/>
        <v>2</v>
      </c>
    </row>
    <row r="195" ht="15.0" customHeight="1">
      <c r="A195" s="22" t="s">
        <v>193</v>
      </c>
      <c r="B195" s="23">
        <f>COUNTIF('1. Inbound Leads'!AD8:AD450,"*Pricing*")+COUNTIF('1. Inbound Leads'!AC8:AC450,"*Pricing*")</f>
        <v>0</v>
      </c>
      <c r="C195" s="23">
        <f>COUNTIF('2. Scoping &amp; PoC'!AK7:AK183,"*Pricing*")</f>
        <v>0</v>
      </c>
      <c r="D195" s="23">
        <f t="shared" si="17"/>
        <v>0</v>
      </c>
    </row>
    <row r="196" ht="15.0" customHeight="1">
      <c r="A196" s="50" t="s">
        <v>194</v>
      </c>
      <c r="B196" s="51">
        <f>COUNTIF('1. Inbound Leads'!AD8:AD450,"*Quality (PoC Failed)*")+COUNTIF('1. Inbound Leads'!AC8:AC450,"*Quality (PoC Failed)*")</f>
        <v>0</v>
      </c>
      <c r="C196" s="51">
        <f>COUNTIF('2. Scoping &amp; PoC'!AK7:AK183,"*Quality (PoC Failed)*")</f>
        <v>0</v>
      </c>
      <c r="D196" s="51">
        <f t="shared" si="17"/>
        <v>0</v>
      </c>
    </row>
    <row r="197" ht="15.0" customHeight="1">
      <c r="A197" s="22" t="s">
        <v>195</v>
      </c>
      <c r="B197" s="23">
        <f>COUNTIF('1. Inbound Leads'!AD8:AD450,"*Timeline Mismatch*")+COUNTIF('1. Inbound Leads'!AC8:AC450,"*Timeline Mismatch*")</f>
        <v>0</v>
      </c>
      <c r="C197" s="23">
        <f>COUNTIF('2. Scoping &amp; PoC'!AK7:AK183,"*Timeline Mismatch*")</f>
        <v>0</v>
      </c>
      <c r="D197" s="23">
        <f t="shared" si="17"/>
        <v>0</v>
      </c>
    </row>
    <row r="198" ht="15.0" customHeight="1">
      <c r="A198" s="50" t="s">
        <v>67</v>
      </c>
      <c r="B198" s="51">
        <f>COUNTIF('1. Inbound Leads'!AC8:AC450,"Dead*")-SUM(B191:B197)</f>
        <v>-47</v>
      </c>
      <c r="C198" s="51">
        <f>COUNTIF('2. Scoping &amp; PoC'!Y7:Y183,"Lost")-SUM(C191:C197)</f>
        <v>54</v>
      </c>
      <c r="D198" s="51">
        <f t="shared" si="17"/>
        <v>7</v>
      </c>
    </row>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36">
    <mergeCell ref="M4:N4"/>
    <mergeCell ref="O4:P4"/>
    <mergeCell ref="Q4:R4"/>
    <mergeCell ref="S4:T4"/>
    <mergeCell ref="A1:T1"/>
    <mergeCell ref="A2:T2"/>
    <mergeCell ref="A3:L3"/>
    <mergeCell ref="A4:B4"/>
    <mergeCell ref="C4:D4"/>
    <mergeCell ref="E4:F4"/>
    <mergeCell ref="G4:H4"/>
    <mergeCell ref="O5:P5"/>
    <mergeCell ref="Q5:R5"/>
    <mergeCell ref="S5:T5"/>
    <mergeCell ref="A5:B5"/>
    <mergeCell ref="C5:D5"/>
    <mergeCell ref="E5:F5"/>
    <mergeCell ref="G5:H5"/>
    <mergeCell ref="I5:J5"/>
    <mergeCell ref="K5:L5"/>
    <mergeCell ref="M5:N5"/>
    <mergeCell ref="A7:T7"/>
    <mergeCell ref="A119:T119"/>
    <mergeCell ref="A129:T129"/>
    <mergeCell ref="A148:T148"/>
    <mergeCell ref="A160:T160"/>
    <mergeCell ref="A175:T175"/>
    <mergeCell ref="A181:T181"/>
    <mergeCell ref="A189:T189"/>
    <mergeCell ref="I4:J4"/>
    <mergeCell ref="K4:L4"/>
    <mergeCell ref="A34:D34"/>
    <mergeCell ref="A40:D40"/>
    <mergeCell ref="A53:D53"/>
    <mergeCell ref="A75:T75"/>
    <mergeCell ref="A103:T103"/>
  </mergeCells>
  <dataValidations>
    <dataValidation type="list" allowBlank="1" showErrorMessage="1" sqref="P3">
      <formula1>"All time ,YTD,2026,2025,Last 3 months,Last 6 months"</formula1>
    </dataValidation>
  </dataValidation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7CA5"/>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3.29"/>
    <col customWidth="1" min="2" max="3" width="15.14"/>
    <col customWidth="1" min="4" max="4" width="16.86"/>
    <col customWidth="1" min="5" max="5" width="18.71"/>
    <col customWidth="1" min="6" max="6" width="31.14"/>
    <col customWidth="1" min="7" max="8" width="24.86"/>
    <col customWidth="1" min="9" max="9" width="13.29"/>
    <col customWidth="1" min="10" max="10" width="20.43"/>
    <col customWidth="1" min="11" max="11" width="53.57"/>
    <col customWidth="1" min="12" max="12" width="21.57"/>
    <col customWidth="1" min="13" max="13" width="15.14"/>
    <col customWidth="1" min="14" max="14" width="24.0"/>
    <col customWidth="1" min="15" max="15" width="21.29"/>
    <col customWidth="1" min="16" max="16" width="24.86"/>
    <col customWidth="1" min="17" max="17" width="21.29"/>
    <col customWidth="1" min="18" max="18" width="15.14"/>
    <col customWidth="1" min="19" max="21" width="17.86"/>
    <col customWidth="1" min="22" max="22" width="26.71"/>
    <col customWidth="1" min="23" max="23" width="15.14"/>
    <col customWidth="1" min="24" max="24" width="22.14"/>
    <col customWidth="1" min="25" max="25" width="35.57"/>
    <col customWidth="1" min="26" max="27" width="11.57"/>
    <col customWidth="1" min="28" max="28" width="30.57"/>
    <col customWidth="1" min="29" max="29" width="24.0"/>
    <col customWidth="1" min="30" max="30" width="26.71"/>
    <col customWidth="1" min="31" max="31" width="15.14"/>
  </cols>
  <sheetData>
    <row r="1" ht="27.75" customHeight="1">
      <c r="A1" s="83" t="s">
        <v>196</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19.5" customHeight="1">
      <c r="A2" s="84" t="s">
        <v>197</v>
      </c>
      <c r="B2" s="2"/>
      <c r="C2" s="2"/>
      <c r="D2" s="2"/>
      <c r="E2" s="2"/>
      <c r="F2" s="2"/>
      <c r="G2" s="2"/>
      <c r="H2" s="2"/>
      <c r="I2" s="2"/>
      <c r="J2" s="2"/>
      <c r="K2" s="2"/>
      <c r="L2" s="2"/>
      <c r="M2" s="2"/>
      <c r="N2" s="2"/>
      <c r="O2" s="2"/>
      <c r="P2" s="2"/>
      <c r="Q2" s="2"/>
      <c r="R2" s="2"/>
      <c r="S2" s="2"/>
      <c r="T2" s="2"/>
      <c r="U2" s="2"/>
      <c r="V2" s="2"/>
      <c r="W2" s="2"/>
      <c r="X2" s="2"/>
      <c r="Y2" s="2"/>
      <c r="Z2" s="2"/>
      <c r="AA2" s="2"/>
      <c r="AB2" s="2"/>
      <c r="AC2" s="2"/>
      <c r="AD2" s="2"/>
      <c r="AE2" s="3"/>
    </row>
    <row r="3" ht="21.75" customHeight="1">
      <c r="A3" s="85" t="s">
        <v>198</v>
      </c>
      <c r="B3" s="2"/>
      <c r="C3" s="2"/>
      <c r="D3" s="2"/>
      <c r="E3" s="2"/>
      <c r="F3" s="2"/>
      <c r="G3" s="2"/>
      <c r="H3" s="2"/>
      <c r="I3" s="2"/>
      <c r="J3" s="2"/>
      <c r="K3" s="3"/>
      <c r="L3" s="86" t="s">
        <v>199</v>
      </c>
      <c r="M3" s="2"/>
      <c r="N3" s="2"/>
      <c r="O3" s="2"/>
      <c r="P3" s="2"/>
      <c r="Q3" s="3"/>
      <c r="R3" s="87" t="s">
        <v>200</v>
      </c>
      <c r="S3" s="2"/>
      <c r="T3" s="2"/>
      <c r="U3" s="2"/>
      <c r="V3" s="2"/>
      <c r="W3" s="2"/>
      <c r="X3" s="2"/>
      <c r="Y3" s="3"/>
      <c r="Z3" s="88" t="s">
        <v>201</v>
      </c>
      <c r="AA3" s="2"/>
      <c r="AB3" s="2"/>
      <c r="AC3" s="2"/>
      <c r="AD3" s="3"/>
      <c r="AE3" s="89" t="s">
        <v>202</v>
      </c>
    </row>
    <row r="4" ht="21.75" customHeight="1">
      <c r="A4" s="90"/>
      <c r="B4" s="90"/>
      <c r="C4" s="90"/>
      <c r="D4" s="90"/>
      <c r="E4" s="90"/>
      <c r="F4" s="90"/>
      <c r="G4" s="90"/>
      <c r="H4" s="90"/>
      <c r="I4" s="90"/>
      <c r="J4" s="90"/>
      <c r="K4" s="90"/>
      <c r="L4" s="91"/>
      <c r="M4" s="91"/>
      <c r="N4" s="91"/>
      <c r="O4" s="91"/>
      <c r="P4" s="91"/>
      <c r="Q4" s="91"/>
      <c r="R4" s="92"/>
      <c r="S4" s="92"/>
      <c r="T4" s="92"/>
      <c r="U4" s="92"/>
      <c r="V4" s="92"/>
      <c r="W4" s="92"/>
      <c r="X4" s="92"/>
      <c r="Y4" s="92"/>
      <c r="Z4" s="93"/>
      <c r="AA4" s="93"/>
      <c r="AB4" s="93"/>
      <c r="AC4" s="93"/>
      <c r="AD4" s="93"/>
      <c r="AE4" s="94"/>
    </row>
    <row r="5" ht="31.5" customHeight="1">
      <c r="A5" s="95" t="s">
        <v>203</v>
      </c>
      <c r="B5" s="96" t="s">
        <v>204</v>
      </c>
      <c r="C5" s="95" t="s">
        <v>205</v>
      </c>
      <c r="D5" s="95" t="s">
        <v>206</v>
      </c>
      <c r="E5" s="95" t="s">
        <v>207</v>
      </c>
      <c r="F5" s="95" t="s">
        <v>208</v>
      </c>
      <c r="G5" s="95" t="s">
        <v>209</v>
      </c>
      <c r="H5" s="95" t="s">
        <v>210</v>
      </c>
      <c r="I5" s="96" t="s">
        <v>69</v>
      </c>
      <c r="J5" s="95" t="s">
        <v>211</v>
      </c>
      <c r="K5" s="95" t="s">
        <v>212</v>
      </c>
      <c r="L5" s="97" t="s">
        <v>213</v>
      </c>
      <c r="M5" s="97" t="s">
        <v>214</v>
      </c>
      <c r="N5" s="97" t="s">
        <v>215</v>
      </c>
      <c r="O5" s="97" t="s">
        <v>50</v>
      </c>
      <c r="P5" s="97" t="s">
        <v>132</v>
      </c>
      <c r="Q5" s="97" t="s">
        <v>216</v>
      </c>
      <c r="R5" s="98" t="s">
        <v>217</v>
      </c>
      <c r="S5" s="98" t="s">
        <v>218</v>
      </c>
      <c r="T5" s="98" t="s">
        <v>219</v>
      </c>
      <c r="U5" s="98" t="s">
        <v>220</v>
      </c>
      <c r="V5" s="98" t="s">
        <v>221</v>
      </c>
      <c r="W5" s="98" t="s">
        <v>222</v>
      </c>
      <c r="X5" s="98" t="s">
        <v>223</v>
      </c>
      <c r="Y5" s="98" t="s">
        <v>224</v>
      </c>
      <c r="Z5" s="99" t="s">
        <v>225</v>
      </c>
      <c r="AA5" s="99" t="s">
        <v>226</v>
      </c>
      <c r="AB5" s="99" t="s">
        <v>227</v>
      </c>
      <c r="AC5" s="99" t="s">
        <v>134</v>
      </c>
      <c r="AD5" s="99" t="s">
        <v>228</v>
      </c>
      <c r="AE5" s="100" t="s">
        <v>229</v>
      </c>
    </row>
    <row r="6" ht="18.0" customHeight="1">
      <c r="A6" s="101" t="s">
        <v>230</v>
      </c>
      <c r="B6" s="102" t="s">
        <v>231</v>
      </c>
      <c r="C6" s="103" t="s">
        <v>232</v>
      </c>
      <c r="D6" s="103" t="s">
        <v>232</v>
      </c>
      <c r="E6" s="101"/>
      <c r="F6" s="101" t="s">
        <v>232</v>
      </c>
      <c r="G6" s="101" t="s">
        <v>232</v>
      </c>
      <c r="H6" s="104" t="s">
        <v>232</v>
      </c>
      <c r="I6" s="105" t="s">
        <v>232</v>
      </c>
      <c r="J6" s="106" t="s">
        <v>232</v>
      </c>
      <c r="K6" s="101" t="s">
        <v>232</v>
      </c>
      <c r="L6" s="101" t="s">
        <v>233</v>
      </c>
      <c r="M6" s="101" t="s">
        <v>234</v>
      </c>
      <c r="N6" s="101" t="s">
        <v>235</v>
      </c>
      <c r="O6" s="107" t="s">
        <v>236</v>
      </c>
      <c r="P6" s="101" t="s">
        <v>237</v>
      </c>
      <c r="Q6" s="101" t="s">
        <v>238</v>
      </c>
      <c r="R6" s="101" t="s">
        <v>239</v>
      </c>
      <c r="S6" s="101" t="s">
        <v>240</v>
      </c>
      <c r="T6" s="101" t="s">
        <v>241</v>
      </c>
      <c r="U6" s="101" t="s">
        <v>242</v>
      </c>
      <c r="V6" s="101" t="s">
        <v>243</v>
      </c>
      <c r="W6" s="101" t="s">
        <v>244</v>
      </c>
      <c r="X6" s="101" t="s">
        <v>245</v>
      </c>
      <c r="Y6" s="101" t="s">
        <v>246</v>
      </c>
      <c r="Z6" s="101" t="s">
        <v>247</v>
      </c>
      <c r="AA6" s="101" t="s">
        <v>248</v>
      </c>
      <c r="AB6" s="101" t="s">
        <v>249</v>
      </c>
      <c r="AC6" s="101" t="s">
        <v>250</v>
      </c>
      <c r="AD6" s="101" t="s">
        <v>251</v>
      </c>
      <c r="AE6" s="101" t="s">
        <v>252</v>
      </c>
    </row>
    <row r="7" ht="18.0" customHeight="1">
      <c r="A7" s="108" t="str">
        <f t="shared" ref="A7:A246" si="1">IF(C7&lt;&gt;"","AYA-"&amp;TEXT(ROW()-5,"000"),"")</f>
        <v>AYA-002</v>
      </c>
      <c r="B7" s="109">
        <v>37444.93125</v>
      </c>
      <c r="C7" s="110" t="s">
        <v>253</v>
      </c>
      <c r="D7" s="110" t="s">
        <v>254</v>
      </c>
      <c r="E7" s="111"/>
      <c r="F7" s="111" t="s">
        <v>255</v>
      </c>
      <c r="G7" s="111" t="s">
        <v>256</v>
      </c>
      <c r="H7" s="111"/>
      <c r="I7" s="112"/>
      <c r="J7" s="111" t="s">
        <v>160</v>
      </c>
      <c r="K7" s="111" t="s">
        <v>257</v>
      </c>
      <c r="L7" s="111"/>
      <c r="M7" s="113">
        <v>37444.93125</v>
      </c>
      <c r="N7" s="111" t="s">
        <v>189</v>
      </c>
      <c r="O7" s="114"/>
      <c r="P7" s="111"/>
      <c r="Q7" s="111" t="s">
        <v>173</v>
      </c>
      <c r="R7" s="112"/>
      <c r="S7" s="112"/>
      <c r="T7" s="112"/>
      <c r="U7" s="112"/>
      <c r="V7" s="112"/>
      <c r="W7" s="112"/>
      <c r="X7" s="111"/>
      <c r="Y7" s="111" t="s">
        <v>258</v>
      </c>
      <c r="Z7" s="115">
        <f t="shared" ref="Z7:Z180" si="2">IF(C7="","",(IF(OR(P7="Data Annotation",P7="GenAI / LLM Eval",P7="Medical Annotation"),25,IF(OR(P7="AI Consulting",P7="Data Collection"),18,IF(P7&lt;&gt;"",10,0)))+IF(AND(K7&lt;&gt;"",LEN(K7)&gt;50,T7&lt;&gt;""),20,IF(AND(K7&lt;&gt;"",LEN(K7)&gt;20),12,IF(K7&lt;&gt;"",5,0)))+IF(OR(U7="$100k–$500k",U7="$500k+"),20,IF(OR(U7="$25k–$100k"),15,IF(OR(U7="$5k–$25k"),10,IF(U7="$1k–$5k",5,0))))+IF(AND(G7&lt;&gt;"",G7&lt;&gt;"-"),15,IF(G7&lt;&gt;"",8,0))+IF(V7="Immediate (this month)",10,IF(V7="Short-term (1–3 months)",7,IF(V7="Medium (3–6 months)",4,0)))+IF(W7="Yes",10,IF(W7="Unclear",5,0))))</f>
        <v>20</v>
      </c>
      <c r="AA7" s="116" t="str">
        <f t="shared" ref="AA7:AA180" si="3">IF(Z7="","",IF(Z7&gt;=75,"A",IF(Z7&gt;=50,"B",IF(Z7&gt;=25,"C","D"))))</f>
        <v>D</v>
      </c>
      <c r="AB7" s="117" t="str">
        <f t="shared" ref="AB7:AB180" si="4">IF(C7="","",IF(AND(R7&lt;&gt;"",S7&lt;&gt;"",U7&lt;&gt;"",V7&lt;&gt;"",W7&lt;&gt;""),"✓ Complete","⚠ MISSING: "&amp;IF(R7="","Call Date, ","")&amp;IF(S7="","Modality, ","")&amp;IF(U7="","Budget, ","")&amp;IF(V7="","Timeline, ","")&amp;IF(W7="","Decision Maker","")))</f>
        <v>⚠ MISSING: Call Date, Modality, Budget, Timeline, Decision Maker</v>
      </c>
      <c r="AC7" s="111" t="s">
        <v>259</v>
      </c>
      <c r="AD7" s="111" t="s">
        <v>189</v>
      </c>
      <c r="AE7" s="112"/>
    </row>
    <row r="8" ht="18.0" customHeight="1">
      <c r="A8" s="118" t="str">
        <f t="shared" si="1"/>
        <v>AYA-003</v>
      </c>
      <c r="B8" s="109">
        <v>45069.0</v>
      </c>
      <c r="C8" s="119" t="s">
        <v>260</v>
      </c>
      <c r="D8" s="119" t="s">
        <v>261</v>
      </c>
      <c r="E8" s="120"/>
      <c r="F8" s="121" t="s">
        <v>262</v>
      </c>
      <c r="G8" s="112" t="s">
        <v>263</v>
      </c>
      <c r="H8" s="112" t="s">
        <v>264</v>
      </c>
      <c r="I8" s="112"/>
      <c r="J8" s="112" t="s">
        <v>159</v>
      </c>
      <c r="K8" s="112" t="s">
        <v>265</v>
      </c>
      <c r="L8" s="122" t="s">
        <v>149</v>
      </c>
      <c r="M8" s="123">
        <v>45069.0</v>
      </c>
      <c r="N8" s="114" t="s">
        <v>266</v>
      </c>
      <c r="O8" s="114" t="s">
        <v>267</v>
      </c>
      <c r="P8" s="114"/>
      <c r="Q8" s="114" t="s">
        <v>173</v>
      </c>
      <c r="R8" s="124"/>
      <c r="S8" s="114"/>
      <c r="T8" s="112"/>
      <c r="U8" s="114"/>
      <c r="V8" s="114"/>
      <c r="W8" s="114"/>
      <c r="X8" s="114"/>
      <c r="Y8" s="112" t="s">
        <v>268</v>
      </c>
      <c r="Z8" s="125">
        <f t="shared" si="2"/>
        <v>27</v>
      </c>
      <c r="AA8" s="126" t="str">
        <f t="shared" si="3"/>
        <v>C</v>
      </c>
      <c r="AB8" s="117" t="str">
        <f t="shared" si="4"/>
        <v>⚠ MISSING: Call Date, Modality, Budget, Timeline, Decision Maker</v>
      </c>
      <c r="AC8" s="114" t="s">
        <v>103</v>
      </c>
      <c r="AD8" s="112"/>
      <c r="AE8" s="123"/>
    </row>
    <row r="9" ht="18.0" customHeight="1">
      <c r="A9" s="127" t="str">
        <f t="shared" si="1"/>
        <v>AYA-004</v>
      </c>
      <c r="B9" s="128">
        <v>45101.0</v>
      </c>
      <c r="C9" s="129" t="s">
        <v>269</v>
      </c>
      <c r="D9" s="129" t="s">
        <v>270</v>
      </c>
      <c r="E9" s="130"/>
      <c r="F9" s="131" t="s">
        <v>271</v>
      </c>
      <c r="G9" s="132" t="s">
        <v>272</v>
      </c>
      <c r="H9" s="132"/>
      <c r="I9" s="132"/>
      <c r="J9" s="132" t="s">
        <v>163</v>
      </c>
      <c r="K9" s="132" t="s">
        <v>273</v>
      </c>
      <c r="L9" s="133" t="s">
        <v>148</v>
      </c>
      <c r="M9" s="134">
        <v>45101.0</v>
      </c>
      <c r="N9" s="135" t="s">
        <v>266</v>
      </c>
      <c r="O9" s="135" t="s">
        <v>267</v>
      </c>
      <c r="P9" s="135" t="s">
        <v>274</v>
      </c>
      <c r="Q9" s="135" t="s">
        <v>173</v>
      </c>
      <c r="R9" s="134"/>
      <c r="S9" s="135"/>
      <c r="T9" s="132"/>
      <c r="U9" s="135"/>
      <c r="V9" s="135"/>
      <c r="W9" s="135"/>
      <c r="X9" s="135" t="s">
        <v>59</v>
      </c>
      <c r="Y9" s="132" t="s">
        <v>275</v>
      </c>
      <c r="Z9" s="136">
        <f t="shared" si="2"/>
        <v>37</v>
      </c>
      <c r="AA9" s="137" t="str">
        <f t="shared" si="3"/>
        <v>C</v>
      </c>
      <c r="AB9" s="138" t="str">
        <f t="shared" si="4"/>
        <v>⚠ MISSING: Call Date, Modality, Budget, Timeline, Decision Maker</v>
      </c>
      <c r="AC9" s="135" t="s">
        <v>101</v>
      </c>
      <c r="AD9" s="132"/>
      <c r="AE9" s="134"/>
    </row>
    <row r="10" ht="18.0" customHeight="1">
      <c r="A10" s="118" t="str">
        <f t="shared" si="1"/>
        <v>AYA-005</v>
      </c>
      <c r="B10" s="109">
        <v>45436.0</v>
      </c>
      <c r="C10" s="119" t="s">
        <v>276</v>
      </c>
      <c r="D10" s="119" t="s">
        <v>277</v>
      </c>
      <c r="E10" s="120"/>
      <c r="F10" s="121" t="s">
        <v>278</v>
      </c>
      <c r="G10" s="112" t="s">
        <v>279</v>
      </c>
      <c r="H10" s="112"/>
      <c r="I10" s="112"/>
      <c r="J10" s="112" t="s">
        <v>159</v>
      </c>
      <c r="K10" s="112" t="s">
        <v>280</v>
      </c>
      <c r="L10" s="122" t="s">
        <v>67</v>
      </c>
      <c r="M10" s="123"/>
      <c r="N10" s="114"/>
      <c r="O10" s="114" t="s">
        <v>267</v>
      </c>
      <c r="P10" s="114" t="s">
        <v>281</v>
      </c>
      <c r="Q10" s="114" t="s">
        <v>173</v>
      </c>
      <c r="R10" s="123"/>
      <c r="S10" s="114"/>
      <c r="T10" s="112"/>
      <c r="U10" s="114"/>
      <c r="V10" s="114"/>
      <c r="W10" s="114"/>
      <c r="X10" s="114"/>
      <c r="Y10" s="112"/>
      <c r="Z10" s="125">
        <f t="shared" si="2"/>
        <v>37</v>
      </c>
      <c r="AA10" s="126" t="str">
        <f t="shared" si="3"/>
        <v>C</v>
      </c>
      <c r="AB10" s="117" t="str">
        <f t="shared" si="4"/>
        <v>⚠ MISSING: Call Date, Modality, Budget, Timeline, Decision Maker</v>
      </c>
      <c r="AC10" s="114" t="s">
        <v>100</v>
      </c>
      <c r="AD10" s="112"/>
      <c r="AE10" s="123"/>
    </row>
    <row r="11" ht="18.0" customHeight="1">
      <c r="A11" s="127" t="str">
        <f t="shared" si="1"/>
        <v>AYA-006</v>
      </c>
      <c r="B11" s="128">
        <v>45608.0</v>
      </c>
      <c r="C11" s="129" t="s">
        <v>282</v>
      </c>
      <c r="D11" s="129" t="s">
        <v>283</v>
      </c>
      <c r="E11" s="130"/>
      <c r="F11" s="131" t="s">
        <v>284</v>
      </c>
      <c r="G11" s="132" t="s">
        <v>285</v>
      </c>
      <c r="H11" s="132"/>
      <c r="I11" s="132"/>
      <c r="J11" s="132"/>
      <c r="K11" s="132" t="s">
        <v>286</v>
      </c>
      <c r="L11" s="133" t="s">
        <v>151</v>
      </c>
      <c r="M11" s="134"/>
      <c r="N11" s="135"/>
      <c r="O11" s="135" t="s">
        <v>267</v>
      </c>
      <c r="P11" s="135" t="s">
        <v>287</v>
      </c>
      <c r="Q11" s="135" t="s">
        <v>173</v>
      </c>
      <c r="R11" s="134"/>
      <c r="S11" s="135"/>
      <c r="T11" s="132"/>
      <c r="U11" s="135"/>
      <c r="V11" s="135"/>
      <c r="W11" s="135"/>
      <c r="X11" s="135"/>
      <c r="Y11" s="132"/>
      <c r="Z11" s="136">
        <f t="shared" si="2"/>
        <v>37</v>
      </c>
      <c r="AA11" s="137" t="str">
        <f t="shared" si="3"/>
        <v>C</v>
      </c>
      <c r="AB11" s="138" t="str">
        <f t="shared" si="4"/>
        <v>⚠ MISSING: Call Date, Modality, Budget, Timeline, Decision Maker</v>
      </c>
      <c r="AC11" s="135" t="s">
        <v>100</v>
      </c>
      <c r="AD11" s="132"/>
      <c r="AE11" s="134"/>
    </row>
    <row r="12" ht="18.0" customHeight="1">
      <c r="A12" s="118" t="str">
        <f t="shared" si="1"/>
        <v>AYA-007</v>
      </c>
      <c r="B12" s="109">
        <v>45608.0</v>
      </c>
      <c r="C12" s="119" t="s">
        <v>288</v>
      </c>
      <c r="D12" s="119" t="s">
        <v>289</v>
      </c>
      <c r="E12" s="120"/>
      <c r="F12" s="121" t="s">
        <v>290</v>
      </c>
      <c r="G12" s="112" t="s">
        <v>291</v>
      </c>
      <c r="H12" s="112"/>
      <c r="I12" s="112"/>
      <c r="J12" s="112"/>
      <c r="K12" s="112" t="s">
        <v>292</v>
      </c>
      <c r="L12" s="122" t="s">
        <v>151</v>
      </c>
      <c r="M12" s="123"/>
      <c r="N12" s="114"/>
      <c r="O12" s="114" t="s">
        <v>267</v>
      </c>
      <c r="P12" s="114" t="s">
        <v>281</v>
      </c>
      <c r="Q12" s="114" t="s">
        <v>173</v>
      </c>
      <c r="R12" s="123"/>
      <c r="S12" s="114"/>
      <c r="T12" s="112"/>
      <c r="U12" s="114"/>
      <c r="V12" s="114"/>
      <c r="W12" s="114"/>
      <c r="X12" s="114"/>
      <c r="Y12" s="112"/>
      <c r="Z12" s="125">
        <f t="shared" si="2"/>
        <v>37</v>
      </c>
      <c r="AA12" s="126" t="str">
        <f t="shared" si="3"/>
        <v>C</v>
      </c>
      <c r="AB12" s="117" t="str">
        <f t="shared" si="4"/>
        <v>⚠ MISSING: Call Date, Modality, Budget, Timeline, Decision Maker</v>
      </c>
      <c r="AC12" s="114" t="s">
        <v>100</v>
      </c>
      <c r="AD12" s="112"/>
      <c r="AE12" s="123"/>
    </row>
    <row r="13" ht="18.0" customHeight="1">
      <c r="A13" s="127" t="str">
        <f t="shared" si="1"/>
        <v>AYA-008</v>
      </c>
      <c r="B13" s="128">
        <v>45608.0</v>
      </c>
      <c r="C13" s="129" t="s">
        <v>293</v>
      </c>
      <c r="D13" s="129" t="s">
        <v>294</v>
      </c>
      <c r="E13" s="130"/>
      <c r="F13" s="131" t="s">
        <v>295</v>
      </c>
      <c r="G13" s="132"/>
      <c r="H13" s="132"/>
      <c r="I13" s="132"/>
      <c r="J13" s="132"/>
      <c r="K13" s="132" t="s">
        <v>296</v>
      </c>
      <c r="L13" s="133" t="s">
        <v>152</v>
      </c>
      <c r="M13" s="134"/>
      <c r="N13" s="135"/>
      <c r="O13" s="135" t="s">
        <v>297</v>
      </c>
      <c r="P13" s="135"/>
      <c r="Q13" s="135" t="s">
        <v>173</v>
      </c>
      <c r="R13" s="134"/>
      <c r="S13" s="135"/>
      <c r="T13" s="132"/>
      <c r="U13" s="135"/>
      <c r="V13" s="135"/>
      <c r="W13" s="135"/>
      <c r="X13" s="135"/>
      <c r="Y13" s="132"/>
      <c r="Z13" s="136">
        <f t="shared" si="2"/>
        <v>12</v>
      </c>
      <c r="AA13" s="137" t="str">
        <f t="shared" si="3"/>
        <v>D</v>
      </c>
      <c r="AB13" s="138" t="str">
        <f t="shared" si="4"/>
        <v>⚠ MISSING: Call Date, Modality, Budget, Timeline, Decision Maker</v>
      </c>
      <c r="AC13" s="135" t="s">
        <v>100</v>
      </c>
      <c r="AD13" s="132"/>
      <c r="AE13" s="134"/>
    </row>
    <row r="14" ht="18.0" customHeight="1">
      <c r="A14" s="118" t="str">
        <f t="shared" si="1"/>
        <v>AYA-009</v>
      </c>
      <c r="B14" s="109">
        <v>45615.0</v>
      </c>
      <c r="C14" s="119" t="s">
        <v>298</v>
      </c>
      <c r="D14" s="119" t="s">
        <v>299</v>
      </c>
      <c r="E14" s="120"/>
      <c r="F14" s="121" t="s">
        <v>300</v>
      </c>
      <c r="G14" s="112" t="s">
        <v>301</v>
      </c>
      <c r="H14" s="112"/>
      <c r="I14" s="112"/>
      <c r="J14" s="112"/>
      <c r="K14" s="112" t="s">
        <v>302</v>
      </c>
      <c r="L14" s="122" t="s">
        <v>151</v>
      </c>
      <c r="M14" s="123"/>
      <c r="N14" s="114"/>
      <c r="O14" s="114" t="s">
        <v>297</v>
      </c>
      <c r="P14" s="114" t="s">
        <v>303</v>
      </c>
      <c r="Q14" s="114" t="s">
        <v>173</v>
      </c>
      <c r="R14" s="123"/>
      <c r="S14" s="114"/>
      <c r="T14" s="112"/>
      <c r="U14" s="114"/>
      <c r="V14" s="114"/>
      <c r="W14" s="114"/>
      <c r="X14" s="114"/>
      <c r="Y14" s="112"/>
      <c r="Z14" s="125">
        <f t="shared" si="2"/>
        <v>37</v>
      </c>
      <c r="AA14" s="126" t="str">
        <f t="shared" si="3"/>
        <v>C</v>
      </c>
      <c r="AB14" s="117" t="str">
        <f t="shared" si="4"/>
        <v>⚠ MISSING: Call Date, Modality, Budget, Timeline, Decision Maker</v>
      </c>
      <c r="AC14" s="114" t="s">
        <v>100</v>
      </c>
      <c r="AD14" s="112"/>
      <c r="AE14" s="123"/>
    </row>
    <row r="15" ht="18.0" customHeight="1">
      <c r="A15" s="127" t="str">
        <f t="shared" si="1"/>
        <v>AYA-010</v>
      </c>
      <c r="B15" s="128">
        <v>45617.92430555556</v>
      </c>
      <c r="C15" s="129" t="s">
        <v>304</v>
      </c>
      <c r="D15" s="129" t="s">
        <v>305</v>
      </c>
      <c r="E15" s="130"/>
      <c r="F15" s="131" t="s">
        <v>306</v>
      </c>
      <c r="G15" s="132" t="s">
        <v>307</v>
      </c>
      <c r="H15" s="132"/>
      <c r="I15" s="132"/>
      <c r="J15" s="132" t="s">
        <v>160</v>
      </c>
      <c r="K15" s="132" t="s">
        <v>308</v>
      </c>
      <c r="L15" s="133"/>
      <c r="M15" s="134">
        <v>45617.92430555556</v>
      </c>
      <c r="N15" s="135" t="s">
        <v>189</v>
      </c>
      <c r="O15" s="135"/>
      <c r="P15" s="135" t="s">
        <v>274</v>
      </c>
      <c r="Q15" s="135" t="s">
        <v>173</v>
      </c>
      <c r="R15" s="134"/>
      <c r="S15" s="135"/>
      <c r="T15" s="132"/>
      <c r="U15" s="135"/>
      <c r="V15" s="135"/>
      <c r="W15" s="135"/>
      <c r="X15" s="135"/>
      <c r="Y15" s="132" t="s">
        <v>258</v>
      </c>
      <c r="Z15" s="136">
        <f t="shared" si="2"/>
        <v>30</v>
      </c>
      <c r="AA15" s="137" t="str">
        <f t="shared" si="3"/>
        <v>C</v>
      </c>
      <c r="AB15" s="138" t="str">
        <f t="shared" si="4"/>
        <v>⚠ MISSING: Call Date, Modality, Budget, Timeline, Decision Maker</v>
      </c>
      <c r="AC15" s="135" t="s">
        <v>259</v>
      </c>
      <c r="AD15" s="132" t="s">
        <v>189</v>
      </c>
      <c r="AE15" s="134"/>
    </row>
    <row r="16" ht="18.0" customHeight="1">
      <c r="A16" s="118" t="str">
        <f t="shared" si="1"/>
        <v>AYA-011</v>
      </c>
      <c r="B16" s="109">
        <v>45628.29583333333</v>
      </c>
      <c r="C16" s="119" t="s">
        <v>309</v>
      </c>
      <c r="D16" s="119" t="s">
        <v>310</v>
      </c>
      <c r="E16" s="120"/>
      <c r="F16" s="121" t="s">
        <v>311</v>
      </c>
      <c r="G16" s="112" t="s">
        <v>312</v>
      </c>
      <c r="H16" s="112"/>
      <c r="I16" s="112"/>
      <c r="J16" s="112" t="s">
        <v>160</v>
      </c>
      <c r="K16" s="112" t="s">
        <v>313</v>
      </c>
      <c r="L16" s="122"/>
      <c r="M16" s="123">
        <v>45628.29583333333</v>
      </c>
      <c r="N16" s="114" t="s">
        <v>189</v>
      </c>
      <c r="O16" s="114"/>
      <c r="P16" s="114"/>
      <c r="Q16" s="114" t="s">
        <v>173</v>
      </c>
      <c r="R16" s="123"/>
      <c r="S16" s="114"/>
      <c r="T16" s="112"/>
      <c r="U16" s="114"/>
      <c r="V16" s="114"/>
      <c r="W16" s="114"/>
      <c r="X16" s="114"/>
      <c r="Y16" s="112" t="s">
        <v>258</v>
      </c>
      <c r="Z16" s="125">
        <f t="shared" si="2"/>
        <v>20</v>
      </c>
      <c r="AA16" s="126" t="str">
        <f t="shared" si="3"/>
        <v>D</v>
      </c>
      <c r="AB16" s="117" t="str">
        <f t="shared" si="4"/>
        <v>⚠ MISSING: Call Date, Modality, Budget, Timeline, Decision Maker</v>
      </c>
      <c r="AC16" s="114" t="s">
        <v>259</v>
      </c>
      <c r="AD16" s="112" t="s">
        <v>189</v>
      </c>
      <c r="AE16" s="123"/>
    </row>
    <row r="17" ht="18.0" customHeight="1">
      <c r="A17" s="127" t="str">
        <f t="shared" si="1"/>
        <v>AYA-012</v>
      </c>
      <c r="B17" s="128">
        <v>45630.0</v>
      </c>
      <c r="C17" s="129" t="s">
        <v>314</v>
      </c>
      <c r="D17" s="129" t="s">
        <v>315</v>
      </c>
      <c r="E17" s="130"/>
      <c r="F17" s="131" t="s">
        <v>316</v>
      </c>
      <c r="G17" s="132"/>
      <c r="H17" s="132"/>
      <c r="I17" s="132"/>
      <c r="J17" s="132"/>
      <c r="K17" s="132" t="s">
        <v>317</v>
      </c>
      <c r="L17" s="133" t="s">
        <v>151</v>
      </c>
      <c r="M17" s="134"/>
      <c r="N17" s="135"/>
      <c r="O17" s="135" t="s">
        <v>297</v>
      </c>
      <c r="P17" s="135"/>
      <c r="Q17" s="135" t="s">
        <v>173</v>
      </c>
      <c r="R17" s="134"/>
      <c r="S17" s="135"/>
      <c r="T17" s="132"/>
      <c r="U17" s="135"/>
      <c r="V17" s="135"/>
      <c r="W17" s="135"/>
      <c r="X17" s="135"/>
      <c r="Y17" s="132"/>
      <c r="Z17" s="136">
        <f t="shared" si="2"/>
        <v>12</v>
      </c>
      <c r="AA17" s="137" t="str">
        <f t="shared" si="3"/>
        <v>D</v>
      </c>
      <c r="AB17" s="138" t="str">
        <f t="shared" si="4"/>
        <v>⚠ MISSING: Call Date, Modality, Budget, Timeline, Decision Maker</v>
      </c>
      <c r="AC17" s="135" t="s">
        <v>100</v>
      </c>
      <c r="AD17" s="132"/>
      <c r="AE17" s="134"/>
    </row>
    <row r="18" ht="18.0" customHeight="1">
      <c r="A18" s="118" t="str">
        <f t="shared" si="1"/>
        <v>AYA-013</v>
      </c>
      <c r="B18" s="109">
        <v>45644.0</v>
      </c>
      <c r="C18" s="119" t="s">
        <v>318</v>
      </c>
      <c r="D18" s="119" t="s">
        <v>319</v>
      </c>
      <c r="E18" s="120"/>
      <c r="F18" s="121" t="s">
        <v>320</v>
      </c>
      <c r="G18" s="112" t="s">
        <v>321</v>
      </c>
      <c r="H18" s="112"/>
      <c r="I18" s="112"/>
      <c r="J18" s="112"/>
      <c r="K18" s="112" t="s">
        <v>322</v>
      </c>
      <c r="L18" s="122" t="s">
        <v>151</v>
      </c>
      <c r="M18" s="123"/>
      <c r="N18" s="114"/>
      <c r="O18" s="114" t="s">
        <v>267</v>
      </c>
      <c r="P18" s="114" t="s">
        <v>274</v>
      </c>
      <c r="Q18" s="114" t="s">
        <v>173</v>
      </c>
      <c r="R18" s="123"/>
      <c r="S18" s="114"/>
      <c r="T18" s="112"/>
      <c r="U18" s="114"/>
      <c r="V18" s="114"/>
      <c r="W18" s="114"/>
      <c r="X18" s="114"/>
      <c r="Y18" s="112"/>
      <c r="Z18" s="125">
        <f t="shared" si="2"/>
        <v>37</v>
      </c>
      <c r="AA18" s="126" t="str">
        <f t="shared" si="3"/>
        <v>C</v>
      </c>
      <c r="AB18" s="117" t="str">
        <f t="shared" si="4"/>
        <v>⚠ MISSING: Call Date, Modality, Budget, Timeline, Decision Maker</v>
      </c>
      <c r="AC18" s="114" t="s">
        <v>100</v>
      </c>
      <c r="AD18" s="112"/>
      <c r="AE18" s="123"/>
    </row>
    <row r="19" ht="18.0" customHeight="1">
      <c r="A19" s="127" t="str">
        <f t="shared" si="1"/>
        <v>AYA-014</v>
      </c>
      <c r="B19" s="128">
        <v>45664.61180555556</v>
      </c>
      <c r="C19" s="129" t="s">
        <v>323</v>
      </c>
      <c r="D19" s="129" t="s">
        <v>324</v>
      </c>
      <c r="E19" s="130"/>
      <c r="F19" s="131" t="s">
        <v>325</v>
      </c>
      <c r="G19" s="132" t="s">
        <v>326</v>
      </c>
      <c r="H19" s="132"/>
      <c r="I19" s="132"/>
      <c r="J19" s="132" t="s">
        <v>160</v>
      </c>
      <c r="K19" s="132"/>
      <c r="L19" s="133"/>
      <c r="M19" s="134">
        <v>45664.61180555556</v>
      </c>
      <c r="N19" s="135" t="s">
        <v>189</v>
      </c>
      <c r="O19" s="135"/>
      <c r="P19" s="135" t="s">
        <v>281</v>
      </c>
      <c r="Q19" s="135" t="s">
        <v>173</v>
      </c>
      <c r="R19" s="134"/>
      <c r="S19" s="135"/>
      <c r="T19" s="132"/>
      <c r="U19" s="135"/>
      <c r="V19" s="135"/>
      <c r="W19" s="135"/>
      <c r="X19" s="135"/>
      <c r="Y19" s="132" t="s">
        <v>258</v>
      </c>
      <c r="Z19" s="136">
        <f t="shared" si="2"/>
        <v>25</v>
      </c>
      <c r="AA19" s="137" t="str">
        <f t="shared" si="3"/>
        <v>C</v>
      </c>
      <c r="AB19" s="138" t="str">
        <f t="shared" si="4"/>
        <v>⚠ MISSING: Call Date, Modality, Budget, Timeline, Decision Maker</v>
      </c>
      <c r="AC19" s="135" t="s">
        <v>259</v>
      </c>
      <c r="AD19" s="132" t="s">
        <v>189</v>
      </c>
      <c r="AE19" s="134"/>
    </row>
    <row r="20" ht="18.0" customHeight="1">
      <c r="A20" s="118" t="str">
        <f t="shared" si="1"/>
        <v>AYA-015</v>
      </c>
      <c r="B20" s="109">
        <v>45666.0</v>
      </c>
      <c r="C20" s="119" t="s">
        <v>327</v>
      </c>
      <c r="D20" s="119" t="s">
        <v>328</v>
      </c>
      <c r="E20" s="120"/>
      <c r="F20" s="121" t="s">
        <v>329</v>
      </c>
      <c r="G20" s="112" t="s">
        <v>330</v>
      </c>
      <c r="H20" s="112"/>
      <c r="I20" s="112"/>
      <c r="J20" s="112"/>
      <c r="K20" s="112" t="s">
        <v>331</v>
      </c>
      <c r="L20" s="122" t="s">
        <v>148</v>
      </c>
      <c r="M20" s="123">
        <v>45666.0</v>
      </c>
      <c r="N20" s="114"/>
      <c r="O20" s="114" t="s">
        <v>267</v>
      </c>
      <c r="P20" s="114"/>
      <c r="Q20" s="114" t="s">
        <v>173</v>
      </c>
      <c r="R20" s="123"/>
      <c r="S20" s="114"/>
      <c r="T20" s="112"/>
      <c r="U20" s="114"/>
      <c r="V20" s="114"/>
      <c r="W20" s="114"/>
      <c r="X20" s="114" t="s">
        <v>59</v>
      </c>
      <c r="Y20" s="112" t="s">
        <v>332</v>
      </c>
      <c r="Z20" s="125">
        <f t="shared" si="2"/>
        <v>27</v>
      </c>
      <c r="AA20" s="126" t="str">
        <f t="shared" si="3"/>
        <v>C</v>
      </c>
      <c r="AB20" s="117" t="str">
        <f t="shared" si="4"/>
        <v>⚠ MISSING: Call Date, Modality, Budget, Timeline, Decision Maker</v>
      </c>
      <c r="AC20" s="114" t="s">
        <v>333</v>
      </c>
      <c r="AD20" s="112" t="s">
        <v>191</v>
      </c>
      <c r="AE20" s="123"/>
    </row>
    <row r="21" ht="18.0" customHeight="1">
      <c r="A21" s="127" t="str">
        <f t="shared" si="1"/>
        <v>AYA-016</v>
      </c>
      <c r="B21" s="128">
        <v>45666.23541666667</v>
      </c>
      <c r="C21" s="129" t="s">
        <v>334</v>
      </c>
      <c r="D21" s="129" t="s">
        <v>335</v>
      </c>
      <c r="E21" s="130"/>
      <c r="F21" s="131" t="s">
        <v>336</v>
      </c>
      <c r="G21" s="132" t="s">
        <v>337</v>
      </c>
      <c r="H21" s="132"/>
      <c r="I21" s="132"/>
      <c r="J21" s="132" t="s">
        <v>160</v>
      </c>
      <c r="K21" s="132"/>
      <c r="L21" s="133"/>
      <c r="M21" s="134">
        <v>45666.23541666667</v>
      </c>
      <c r="N21" s="135" t="s">
        <v>189</v>
      </c>
      <c r="O21" s="135"/>
      <c r="P21" s="135" t="s">
        <v>281</v>
      </c>
      <c r="Q21" s="135" t="s">
        <v>173</v>
      </c>
      <c r="R21" s="134"/>
      <c r="S21" s="135"/>
      <c r="T21" s="132"/>
      <c r="U21" s="135"/>
      <c r="V21" s="135"/>
      <c r="W21" s="135"/>
      <c r="X21" s="135"/>
      <c r="Y21" s="132" t="s">
        <v>258</v>
      </c>
      <c r="Z21" s="136">
        <f t="shared" si="2"/>
        <v>25</v>
      </c>
      <c r="AA21" s="137" t="str">
        <f t="shared" si="3"/>
        <v>C</v>
      </c>
      <c r="AB21" s="138" t="str">
        <f t="shared" si="4"/>
        <v>⚠ MISSING: Call Date, Modality, Budget, Timeline, Decision Maker</v>
      </c>
      <c r="AC21" s="135" t="s">
        <v>259</v>
      </c>
      <c r="AD21" s="132" t="s">
        <v>189</v>
      </c>
      <c r="AE21" s="134"/>
    </row>
    <row r="22" ht="18.0" customHeight="1">
      <c r="A22" s="118" t="str">
        <f t="shared" si="1"/>
        <v>AYA-017</v>
      </c>
      <c r="B22" s="109">
        <v>45669.66666666666</v>
      </c>
      <c r="C22" s="119" t="s">
        <v>338</v>
      </c>
      <c r="D22" s="119" t="s">
        <v>339</v>
      </c>
      <c r="E22" s="120"/>
      <c r="F22" s="121" t="s">
        <v>340</v>
      </c>
      <c r="G22" s="112" t="s">
        <v>341</v>
      </c>
      <c r="H22" s="112"/>
      <c r="I22" s="112"/>
      <c r="J22" s="112" t="s">
        <v>160</v>
      </c>
      <c r="K22" s="112"/>
      <c r="L22" s="122"/>
      <c r="M22" s="123">
        <v>45669.66666666666</v>
      </c>
      <c r="N22" s="114" t="s">
        <v>342</v>
      </c>
      <c r="O22" s="114"/>
      <c r="P22" s="114"/>
      <c r="Q22" s="114" t="s">
        <v>173</v>
      </c>
      <c r="R22" s="123"/>
      <c r="S22" s="114"/>
      <c r="T22" s="112"/>
      <c r="U22" s="114"/>
      <c r="V22" s="114"/>
      <c r="W22" s="114"/>
      <c r="X22" s="114"/>
      <c r="Y22" s="112" t="s">
        <v>343</v>
      </c>
      <c r="Z22" s="125">
        <f t="shared" si="2"/>
        <v>15</v>
      </c>
      <c r="AA22" s="126" t="str">
        <f t="shared" si="3"/>
        <v>D</v>
      </c>
      <c r="AB22" s="117" t="str">
        <f t="shared" si="4"/>
        <v>⚠ MISSING: Call Date, Modality, Budget, Timeline, Decision Maker</v>
      </c>
      <c r="AC22" s="114" t="s">
        <v>344</v>
      </c>
      <c r="AD22" s="112" t="s">
        <v>345</v>
      </c>
      <c r="AE22" s="123"/>
    </row>
    <row r="23" ht="18.0" customHeight="1">
      <c r="A23" s="127" t="str">
        <f t="shared" si="1"/>
        <v>AYA-018</v>
      </c>
      <c r="B23" s="128">
        <v>45670.0</v>
      </c>
      <c r="C23" s="129" t="s">
        <v>346</v>
      </c>
      <c r="D23" s="129" t="s">
        <v>347</v>
      </c>
      <c r="E23" s="130"/>
      <c r="F23" s="131" t="s">
        <v>348</v>
      </c>
      <c r="G23" s="132" t="s">
        <v>349</v>
      </c>
      <c r="H23" s="132"/>
      <c r="I23" s="132"/>
      <c r="J23" s="132"/>
      <c r="K23" s="132" t="s">
        <v>350</v>
      </c>
      <c r="L23" s="133" t="s">
        <v>149</v>
      </c>
      <c r="M23" s="134">
        <v>45670.0</v>
      </c>
      <c r="N23" s="135"/>
      <c r="O23" s="135" t="s">
        <v>267</v>
      </c>
      <c r="P23" s="135"/>
      <c r="Q23" s="135" t="s">
        <v>173</v>
      </c>
      <c r="R23" s="134"/>
      <c r="S23" s="135"/>
      <c r="T23" s="132"/>
      <c r="U23" s="135"/>
      <c r="V23" s="135"/>
      <c r="W23" s="135"/>
      <c r="X23" s="135"/>
      <c r="Y23" s="132" t="s">
        <v>351</v>
      </c>
      <c r="Z23" s="136">
        <f t="shared" si="2"/>
        <v>27</v>
      </c>
      <c r="AA23" s="137" t="str">
        <f t="shared" si="3"/>
        <v>C</v>
      </c>
      <c r="AB23" s="138" t="str">
        <f t="shared" si="4"/>
        <v>⚠ MISSING: Call Date, Modality, Budget, Timeline, Decision Maker</v>
      </c>
      <c r="AC23" s="135" t="s">
        <v>333</v>
      </c>
      <c r="AD23" s="132" t="s">
        <v>191</v>
      </c>
      <c r="AE23" s="134"/>
    </row>
    <row r="24" ht="18.0" customHeight="1">
      <c r="A24" s="118" t="str">
        <f t="shared" si="1"/>
        <v>AYA-019</v>
      </c>
      <c r="B24" s="109">
        <v>45670.375</v>
      </c>
      <c r="C24" s="119" t="s">
        <v>352</v>
      </c>
      <c r="D24" s="119" t="s">
        <v>353</v>
      </c>
      <c r="E24" s="120"/>
      <c r="F24" s="121" t="s">
        <v>354</v>
      </c>
      <c r="G24" s="112" t="s">
        <v>355</v>
      </c>
      <c r="H24" s="112"/>
      <c r="I24" s="112"/>
      <c r="J24" s="112" t="s">
        <v>160</v>
      </c>
      <c r="K24" s="112"/>
      <c r="L24" s="122"/>
      <c r="M24" s="123">
        <v>45670.375</v>
      </c>
      <c r="N24" s="114" t="s">
        <v>189</v>
      </c>
      <c r="O24" s="114"/>
      <c r="P24" s="114" t="s">
        <v>281</v>
      </c>
      <c r="Q24" s="114" t="s">
        <v>173</v>
      </c>
      <c r="R24" s="123"/>
      <c r="S24" s="114"/>
      <c r="T24" s="112"/>
      <c r="U24" s="114"/>
      <c r="V24" s="114"/>
      <c r="W24" s="114"/>
      <c r="X24" s="114"/>
      <c r="Y24" s="112" t="s">
        <v>258</v>
      </c>
      <c r="Z24" s="125">
        <f t="shared" si="2"/>
        <v>25</v>
      </c>
      <c r="AA24" s="126" t="str">
        <f t="shared" si="3"/>
        <v>C</v>
      </c>
      <c r="AB24" s="117" t="str">
        <f t="shared" si="4"/>
        <v>⚠ MISSING: Call Date, Modality, Budget, Timeline, Decision Maker</v>
      </c>
      <c r="AC24" s="114" t="s">
        <v>259</v>
      </c>
      <c r="AD24" s="112" t="s">
        <v>189</v>
      </c>
      <c r="AE24" s="123"/>
    </row>
    <row r="25" ht="18.0" customHeight="1">
      <c r="A25" s="127" t="str">
        <f t="shared" si="1"/>
        <v>AYA-020</v>
      </c>
      <c r="B25" s="128">
        <v>45682.0</v>
      </c>
      <c r="C25" s="129" t="s">
        <v>356</v>
      </c>
      <c r="D25" s="129"/>
      <c r="E25" s="130"/>
      <c r="F25" s="131" t="s">
        <v>357</v>
      </c>
      <c r="G25" s="132" t="s">
        <v>358</v>
      </c>
      <c r="H25" s="132"/>
      <c r="I25" s="132"/>
      <c r="J25" s="132" t="s">
        <v>161</v>
      </c>
      <c r="K25" s="132" t="s">
        <v>359</v>
      </c>
      <c r="L25" s="133" t="s">
        <v>151</v>
      </c>
      <c r="M25" s="134">
        <v>45682.0</v>
      </c>
      <c r="N25" s="135" t="s">
        <v>189</v>
      </c>
      <c r="O25" s="135" t="s">
        <v>267</v>
      </c>
      <c r="P25" s="135" t="s">
        <v>360</v>
      </c>
      <c r="Q25" s="135" t="s">
        <v>173</v>
      </c>
      <c r="R25" s="134"/>
      <c r="S25" s="135"/>
      <c r="T25" s="132"/>
      <c r="U25" s="135"/>
      <c r="V25" s="135"/>
      <c r="W25" s="135"/>
      <c r="X25" s="135" t="s">
        <v>58</v>
      </c>
      <c r="Y25" s="132" t="s">
        <v>361</v>
      </c>
      <c r="Z25" s="136">
        <f t="shared" si="2"/>
        <v>45</v>
      </c>
      <c r="AA25" s="137" t="str">
        <f t="shared" si="3"/>
        <v>C</v>
      </c>
      <c r="AB25" s="138" t="str">
        <f t="shared" si="4"/>
        <v>⚠ MISSING: Call Date, Modality, Budget, Timeline, Decision Maker</v>
      </c>
      <c r="AC25" s="135" t="s">
        <v>259</v>
      </c>
      <c r="AD25" s="132" t="s">
        <v>189</v>
      </c>
      <c r="AE25" s="134"/>
    </row>
    <row r="26" ht="18.0" customHeight="1">
      <c r="A26" s="118" t="str">
        <f t="shared" si="1"/>
        <v>AYA-021</v>
      </c>
      <c r="B26" s="109">
        <v>45682.0</v>
      </c>
      <c r="C26" s="119" t="s">
        <v>362</v>
      </c>
      <c r="D26" s="119" t="s">
        <v>363</v>
      </c>
      <c r="E26" s="120"/>
      <c r="F26" s="121" t="s">
        <v>364</v>
      </c>
      <c r="G26" s="112" t="s">
        <v>365</v>
      </c>
      <c r="H26" s="112"/>
      <c r="I26" s="112"/>
      <c r="J26" s="112" t="s">
        <v>162</v>
      </c>
      <c r="K26" s="112"/>
      <c r="L26" s="122" t="s">
        <v>151</v>
      </c>
      <c r="M26" s="123">
        <v>45682.0</v>
      </c>
      <c r="N26" s="114" t="s">
        <v>189</v>
      </c>
      <c r="O26" s="114" t="s">
        <v>267</v>
      </c>
      <c r="P26" s="114" t="s">
        <v>281</v>
      </c>
      <c r="Q26" s="114" t="s">
        <v>173</v>
      </c>
      <c r="R26" s="123"/>
      <c r="S26" s="114"/>
      <c r="T26" s="112"/>
      <c r="U26" s="114"/>
      <c r="V26" s="114"/>
      <c r="W26" s="114"/>
      <c r="X26" s="114"/>
      <c r="Y26" s="112" t="s">
        <v>366</v>
      </c>
      <c r="Z26" s="125">
        <f t="shared" si="2"/>
        <v>25</v>
      </c>
      <c r="AA26" s="126" t="str">
        <f t="shared" si="3"/>
        <v>C</v>
      </c>
      <c r="AB26" s="117" t="str">
        <f t="shared" si="4"/>
        <v>⚠ MISSING: Call Date, Modality, Budget, Timeline, Decision Maker</v>
      </c>
      <c r="AC26" s="114" t="s">
        <v>259</v>
      </c>
      <c r="AD26" s="112" t="s">
        <v>189</v>
      </c>
      <c r="AE26" s="123"/>
    </row>
    <row r="27" ht="18.0" customHeight="1">
      <c r="A27" s="127" t="str">
        <f t="shared" si="1"/>
        <v>AYA-022</v>
      </c>
      <c r="B27" s="128">
        <v>45687.67430555556</v>
      </c>
      <c r="C27" s="129" t="s">
        <v>367</v>
      </c>
      <c r="D27" s="129" t="s">
        <v>368</v>
      </c>
      <c r="E27" s="130"/>
      <c r="F27" s="131" t="s">
        <v>369</v>
      </c>
      <c r="G27" s="132" t="s">
        <v>370</v>
      </c>
      <c r="H27" s="132"/>
      <c r="I27" s="132"/>
      <c r="J27" s="132" t="s">
        <v>160</v>
      </c>
      <c r="K27" s="132"/>
      <c r="L27" s="133"/>
      <c r="M27" s="134">
        <v>45687.67430555556</v>
      </c>
      <c r="N27" s="135" t="s">
        <v>189</v>
      </c>
      <c r="O27" s="135"/>
      <c r="P27" s="135"/>
      <c r="Q27" s="135" t="s">
        <v>173</v>
      </c>
      <c r="R27" s="134"/>
      <c r="S27" s="135"/>
      <c r="T27" s="132"/>
      <c r="U27" s="135"/>
      <c r="V27" s="135"/>
      <c r="W27" s="135"/>
      <c r="X27" s="135"/>
      <c r="Y27" s="132" t="s">
        <v>258</v>
      </c>
      <c r="Z27" s="136">
        <f t="shared" si="2"/>
        <v>15</v>
      </c>
      <c r="AA27" s="137" t="str">
        <f t="shared" si="3"/>
        <v>D</v>
      </c>
      <c r="AB27" s="138" t="str">
        <f t="shared" si="4"/>
        <v>⚠ MISSING: Call Date, Modality, Budget, Timeline, Decision Maker</v>
      </c>
      <c r="AC27" s="135" t="s">
        <v>259</v>
      </c>
      <c r="AD27" s="132" t="s">
        <v>189</v>
      </c>
      <c r="AE27" s="134"/>
    </row>
    <row r="28" ht="18.0" customHeight="1">
      <c r="A28" s="118" t="str">
        <f t="shared" si="1"/>
        <v>AYA-023</v>
      </c>
      <c r="B28" s="109">
        <v>45689.0</v>
      </c>
      <c r="C28" s="119" t="s">
        <v>371</v>
      </c>
      <c r="D28" s="119"/>
      <c r="E28" s="120"/>
      <c r="F28" s="121" t="s">
        <v>372</v>
      </c>
      <c r="G28" s="112" t="s">
        <v>373</v>
      </c>
      <c r="H28" s="112"/>
      <c r="I28" s="112"/>
      <c r="J28" s="112" t="s">
        <v>162</v>
      </c>
      <c r="K28" s="112" t="s">
        <v>374</v>
      </c>
      <c r="L28" s="122" t="s">
        <v>151</v>
      </c>
      <c r="M28" s="123">
        <v>45689.0</v>
      </c>
      <c r="N28" s="114"/>
      <c r="O28" s="114" t="s">
        <v>267</v>
      </c>
      <c r="P28" s="114" t="s">
        <v>375</v>
      </c>
      <c r="Q28" s="114" t="s">
        <v>173</v>
      </c>
      <c r="R28" s="123"/>
      <c r="S28" s="114"/>
      <c r="T28" s="112"/>
      <c r="U28" s="114"/>
      <c r="V28" s="114"/>
      <c r="W28" s="114"/>
      <c r="X28" s="114" t="s">
        <v>58</v>
      </c>
      <c r="Y28" s="112" t="s">
        <v>376</v>
      </c>
      <c r="Z28" s="125">
        <f t="shared" si="2"/>
        <v>37</v>
      </c>
      <c r="AA28" s="126" t="str">
        <f t="shared" si="3"/>
        <v>C</v>
      </c>
      <c r="AB28" s="117" t="str">
        <f t="shared" si="4"/>
        <v>⚠ MISSING: Call Date, Modality, Budget, Timeline, Decision Maker</v>
      </c>
      <c r="AC28" s="114" t="s">
        <v>377</v>
      </c>
      <c r="AD28" s="112" t="s">
        <v>378</v>
      </c>
      <c r="AE28" s="123"/>
    </row>
    <row r="29" ht="18.0" customHeight="1">
      <c r="A29" s="127" t="str">
        <f t="shared" si="1"/>
        <v>AYA-024</v>
      </c>
      <c r="B29" s="128">
        <v>45691.59305555555</v>
      </c>
      <c r="C29" s="129" t="s">
        <v>379</v>
      </c>
      <c r="D29" s="129" t="s">
        <v>380</v>
      </c>
      <c r="E29" s="130"/>
      <c r="F29" s="131" t="s">
        <v>381</v>
      </c>
      <c r="G29" s="132" t="s">
        <v>382</v>
      </c>
      <c r="H29" s="132"/>
      <c r="I29" s="132"/>
      <c r="J29" s="132" t="s">
        <v>160</v>
      </c>
      <c r="K29" s="132"/>
      <c r="L29" s="133"/>
      <c r="M29" s="134">
        <v>45691.59305555555</v>
      </c>
      <c r="N29" s="135" t="s">
        <v>342</v>
      </c>
      <c r="O29" s="135"/>
      <c r="P29" s="135"/>
      <c r="Q29" s="135" t="s">
        <v>173</v>
      </c>
      <c r="R29" s="134"/>
      <c r="S29" s="135"/>
      <c r="T29" s="132"/>
      <c r="U29" s="135"/>
      <c r="V29" s="135"/>
      <c r="W29" s="135"/>
      <c r="X29" s="135"/>
      <c r="Y29" s="132" t="s">
        <v>343</v>
      </c>
      <c r="Z29" s="136">
        <f t="shared" si="2"/>
        <v>15</v>
      </c>
      <c r="AA29" s="137" t="str">
        <f t="shared" si="3"/>
        <v>D</v>
      </c>
      <c r="AB29" s="138" t="str">
        <f t="shared" si="4"/>
        <v>⚠ MISSING: Call Date, Modality, Budget, Timeline, Decision Maker</v>
      </c>
      <c r="AC29" s="135" t="s">
        <v>344</v>
      </c>
      <c r="AD29" s="132" t="s">
        <v>345</v>
      </c>
      <c r="AE29" s="134"/>
    </row>
    <row r="30" ht="18.0" customHeight="1">
      <c r="A30" s="118" t="str">
        <f t="shared" si="1"/>
        <v>AYA-025</v>
      </c>
      <c r="B30" s="109">
        <v>45693.54166666666</v>
      </c>
      <c r="C30" s="119" t="s">
        <v>383</v>
      </c>
      <c r="D30" s="119" t="s">
        <v>384</v>
      </c>
      <c r="E30" s="120"/>
      <c r="F30" s="121" t="s">
        <v>385</v>
      </c>
      <c r="G30" s="112" t="s">
        <v>386</v>
      </c>
      <c r="H30" s="112"/>
      <c r="I30" s="112"/>
      <c r="J30" s="112" t="s">
        <v>160</v>
      </c>
      <c r="K30" s="112" t="s">
        <v>387</v>
      </c>
      <c r="L30" s="122"/>
      <c r="M30" s="123">
        <v>45693.54166666666</v>
      </c>
      <c r="N30" s="114" t="s">
        <v>189</v>
      </c>
      <c r="O30" s="114"/>
      <c r="P30" s="114"/>
      <c r="Q30" s="114" t="s">
        <v>173</v>
      </c>
      <c r="R30" s="123"/>
      <c r="S30" s="114"/>
      <c r="T30" s="112"/>
      <c r="U30" s="114"/>
      <c r="V30" s="114"/>
      <c r="W30" s="114"/>
      <c r="X30" s="114"/>
      <c r="Y30" s="112" t="s">
        <v>258</v>
      </c>
      <c r="Z30" s="125">
        <f t="shared" si="2"/>
        <v>27</v>
      </c>
      <c r="AA30" s="126" t="str">
        <f t="shared" si="3"/>
        <v>C</v>
      </c>
      <c r="AB30" s="117" t="str">
        <f t="shared" si="4"/>
        <v>⚠ MISSING: Call Date, Modality, Budget, Timeline, Decision Maker</v>
      </c>
      <c r="AC30" s="114" t="s">
        <v>259</v>
      </c>
      <c r="AD30" s="112" t="s">
        <v>189</v>
      </c>
      <c r="AE30" s="123"/>
    </row>
    <row r="31" ht="18.0" customHeight="1">
      <c r="A31" s="127" t="str">
        <f t="shared" si="1"/>
        <v>AYA-026</v>
      </c>
      <c r="B31" s="128">
        <v>45694.0</v>
      </c>
      <c r="C31" s="129" t="s">
        <v>388</v>
      </c>
      <c r="D31" s="129"/>
      <c r="E31" s="130"/>
      <c r="F31" s="131" t="s">
        <v>389</v>
      </c>
      <c r="G31" s="132" t="s">
        <v>390</v>
      </c>
      <c r="H31" s="132"/>
      <c r="I31" s="132"/>
      <c r="J31" s="132" t="s">
        <v>167</v>
      </c>
      <c r="K31" s="132" t="s">
        <v>391</v>
      </c>
      <c r="L31" s="133" t="s">
        <v>149</v>
      </c>
      <c r="M31" s="134">
        <v>45694.0</v>
      </c>
      <c r="N31" s="135" t="s">
        <v>342</v>
      </c>
      <c r="O31" s="135" t="s">
        <v>267</v>
      </c>
      <c r="P31" s="135" t="s">
        <v>281</v>
      </c>
      <c r="Q31" s="135" t="s">
        <v>173</v>
      </c>
      <c r="R31" s="134"/>
      <c r="S31" s="135"/>
      <c r="T31" s="132"/>
      <c r="U31" s="135"/>
      <c r="V31" s="135"/>
      <c r="W31" s="135"/>
      <c r="X31" s="135"/>
      <c r="Y31" s="132" t="s">
        <v>392</v>
      </c>
      <c r="Z31" s="136">
        <f t="shared" si="2"/>
        <v>37</v>
      </c>
      <c r="AA31" s="137" t="str">
        <f t="shared" si="3"/>
        <v>C</v>
      </c>
      <c r="AB31" s="138" t="str">
        <f t="shared" si="4"/>
        <v>⚠ MISSING: Call Date, Modality, Budget, Timeline, Decision Maker</v>
      </c>
      <c r="AC31" s="135" t="s">
        <v>344</v>
      </c>
      <c r="AD31" s="132" t="s">
        <v>190</v>
      </c>
      <c r="AE31" s="134"/>
    </row>
    <row r="32" ht="18.0" customHeight="1">
      <c r="A32" s="118" t="str">
        <f t="shared" si="1"/>
        <v>AYA-027</v>
      </c>
      <c r="B32" s="109">
        <v>45695.0</v>
      </c>
      <c r="C32" s="119" t="s">
        <v>393</v>
      </c>
      <c r="D32" s="119" t="s">
        <v>394</v>
      </c>
      <c r="E32" s="120"/>
      <c r="F32" s="121" t="s">
        <v>395</v>
      </c>
      <c r="G32" s="112" t="s">
        <v>396</v>
      </c>
      <c r="H32" s="112"/>
      <c r="I32" s="112"/>
      <c r="J32" s="112" t="s">
        <v>162</v>
      </c>
      <c r="K32" s="112" t="s">
        <v>397</v>
      </c>
      <c r="L32" s="122"/>
      <c r="M32" s="123">
        <v>45695.0</v>
      </c>
      <c r="N32" s="114" t="s">
        <v>342</v>
      </c>
      <c r="O32" s="114" t="s">
        <v>267</v>
      </c>
      <c r="P32" s="114" t="s">
        <v>360</v>
      </c>
      <c r="Q32" s="114" t="s">
        <v>173</v>
      </c>
      <c r="R32" s="123"/>
      <c r="S32" s="114"/>
      <c r="T32" s="112"/>
      <c r="U32" s="114"/>
      <c r="V32" s="114"/>
      <c r="W32" s="114"/>
      <c r="X32" s="114" t="s">
        <v>67</v>
      </c>
      <c r="Y32" s="112" t="s">
        <v>392</v>
      </c>
      <c r="Z32" s="125">
        <f t="shared" si="2"/>
        <v>45</v>
      </c>
      <c r="AA32" s="126" t="str">
        <f t="shared" si="3"/>
        <v>C</v>
      </c>
      <c r="AB32" s="117" t="str">
        <f t="shared" si="4"/>
        <v>⚠ MISSING: Call Date, Modality, Budget, Timeline, Decision Maker</v>
      </c>
      <c r="AC32" s="114" t="s">
        <v>344</v>
      </c>
      <c r="AD32" s="112" t="s">
        <v>190</v>
      </c>
      <c r="AE32" s="123"/>
    </row>
    <row r="33" ht="18.0" customHeight="1">
      <c r="A33" s="127" t="str">
        <f t="shared" si="1"/>
        <v>AYA-028</v>
      </c>
      <c r="B33" s="128">
        <v>45695.67777777778</v>
      </c>
      <c r="C33" s="129" t="s">
        <v>398</v>
      </c>
      <c r="D33" s="129" t="s">
        <v>399</v>
      </c>
      <c r="E33" s="130"/>
      <c r="F33" s="131" t="s">
        <v>400</v>
      </c>
      <c r="G33" s="132" t="s">
        <v>401</v>
      </c>
      <c r="H33" s="132"/>
      <c r="I33" s="132"/>
      <c r="J33" s="132" t="s">
        <v>160</v>
      </c>
      <c r="K33" s="132" t="s">
        <v>402</v>
      </c>
      <c r="L33" s="133"/>
      <c r="M33" s="134">
        <v>45695.67777777778</v>
      </c>
      <c r="N33" s="135" t="s">
        <v>189</v>
      </c>
      <c r="O33" s="135"/>
      <c r="P33" s="135"/>
      <c r="Q33" s="135" t="s">
        <v>173</v>
      </c>
      <c r="R33" s="134"/>
      <c r="S33" s="135"/>
      <c r="T33" s="132"/>
      <c r="U33" s="135"/>
      <c r="V33" s="135"/>
      <c r="W33" s="135"/>
      <c r="X33" s="135"/>
      <c r="Y33" s="132" t="s">
        <v>258</v>
      </c>
      <c r="Z33" s="136">
        <f t="shared" si="2"/>
        <v>20</v>
      </c>
      <c r="AA33" s="137" t="str">
        <f t="shared" si="3"/>
        <v>D</v>
      </c>
      <c r="AB33" s="138" t="str">
        <f t="shared" si="4"/>
        <v>⚠ MISSING: Call Date, Modality, Budget, Timeline, Decision Maker</v>
      </c>
      <c r="AC33" s="135" t="s">
        <v>259</v>
      </c>
      <c r="AD33" s="132" t="s">
        <v>189</v>
      </c>
      <c r="AE33" s="134"/>
    </row>
    <row r="34" ht="18.0" customHeight="1">
      <c r="A34" s="118" t="str">
        <f t="shared" si="1"/>
        <v>AYA-029</v>
      </c>
      <c r="B34" s="109">
        <v>45698.0</v>
      </c>
      <c r="C34" s="119" t="s">
        <v>403</v>
      </c>
      <c r="D34" s="119" t="s">
        <v>404</v>
      </c>
      <c r="E34" s="120"/>
      <c r="F34" s="121" t="s">
        <v>405</v>
      </c>
      <c r="G34" s="112" t="s">
        <v>406</v>
      </c>
      <c r="H34" s="112"/>
      <c r="I34" s="112"/>
      <c r="J34" s="112" t="s">
        <v>161</v>
      </c>
      <c r="K34" s="112" t="s">
        <v>407</v>
      </c>
      <c r="L34" s="122" t="s">
        <v>149</v>
      </c>
      <c r="M34" s="123">
        <v>45698.0</v>
      </c>
      <c r="N34" s="114" t="s">
        <v>266</v>
      </c>
      <c r="O34" s="114" t="s">
        <v>267</v>
      </c>
      <c r="P34" s="114" t="s">
        <v>375</v>
      </c>
      <c r="Q34" s="114" t="s">
        <v>173</v>
      </c>
      <c r="R34" s="123"/>
      <c r="S34" s="114"/>
      <c r="T34" s="112"/>
      <c r="U34" s="114"/>
      <c r="V34" s="114"/>
      <c r="W34" s="114"/>
      <c r="X34" s="114"/>
      <c r="Y34" s="112" t="s">
        <v>408</v>
      </c>
      <c r="Z34" s="125">
        <f t="shared" si="2"/>
        <v>37</v>
      </c>
      <c r="AA34" s="126" t="str">
        <f t="shared" si="3"/>
        <v>C</v>
      </c>
      <c r="AB34" s="117" t="str">
        <f t="shared" si="4"/>
        <v>⚠ MISSING: Call Date, Modality, Budget, Timeline, Decision Maker</v>
      </c>
      <c r="AC34" s="114" t="s">
        <v>409</v>
      </c>
      <c r="AD34" s="112"/>
      <c r="AE34" s="123"/>
    </row>
    <row r="35" ht="18.0" customHeight="1">
      <c r="A35" s="127" t="str">
        <f t="shared" si="1"/>
        <v>AYA-030</v>
      </c>
      <c r="B35" s="128">
        <v>45698.0</v>
      </c>
      <c r="C35" s="129" t="s">
        <v>410</v>
      </c>
      <c r="D35" s="129" t="s">
        <v>411</v>
      </c>
      <c r="E35" s="130"/>
      <c r="F35" s="131" t="s">
        <v>412</v>
      </c>
      <c r="G35" s="132" t="s">
        <v>413</v>
      </c>
      <c r="H35" s="132"/>
      <c r="I35" s="132"/>
      <c r="J35" s="132" t="s">
        <v>161</v>
      </c>
      <c r="K35" s="132" t="s">
        <v>414</v>
      </c>
      <c r="L35" s="133" t="s">
        <v>151</v>
      </c>
      <c r="M35" s="134">
        <v>45698.0</v>
      </c>
      <c r="N35" s="135" t="s">
        <v>189</v>
      </c>
      <c r="O35" s="135" t="s">
        <v>267</v>
      </c>
      <c r="P35" s="135" t="s">
        <v>274</v>
      </c>
      <c r="Q35" s="135" t="s">
        <v>173</v>
      </c>
      <c r="R35" s="134"/>
      <c r="S35" s="135"/>
      <c r="T35" s="132"/>
      <c r="U35" s="135"/>
      <c r="V35" s="135"/>
      <c r="W35" s="135"/>
      <c r="X35" s="135" t="s">
        <v>59</v>
      </c>
      <c r="Y35" s="132" t="s">
        <v>415</v>
      </c>
      <c r="Z35" s="136">
        <f t="shared" si="2"/>
        <v>37</v>
      </c>
      <c r="AA35" s="137" t="str">
        <f t="shared" si="3"/>
        <v>C</v>
      </c>
      <c r="AB35" s="138" t="str">
        <f t="shared" si="4"/>
        <v>⚠ MISSING: Call Date, Modality, Budget, Timeline, Decision Maker</v>
      </c>
      <c r="AC35" s="135" t="s">
        <v>259</v>
      </c>
      <c r="AD35" s="132" t="s">
        <v>189</v>
      </c>
      <c r="AE35" s="134"/>
    </row>
    <row r="36" ht="18.0" customHeight="1">
      <c r="A36" s="118" t="str">
        <f t="shared" si="1"/>
        <v>AYA-031</v>
      </c>
      <c r="B36" s="109">
        <v>45698.48611111111</v>
      </c>
      <c r="C36" s="119" t="s">
        <v>416</v>
      </c>
      <c r="D36" s="119" t="s">
        <v>417</v>
      </c>
      <c r="E36" s="120"/>
      <c r="F36" s="121" t="s">
        <v>418</v>
      </c>
      <c r="G36" s="112" t="s">
        <v>419</v>
      </c>
      <c r="H36" s="112"/>
      <c r="I36" s="112"/>
      <c r="J36" s="112" t="s">
        <v>160</v>
      </c>
      <c r="K36" s="112"/>
      <c r="L36" s="122"/>
      <c r="M36" s="123">
        <v>45698.48611111111</v>
      </c>
      <c r="N36" s="114" t="s">
        <v>189</v>
      </c>
      <c r="O36" s="114"/>
      <c r="P36" s="114" t="s">
        <v>303</v>
      </c>
      <c r="Q36" s="114" t="s">
        <v>173</v>
      </c>
      <c r="R36" s="123"/>
      <c r="S36" s="114"/>
      <c r="T36" s="112"/>
      <c r="U36" s="114"/>
      <c r="V36" s="114"/>
      <c r="W36" s="114"/>
      <c r="X36" s="114"/>
      <c r="Y36" s="112" t="s">
        <v>258</v>
      </c>
      <c r="Z36" s="125">
        <f t="shared" si="2"/>
        <v>25</v>
      </c>
      <c r="AA36" s="126" t="str">
        <f t="shared" si="3"/>
        <v>C</v>
      </c>
      <c r="AB36" s="117" t="str">
        <f t="shared" si="4"/>
        <v>⚠ MISSING: Call Date, Modality, Budget, Timeline, Decision Maker</v>
      </c>
      <c r="AC36" s="114" t="s">
        <v>259</v>
      </c>
      <c r="AD36" s="112" t="s">
        <v>189</v>
      </c>
      <c r="AE36" s="123"/>
    </row>
    <row r="37" ht="18.0" customHeight="1">
      <c r="A37" s="127" t="str">
        <f t="shared" si="1"/>
        <v>AYA-032</v>
      </c>
      <c r="B37" s="128">
        <v>45699.42291666667</v>
      </c>
      <c r="C37" s="129" t="s">
        <v>420</v>
      </c>
      <c r="D37" s="129" t="s">
        <v>384</v>
      </c>
      <c r="E37" s="130"/>
      <c r="F37" s="131" t="s">
        <v>421</v>
      </c>
      <c r="G37" s="132" t="s">
        <v>422</v>
      </c>
      <c r="H37" s="132"/>
      <c r="I37" s="132"/>
      <c r="J37" s="132" t="s">
        <v>160</v>
      </c>
      <c r="K37" s="132"/>
      <c r="L37" s="133"/>
      <c r="M37" s="134">
        <v>45699.42291666667</v>
      </c>
      <c r="N37" s="135" t="s">
        <v>189</v>
      </c>
      <c r="O37" s="135"/>
      <c r="P37" s="135" t="s">
        <v>274</v>
      </c>
      <c r="Q37" s="135" t="s">
        <v>173</v>
      </c>
      <c r="R37" s="134"/>
      <c r="S37" s="135"/>
      <c r="T37" s="132"/>
      <c r="U37" s="135"/>
      <c r="V37" s="135"/>
      <c r="W37" s="135"/>
      <c r="X37" s="135"/>
      <c r="Y37" s="132" t="s">
        <v>258</v>
      </c>
      <c r="Z37" s="136">
        <f t="shared" si="2"/>
        <v>25</v>
      </c>
      <c r="AA37" s="137" t="str">
        <f t="shared" si="3"/>
        <v>C</v>
      </c>
      <c r="AB37" s="138" t="str">
        <f t="shared" si="4"/>
        <v>⚠ MISSING: Call Date, Modality, Budget, Timeline, Decision Maker</v>
      </c>
      <c r="AC37" s="135" t="s">
        <v>259</v>
      </c>
      <c r="AD37" s="132" t="s">
        <v>189</v>
      </c>
      <c r="AE37" s="134"/>
    </row>
    <row r="38" ht="18.0" customHeight="1">
      <c r="A38" s="118" t="str">
        <f t="shared" si="1"/>
        <v>AYA-033</v>
      </c>
      <c r="B38" s="109">
        <v>45700.0</v>
      </c>
      <c r="C38" s="119" t="s">
        <v>423</v>
      </c>
      <c r="D38" s="119" t="s">
        <v>424</v>
      </c>
      <c r="E38" s="120"/>
      <c r="F38" s="121" t="s">
        <v>425</v>
      </c>
      <c r="G38" s="112" t="s">
        <v>426</v>
      </c>
      <c r="H38" s="112"/>
      <c r="I38" s="112"/>
      <c r="J38" s="112" t="s">
        <v>162</v>
      </c>
      <c r="K38" s="112" t="s">
        <v>427</v>
      </c>
      <c r="L38" s="122" t="s">
        <v>149</v>
      </c>
      <c r="M38" s="123">
        <v>45700.0</v>
      </c>
      <c r="N38" s="114" t="s">
        <v>189</v>
      </c>
      <c r="O38" s="114" t="s">
        <v>267</v>
      </c>
      <c r="P38" s="114" t="s">
        <v>428</v>
      </c>
      <c r="Q38" s="114" t="s">
        <v>173</v>
      </c>
      <c r="R38" s="123"/>
      <c r="S38" s="114"/>
      <c r="T38" s="112"/>
      <c r="U38" s="114"/>
      <c r="V38" s="114"/>
      <c r="W38" s="114"/>
      <c r="X38" s="114"/>
      <c r="Y38" s="112" t="s">
        <v>429</v>
      </c>
      <c r="Z38" s="125">
        <f t="shared" si="2"/>
        <v>37</v>
      </c>
      <c r="AA38" s="126" t="str">
        <f t="shared" si="3"/>
        <v>C</v>
      </c>
      <c r="AB38" s="117" t="str">
        <f t="shared" si="4"/>
        <v>⚠ MISSING: Call Date, Modality, Budget, Timeline, Decision Maker</v>
      </c>
      <c r="AC38" s="114" t="s">
        <v>259</v>
      </c>
      <c r="AD38" s="112" t="s">
        <v>189</v>
      </c>
      <c r="AE38" s="123"/>
    </row>
    <row r="39" ht="18.0" customHeight="1">
      <c r="A39" s="127" t="str">
        <f t="shared" si="1"/>
        <v>AYA-034</v>
      </c>
      <c r="B39" s="128">
        <v>45708.0</v>
      </c>
      <c r="C39" s="129" t="s">
        <v>430</v>
      </c>
      <c r="D39" s="129" t="s">
        <v>431</v>
      </c>
      <c r="E39" s="130"/>
      <c r="F39" s="131" t="s">
        <v>432</v>
      </c>
      <c r="G39" s="132" t="s">
        <v>433</v>
      </c>
      <c r="H39" s="132"/>
      <c r="I39" s="132"/>
      <c r="J39" s="132" t="s">
        <v>161</v>
      </c>
      <c r="K39" s="132" t="s">
        <v>434</v>
      </c>
      <c r="L39" s="133" t="s">
        <v>148</v>
      </c>
      <c r="M39" s="134">
        <v>45708.0</v>
      </c>
      <c r="N39" s="135" t="s">
        <v>342</v>
      </c>
      <c r="O39" s="135" t="s">
        <v>267</v>
      </c>
      <c r="P39" s="135" t="s">
        <v>375</v>
      </c>
      <c r="Q39" s="135" t="s">
        <v>173</v>
      </c>
      <c r="R39" s="134"/>
      <c r="S39" s="135"/>
      <c r="T39" s="132"/>
      <c r="U39" s="135"/>
      <c r="V39" s="135"/>
      <c r="W39" s="135"/>
      <c r="X39" s="135" t="s">
        <v>67</v>
      </c>
      <c r="Y39" s="132" t="s">
        <v>435</v>
      </c>
      <c r="Z39" s="136">
        <f t="shared" si="2"/>
        <v>37</v>
      </c>
      <c r="AA39" s="137" t="str">
        <f t="shared" si="3"/>
        <v>C</v>
      </c>
      <c r="AB39" s="138" t="str">
        <f t="shared" si="4"/>
        <v>⚠ MISSING: Call Date, Modality, Budget, Timeline, Decision Maker</v>
      </c>
      <c r="AC39" s="135" t="s">
        <v>344</v>
      </c>
      <c r="AD39" s="132" t="s">
        <v>190</v>
      </c>
      <c r="AE39" s="134"/>
    </row>
    <row r="40" ht="18.0" customHeight="1">
      <c r="A40" s="118" t="str">
        <f t="shared" si="1"/>
        <v>AYA-035</v>
      </c>
      <c r="B40" s="109">
        <v>45708.47638888889</v>
      </c>
      <c r="C40" s="119" t="s">
        <v>436</v>
      </c>
      <c r="D40" s="119" t="s">
        <v>437</v>
      </c>
      <c r="E40" s="120"/>
      <c r="F40" s="121" t="s">
        <v>438</v>
      </c>
      <c r="G40" s="112" t="s">
        <v>439</v>
      </c>
      <c r="H40" s="112"/>
      <c r="I40" s="112"/>
      <c r="J40" s="112" t="s">
        <v>160</v>
      </c>
      <c r="K40" s="112"/>
      <c r="L40" s="122"/>
      <c r="M40" s="123">
        <v>45708.47638888889</v>
      </c>
      <c r="N40" s="114" t="s">
        <v>189</v>
      </c>
      <c r="O40" s="114"/>
      <c r="P40" s="114" t="s">
        <v>428</v>
      </c>
      <c r="Q40" s="114" t="s">
        <v>173</v>
      </c>
      <c r="R40" s="123"/>
      <c r="S40" s="114"/>
      <c r="T40" s="112"/>
      <c r="U40" s="114"/>
      <c r="V40" s="114"/>
      <c r="W40" s="114"/>
      <c r="X40" s="114"/>
      <c r="Y40" s="112" t="s">
        <v>258</v>
      </c>
      <c r="Z40" s="125">
        <f t="shared" si="2"/>
        <v>25</v>
      </c>
      <c r="AA40" s="126" t="str">
        <f t="shared" si="3"/>
        <v>C</v>
      </c>
      <c r="AB40" s="117" t="str">
        <f t="shared" si="4"/>
        <v>⚠ MISSING: Call Date, Modality, Budget, Timeline, Decision Maker</v>
      </c>
      <c r="AC40" s="114" t="s">
        <v>259</v>
      </c>
      <c r="AD40" s="112" t="s">
        <v>189</v>
      </c>
      <c r="AE40" s="123"/>
    </row>
    <row r="41" ht="18.0" customHeight="1">
      <c r="A41" s="127" t="str">
        <f t="shared" si="1"/>
        <v>AYA-036</v>
      </c>
      <c r="B41" s="128">
        <v>45709.0</v>
      </c>
      <c r="C41" s="129" t="s">
        <v>440</v>
      </c>
      <c r="D41" s="129" t="s">
        <v>441</v>
      </c>
      <c r="E41" s="130"/>
      <c r="F41" s="131" t="s">
        <v>442</v>
      </c>
      <c r="G41" s="132" t="s">
        <v>443</v>
      </c>
      <c r="H41" s="132"/>
      <c r="I41" s="132"/>
      <c r="J41" s="132" t="s">
        <v>161</v>
      </c>
      <c r="K41" s="132" t="s">
        <v>444</v>
      </c>
      <c r="L41" s="133" t="s">
        <v>148</v>
      </c>
      <c r="M41" s="134">
        <v>45709.0</v>
      </c>
      <c r="N41" s="135"/>
      <c r="O41" s="135" t="s">
        <v>267</v>
      </c>
      <c r="P41" s="135"/>
      <c r="Q41" s="135" t="s">
        <v>173</v>
      </c>
      <c r="R41" s="134"/>
      <c r="S41" s="135"/>
      <c r="T41" s="132"/>
      <c r="U41" s="135"/>
      <c r="V41" s="135"/>
      <c r="W41" s="135"/>
      <c r="X41" s="135" t="s">
        <v>58</v>
      </c>
      <c r="Y41" s="132" t="s">
        <v>445</v>
      </c>
      <c r="Z41" s="136">
        <f t="shared" si="2"/>
        <v>27</v>
      </c>
      <c r="AA41" s="137" t="str">
        <f t="shared" si="3"/>
        <v>C</v>
      </c>
      <c r="AB41" s="138" t="str">
        <f t="shared" si="4"/>
        <v>⚠ MISSING: Call Date, Modality, Budget, Timeline, Decision Maker</v>
      </c>
      <c r="AC41" s="135" t="s">
        <v>377</v>
      </c>
      <c r="AD41" s="132" t="s">
        <v>378</v>
      </c>
      <c r="AE41" s="134"/>
    </row>
    <row r="42" ht="18.0" customHeight="1">
      <c r="A42" s="118" t="str">
        <f t="shared" si="1"/>
        <v>AYA-037</v>
      </c>
      <c r="B42" s="109">
        <v>45716.0</v>
      </c>
      <c r="C42" s="119" t="s">
        <v>446</v>
      </c>
      <c r="D42" s="119" t="s">
        <v>447</v>
      </c>
      <c r="E42" s="120"/>
      <c r="F42" s="121" t="s">
        <v>448</v>
      </c>
      <c r="G42" s="112" t="s">
        <v>449</v>
      </c>
      <c r="H42" s="112" t="s">
        <v>450</v>
      </c>
      <c r="I42" s="112"/>
      <c r="J42" s="112" t="s">
        <v>167</v>
      </c>
      <c r="K42" s="112" t="s">
        <v>451</v>
      </c>
      <c r="L42" s="122" t="s">
        <v>149</v>
      </c>
      <c r="M42" s="123">
        <v>45716.0</v>
      </c>
      <c r="N42" s="114" t="s">
        <v>342</v>
      </c>
      <c r="O42" s="114" t="s">
        <v>267</v>
      </c>
      <c r="P42" s="114" t="s">
        <v>452</v>
      </c>
      <c r="Q42" s="114" t="s">
        <v>173</v>
      </c>
      <c r="R42" s="123"/>
      <c r="S42" s="114"/>
      <c r="T42" s="112"/>
      <c r="U42" s="114"/>
      <c r="V42" s="114"/>
      <c r="W42" s="114"/>
      <c r="X42" s="114"/>
      <c r="Y42" s="112" t="s">
        <v>392</v>
      </c>
      <c r="Z42" s="125">
        <f t="shared" si="2"/>
        <v>37</v>
      </c>
      <c r="AA42" s="126" t="str">
        <f t="shared" si="3"/>
        <v>C</v>
      </c>
      <c r="AB42" s="117" t="str">
        <f t="shared" si="4"/>
        <v>⚠ MISSING: Call Date, Modality, Budget, Timeline, Decision Maker</v>
      </c>
      <c r="AC42" s="114" t="s">
        <v>344</v>
      </c>
      <c r="AD42" s="112" t="s">
        <v>190</v>
      </c>
      <c r="AE42" s="123"/>
    </row>
    <row r="43" ht="18.0" customHeight="1">
      <c r="A43" s="127" t="str">
        <f t="shared" si="1"/>
        <v>AYA-038</v>
      </c>
      <c r="B43" s="128">
        <v>45720.0</v>
      </c>
      <c r="C43" s="129" t="s">
        <v>453</v>
      </c>
      <c r="D43" s="129" t="s">
        <v>454</v>
      </c>
      <c r="E43" s="130"/>
      <c r="F43" s="131" t="s">
        <v>455</v>
      </c>
      <c r="G43" s="132" t="s">
        <v>456</v>
      </c>
      <c r="H43" s="132"/>
      <c r="I43" s="132"/>
      <c r="J43" s="132" t="s">
        <v>167</v>
      </c>
      <c r="K43" s="132" t="s">
        <v>457</v>
      </c>
      <c r="L43" s="133" t="s">
        <v>149</v>
      </c>
      <c r="M43" s="134">
        <v>45720.0</v>
      </c>
      <c r="N43" s="135" t="s">
        <v>342</v>
      </c>
      <c r="O43" s="135" t="s">
        <v>267</v>
      </c>
      <c r="P43" s="135"/>
      <c r="Q43" s="135" t="s">
        <v>173</v>
      </c>
      <c r="R43" s="134"/>
      <c r="S43" s="135"/>
      <c r="T43" s="132"/>
      <c r="U43" s="135"/>
      <c r="V43" s="135"/>
      <c r="W43" s="135"/>
      <c r="X43" s="135"/>
      <c r="Y43" s="132" t="s">
        <v>392</v>
      </c>
      <c r="Z43" s="136">
        <f t="shared" si="2"/>
        <v>27</v>
      </c>
      <c r="AA43" s="137" t="str">
        <f t="shared" si="3"/>
        <v>C</v>
      </c>
      <c r="AB43" s="138" t="str">
        <f t="shared" si="4"/>
        <v>⚠ MISSING: Call Date, Modality, Budget, Timeline, Decision Maker</v>
      </c>
      <c r="AC43" s="135" t="s">
        <v>344</v>
      </c>
      <c r="AD43" s="132" t="s">
        <v>190</v>
      </c>
      <c r="AE43" s="134"/>
    </row>
    <row r="44" ht="18.0" customHeight="1">
      <c r="A44" s="118" t="str">
        <f t="shared" si="1"/>
        <v>AYA-039</v>
      </c>
      <c r="B44" s="109">
        <v>45723.0</v>
      </c>
      <c r="C44" s="119" t="s">
        <v>458</v>
      </c>
      <c r="D44" s="119" t="s">
        <v>459</v>
      </c>
      <c r="E44" s="120"/>
      <c r="F44" s="121" t="s">
        <v>460</v>
      </c>
      <c r="G44" s="112" t="s">
        <v>461</v>
      </c>
      <c r="H44" s="112" t="s">
        <v>450</v>
      </c>
      <c r="I44" s="112"/>
      <c r="J44" s="112" t="s">
        <v>163</v>
      </c>
      <c r="K44" s="112" t="s">
        <v>462</v>
      </c>
      <c r="L44" s="122"/>
      <c r="M44" s="123"/>
      <c r="N44" s="114"/>
      <c r="O44" s="114" t="s">
        <v>267</v>
      </c>
      <c r="P44" s="114" t="s">
        <v>274</v>
      </c>
      <c r="Q44" s="114" t="s">
        <v>173</v>
      </c>
      <c r="R44" s="123"/>
      <c r="S44" s="114"/>
      <c r="T44" s="112"/>
      <c r="U44" s="114"/>
      <c r="V44" s="114"/>
      <c r="W44" s="114"/>
      <c r="X44" s="114"/>
      <c r="Y44" s="112"/>
      <c r="Z44" s="125">
        <f t="shared" si="2"/>
        <v>37</v>
      </c>
      <c r="AA44" s="126" t="str">
        <f t="shared" si="3"/>
        <v>C</v>
      </c>
      <c r="AB44" s="117" t="str">
        <f t="shared" si="4"/>
        <v>⚠ MISSING: Call Date, Modality, Budget, Timeline, Decision Maker</v>
      </c>
      <c r="AC44" s="114" t="s">
        <v>100</v>
      </c>
      <c r="AD44" s="112"/>
      <c r="AE44" s="123"/>
    </row>
    <row r="45" ht="18.0" customHeight="1">
      <c r="A45" s="127" t="str">
        <f t="shared" si="1"/>
        <v>AYA-040</v>
      </c>
      <c r="B45" s="128">
        <v>45727.0</v>
      </c>
      <c r="C45" s="129" t="s">
        <v>463</v>
      </c>
      <c r="D45" s="129" t="s">
        <v>464</v>
      </c>
      <c r="E45" s="130"/>
      <c r="F45" s="131" t="s">
        <v>465</v>
      </c>
      <c r="G45" s="132" t="s">
        <v>466</v>
      </c>
      <c r="H45" s="132"/>
      <c r="I45" s="132"/>
      <c r="J45" s="132" t="s">
        <v>167</v>
      </c>
      <c r="K45" s="132" t="s">
        <v>467</v>
      </c>
      <c r="L45" s="133" t="s">
        <v>149</v>
      </c>
      <c r="M45" s="134">
        <v>45727.0</v>
      </c>
      <c r="N45" s="135" t="s">
        <v>342</v>
      </c>
      <c r="O45" s="135" t="s">
        <v>267</v>
      </c>
      <c r="P45" s="135" t="s">
        <v>274</v>
      </c>
      <c r="Q45" s="135" t="s">
        <v>173</v>
      </c>
      <c r="R45" s="134"/>
      <c r="S45" s="135"/>
      <c r="T45" s="132"/>
      <c r="U45" s="135"/>
      <c r="V45" s="135"/>
      <c r="W45" s="135"/>
      <c r="X45" s="135"/>
      <c r="Y45" s="132" t="s">
        <v>468</v>
      </c>
      <c r="Z45" s="136">
        <f t="shared" si="2"/>
        <v>37</v>
      </c>
      <c r="AA45" s="137" t="str">
        <f t="shared" si="3"/>
        <v>C</v>
      </c>
      <c r="AB45" s="138" t="str">
        <f t="shared" si="4"/>
        <v>⚠ MISSING: Call Date, Modality, Budget, Timeline, Decision Maker</v>
      </c>
      <c r="AC45" s="135" t="s">
        <v>344</v>
      </c>
      <c r="AD45" s="132" t="s">
        <v>190</v>
      </c>
      <c r="AE45" s="134"/>
    </row>
    <row r="46" ht="18.0" customHeight="1">
      <c r="A46" s="118" t="str">
        <f t="shared" si="1"/>
        <v>AYA-041</v>
      </c>
      <c r="B46" s="109">
        <v>45729.0</v>
      </c>
      <c r="C46" s="119" t="s">
        <v>469</v>
      </c>
      <c r="D46" s="119" t="s">
        <v>470</v>
      </c>
      <c r="E46" s="120"/>
      <c r="F46" s="121" t="s">
        <v>471</v>
      </c>
      <c r="G46" s="112" t="s">
        <v>472</v>
      </c>
      <c r="H46" s="112"/>
      <c r="I46" s="112"/>
      <c r="J46" s="112" t="s">
        <v>167</v>
      </c>
      <c r="K46" s="112" t="s">
        <v>473</v>
      </c>
      <c r="L46" s="122" t="s">
        <v>148</v>
      </c>
      <c r="M46" s="123">
        <v>45729.0</v>
      </c>
      <c r="N46" s="114" t="s">
        <v>342</v>
      </c>
      <c r="O46" s="114" t="s">
        <v>267</v>
      </c>
      <c r="P46" s="114" t="s">
        <v>274</v>
      </c>
      <c r="Q46" s="114" t="s">
        <v>173</v>
      </c>
      <c r="R46" s="123"/>
      <c r="S46" s="114"/>
      <c r="T46" s="112"/>
      <c r="U46" s="114"/>
      <c r="V46" s="114"/>
      <c r="W46" s="114"/>
      <c r="X46" s="114" t="s">
        <v>58</v>
      </c>
      <c r="Y46" s="112" t="s">
        <v>474</v>
      </c>
      <c r="Z46" s="125">
        <f t="shared" si="2"/>
        <v>37</v>
      </c>
      <c r="AA46" s="126" t="str">
        <f t="shared" si="3"/>
        <v>C</v>
      </c>
      <c r="AB46" s="117" t="str">
        <f t="shared" si="4"/>
        <v>⚠ MISSING: Call Date, Modality, Budget, Timeline, Decision Maker</v>
      </c>
      <c r="AC46" s="114" t="s">
        <v>344</v>
      </c>
      <c r="AD46" s="112" t="s">
        <v>190</v>
      </c>
      <c r="AE46" s="123"/>
    </row>
    <row r="47" ht="18.0" customHeight="1">
      <c r="A47" s="127" t="str">
        <f t="shared" si="1"/>
        <v>AYA-042</v>
      </c>
      <c r="B47" s="128">
        <v>45738.0</v>
      </c>
      <c r="C47" s="129" t="s">
        <v>475</v>
      </c>
      <c r="D47" s="129" t="s">
        <v>476</v>
      </c>
      <c r="E47" s="130"/>
      <c r="F47" s="131" t="s">
        <v>477</v>
      </c>
      <c r="G47" s="132" t="s">
        <v>478</v>
      </c>
      <c r="H47" s="132" t="s">
        <v>479</v>
      </c>
      <c r="I47" s="132"/>
      <c r="J47" s="132" t="s">
        <v>167</v>
      </c>
      <c r="K47" s="132" t="s">
        <v>480</v>
      </c>
      <c r="L47" s="133" t="s">
        <v>149</v>
      </c>
      <c r="M47" s="134">
        <v>45738.0</v>
      </c>
      <c r="N47" s="135" t="s">
        <v>342</v>
      </c>
      <c r="O47" s="135" t="s">
        <v>267</v>
      </c>
      <c r="P47" s="135" t="s">
        <v>274</v>
      </c>
      <c r="Q47" s="135" t="s">
        <v>173</v>
      </c>
      <c r="R47" s="134"/>
      <c r="S47" s="135"/>
      <c r="T47" s="132"/>
      <c r="U47" s="135"/>
      <c r="V47" s="135"/>
      <c r="W47" s="135"/>
      <c r="X47" s="135"/>
      <c r="Y47" s="132" t="s">
        <v>468</v>
      </c>
      <c r="Z47" s="136">
        <f t="shared" si="2"/>
        <v>37</v>
      </c>
      <c r="AA47" s="137" t="str">
        <f t="shared" si="3"/>
        <v>C</v>
      </c>
      <c r="AB47" s="138" t="str">
        <f t="shared" si="4"/>
        <v>⚠ MISSING: Call Date, Modality, Budget, Timeline, Decision Maker</v>
      </c>
      <c r="AC47" s="135" t="s">
        <v>344</v>
      </c>
      <c r="AD47" s="132" t="s">
        <v>190</v>
      </c>
      <c r="AE47" s="134"/>
    </row>
    <row r="48" ht="18.0" customHeight="1">
      <c r="A48" s="118" t="str">
        <f t="shared" si="1"/>
        <v>AYA-043</v>
      </c>
      <c r="B48" s="109">
        <v>45741.0</v>
      </c>
      <c r="C48" s="119" t="s">
        <v>481</v>
      </c>
      <c r="D48" s="119" t="s">
        <v>482</v>
      </c>
      <c r="E48" s="120"/>
      <c r="F48" s="121" t="s">
        <v>483</v>
      </c>
      <c r="G48" s="112"/>
      <c r="H48" s="112"/>
      <c r="I48" s="112"/>
      <c r="J48" s="112" t="s">
        <v>167</v>
      </c>
      <c r="K48" s="112" t="s">
        <v>484</v>
      </c>
      <c r="L48" s="122" t="s">
        <v>151</v>
      </c>
      <c r="M48" s="123">
        <v>45741.0</v>
      </c>
      <c r="N48" s="114" t="s">
        <v>189</v>
      </c>
      <c r="O48" s="114" t="s">
        <v>267</v>
      </c>
      <c r="P48" s="114" t="s">
        <v>281</v>
      </c>
      <c r="Q48" s="114" t="s">
        <v>173</v>
      </c>
      <c r="R48" s="123"/>
      <c r="S48" s="114"/>
      <c r="T48" s="112"/>
      <c r="U48" s="114"/>
      <c r="V48" s="114"/>
      <c r="W48" s="114"/>
      <c r="X48" s="114" t="s">
        <v>67</v>
      </c>
      <c r="Y48" s="112" t="s">
        <v>485</v>
      </c>
      <c r="Z48" s="125">
        <f t="shared" si="2"/>
        <v>22</v>
      </c>
      <c r="AA48" s="126" t="str">
        <f t="shared" si="3"/>
        <v>D</v>
      </c>
      <c r="AB48" s="117" t="str">
        <f t="shared" si="4"/>
        <v>⚠ MISSING: Call Date, Modality, Budget, Timeline, Decision Maker</v>
      </c>
      <c r="AC48" s="114" t="s">
        <v>259</v>
      </c>
      <c r="AD48" s="112" t="s">
        <v>189</v>
      </c>
      <c r="AE48" s="123"/>
    </row>
    <row r="49" ht="18.0" customHeight="1">
      <c r="A49" s="127" t="str">
        <f t="shared" si="1"/>
        <v>AYA-044</v>
      </c>
      <c r="B49" s="128">
        <v>45743.0</v>
      </c>
      <c r="C49" s="129" t="s">
        <v>486</v>
      </c>
      <c r="D49" s="129" t="s">
        <v>487</v>
      </c>
      <c r="E49" s="130"/>
      <c r="F49" s="131"/>
      <c r="G49" s="132" t="s">
        <v>488</v>
      </c>
      <c r="H49" s="132" t="s">
        <v>489</v>
      </c>
      <c r="I49" s="132"/>
      <c r="J49" s="132" t="s">
        <v>167</v>
      </c>
      <c r="K49" s="132" t="s">
        <v>490</v>
      </c>
      <c r="L49" s="133" t="s">
        <v>149</v>
      </c>
      <c r="M49" s="134">
        <v>45743.0</v>
      </c>
      <c r="N49" s="135" t="s">
        <v>266</v>
      </c>
      <c r="O49" s="135" t="s">
        <v>267</v>
      </c>
      <c r="P49" s="135" t="s">
        <v>303</v>
      </c>
      <c r="Q49" s="135" t="s">
        <v>173</v>
      </c>
      <c r="R49" s="134"/>
      <c r="S49" s="135"/>
      <c r="T49" s="132"/>
      <c r="U49" s="135"/>
      <c r="V49" s="135"/>
      <c r="W49" s="135"/>
      <c r="X49" s="135"/>
      <c r="Y49" s="132" t="s">
        <v>491</v>
      </c>
      <c r="Z49" s="136">
        <f t="shared" si="2"/>
        <v>37</v>
      </c>
      <c r="AA49" s="137" t="str">
        <f t="shared" si="3"/>
        <v>C</v>
      </c>
      <c r="AB49" s="138" t="str">
        <f t="shared" si="4"/>
        <v>⚠ MISSING: Call Date, Modality, Budget, Timeline, Decision Maker</v>
      </c>
      <c r="AC49" s="135" t="s">
        <v>409</v>
      </c>
      <c r="AD49" s="132"/>
      <c r="AE49" s="134"/>
    </row>
    <row r="50" ht="18.0" customHeight="1">
      <c r="A50" s="118" t="str">
        <f t="shared" si="1"/>
        <v>AYA-045</v>
      </c>
      <c r="B50" s="109">
        <v>45743.0</v>
      </c>
      <c r="C50" s="119" t="s">
        <v>492</v>
      </c>
      <c r="D50" s="119" t="s">
        <v>493</v>
      </c>
      <c r="E50" s="120"/>
      <c r="F50" s="121" t="s">
        <v>494</v>
      </c>
      <c r="G50" s="112" t="s">
        <v>495</v>
      </c>
      <c r="H50" s="112"/>
      <c r="I50" s="112"/>
      <c r="J50" s="112" t="s">
        <v>167</v>
      </c>
      <c r="K50" s="112" t="s">
        <v>496</v>
      </c>
      <c r="L50" s="122" t="s">
        <v>148</v>
      </c>
      <c r="M50" s="123">
        <v>45743.0</v>
      </c>
      <c r="N50" s="114" t="s">
        <v>342</v>
      </c>
      <c r="O50" s="114" t="s">
        <v>267</v>
      </c>
      <c r="P50" s="114" t="s">
        <v>274</v>
      </c>
      <c r="Q50" s="114" t="s">
        <v>173</v>
      </c>
      <c r="R50" s="123"/>
      <c r="S50" s="114"/>
      <c r="T50" s="112"/>
      <c r="U50" s="114"/>
      <c r="V50" s="114"/>
      <c r="W50" s="114"/>
      <c r="X50" s="114" t="s">
        <v>67</v>
      </c>
      <c r="Y50" s="112" t="s">
        <v>497</v>
      </c>
      <c r="Z50" s="125">
        <f t="shared" si="2"/>
        <v>37</v>
      </c>
      <c r="AA50" s="126" t="str">
        <f t="shared" si="3"/>
        <v>C</v>
      </c>
      <c r="AB50" s="117" t="str">
        <f t="shared" si="4"/>
        <v>⚠ MISSING: Call Date, Modality, Budget, Timeline, Decision Maker</v>
      </c>
      <c r="AC50" s="114" t="s">
        <v>344</v>
      </c>
      <c r="AD50" s="112" t="s">
        <v>190</v>
      </c>
      <c r="AE50" s="123"/>
    </row>
    <row r="51" ht="18.0" customHeight="1">
      <c r="A51" s="127" t="str">
        <f t="shared" si="1"/>
        <v>AYA-046</v>
      </c>
      <c r="B51" s="128">
        <v>45744.0</v>
      </c>
      <c r="C51" s="129" t="s">
        <v>498</v>
      </c>
      <c r="D51" s="129" t="s">
        <v>499</v>
      </c>
      <c r="E51" s="130"/>
      <c r="F51" s="131" t="s">
        <v>500</v>
      </c>
      <c r="G51" s="132" t="s">
        <v>501</v>
      </c>
      <c r="H51" s="132" t="s">
        <v>502</v>
      </c>
      <c r="I51" s="132"/>
      <c r="J51" s="132" t="s">
        <v>168</v>
      </c>
      <c r="K51" s="132" t="s">
        <v>503</v>
      </c>
      <c r="L51" s="133" t="s">
        <v>153</v>
      </c>
      <c r="M51" s="134">
        <v>45744.0</v>
      </c>
      <c r="N51" s="135" t="s">
        <v>266</v>
      </c>
      <c r="O51" s="135" t="s">
        <v>297</v>
      </c>
      <c r="P51" s="135"/>
      <c r="Q51" s="135" t="s">
        <v>173</v>
      </c>
      <c r="R51" s="134"/>
      <c r="S51" s="135"/>
      <c r="T51" s="132"/>
      <c r="U51" s="135"/>
      <c r="V51" s="135"/>
      <c r="W51" s="135"/>
      <c r="X51" s="135"/>
      <c r="Y51" s="132" t="s">
        <v>504</v>
      </c>
      <c r="Z51" s="136">
        <f t="shared" si="2"/>
        <v>27</v>
      </c>
      <c r="AA51" s="137" t="str">
        <f t="shared" si="3"/>
        <v>C</v>
      </c>
      <c r="AB51" s="138" t="str">
        <f t="shared" si="4"/>
        <v>⚠ MISSING: Call Date, Modality, Budget, Timeline, Decision Maker</v>
      </c>
      <c r="AC51" s="135" t="s">
        <v>101</v>
      </c>
      <c r="AD51" s="132"/>
      <c r="AE51" s="134"/>
    </row>
    <row r="52" ht="18.0" customHeight="1">
      <c r="A52" s="118" t="str">
        <f t="shared" si="1"/>
        <v>AYA-047</v>
      </c>
      <c r="B52" s="109">
        <v>45754.0</v>
      </c>
      <c r="C52" s="119" t="s">
        <v>505</v>
      </c>
      <c r="D52" s="119" t="s">
        <v>506</v>
      </c>
      <c r="E52" s="120"/>
      <c r="F52" s="121" t="s">
        <v>507</v>
      </c>
      <c r="G52" s="112" t="s">
        <v>508</v>
      </c>
      <c r="H52" s="112"/>
      <c r="I52" s="112"/>
      <c r="J52" s="112" t="s">
        <v>168</v>
      </c>
      <c r="K52" s="112" t="s">
        <v>509</v>
      </c>
      <c r="L52" s="122" t="s">
        <v>148</v>
      </c>
      <c r="M52" s="123">
        <v>45754.0</v>
      </c>
      <c r="N52" s="114" t="s">
        <v>189</v>
      </c>
      <c r="O52" s="114" t="s">
        <v>267</v>
      </c>
      <c r="P52" s="114" t="s">
        <v>281</v>
      </c>
      <c r="Q52" s="114" t="s">
        <v>173</v>
      </c>
      <c r="R52" s="123"/>
      <c r="S52" s="114"/>
      <c r="T52" s="112"/>
      <c r="U52" s="114"/>
      <c r="V52" s="114"/>
      <c r="W52" s="114"/>
      <c r="X52" s="114"/>
      <c r="Y52" s="112" t="s">
        <v>510</v>
      </c>
      <c r="Z52" s="125">
        <f t="shared" si="2"/>
        <v>37</v>
      </c>
      <c r="AA52" s="126" t="str">
        <f t="shared" si="3"/>
        <v>C</v>
      </c>
      <c r="AB52" s="117" t="str">
        <f t="shared" si="4"/>
        <v>⚠ MISSING: Call Date, Modality, Budget, Timeline, Decision Maker</v>
      </c>
      <c r="AC52" s="114" t="s">
        <v>259</v>
      </c>
      <c r="AD52" s="112" t="s">
        <v>189</v>
      </c>
      <c r="AE52" s="123"/>
    </row>
    <row r="53" ht="18.0" customHeight="1">
      <c r="A53" s="127" t="str">
        <f t="shared" si="1"/>
        <v>AYA-048</v>
      </c>
      <c r="B53" s="128">
        <v>45754.0</v>
      </c>
      <c r="C53" s="129" t="s">
        <v>367</v>
      </c>
      <c r="D53" s="129" t="s">
        <v>511</v>
      </c>
      <c r="E53" s="130"/>
      <c r="F53" s="131" t="s">
        <v>512</v>
      </c>
      <c r="G53" s="132" t="s">
        <v>513</v>
      </c>
      <c r="H53" s="132"/>
      <c r="I53" s="132"/>
      <c r="J53" s="132" t="s">
        <v>168</v>
      </c>
      <c r="K53" s="132" t="s">
        <v>514</v>
      </c>
      <c r="L53" s="133" t="s">
        <v>153</v>
      </c>
      <c r="M53" s="134">
        <v>45754.0</v>
      </c>
      <c r="N53" s="135" t="s">
        <v>266</v>
      </c>
      <c r="O53" s="135" t="s">
        <v>267</v>
      </c>
      <c r="P53" s="135" t="s">
        <v>428</v>
      </c>
      <c r="Q53" s="135" t="s">
        <v>173</v>
      </c>
      <c r="R53" s="134"/>
      <c r="S53" s="135"/>
      <c r="T53" s="132"/>
      <c r="U53" s="135"/>
      <c r="V53" s="135"/>
      <c r="W53" s="135"/>
      <c r="X53" s="135"/>
      <c r="Y53" s="132" t="s">
        <v>504</v>
      </c>
      <c r="Z53" s="136">
        <f t="shared" si="2"/>
        <v>37</v>
      </c>
      <c r="AA53" s="137" t="str">
        <f t="shared" si="3"/>
        <v>C</v>
      </c>
      <c r="AB53" s="138" t="str">
        <f t="shared" si="4"/>
        <v>⚠ MISSING: Call Date, Modality, Budget, Timeline, Decision Maker</v>
      </c>
      <c r="AC53" s="135" t="s">
        <v>101</v>
      </c>
      <c r="AD53" s="132"/>
      <c r="AE53" s="134"/>
    </row>
    <row r="54" ht="18.0" customHeight="1">
      <c r="A54" s="118" t="str">
        <f t="shared" si="1"/>
        <v>AYA-049</v>
      </c>
      <c r="B54" s="109">
        <v>45764.0</v>
      </c>
      <c r="C54" s="119" t="s">
        <v>515</v>
      </c>
      <c r="D54" s="119" t="s">
        <v>516</v>
      </c>
      <c r="E54" s="120"/>
      <c r="F54" s="121" t="s">
        <v>517</v>
      </c>
      <c r="G54" s="112" t="s">
        <v>518</v>
      </c>
      <c r="H54" s="112"/>
      <c r="I54" s="112"/>
      <c r="J54" s="112" t="s">
        <v>159</v>
      </c>
      <c r="K54" s="112" t="s">
        <v>519</v>
      </c>
      <c r="L54" s="122" t="s">
        <v>149</v>
      </c>
      <c r="M54" s="123"/>
      <c r="N54" s="114"/>
      <c r="O54" s="114" t="s">
        <v>267</v>
      </c>
      <c r="P54" s="114" t="s">
        <v>375</v>
      </c>
      <c r="Q54" s="114" t="s">
        <v>173</v>
      </c>
      <c r="R54" s="123"/>
      <c r="S54" s="114"/>
      <c r="T54" s="112"/>
      <c r="U54" s="114"/>
      <c r="V54" s="114"/>
      <c r="W54" s="114"/>
      <c r="X54" s="114"/>
      <c r="Y54" s="112"/>
      <c r="Z54" s="125">
        <f t="shared" si="2"/>
        <v>37</v>
      </c>
      <c r="AA54" s="126" t="str">
        <f t="shared" si="3"/>
        <v>C</v>
      </c>
      <c r="AB54" s="117" t="str">
        <f t="shared" si="4"/>
        <v>⚠ MISSING: Call Date, Modality, Budget, Timeline, Decision Maker</v>
      </c>
      <c r="AC54" s="114" t="s">
        <v>100</v>
      </c>
      <c r="AD54" s="112"/>
      <c r="AE54" s="123"/>
    </row>
    <row r="55" ht="18.0" customHeight="1">
      <c r="A55" s="127" t="str">
        <f t="shared" si="1"/>
        <v>AYA-050</v>
      </c>
      <c r="B55" s="128">
        <v>45768.0</v>
      </c>
      <c r="C55" s="129" t="s">
        <v>520</v>
      </c>
      <c r="D55" s="129" t="s">
        <v>521</v>
      </c>
      <c r="E55" s="130"/>
      <c r="F55" s="131" t="s">
        <v>522</v>
      </c>
      <c r="G55" s="132" t="s">
        <v>523</v>
      </c>
      <c r="H55" s="132"/>
      <c r="I55" s="132"/>
      <c r="J55" s="132" t="s">
        <v>159</v>
      </c>
      <c r="K55" s="132" t="s">
        <v>524</v>
      </c>
      <c r="L55" s="133" t="s">
        <v>153</v>
      </c>
      <c r="M55" s="134">
        <v>45768.0</v>
      </c>
      <c r="N55" s="135" t="s">
        <v>266</v>
      </c>
      <c r="O55" s="135" t="s">
        <v>267</v>
      </c>
      <c r="P55" s="135" t="s">
        <v>281</v>
      </c>
      <c r="Q55" s="135" t="s">
        <v>173</v>
      </c>
      <c r="R55" s="134"/>
      <c r="S55" s="135"/>
      <c r="T55" s="132"/>
      <c r="U55" s="135"/>
      <c r="V55" s="135"/>
      <c r="W55" s="135"/>
      <c r="X55" s="135"/>
      <c r="Y55" s="132" t="s">
        <v>504</v>
      </c>
      <c r="Z55" s="136">
        <f t="shared" si="2"/>
        <v>37</v>
      </c>
      <c r="AA55" s="137" t="str">
        <f t="shared" si="3"/>
        <v>C</v>
      </c>
      <c r="AB55" s="138" t="str">
        <f t="shared" si="4"/>
        <v>⚠ MISSING: Call Date, Modality, Budget, Timeline, Decision Maker</v>
      </c>
      <c r="AC55" s="135" t="s">
        <v>101</v>
      </c>
      <c r="AD55" s="132"/>
      <c r="AE55" s="134"/>
    </row>
    <row r="56" ht="18.0" customHeight="1">
      <c r="A56" s="118" t="str">
        <f t="shared" si="1"/>
        <v>AYA-051</v>
      </c>
      <c r="B56" s="109">
        <v>45770.0</v>
      </c>
      <c r="C56" s="119" t="s">
        <v>525</v>
      </c>
      <c r="D56" s="119" t="s">
        <v>526</v>
      </c>
      <c r="E56" s="120"/>
      <c r="F56" s="121" t="s">
        <v>527</v>
      </c>
      <c r="G56" s="112" t="s">
        <v>528</v>
      </c>
      <c r="H56" s="112"/>
      <c r="I56" s="112"/>
      <c r="J56" s="112" t="s">
        <v>159</v>
      </c>
      <c r="K56" s="112" t="s">
        <v>529</v>
      </c>
      <c r="L56" s="122" t="s">
        <v>152</v>
      </c>
      <c r="M56" s="123">
        <v>45770.0</v>
      </c>
      <c r="N56" s="114" t="s">
        <v>266</v>
      </c>
      <c r="O56" s="114" t="s">
        <v>297</v>
      </c>
      <c r="P56" s="114" t="s">
        <v>274</v>
      </c>
      <c r="Q56" s="114" t="s">
        <v>173</v>
      </c>
      <c r="R56" s="123"/>
      <c r="S56" s="114"/>
      <c r="T56" s="112"/>
      <c r="U56" s="114"/>
      <c r="V56" s="114"/>
      <c r="W56" s="114"/>
      <c r="X56" s="114" t="s">
        <v>66</v>
      </c>
      <c r="Y56" s="112" t="s">
        <v>530</v>
      </c>
      <c r="Z56" s="125">
        <f t="shared" si="2"/>
        <v>37</v>
      </c>
      <c r="AA56" s="126" t="str">
        <f t="shared" si="3"/>
        <v>C</v>
      </c>
      <c r="AB56" s="117" t="str">
        <f t="shared" si="4"/>
        <v>⚠ MISSING: Call Date, Modality, Budget, Timeline, Decision Maker</v>
      </c>
      <c r="AC56" s="114" t="s">
        <v>101</v>
      </c>
      <c r="AD56" s="112"/>
      <c r="AE56" s="123"/>
    </row>
    <row r="57" ht="18.0" customHeight="1">
      <c r="A57" s="127" t="str">
        <f t="shared" si="1"/>
        <v>AYA-052</v>
      </c>
      <c r="B57" s="128">
        <v>45771.0</v>
      </c>
      <c r="C57" s="129" t="s">
        <v>531</v>
      </c>
      <c r="D57" s="129" t="s">
        <v>532</v>
      </c>
      <c r="E57" s="130"/>
      <c r="F57" s="131" t="s">
        <v>533</v>
      </c>
      <c r="G57" s="132" t="s">
        <v>534</v>
      </c>
      <c r="H57" s="132" t="s">
        <v>450</v>
      </c>
      <c r="I57" s="132"/>
      <c r="J57" s="132" t="s">
        <v>159</v>
      </c>
      <c r="K57" s="132" t="s">
        <v>535</v>
      </c>
      <c r="L57" s="133" t="s">
        <v>149</v>
      </c>
      <c r="M57" s="134">
        <v>45771.0</v>
      </c>
      <c r="N57" s="135" t="s">
        <v>266</v>
      </c>
      <c r="O57" s="135" t="s">
        <v>267</v>
      </c>
      <c r="P57" s="135"/>
      <c r="Q57" s="135" t="s">
        <v>173</v>
      </c>
      <c r="R57" s="134"/>
      <c r="S57" s="135"/>
      <c r="T57" s="132"/>
      <c r="U57" s="135"/>
      <c r="V57" s="135"/>
      <c r="W57" s="135"/>
      <c r="X57" s="135"/>
      <c r="Y57" s="132" t="s">
        <v>536</v>
      </c>
      <c r="Z57" s="136">
        <f t="shared" si="2"/>
        <v>27</v>
      </c>
      <c r="AA57" s="137" t="str">
        <f t="shared" si="3"/>
        <v>C</v>
      </c>
      <c r="AB57" s="138" t="str">
        <f t="shared" si="4"/>
        <v>⚠ MISSING: Call Date, Modality, Budget, Timeline, Decision Maker</v>
      </c>
      <c r="AC57" s="135" t="s">
        <v>101</v>
      </c>
      <c r="AD57" s="132"/>
      <c r="AE57" s="134"/>
    </row>
    <row r="58" ht="18.0" customHeight="1">
      <c r="A58" s="118" t="str">
        <f t="shared" si="1"/>
        <v>AYA-053</v>
      </c>
      <c r="B58" s="109">
        <v>45771.0</v>
      </c>
      <c r="C58" s="119" t="s">
        <v>537</v>
      </c>
      <c r="D58" s="119" t="s">
        <v>538</v>
      </c>
      <c r="E58" s="120"/>
      <c r="F58" s="121" t="s">
        <v>539</v>
      </c>
      <c r="G58" s="112" t="s">
        <v>540</v>
      </c>
      <c r="H58" s="112"/>
      <c r="I58" s="112"/>
      <c r="J58" s="112" t="s">
        <v>167</v>
      </c>
      <c r="K58" s="112" t="s">
        <v>541</v>
      </c>
      <c r="L58" s="122" t="s">
        <v>149</v>
      </c>
      <c r="M58" s="123">
        <v>45771.0</v>
      </c>
      <c r="N58" s="114" t="s">
        <v>342</v>
      </c>
      <c r="O58" s="114" t="s">
        <v>267</v>
      </c>
      <c r="P58" s="114" t="s">
        <v>281</v>
      </c>
      <c r="Q58" s="114" t="s">
        <v>173</v>
      </c>
      <c r="R58" s="123"/>
      <c r="S58" s="114"/>
      <c r="T58" s="112"/>
      <c r="U58" s="114"/>
      <c r="V58" s="114"/>
      <c r="W58" s="114"/>
      <c r="X58" s="114"/>
      <c r="Y58" s="112" t="s">
        <v>392</v>
      </c>
      <c r="Z58" s="125">
        <f t="shared" si="2"/>
        <v>37</v>
      </c>
      <c r="AA58" s="126" t="str">
        <f t="shared" si="3"/>
        <v>C</v>
      </c>
      <c r="AB58" s="117" t="str">
        <f t="shared" si="4"/>
        <v>⚠ MISSING: Call Date, Modality, Budget, Timeline, Decision Maker</v>
      </c>
      <c r="AC58" s="114" t="s">
        <v>344</v>
      </c>
      <c r="AD58" s="112" t="s">
        <v>190</v>
      </c>
      <c r="AE58" s="123"/>
    </row>
    <row r="59" ht="18.0" customHeight="1">
      <c r="A59" s="127" t="str">
        <f t="shared" si="1"/>
        <v>AYA-054</v>
      </c>
      <c r="B59" s="128">
        <v>45772.0</v>
      </c>
      <c r="C59" s="129" t="s">
        <v>367</v>
      </c>
      <c r="D59" s="129" t="s">
        <v>542</v>
      </c>
      <c r="E59" s="130"/>
      <c r="F59" s="131" t="s">
        <v>543</v>
      </c>
      <c r="G59" s="132" t="s">
        <v>544</v>
      </c>
      <c r="H59" s="132" t="s">
        <v>545</v>
      </c>
      <c r="I59" s="132"/>
      <c r="J59" s="132" t="s">
        <v>167</v>
      </c>
      <c r="K59" s="132" t="s">
        <v>546</v>
      </c>
      <c r="L59" s="133" t="s">
        <v>148</v>
      </c>
      <c r="M59" s="134">
        <v>45772.0</v>
      </c>
      <c r="N59" s="135" t="s">
        <v>266</v>
      </c>
      <c r="O59" s="135" t="s">
        <v>267</v>
      </c>
      <c r="P59" s="135" t="s">
        <v>452</v>
      </c>
      <c r="Q59" s="135" t="s">
        <v>173</v>
      </c>
      <c r="R59" s="134"/>
      <c r="S59" s="135"/>
      <c r="T59" s="132"/>
      <c r="U59" s="135"/>
      <c r="V59" s="135"/>
      <c r="W59" s="135"/>
      <c r="X59" s="135" t="s">
        <v>59</v>
      </c>
      <c r="Y59" s="132" t="s">
        <v>547</v>
      </c>
      <c r="Z59" s="136">
        <f t="shared" si="2"/>
        <v>37</v>
      </c>
      <c r="AA59" s="137" t="str">
        <f t="shared" si="3"/>
        <v>C</v>
      </c>
      <c r="AB59" s="138" t="str">
        <f t="shared" si="4"/>
        <v>⚠ MISSING: Call Date, Modality, Budget, Timeline, Decision Maker</v>
      </c>
      <c r="AC59" s="135" t="s">
        <v>409</v>
      </c>
      <c r="AD59" s="132"/>
      <c r="AE59" s="134"/>
    </row>
    <row r="60" ht="18.0" customHeight="1">
      <c r="A60" s="118" t="str">
        <f t="shared" si="1"/>
        <v>AYA-055</v>
      </c>
      <c r="B60" s="109">
        <v>45773.0</v>
      </c>
      <c r="C60" s="119" t="s">
        <v>548</v>
      </c>
      <c r="D60" s="119" t="s">
        <v>549</v>
      </c>
      <c r="E60" s="120"/>
      <c r="F60" s="121" t="s">
        <v>550</v>
      </c>
      <c r="G60" s="112" t="s">
        <v>551</v>
      </c>
      <c r="H60" s="112"/>
      <c r="I60" s="112"/>
      <c r="J60" s="112" t="s">
        <v>159</v>
      </c>
      <c r="K60" s="112" t="s">
        <v>552</v>
      </c>
      <c r="L60" s="122" t="s">
        <v>148</v>
      </c>
      <c r="M60" s="123"/>
      <c r="N60" s="114"/>
      <c r="O60" s="114" t="s">
        <v>267</v>
      </c>
      <c r="P60" s="114" t="s">
        <v>274</v>
      </c>
      <c r="Q60" s="114" t="s">
        <v>173</v>
      </c>
      <c r="R60" s="123"/>
      <c r="S60" s="114"/>
      <c r="T60" s="112"/>
      <c r="U60" s="114"/>
      <c r="V60" s="114"/>
      <c r="W60" s="114"/>
      <c r="X60" s="114" t="s">
        <v>59</v>
      </c>
      <c r="Y60" s="112"/>
      <c r="Z60" s="125">
        <f t="shared" si="2"/>
        <v>37</v>
      </c>
      <c r="AA60" s="126" t="str">
        <f t="shared" si="3"/>
        <v>C</v>
      </c>
      <c r="AB60" s="117" t="str">
        <f t="shared" si="4"/>
        <v>⚠ MISSING: Call Date, Modality, Budget, Timeline, Decision Maker</v>
      </c>
      <c r="AC60" s="114" t="s">
        <v>100</v>
      </c>
      <c r="AD60" s="112"/>
      <c r="AE60" s="123"/>
    </row>
    <row r="61" ht="18.0" customHeight="1">
      <c r="A61" s="127" t="str">
        <f t="shared" si="1"/>
        <v>AYA-056</v>
      </c>
      <c r="B61" s="128">
        <v>45774.0</v>
      </c>
      <c r="C61" s="129" t="s">
        <v>553</v>
      </c>
      <c r="D61" s="129" t="s">
        <v>554</v>
      </c>
      <c r="E61" s="130"/>
      <c r="F61" s="131" t="s">
        <v>555</v>
      </c>
      <c r="G61" s="132" t="s">
        <v>556</v>
      </c>
      <c r="H61" s="132"/>
      <c r="I61" s="132"/>
      <c r="J61" s="132" t="s">
        <v>161</v>
      </c>
      <c r="K61" s="132" t="s">
        <v>557</v>
      </c>
      <c r="L61" s="133" t="s">
        <v>148</v>
      </c>
      <c r="M61" s="134">
        <v>45774.0</v>
      </c>
      <c r="N61" s="135" t="s">
        <v>266</v>
      </c>
      <c r="O61" s="135" t="s">
        <v>267</v>
      </c>
      <c r="P61" s="135" t="s">
        <v>274</v>
      </c>
      <c r="Q61" s="135" t="s">
        <v>173</v>
      </c>
      <c r="R61" s="134"/>
      <c r="S61" s="135"/>
      <c r="T61" s="132"/>
      <c r="U61" s="135"/>
      <c r="V61" s="135"/>
      <c r="W61" s="135"/>
      <c r="X61" s="135" t="s">
        <v>58</v>
      </c>
      <c r="Y61" s="132" t="s">
        <v>558</v>
      </c>
      <c r="Z61" s="136">
        <f t="shared" si="2"/>
        <v>37</v>
      </c>
      <c r="AA61" s="137" t="str">
        <f t="shared" si="3"/>
        <v>C</v>
      </c>
      <c r="AB61" s="138" t="str">
        <f t="shared" si="4"/>
        <v>⚠ MISSING: Call Date, Modality, Budget, Timeline, Decision Maker</v>
      </c>
      <c r="AC61" s="135" t="s">
        <v>103</v>
      </c>
      <c r="AD61" s="132"/>
      <c r="AE61" s="134"/>
    </row>
    <row r="62" ht="18.0" customHeight="1">
      <c r="A62" s="118" t="str">
        <f t="shared" si="1"/>
        <v>AYA-057</v>
      </c>
      <c r="B62" s="109">
        <v>45775.0</v>
      </c>
      <c r="C62" s="119" t="s">
        <v>559</v>
      </c>
      <c r="D62" s="119" t="s">
        <v>560</v>
      </c>
      <c r="E62" s="120"/>
      <c r="F62" s="121" t="s">
        <v>561</v>
      </c>
      <c r="G62" s="112" t="s">
        <v>562</v>
      </c>
      <c r="H62" s="112"/>
      <c r="I62" s="112"/>
      <c r="J62" s="112" t="s">
        <v>161</v>
      </c>
      <c r="K62" s="112" t="s">
        <v>563</v>
      </c>
      <c r="L62" s="122" t="s">
        <v>148</v>
      </c>
      <c r="M62" s="123">
        <v>45775.0</v>
      </c>
      <c r="N62" s="114" t="s">
        <v>266</v>
      </c>
      <c r="O62" s="114" t="s">
        <v>267</v>
      </c>
      <c r="P62" s="114" t="s">
        <v>375</v>
      </c>
      <c r="Q62" s="114" t="s">
        <v>173</v>
      </c>
      <c r="R62" s="123"/>
      <c r="S62" s="114"/>
      <c r="T62" s="112"/>
      <c r="U62" s="114"/>
      <c r="V62" s="114"/>
      <c r="W62" s="114"/>
      <c r="X62" s="114" t="s">
        <v>67</v>
      </c>
      <c r="Y62" s="112" t="s">
        <v>564</v>
      </c>
      <c r="Z62" s="125">
        <f t="shared" si="2"/>
        <v>37</v>
      </c>
      <c r="AA62" s="126" t="str">
        <f t="shared" si="3"/>
        <v>C</v>
      </c>
      <c r="AB62" s="117" t="str">
        <f t="shared" si="4"/>
        <v>⚠ MISSING: Call Date, Modality, Budget, Timeline, Decision Maker</v>
      </c>
      <c r="AC62" s="114" t="s">
        <v>101</v>
      </c>
      <c r="AD62" s="112"/>
      <c r="AE62" s="123"/>
    </row>
    <row r="63" ht="18.0" customHeight="1">
      <c r="A63" s="127" t="str">
        <f t="shared" si="1"/>
        <v>AYA-058</v>
      </c>
      <c r="B63" s="128">
        <v>45782.0</v>
      </c>
      <c r="C63" s="129" t="s">
        <v>565</v>
      </c>
      <c r="D63" s="129" t="s">
        <v>335</v>
      </c>
      <c r="E63" s="130"/>
      <c r="F63" s="131" t="s">
        <v>566</v>
      </c>
      <c r="G63" s="132" t="s">
        <v>567</v>
      </c>
      <c r="H63" s="132"/>
      <c r="I63" s="132"/>
      <c r="J63" s="132" t="s">
        <v>159</v>
      </c>
      <c r="K63" s="132" t="s">
        <v>568</v>
      </c>
      <c r="L63" s="133" t="s">
        <v>148</v>
      </c>
      <c r="M63" s="134">
        <v>45782.0</v>
      </c>
      <c r="N63" s="135" t="s">
        <v>342</v>
      </c>
      <c r="O63" s="135" t="s">
        <v>297</v>
      </c>
      <c r="P63" s="135" t="s">
        <v>281</v>
      </c>
      <c r="Q63" s="135" t="s">
        <v>173</v>
      </c>
      <c r="R63" s="134"/>
      <c r="S63" s="135"/>
      <c r="T63" s="132"/>
      <c r="U63" s="135"/>
      <c r="V63" s="135"/>
      <c r="W63" s="135"/>
      <c r="X63" s="135"/>
      <c r="Y63" s="132" t="s">
        <v>392</v>
      </c>
      <c r="Z63" s="136">
        <f t="shared" si="2"/>
        <v>37</v>
      </c>
      <c r="AA63" s="137" t="str">
        <f t="shared" si="3"/>
        <v>C</v>
      </c>
      <c r="AB63" s="138" t="str">
        <f t="shared" si="4"/>
        <v>⚠ MISSING: Call Date, Modality, Budget, Timeline, Decision Maker</v>
      </c>
      <c r="AC63" s="135" t="s">
        <v>344</v>
      </c>
      <c r="AD63" s="132" t="s">
        <v>190</v>
      </c>
      <c r="AE63" s="134"/>
    </row>
    <row r="64" ht="18.0" customHeight="1">
      <c r="A64" s="118" t="str">
        <f t="shared" si="1"/>
        <v>AYA-059</v>
      </c>
      <c r="B64" s="109">
        <v>45783.0</v>
      </c>
      <c r="C64" s="119" t="s">
        <v>569</v>
      </c>
      <c r="D64" s="119" t="s">
        <v>570</v>
      </c>
      <c r="E64" s="120"/>
      <c r="F64" s="121" t="s">
        <v>571</v>
      </c>
      <c r="G64" s="112" t="s">
        <v>572</v>
      </c>
      <c r="H64" s="112" t="s">
        <v>573</v>
      </c>
      <c r="I64" s="112"/>
      <c r="J64" s="112" t="s">
        <v>167</v>
      </c>
      <c r="K64" s="112" t="s">
        <v>574</v>
      </c>
      <c r="L64" s="122" t="s">
        <v>148</v>
      </c>
      <c r="M64" s="123">
        <v>45783.0</v>
      </c>
      <c r="N64" s="114" t="s">
        <v>189</v>
      </c>
      <c r="O64" s="114" t="s">
        <v>267</v>
      </c>
      <c r="P64" s="114" t="s">
        <v>360</v>
      </c>
      <c r="Q64" s="114" t="s">
        <v>173</v>
      </c>
      <c r="R64" s="123"/>
      <c r="S64" s="114"/>
      <c r="T64" s="112"/>
      <c r="U64" s="114"/>
      <c r="V64" s="114"/>
      <c r="W64" s="114"/>
      <c r="X64" s="114" t="s">
        <v>67</v>
      </c>
      <c r="Y64" s="112" t="s">
        <v>575</v>
      </c>
      <c r="Z64" s="125">
        <f t="shared" si="2"/>
        <v>45</v>
      </c>
      <c r="AA64" s="126" t="str">
        <f t="shared" si="3"/>
        <v>C</v>
      </c>
      <c r="AB64" s="117" t="str">
        <f t="shared" si="4"/>
        <v>⚠ MISSING: Call Date, Modality, Budget, Timeline, Decision Maker</v>
      </c>
      <c r="AC64" s="114" t="s">
        <v>259</v>
      </c>
      <c r="AD64" s="112" t="s">
        <v>189</v>
      </c>
      <c r="AE64" s="123"/>
    </row>
    <row r="65" ht="18.0" customHeight="1">
      <c r="A65" s="127" t="str">
        <f t="shared" si="1"/>
        <v>AYA-060</v>
      </c>
      <c r="B65" s="128">
        <v>45783.0</v>
      </c>
      <c r="C65" s="129" t="s">
        <v>576</v>
      </c>
      <c r="D65" s="129" t="s">
        <v>577</v>
      </c>
      <c r="E65" s="130"/>
      <c r="F65" s="131" t="s">
        <v>578</v>
      </c>
      <c r="G65" s="132" t="s">
        <v>579</v>
      </c>
      <c r="H65" s="132"/>
      <c r="I65" s="132"/>
      <c r="J65" s="132" t="s">
        <v>163</v>
      </c>
      <c r="K65" s="132" t="s">
        <v>580</v>
      </c>
      <c r="L65" s="133" t="s">
        <v>148</v>
      </c>
      <c r="M65" s="134">
        <v>45783.0</v>
      </c>
      <c r="N65" s="135" t="s">
        <v>189</v>
      </c>
      <c r="O65" s="135" t="s">
        <v>267</v>
      </c>
      <c r="P65" s="135" t="s">
        <v>274</v>
      </c>
      <c r="Q65" s="135" t="s">
        <v>173</v>
      </c>
      <c r="R65" s="134"/>
      <c r="S65" s="135"/>
      <c r="T65" s="132"/>
      <c r="U65" s="135"/>
      <c r="V65" s="135"/>
      <c r="W65" s="135"/>
      <c r="X65" s="135" t="s">
        <v>59</v>
      </c>
      <c r="Y65" s="132" t="s">
        <v>581</v>
      </c>
      <c r="Z65" s="136">
        <f t="shared" si="2"/>
        <v>37</v>
      </c>
      <c r="AA65" s="137" t="str">
        <f t="shared" si="3"/>
        <v>C</v>
      </c>
      <c r="AB65" s="138" t="str">
        <f t="shared" si="4"/>
        <v>⚠ MISSING: Call Date, Modality, Budget, Timeline, Decision Maker</v>
      </c>
      <c r="AC65" s="135" t="s">
        <v>259</v>
      </c>
      <c r="AD65" s="132" t="s">
        <v>189</v>
      </c>
      <c r="AE65" s="134"/>
    </row>
    <row r="66" ht="18.0" customHeight="1">
      <c r="A66" s="118" t="str">
        <f t="shared" si="1"/>
        <v>AYA-061</v>
      </c>
      <c r="B66" s="109">
        <v>45784.0</v>
      </c>
      <c r="C66" s="119" t="s">
        <v>582</v>
      </c>
      <c r="D66" s="119" t="s">
        <v>583</v>
      </c>
      <c r="E66" s="120"/>
      <c r="F66" s="121" t="s">
        <v>584</v>
      </c>
      <c r="G66" s="112" t="s">
        <v>585</v>
      </c>
      <c r="H66" s="112" t="s">
        <v>586</v>
      </c>
      <c r="I66" s="112"/>
      <c r="J66" s="112" t="s">
        <v>167</v>
      </c>
      <c r="K66" s="112" t="s">
        <v>587</v>
      </c>
      <c r="L66" s="122" t="s">
        <v>148</v>
      </c>
      <c r="M66" s="123">
        <v>45784.0</v>
      </c>
      <c r="N66" s="114" t="s">
        <v>189</v>
      </c>
      <c r="O66" s="114" t="s">
        <v>267</v>
      </c>
      <c r="P66" s="114" t="s">
        <v>281</v>
      </c>
      <c r="Q66" s="114" t="s">
        <v>173</v>
      </c>
      <c r="R66" s="123"/>
      <c r="S66" s="114"/>
      <c r="T66" s="112"/>
      <c r="U66" s="114"/>
      <c r="V66" s="114"/>
      <c r="W66" s="114"/>
      <c r="X66" s="114" t="s">
        <v>66</v>
      </c>
      <c r="Y66" s="112" t="s">
        <v>588</v>
      </c>
      <c r="Z66" s="125">
        <f t="shared" si="2"/>
        <v>37</v>
      </c>
      <c r="AA66" s="126" t="str">
        <f t="shared" si="3"/>
        <v>C</v>
      </c>
      <c r="AB66" s="117" t="str">
        <f t="shared" si="4"/>
        <v>⚠ MISSING: Call Date, Modality, Budget, Timeline, Decision Maker</v>
      </c>
      <c r="AC66" s="114" t="s">
        <v>259</v>
      </c>
      <c r="AD66" s="112" t="s">
        <v>189</v>
      </c>
      <c r="AE66" s="123"/>
    </row>
    <row r="67" ht="18.0" customHeight="1">
      <c r="A67" s="127" t="str">
        <f t="shared" si="1"/>
        <v>AYA-062</v>
      </c>
      <c r="B67" s="128">
        <v>45784.0</v>
      </c>
      <c r="C67" s="129" t="s">
        <v>151</v>
      </c>
      <c r="D67" s="129" t="s">
        <v>589</v>
      </c>
      <c r="E67" s="130"/>
      <c r="F67" s="131" t="s">
        <v>590</v>
      </c>
      <c r="G67" s="132" t="s">
        <v>591</v>
      </c>
      <c r="H67" s="132"/>
      <c r="I67" s="132"/>
      <c r="J67" s="132" t="s">
        <v>67</v>
      </c>
      <c r="K67" s="132" t="s">
        <v>592</v>
      </c>
      <c r="L67" s="133" t="s">
        <v>148</v>
      </c>
      <c r="M67" s="134">
        <v>45784.0</v>
      </c>
      <c r="N67" s="135" t="s">
        <v>189</v>
      </c>
      <c r="O67" s="135" t="s">
        <v>297</v>
      </c>
      <c r="P67" s="135" t="s">
        <v>274</v>
      </c>
      <c r="Q67" s="135" t="s">
        <v>173</v>
      </c>
      <c r="R67" s="134"/>
      <c r="S67" s="135"/>
      <c r="T67" s="132"/>
      <c r="U67" s="135"/>
      <c r="V67" s="135"/>
      <c r="W67" s="135"/>
      <c r="X67" s="135" t="s">
        <v>58</v>
      </c>
      <c r="Y67" s="132" t="s">
        <v>189</v>
      </c>
      <c r="Z67" s="136">
        <f t="shared" si="2"/>
        <v>37</v>
      </c>
      <c r="AA67" s="137" t="str">
        <f t="shared" si="3"/>
        <v>C</v>
      </c>
      <c r="AB67" s="138" t="str">
        <f t="shared" si="4"/>
        <v>⚠ MISSING: Call Date, Modality, Budget, Timeline, Decision Maker</v>
      </c>
      <c r="AC67" s="135" t="s">
        <v>259</v>
      </c>
      <c r="AD67" s="132" t="s">
        <v>189</v>
      </c>
      <c r="AE67" s="134"/>
    </row>
    <row r="68" ht="18.0" customHeight="1">
      <c r="A68" s="118" t="str">
        <f t="shared" si="1"/>
        <v>AYA-063</v>
      </c>
      <c r="B68" s="109">
        <v>45790.0</v>
      </c>
      <c r="C68" s="119" t="s">
        <v>394</v>
      </c>
      <c r="D68" s="119" t="s">
        <v>593</v>
      </c>
      <c r="E68" s="120"/>
      <c r="F68" s="121" t="s">
        <v>594</v>
      </c>
      <c r="G68" s="112" t="s">
        <v>595</v>
      </c>
      <c r="H68" s="112" t="s">
        <v>596</v>
      </c>
      <c r="I68" s="112"/>
      <c r="J68" s="112" t="s">
        <v>168</v>
      </c>
      <c r="K68" s="112" t="s">
        <v>597</v>
      </c>
      <c r="L68" s="122" t="s">
        <v>153</v>
      </c>
      <c r="M68" s="123">
        <v>45790.0</v>
      </c>
      <c r="N68" s="114" t="s">
        <v>266</v>
      </c>
      <c r="O68" s="114" t="s">
        <v>297</v>
      </c>
      <c r="P68" s="114" t="s">
        <v>303</v>
      </c>
      <c r="Q68" s="114" t="s">
        <v>173</v>
      </c>
      <c r="R68" s="123"/>
      <c r="S68" s="114"/>
      <c r="T68" s="112"/>
      <c r="U68" s="114"/>
      <c r="V68" s="114"/>
      <c r="W68" s="114"/>
      <c r="X68" s="114"/>
      <c r="Y68" s="112" t="s">
        <v>598</v>
      </c>
      <c r="Z68" s="125">
        <f t="shared" si="2"/>
        <v>37</v>
      </c>
      <c r="AA68" s="126" t="str">
        <f t="shared" si="3"/>
        <v>C</v>
      </c>
      <c r="AB68" s="117" t="str">
        <f t="shared" si="4"/>
        <v>⚠ MISSING: Call Date, Modality, Budget, Timeline, Decision Maker</v>
      </c>
      <c r="AC68" s="114" t="s">
        <v>103</v>
      </c>
      <c r="AD68" s="112"/>
      <c r="AE68" s="123"/>
    </row>
    <row r="69" ht="18.0" customHeight="1">
      <c r="A69" s="127" t="str">
        <f t="shared" si="1"/>
        <v>AYA-064</v>
      </c>
      <c r="B69" s="128">
        <v>45791.0</v>
      </c>
      <c r="C69" s="129" t="s">
        <v>599</v>
      </c>
      <c r="D69" s="129" t="s">
        <v>600</v>
      </c>
      <c r="E69" s="130"/>
      <c r="F69" s="131" t="s">
        <v>601</v>
      </c>
      <c r="G69" s="132" t="s">
        <v>602</v>
      </c>
      <c r="H69" s="132"/>
      <c r="I69" s="132"/>
      <c r="J69" s="132" t="s">
        <v>161</v>
      </c>
      <c r="K69" s="132" t="s">
        <v>603</v>
      </c>
      <c r="L69" s="133" t="s">
        <v>148</v>
      </c>
      <c r="M69" s="134">
        <v>45791.0</v>
      </c>
      <c r="N69" s="135" t="s">
        <v>342</v>
      </c>
      <c r="O69" s="135" t="s">
        <v>267</v>
      </c>
      <c r="P69" s="135" t="s">
        <v>281</v>
      </c>
      <c r="Q69" s="135" t="s">
        <v>173</v>
      </c>
      <c r="R69" s="134"/>
      <c r="S69" s="135"/>
      <c r="T69" s="132"/>
      <c r="U69" s="135"/>
      <c r="V69" s="135"/>
      <c r="W69" s="135"/>
      <c r="X69" s="135" t="s">
        <v>58</v>
      </c>
      <c r="Y69" s="132" t="s">
        <v>604</v>
      </c>
      <c r="Z69" s="136">
        <f t="shared" si="2"/>
        <v>37</v>
      </c>
      <c r="AA69" s="137" t="str">
        <f t="shared" si="3"/>
        <v>C</v>
      </c>
      <c r="AB69" s="138" t="str">
        <f t="shared" si="4"/>
        <v>⚠ MISSING: Call Date, Modality, Budget, Timeline, Decision Maker</v>
      </c>
      <c r="AC69" s="135" t="s">
        <v>344</v>
      </c>
      <c r="AD69" s="132" t="s">
        <v>190</v>
      </c>
      <c r="AE69" s="134"/>
    </row>
    <row r="70" ht="18.0" customHeight="1">
      <c r="A70" s="118" t="str">
        <f t="shared" si="1"/>
        <v>AYA-065</v>
      </c>
      <c r="B70" s="109">
        <v>45794.0</v>
      </c>
      <c r="C70" s="119" t="s">
        <v>605</v>
      </c>
      <c r="D70" s="119" t="s">
        <v>606</v>
      </c>
      <c r="E70" s="120"/>
      <c r="F70" s="121" t="s">
        <v>607</v>
      </c>
      <c r="G70" s="112" t="s">
        <v>608</v>
      </c>
      <c r="H70" s="112"/>
      <c r="I70" s="112"/>
      <c r="J70" s="112" t="s">
        <v>161</v>
      </c>
      <c r="K70" s="112" t="s">
        <v>609</v>
      </c>
      <c r="L70" s="122" t="s">
        <v>148</v>
      </c>
      <c r="M70" s="123">
        <v>45794.0</v>
      </c>
      <c r="N70" s="114" t="s">
        <v>266</v>
      </c>
      <c r="O70" s="114" t="s">
        <v>267</v>
      </c>
      <c r="P70" s="114" t="s">
        <v>428</v>
      </c>
      <c r="Q70" s="114" t="s">
        <v>173</v>
      </c>
      <c r="R70" s="123"/>
      <c r="S70" s="114"/>
      <c r="T70" s="112"/>
      <c r="U70" s="114"/>
      <c r="V70" s="114"/>
      <c r="W70" s="114"/>
      <c r="X70" s="114" t="s">
        <v>59</v>
      </c>
      <c r="Y70" s="112" t="s">
        <v>610</v>
      </c>
      <c r="Z70" s="125">
        <f t="shared" si="2"/>
        <v>37</v>
      </c>
      <c r="AA70" s="126" t="str">
        <f t="shared" si="3"/>
        <v>C</v>
      </c>
      <c r="AB70" s="117" t="str">
        <f t="shared" si="4"/>
        <v>⚠ MISSING: Call Date, Modality, Budget, Timeline, Decision Maker</v>
      </c>
      <c r="AC70" s="114" t="s">
        <v>103</v>
      </c>
      <c r="AD70" s="112"/>
      <c r="AE70" s="123"/>
    </row>
    <row r="71" ht="18.0" customHeight="1">
      <c r="A71" s="127" t="str">
        <f t="shared" si="1"/>
        <v>AYA-066</v>
      </c>
      <c r="B71" s="128">
        <v>45798.0</v>
      </c>
      <c r="C71" s="129" t="s">
        <v>611</v>
      </c>
      <c r="D71" s="129" t="s">
        <v>612</v>
      </c>
      <c r="E71" s="130"/>
      <c r="F71" s="131" t="s">
        <v>613</v>
      </c>
      <c r="G71" s="132" t="s">
        <v>614</v>
      </c>
      <c r="H71" s="132"/>
      <c r="I71" s="132"/>
      <c r="J71" s="132" t="s">
        <v>167</v>
      </c>
      <c r="K71" s="132" t="s">
        <v>615</v>
      </c>
      <c r="L71" s="133" t="s">
        <v>148</v>
      </c>
      <c r="M71" s="134">
        <v>45798.0</v>
      </c>
      <c r="N71" s="135" t="s">
        <v>266</v>
      </c>
      <c r="O71" s="135" t="s">
        <v>267</v>
      </c>
      <c r="P71" s="135" t="s">
        <v>428</v>
      </c>
      <c r="Q71" s="135" t="s">
        <v>173</v>
      </c>
      <c r="R71" s="134"/>
      <c r="S71" s="135"/>
      <c r="T71" s="132"/>
      <c r="U71" s="135"/>
      <c r="V71" s="135"/>
      <c r="W71" s="135"/>
      <c r="X71" s="135" t="s">
        <v>67</v>
      </c>
      <c r="Y71" s="132" t="s">
        <v>616</v>
      </c>
      <c r="Z71" s="136">
        <f t="shared" si="2"/>
        <v>37</v>
      </c>
      <c r="AA71" s="137" t="str">
        <f t="shared" si="3"/>
        <v>C</v>
      </c>
      <c r="AB71" s="138" t="str">
        <f t="shared" si="4"/>
        <v>⚠ MISSING: Call Date, Modality, Budget, Timeline, Decision Maker</v>
      </c>
      <c r="AC71" s="135" t="s">
        <v>409</v>
      </c>
      <c r="AD71" s="132"/>
      <c r="AE71" s="134"/>
    </row>
    <row r="72" ht="18.0" customHeight="1">
      <c r="A72" s="118" t="str">
        <f t="shared" si="1"/>
        <v>AYA-067</v>
      </c>
      <c r="B72" s="109">
        <v>45798.0</v>
      </c>
      <c r="C72" s="119" t="s">
        <v>617</v>
      </c>
      <c r="D72" s="119" t="s">
        <v>618</v>
      </c>
      <c r="E72" s="120"/>
      <c r="F72" s="121" t="s">
        <v>619</v>
      </c>
      <c r="G72" s="112" t="s">
        <v>620</v>
      </c>
      <c r="H72" s="112"/>
      <c r="I72" s="112"/>
      <c r="J72" s="112" t="s">
        <v>159</v>
      </c>
      <c r="K72" s="112" t="s">
        <v>621</v>
      </c>
      <c r="L72" s="122" t="s">
        <v>149</v>
      </c>
      <c r="M72" s="123"/>
      <c r="N72" s="114"/>
      <c r="O72" s="114" t="s">
        <v>297</v>
      </c>
      <c r="P72" s="114" t="s">
        <v>281</v>
      </c>
      <c r="Q72" s="114" t="s">
        <v>173</v>
      </c>
      <c r="R72" s="123"/>
      <c r="S72" s="114"/>
      <c r="T72" s="112"/>
      <c r="U72" s="114"/>
      <c r="V72" s="114"/>
      <c r="W72" s="114"/>
      <c r="X72" s="114"/>
      <c r="Y72" s="112"/>
      <c r="Z72" s="125">
        <f t="shared" si="2"/>
        <v>37</v>
      </c>
      <c r="AA72" s="126" t="str">
        <f t="shared" si="3"/>
        <v>C</v>
      </c>
      <c r="AB72" s="117" t="str">
        <f t="shared" si="4"/>
        <v>⚠ MISSING: Call Date, Modality, Budget, Timeline, Decision Maker</v>
      </c>
      <c r="AC72" s="114" t="s">
        <v>100</v>
      </c>
      <c r="AD72" s="112"/>
      <c r="AE72" s="123"/>
    </row>
    <row r="73" ht="18.0" customHeight="1">
      <c r="A73" s="127" t="str">
        <f t="shared" si="1"/>
        <v>AYA-068</v>
      </c>
      <c r="B73" s="128">
        <v>45799.0</v>
      </c>
      <c r="C73" s="129" t="s">
        <v>622</v>
      </c>
      <c r="D73" s="129" t="s">
        <v>623</v>
      </c>
      <c r="E73" s="130"/>
      <c r="F73" s="131" t="s">
        <v>624</v>
      </c>
      <c r="G73" s="132" t="s">
        <v>625</v>
      </c>
      <c r="H73" s="132"/>
      <c r="I73" s="132"/>
      <c r="J73" s="132" t="s">
        <v>167</v>
      </c>
      <c r="K73" s="132" t="s">
        <v>626</v>
      </c>
      <c r="L73" s="133" t="s">
        <v>149</v>
      </c>
      <c r="M73" s="134"/>
      <c r="N73" s="135"/>
      <c r="O73" s="135" t="s">
        <v>267</v>
      </c>
      <c r="P73" s="135" t="s">
        <v>428</v>
      </c>
      <c r="Q73" s="135" t="s">
        <v>173</v>
      </c>
      <c r="R73" s="134"/>
      <c r="S73" s="135"/>
      <c r="T73" s="132"/>
      <c r="U73" s="135"/>
      <c r="V73" s="135"/>
      <c r="W73" s="135"/>
      <c r="X73" s="135"/>
      <c r="Y73" s="132"/>
      <c r="Z73" s="136">
        <f t="shared" si="2"/>
        <v>37</v>
      </c>
      <c r="AA73" s="137" t="str">
        <f t="shared" si="3"/>
        <v>C</v>
      </c>
      <c r="AB73" s="138" t="str">
        <f t="shared" si="4"/>
        <v>⚠ MISSING: Call Date, Modality, Budget, Timeline, Decision Maker</v>
      </c>
      <c r="AC73" s="135" t="s">
        <v>100</v>
      </c>
      <c r="AD73" s="132"/>
      <c r="AE73" s="134"/>
    </row>
    <row r="74" ht="18.0" customHeight="1">
      <c r="A74" s="118" t="str">
        <f t="shared" si="1"/>
        <v>AYA-069</v>
      </c>
      <c r="B74" s="109">
        <v>45802.0</v>
      </c>
      <c r="C74" s="119" t="s">
        <v>627</v>
      </c>
      <c r="D74" s="119" t="s">
        <v>628</v>
      </c>
      <c r="E74" s="120"/>
      <c r="F74" s="121" t="s">
        <v>629</v>
      </c>
      <c r="G74" s="112" t="s">
        <v>630</v>
      </c>
      <c r="H74" s="112" t="s">
        <v>631</v>
      </c>
      <c r="I74" s="112" t="s">
        <v>74</v>
      </c>
      <c r="J74" s="112" t="s">
        <v>167</v>
      </c>
      <c r="K74" s="112" t="s">
        <v>632</v>
      </c>
      <c r="L74" s="122" t="s">
        <v>152</v>
      </c>
      <c r="M74" s="123">
        <v>45802.0</v>
      </c>
      <c r="N74" s="114"/>
      <c r="O74" s="114" t="s">
        <v>297</v>
      </c>
      <c r="P74" s="114" t="s">
        <v>375</v>
      </c>
      <c r="Q74" s="114" t="s">
        <v>173</v>
      </c>
      <c r="R74" s="123"/>
      <c r="S74" s="114"/>
      <c r="T74" s="112"/>
      <c r="U74" s="114"/>
      <c r="V74" s="114"/>
      <c r="W74" s="114"/>
      <c r="X74" s="114"/>
      <c r="Y74" s="112" t="s">
        <v>633</v>
      </c>
      <c r="Z74" s="125">
        <f t="shared" si="2"/>
        <v>37</v>
      </c>
      <c r="AA74" s="126" t="str">
        <f t="shared" si="3"/>
        <v>C</v>
      </c>
      <c r="AB74" s="117" t="str">
        <f t="shared" si="4"/>
        <v>⚠ MISSING: Call Date, Modality, Budget, Timeline, Decision Maker</v>
      </c>
      <c r="AC74" s="114" t="s">
        <v>333</v>
      </c>
      <c r="AD74" s="112" t="s">
        <v>191</v>
      </c>
      <c r="AE74" s="123"/>
    </row>
    <row r="75" ht="18.0" customHeight="1">
      <c r="A75" s="127" t="str">
        <f t="shared" si="1"/>
        <v>AYA-070</v>
      </c>
      <c r="B75" s="128">
        <v>45803.0</v>
      </c>
      <c r="C75" s="129" t="s">
        <v>634</v>
      </c>
      <c r="D75" s="129" t="s">
        <v>635</v>
      </c>
      <c r="E75" s="130"/>
      <c r="F75" s="131" t="s">
        <v>636</v>
      </c>
      <c r="G75" s="132" t="s">
        <v>637</v>
      </c>
      <c r="H75" s="132" t="s">
        <v>638</v>
      </c>
      <c r="I75" s="132"/>
      <c r="J75" s="132" t="s">
        <v>162</v>
      </c>
      <c r="K75" s="132" t="s">
        <v>639</v>
      </c>
      <c r="L75" s="133" t="s">
        <v>152</v>
      </c>
      <c r="M75" s="134"/>
      <c r="N75" s="135"/>
      <c r="O75" s="135" t="s">
        <v>297</v>
      </c>
      <c r="P75" s="135" t="s">
        <v>452</v>
      </c>
      <c r="Q75" s="135" t="s">
        <v>173</v>
      </c>
      <c r="R75" s="134"/>
      <c r="S75" s="135"/>
      <c r="T75" s="132"/>
      <c r="U75" s="135"/>
      <c r="V75" s="135"/>
      <c r="W75" s="135"/>
      <c r="X75" s="135"/>
      <c r="Y75" s="132"/>
      <c r="Z75" s="136">
        <f t="shared" si="2"/>
        <v>37</v>
      </c>
      <c r="AA75" s="137" t="str">
        <f t="shared" si="3"/>
        <v>C</v>
      </c>
      <c r="AB75" s="138" t="str">
        <f t="shared" si="4"/>
        <v>⚠ MISSING: Call Date, Modality, Budget, Timeline, Decision Maker</v>
      </c>
      <c r="AC75" s="135" t="s">
        <v>100</v>
      </c>
      <c r="AD75" s="132"/>
      <c r="AE75" s="134"/>
    </row>
    <row r="76" ht="18.0" customHeight="1">
      <c r="A76" s="118" t="str">
        <f t="shared" si="1"/>
        <v>AYA-071</v>
      </c>
      <c r="B76" s="109">
        <v>45805.0</v>
      </c>
      <c r="C76" s="119" t="s">
        <v>640</v>
      </c>
      <c r="D76" s="119" t="s">
        <v>641</v>
      </c>
      <c r="E76" s="120"/>
      <c r="F76" s="121" t="s">
        <v>642</v>
      </c>
      <c r="G76" s="112" t="s">
        <v>643</v>
      </c>
      <c r="H76" s="112"/>
      <c r="I76" s="112"/>
      <c r="J76" s="112" t="s">
        <v>161</v>
      </c>
      <c r="K76" s="112" t="s">
        <v>644</v>
      </c>
      <c r="L76" s="122" t="s">
        <v>149</v>
      </c>
      <c r="M76" s="123"/>
      <c r="N76" s="114"/>
      <c r="O76" s="114" t="s">
        <v>267</v>
      </c>
      <c r="P76" s="114" t="s">
        <v>274</v>
      </c>
      <c r="Q76" s="114" t="s">
        <v>173</v>
      </c>
      <c r="R76" s="123"/>
      <c r="S76" s="114"/>
      <c r="T76" s="112"/>
      <c r="U76" s="114"/>
      <c r="V76" s="114"/>
      <c r="W76" s="114"/>
      <c r="X76" s="114"/>
      <c r="Y76" s="112"/>
      <c r="Z76" s="125">
        <f t="shared" si="2"/>
        <v>37</v>
      </c>
      <c r="AA76" s="126" t="str">
        <f t="shared" si="3"/>
        <v>C</v>
      </c>
      <c r="AB76" s="117" t="str">
        <f t="shared" si="4"/>
        <v>⚠ MISSING: Call Date, Modality, Budget, Timeline, Decision Maker</v>
      </c>
      <c r="AC76" s="114" t="s">
        <v>100</v>
      </c>
      <c r="AD76" s="112"/>
      <c r="AE76" s="123"/>
    </row>
    <row r="77" ht="18.0" customHeight="1">
      <c r="A77" s="127" t="str">
        <f t="shared" si="1"/>
        <v>AYA-072</v>
      </c>
      <c r="B77" s="128">
        <v>45806.0</v>
      </c>
      <c r="C77" s="129" t="s">
        <v>645</v>
      </c>
      <c r="D77" s="129" t="s">
        <v>646</v>
      </c>
      <c r="E77" s="130"/>
      <c r="F77" s="131" t="s">
        <v>647</v>
      </c>
      <c r="G77" s="132" t="s">
        <v>648</v>
      </c>
      <c r="H77" s="132"/>
      <c r="I77" s="132"/>
      <c r="J77" s="132" t="s">
        <v>159</v>
      </c>
      <c r="K77" s="132" t="s">
        <v>649</v>
      </c>
      <c r="L77" s="133" t="s">
        <v>148</v>
      </c>
      <c r="M77" s="134">
        <v>45806.0</v>
      </c>
      <c r="N77" s="135" t="s">
        <v>266</v>
      </c>
      <c r="O77" s="135" t="s">
        <v>267</v>
      </c>
      <c r="P77" s="135" t="s">
        <v>452</v>
      </c>
      <c r="Q77" s="135" t="s">
        <v>173</v>
      </c>
      <c r="R77" s="134"/>
      <c r="S77" s="135"/>
      <c r="T77" s="132"/>
      <c r="U77" s="135"/>
      <c r="V77" s="135"/>
      <c r="W77" s="135"/>
      <c r="X77" s="135" t="s">
        <v>59</v>
      </c>
      <c r="Y77" s="132" t="s">
        <v>650</v>
      </c>
      <c r="Z77" s="136">
        <f t="shared" si="2"/>
        <v>37</v>
      </c>
      <c r="AA77" s="137" t="str">
        <f t="shared" si="3"/>
        <v>C</v>
      </c>
      <c r="AB77" s="138" t="str">
        <f t="shared" si="4"/>
        <v>⚠ MISSING: Call Date, Modality, Budget, Timeline, Decision Maker</v>
      </c>
      <c r="AC77" s="135" t="s">
        <v>101</v>
      </c>
      <c r="AD77" s="132"/>
      <c r="AE77" s="134"/>
    </row>
    <row r="78" ht="18.0" customHeight="1">
      <c r="A78" s="118" t="str">
        <f t="shared" si="1"/>
        <v>AYA-073</v>
      </c>
      <c r="B78" s="109">
        <v>45806.0</v>
      </c>
      <c r="C78" s="119" t="s">
        <v>651</v>
      </c>
      <c r="D78" s="119" t="s">
        <v>652</v>
      </c>
      <c r="E78" s="120"/>
      <c r="F78" s="121" t="s">
        <v>653</v>
      </c>
      <c r="G78" s="112" t="s">
        <v>654</v>
      </c>
      <c r="H78" s="112"/>
      <c r="I78" s="112"/>
      <c r="J78" s="112" t="s">
        <v>167</v>
      </c>
      <c r="K78" s="112" t="s">
        <v>655</v>
      </c>
      <c r="L78" s="122" t="s">
        <v>148</v>
      </c>
      <c r="M78" s="123">
        <v>45806.0</v>
      </c>
      <c r="N78" s="114" t="s">
        <v>342</v>
      </c>
      <c r="O78" s="114" t="s">
        <v>267</v>
      </c>
      <c r="P78" s="114" t="s">
        <v>375</v>
      </c>
      <c r="Q78" s="114" t="s">
        <v>173</v>
      </c>
      <c r="R78" s="123"/>
      <c r="S78" s="114"/>
      <c r="T78" s="112"/>
      <c r="U78" s="114"/>
      <c r="V78" s="114"/>
      <c r="W78" s="114"/>
      <c r="X78" s="114" t="s">
        <v>59</v>
      </c>
      <c r="Y78" s="112" t="s">
        <v>656</v>
      </c>
      <c r="Z78" s="125">
        <f t="shared" si="2"/>
        <v>37</v>
      </c>
      <c r="AA78" s="126" t="str">
        <f t="shared" si="3"/>
        <v>C</v>
      </c>
      <c r="AB78" s="117" t="str">
        <f t="shared" si="4"/>
        <v>⚠ MISSING: Call Date, Modality, Budget, Timeline, Decision Maker</v>
      </c>
      <c r="AC78" s="114" t="s">
        <v>344</v>
      </c>
      <c r="AD78" s="112" t="s">
        <v>190</v>
      </c>
      <c r="AE78" s="123"/>
    </row>
    <row r="79" ht="18.0" customHeight="1">
      <c r="A79" s="127" t="str">
        <f t="shared" si="1"/>
        <v>AYA-074</v>
      </c>
      <c r="B79" s="128">
        <v>45807.0</v>
      </c>
      <c r="C79" s="129" t="s">
        <v>657</v>
      </c>
      <c r="D79" s="129" t="s">
        <v>658</v>
      </c>
      <c r="E79" s="130"/>
      <c r="F79" s="131" t="s">
        <v>659</v>
      </c>
      <c r="G79" s="132" t="s">
        <v>660</v>
      </c>
      <c r="H79" s="132"/>
      <c r="I79" s="132"/>
      <c r="J79" s="132" t="s">
        <v>159</v>
      </c>
      <c r="K79" s="132" t="s">
        <v>661</v>
      </c>
      <c r="L79" s="133" t="s">
        <v>148</v>
      </c>
      <c r="M79" s="134">
        <v>45807.0</v>
      </c>
      <c r="N79" s="135" t="s">
        <v>266</v>
      </c>
      <c r="O79" s="135" t="s">
        <v>267</v>
      </c>
      <c r="P79" s="135" t="s">
        <v>274</v>
      </c>
      <c r="Q79" s="135" t="s">
        <v>173</v>
      </c>
      <c r="R79" s="134"/>
      <c r="S79" s="135"/>
      <c r="T79" s="132"/>
      <c r="U79" s="135"/>
      <c r="V79" s="135"/>
      <c r="W79" s="135"/>
      <c r="X79" s="135" t="s">
        <v>59</v>
      </c>
      <c r="Y79" s="132" t="s">
        <v>662</v>
      </c>
      <c r="Z79" s="136">
        <f t="shared" si="2"/>
        <v>37</v>
      </c>
      <c r="AA79" s="137" t="str">
        <f t="shared" si="3"/>
        <v>C</v>
      </c>
      <c r="AB79" s="138" t="str">
        <f t="shared" si="4"/>
        <v>⚠ MISSING: Call Date, Modality, Budget, Timeline, Decision Maker</v>
      </c>
      <c r="AC79" s="135" t="s">
        <v>101</v>
      </c>
      <c r="AD79" s="132"/>
      <c r="AE79" s="134"/>
    </row>
    <row r="80" ht="18.0" customHeight="1">
      <c r="A80" s="118" t="str">
        <f t="shared" si="1"/>
        <v>AYA-075</v>
      </c>
      <c r="B80" s="109">
        <v>45809.0</v>
      </c>
      <c r="C80" s="119" t="s">
        <v>663</v>
      </c>
      <c r="D80" s="119" t="s">
        <v>664</v>
      </c>
      <c r="E80" s="120"/>
      <c r="F80" s="121" t="s">
        <v>665</v>
      </c>
      <c r="G80" s="112" t="s">
        <v>666</v>
      </c>
      <c r="H80" s="112" t="s">
        <v>450</v>
      </c>
      <c r="I80" s="112"/>
      <c r="J80" s="112" t="s">
        <v>162</v>
      </c>
      <c r="K80" s="112" t="s">
        <v>667</v>
      </c>
      <c r="L80" s="122"/>
      <c r="M80" s="123">
        <v>45809.0</v>
      </c>
      <c r="N80" s="114" t="s">
        <v>266</v>
      </c>
      <c r="O80" s="114" t="s">
        <v>297</v>
      </c>
      <c r="P80" s="114" t="s">
        <v>274</v>
      </c>
      <c r="Q80" s="114" t="s">
        <v>173</v>
      </c>
      <c r="R80" s="123"/>
      <c r="S80" s="114"/>
      <c r="T80" s="112"/>
      <c r="U80" s="114"/>
      <c r="V80" s="114"/>
      <c r="W80" s="114"/>
      <c r="X80" s="114" t="s">
        <v>66</v>
      </c>
      <c r="Y80" s="112" t="s">
        <v>668</v>
      </c>
      <c r="Z80" s="125">
        <f t="shared" si="2"/>
        <v>37</v>
      </c>
      <c r="AA80" s="126" t="str">
        <f t="shared" si="3"/>
        <v>C</v>
      </c>
      <c r="AB80" s="117" t="str">
        <f t="shared" si="4"/>
        <v>⚠ MISSING: Call Date, Modality, Budget, Timeline, Decision Maker</v>
      </c>
      <c r="AC80" s="114" t="s">
        <v>101</v>
      </c>
      <c r="AD80" s="112"/>
      <c r="AE80" s="123"/>
    </row>
    <row r="81" ht="18.0" customHeight="1">
      <c r="A81" s="127" t="str">
        <f t="shared" si="1"/>
        <v>AYA-076</v>
      </c>
      <c r="B81" s="128">
        <v>45812.0</v>
      </c>
      <c r="C81" s="129" t="s">
        <v>669</v>
      </c>
      <c r="D81" s="129" t="s">
        <v>670</v>
      </c>
      <c r="E81" s="130"/>
      <c r="F81" s="131" t="s">
        <v>671</v>
      </c>
      <c r="G81" s="132" t="s">
        <v>672</v>
      </c>
      <c r="H81" s="132" t="s">
        <v>673</v>
      </c>
      <c r="I81" s="132"/>
      <c r="J81" s="132"/>
      <c r="K81" s="132" t="s">
        <v>674</v>
      </c>
      <c r="L81" s="133" t="s">
        <v>148</v>
      </c>
      <c r="M81" s="134">
        <v>45812.0</v>
      </c>
      <c r="N81" s="135" t="s">
        <v>342</v>
      </c>
      <c r="O81" s="135" t="s">
        <v>267</v>
      </c>
      <c r="P81" s="135" t="s">
        <v>281</v>
      </c>
      <c r="Q81" s="135" t="s">
        <v>173</v>
      </c>
      <c r="R81" s="134"/>
      <c r="S81" s="135"/>
      <c r="T81" s="132"/>
      <c r="U81" s="135"/>
      <c r="V81" s="135"/>
      <c r="W81" s="135"/>
      <c r="X81" s="135" t="s">
        <v>67</v>
      </c>
      <c r="Y81" s="132" t="s">
        <v>675</v>
      </c>
      <c r="Z81" s="136">
        <f t="shared" si="2"/>
        <v>37</v>
      </c>
      <c r="AA81" s="137" t="str">
        <f t="shared" si="3"/>
        <v>C</v>
      </c>
      <c r="AB81" s="138" t="str">
        <f t="shared" si="4"/>
        <v>⚠ MISSING: Call Date, Modality, Budget, Timeline, Decision Maker</v>
      </c>
      <c r="AC81" s="135" t="s">
        <v>344</v>
      </c>
      <c r="AD81" s="132" t="s">
        <v>190</v>
      </c>
      <c r="AE81" s="134"/>
    </row>
    <row r="82" ht="18.0" customHeight="1">
      <c r="A82" s="118" t="str">
        <f t="shared" si="1"/>
        <v>AYA-077</v>
      </c>
      <c r="B82" s="109">
        <v>45813.0</v>
      </c>
      <c r="C82" s="119" t="s">
        <v>676</v>
      </c>
      <c r="D82" s="119" t="s">
        <v>677</v>
      </c>
      <c r="E82" s="120"/>
      <c r="F82" s="121" t="s">
        <v>678</v>
      </c>
      <c r="G82" s="112" t="s">
        <v>679</v>
      </c>
      <c r="H82" s="112" t="s">
        <v>680</v>
      </c>
      <c r="I82" s="112"/>
      <c r="J82" s="112"/>
      <c r="K82" s="112" t="s">
        <v>681</v>
      </c>
      <c r="L82" s="122" t="s">
        <v>148</v>
      </c>
      <c r="M82" s="123">
        <v>45813.0</v>
      </c>
      <c r="N82" s="114" t="s">
        <v>266</v>
      </c>
      <c r="O82" s="114" t="s">
        <v>267</v>
      </c>
      <c r="P82" s="114" t="s">
        <v>274</v>
      </c>
      <c r="Q82" s="114" t="s">
        <v>173</v>
      </c>
      <c r="R82" s="123"/>
      <c r="S82" s="114"/>
      <c r="T82" s="112"/>
      <c r="U82" s="114"/>
      <c r="V82" s="114"/>
      <c r="W82" s="114"/>
      <c r="X82" s="114" t="s">
        <v>59</v>
      </c>
      <c r="Y82" s="112" t="s">
        <v>682</v>
      </c>
      <c r="Z82" s="125">
        <f t="shared" si="2"/>
        <v>37</v>
      </c>
      <c r="AA82" s="126" t="str">
        <f t="shared" si="3"/>
        <v>C</v>
      </c>
      <c r="AB82" s="117" t="str">
        <f t="shared" si="4"/>
        <v>⚠ MISSING: Call Date, Modality, Budget, Timeline, Decision Maker</v>
      </c>
      <c r="AC82" s="114" t="s">
        <v>409</v>
      </c>
      <c r="AD82" s="112"/>
      <c r="AE82" s="123"/>
    </row>
    <row r="83" ht="18.0" customHeight="1">
      <c r="A83" s="127" t="str">
        <f t="shared" si="1"/>
        <v>AYA-078</v>
      </c>
      <c r="B83" s="128">
        <v>45817.0</v>
      </c>
      <c r="C83" s="129" t="s">
        <v>683</v>
      </c>
      <c r="D83" s="129" t="s">
        <v>684</v>
      </c>
      <c r="E83" s="130"/>
      <c r="F83" s="131" t="s">
        <v>685</v>
      </c>
      <c r="G83" s="132" t="s">
        <v>686</v>
      </c>
      <c r="H83" s="132"/>
      <c r="I83" s="132"/>
      <c r="J83" s="132" t="s">
        <v>161</v>
      </c>
      <c r="K83" s="132" t="s">
        <v>687</v>
      </c>
      <c r="L83" s="133" t="s">
        <v>67</v>
      </c>
      <c r="M83" s="134"/>
      <c r="N83" s="135"/>
      <c r="O83" s="135" t="s">
        <v>267</v>
      </c>
      <c r="P83" s="135" t="s">
        <v>281</v>
      </c>
      <c r="Q83" s="135" t="s">
        <v>173</v>
      </c>
      <c r="R83" s="134"/>
      <c r="S83" s="135"/>
      <c r="T83" s="132"/>
      <c r="U83" s="135"/>
      <c r="V83" s="135"/>
      <c r="W83" s="135"/>
      <c r="X83" s="135"/>
      <c r="Y83" s="132"/>
      <c r="Z83" s="136">
        <f t="shared" si="2"/>
        <v>37</v>
      </c>
      <c r="AA83" s="137" t="str">
        <f t="shared" si="3"/>
        <v>C</v>
      </c>
      <c r="AB83" s="138" t="str">
        <f t="shared" si="4"/>
        <v>⚠ MISSING: Call Date, Modality, Budget, Timeline, Decision Maker</v>
      </c>
      <c r="AC83" s="135" t="s">
        <v>100</v>
      </c>
      <c r="AD83" s="132"/>
      <c r="AE83" s="134"/>
    </row>
    <row r="84" ht="18.0" customHeight="1">
      <c r="A84" s="118" t="str">
        <f t="shared" si="1"/>
        <v>AYA-079</v>
      </c>
      <c r="B84" s="109">
        <v>45817.0</v>
      </c>
      <c r="C84" s="119" t="s">
        <v>634</v>
      </c>
      <c r="D84" s="119" t="s">
        <v>688</v>
      </c>
      <c r="E84" s="120"/>
      <c r="F84" s="121" t="s">
        <v>689</v>
      </c>
      <c r="G84" s="112" t="s">
        <v>690</v>
      </c>
      <c r="H84" s="112"/>
      <c r="I84" s="112"/>
      <c r="J84" s="112" t="s">
        <v>167</v>
      </c>
      <c r="K84" s="112" t="s">
        <v>691</v>
      </c>
      <c r="L84" s="122" t="s">
        <v>148</v>
      </c>
      <c r="M84" s="123">
        <v>45817.0</v>
      </c>
      <c r="N84" s="114" t="s">
        <v>189</v>
      </c>
      <c r="O84" s="114" t="s">
        <v>267</v>
      </c>
      <c r="P84" s="114" t="s">
        <v>281</v>
      </c>
      <c r="Q84" s="114" t="s">
        <v>173</v>
      </c>
      <c r="R84" s="123"/>
      <c r="S84" s="114"/>
      <c r="T84" s="112"/>
      <c r="U84" s="114"/>
      <c r="V84" s="114"/>
      <c r="W84" s="114"/>
      <c r="X84" s="114" t="s">
        <v>66</v>
      </c>
      <c r="Y84" s="112" t="s">
        <v>692</v>
      </c>
      <c r="Z84" s="125">
        <f t="shared" si="2"/>
        <v>37</v>
      </c>
      <c r="AA84" s="126" t="str">
        <f t="shared" si="3"/>
        <v>C</v>
      </c>
      <c r="AB84" s="117" t="str">
        <f t="shared" si="4"/>
        <v>⚠ MISSING: Call Date, Modality, Budget, Timeline, Decision Maker</v>
      </c>
      <c r="AC84" s="114" t="s">
        <v>259</v>
      </c>
      <c r="AD84" s="112" t="s">
        <v>189</v>
      </c>
      <c r="AE84" s="123"/>
    </row>
    <row r="85" ht="18.0" customHeight="1">
      <c r="A85" s="127" t="str">
        <f t="shared" si="1"/>
        <v>AYA-080</v>
      </c>
      <c r="B85" s="128">
        <v>45817.0</v>
      </c>
      <c r="C85" s="129" t="s">
        <v>693</v>
      </c>
      <c r="D85" s="129" t="s">
        <v>694</v>
      </c>
      <c r="E85" s="130"/>
      <c r="F85" s="131" t="s">
        <v>695</v>
      </c>
      <c r="G85" s="132" t="s">
        <v>696</v>
      </c>
      <c r="H85" s="132"/>
      <c r="I85" s="132"/>
      <c r="J85" s="132"/>
      <c r="K85" s="132" t="s">
        <v>697</v>
      </c>
      <c r="L85" s="133" t="s">
        <v>148</v>
      </c>
      <c r="M85" s="134">
        <v>45817.0</v>
      </c>
      <c r="N85" s="135" t="s">
        <v>266</v>
      </c>
      <c r="O85" s="135" t="s">
        <v>297</v>
      </c>
      <c r="P85" s="135" t="s">
        <v>274</v>
      </c>
      <c r="Q85" s="135" t="s">
        <v>173</v>
      </c>
      <c r="R85" s="134"/>
      <c r="S85" s="135"/>
      <c r="T85" s="132"/>
      <c r="U85" s="135"/>
      <c r="V85" s="135"/>
      <c r="W85" s="135"/>
      <c r="X85" s="135" t="s">
        <v>58</v>
      </c>
      <c r="Y85" s="132" t="s">
        <v>698</v>
      </c>
      <c r="Z85" s="136">
        <f t="shared" si="2"/>
        <v>37</v>
      </c>
      <c r="AA85" s="137" t="str">
        <f t="shared" si="3"/>
        <v>C</v>
      </c>
      <c r="AB85" s="138" t="str">
        <f t="shared" si="4"/>
        <v>⚠ MISSING: Call Date, Modality, Budget, Timeline, Decision Maker</v>
      </c>
      <c r="AC85" s="135" t="s">
        <v>103</v>
      </c>
      <c r="AD85" s="132"/>
      <c r="AE85" s="134"/>
    </row>
    <row r="86" ht="18.0" customHeight="1">
      <c r="A86" s="118" t="str">
        <f t="shared" si="1"/>
        <v>AYA-081</v>
      </c>
      <c r="B86" s="109">
        <v>45819.0</v>
      </c>
      <c r="C86" s="119" t="s">
        <v>699</v>
      </c>
      <c r="D86" s="119" t="s">
        <v>700</v>
      </c>
      <c r="E86" s="120"/>
      <c r="F86" s="121" t="s">
        <v>701</v>
      </c>
      <c r="G86" s="112" t="s">
        <v>702</v>
      </c>
      <c r="H86" s="112"/>
      <c r="I86" s="112"/>
      <c r="J86" s="112" t="s">
        <v>67</v>
      </c>
      <c r="K86" s="112" t="s">
        <v>703</v>
      </c>
      <c r="L86" s="122" t="s">
        <v>148</v>
      </c>
      <c r="M86" s="123">
        <v>45819.0</v>
      </c>
      <c r="N86" s="114" t="s">
        <v>266</v>
      </c>
      <c r="O86" s="114" t="s">
        <v>267</v>
      </c>
      <c r="P86" s="114" t="s">
        <v>375</v>
      </c>
      <c r="Q86" s="114" t="s">
        <v>173</v>
      </c>
      <c r="R86" s="123"/>
      <c r="S86" s="114"/>
      <c r="T86" s="112"/>
      <c r="U86" s="114"/>
      <c r="V86" s="114"/>
      <c r="W86" s="114"/>
      <c r="X86" s="114" t="s">
        <v>59</v>
      </c>
      <c r="Y86" s="112" t="s">
        <v>704</v>
      </c>
      <c r="Z86" s="125">
        <f t="shared" si="2"/>
        <v>37</v>
      </c>
      <c r="AA86" s="126" t="str">
        <f t="shared" si="3"/>
        <v>C</v>
      </c>
      <c r="AB86" s="117" t="str">
        <f t="shared" si="4"/>
        <v>⚠ MISSING: Call Date, Modality, Budget, Timeline, Decision Maker</v>
      </c>
      <c r="AC86" s="114" t="s">
        <v>101</v>
      </c>
      <c r="AD86" s="112"/>
      <c r="AE86" s="123"/>
    </row>
    <row r="87" ht="18.0" customHeight="1">
      <c r="A87" s="127" t="str">
        <f t="shared" si="1"/>
        <v>AYA-082</v>
      </c>
      <c r="B87" s="128">
        <v>45819.0</v>
      </c>
      <c r="C87" s="129" t="s">
        <v>705</v>
      </c>
      <c r="D87" s="129" t="s">
        <v>706</v>
      </c>
      <c r="E87" s="130"/>
      <c r="F87" s="131" t="s">
        <v>707</v>
      </c>
      <c r="G87" s="132" t="s">
        <v>708</v>
      </c>
      <c r="H87" s="132"/>
      <c r="I87" s="132"/>
      <c r="J87" s="132" t="s">
        <v>161</v>
      </c>
      <c r="K87" s="132" t="s">
        <v>709</v>
      </c>
      <c r="L87" s="133" t="s">
        <v>148</v>
      </c>
      <c r="M87" s="134">
        <v>45819.0</v>
      </c>
      <c r="N87" s="135" t="s">
        <v>266</v>
      </c>
      <c r="O87" s="135" t="s">
        <v>267</v>
      </c>
      <c r="P87" s="135" t="s">
        <v>281</v>
      </c>
      <c r="Q87" s="135" t="s">
        <v>173</v>
      </c>
      <c r="R87" s="134"/>
      <c r="S87" s="135"/>
      <c r="T87" s="132"/>
      <c r="U87" s="135"/>
      <c r="V87" s="135"/>
      <c r="W87" s="135"/>
      <c r="X87" s="135" t="s">
        <v>59</v>
      </c>
      <c r="Y87" s="132" t="s">
        <v>710</v>
      </c>
      <c r="Z87" s="136">
        <f t="shared" si="2"/>
        <v>37</v>
      </c>
      <c r="AA87" s="137" t="str">
        <f t="shared" si="3"/>
        <v>C</v>
      </c>
      <c r="AB87" s="138" t="str">
        <f t="shared" si="4"/>
        <v>⚠ MISSING: Call Date, Modality, Budget, Timeline, Decision Maker</v>
      </c>
      <c r="AC87" s="135" t="s">
        <v>101</v>
      </c>
      <c r="AD87" s="132"/>
      <c r="AE87" s="134"/>
    </row>
    <row r="88" ht="18.0" customHeight="1">
      <c r="A88" s="118" t="str">
        <f t="shared" si="1"/>
        <v>AYA-083</v>
      </c>
      <c r="B88" s="109">
        <v>45819.0</v>
      </c>
      <c r="C88" s="119" t="s">
        <v>711</v>
      </c>
      <c r="D88" s="119" t="s">
        <v>712</v>
      </c>
      <c r="E88" s="120"/>
      <c r="F88" s="121" t="s">
        <v>713</v>
      </c>
      <c r="G88" s="112" t="s">
        <v>714</v>
      </c>
      <c r="H88" s="112"/>
      <c r="I88" s="112"/>
      <c r="J88" s="112" t="s">
        <v>67</v>
      </c>
      <c r="K88" s="112" t="s">
        <v>715</v>
      </c>
      <c r="L88" s="122" t="s">
        <v>148</v>
      </c>
      <c r="M88" s="123">
        <v>45819.0</v>
      </c>
      <c r="N88" s="114" t="s">
        <v>266</v>
      </c>
      <c r="O88" s="114" t="s">
        <v>267</v>
      </c>
      <c r="P88" s="114" t="s">
        <v>281</v>
      </c>
      <c r="Q88" s="114" t="s">
        <v>173</v>
      </c>
      <c r="R88" s="123"/>
      <c r="S88" s="114"/>
      <c r="T88" s="112"/>
      <c r="U88" s="114"/>
      <c r="V88" s="114"/>
      <c r="W88" s="114"/>
      <c r="X88" s="114" t="s">
        <v>59</v>
      </c>
      <c r="Y88" s="112" t="s">
        <v>716</v>
      </c>
      <c r="Z88" s="125">
        <f t="shared" si="2"/>
        <v>37</v>
      </c>
      <c r="AA88" s="126" t="str">
        <f t="shared" si="3"/>
        <v>C</v>
      </c>
      <c r="AB88" s="117" t="str">
        <f t="shared" si="4"/>
        <v>⚠ MISSING: Call Date, Modality, Budget, Timeline, Decision Maker</v>
      </c>
      <c r="AC88" s="114" t="s">
        <v>101</v>
      </c>
      <c r="AD88" s="112"/>
      <c r="AE88" s="123"/>
    </row>
    <row r="89" ht="18.0" customHeight="1">
      <c r="A89" s="127" t="str">
        <f t="shared" si="1"/>
        <v>AYA-084</v>
      </c>
      <c r="B89" s="128">
        <v>45820.0</v>
      </c>
      <c r="C89" s="129" t="s">
        <v>717</v>
      </c>
      <c r="D89" s="129" t="s">
        <v>718</v>
      </c>
      <c r="E89" s="130"/>
      <c r="F89" s="131" t="s">
        <v>719</v>
      </c>
      <c r="G89" s="132" t="s">
        <v>720</v>
      </c>
      <c r="H89" s="132"/>
      <c r="I89" s="132"/>
      <c r="J89" s="132" t="s">
        <v>161</v>
      </c>
      <c r="K89" s="132" t="s">
        <v>721</v>
      </c>
      <c r="L89" s="133" t="s">
        <v>148</v>
      </c>
      <c r="M89" s="134">
        <v>45820.0</v>
      </c>
      <c r="N89" s="135" t="s">
        <v>266</v>
      </c>
      <c r="O89" s="135" t="s">
        <v>267</v>
      </c>
      <c r="P89" s="135" t="s">
        <v>281</v>
      </c>
      <c r="Q89" s="135" t="s">
        <v>173</v>
      </c>
      <c r="R89" s="134"/>
      <c r="S89" s="135"/>
      <c r="T89" s="132"/>
      <c r="U89" s="135"/>
      <c r="V89" s="135"/>
      <c r="W89" s="135"/>
      <c r="X89" s="135" t="s">
        <v>58</v>
      </c>
      <c r="Y89" s="132" t="s">
        <v>722</v>
      </c>
      <c r="Z89" s="136">
        <f t="shared" si="2"/>
        <v>37</v>
      </c>
      <c r="AA89" s="137" t="str">
        <f t="shared" si="3"/>
        <v>C</v>
      </c>
      <c r="AB89" s="138" t="str">
        <f t="shared" si="4"/>
        <v>⚠ MISSING: Call Date, Modality, Budget, Timeline, Decision Maker</v>
      </c>
      <c r="AC89" s="135" t="s">
        <v>103</v>
      </c>
      <c r="AD89" s="132"/>
      <c r="AE89" s="134"/>
    </row>
    <row r="90" ht="18.0" customHeight="1">
      <c r="A90" s="118" t="str">
        <f t="shared" si="1"/>
        <v>AYA-085</v>
      </c>
      <c r="B90" s="109">
        <v>45826.0</v>
      </c>
      <c r="C90" s="119" t="s">
        <v>723</v>
      </c>
      <c r="D90" s="119" t="s">
        <v>724</v>
      </c>
      <c r="E90" s="120"/>
      <c r="F90" s="121" t="s">
        <v>725</v>
      </c>
      <c r="G90" s="112" t="s">
        <v>726</v>
      </c>
      <c r="H90" s="112" t="s">
        <v>727</v>
      </c>
      <c r="I90" s="112"/>
      <c r="J90" s="112" t="s">
        <v>161</v>
      </c>
      <c r="K90" s="112" t="s">
        <v>728</v>
      </c>
      <c r="L90" s="122" t="s">
        <v>148</v>
      </c>
      <c r="M90" s="123">
        <v>45826.0</v>
      </c>
      <c r="N90" s="114" t="s">
        <v>266</v>
      </c>
      <c r="O90" s="114" t="s">
        <v>297</v>
      </c>
      <c r="P90" s="114" t="s">
        <v>281</v>
      </c>
      <c r="Q90" s="114" t="s">
        <v>173</v>
      </c>
      <c r="R90" s="123"/>
      <c r="S90" s="114"/>
      <c r="T90" s="112"/>
      <c r="U90" s="114"/>
      <c r="V90" s="114"/>
      <c r="W90" s="114"/>
      <c r="X90" s="114" t="s">
        <v>66</v>
      </c>
      <c r="Y90" s="112" t="s">
        <v>729</v>
      </c>
      <c r="Z90" s="125">
        <f t="shared" si="2"/>
        <v>37</v>
      </c>
      <c r="AA90" s="126" t="str">
        <f t="shared" si="3"/>
        <v>C</v>
      </c>
      <c r="AB90" s="117" t="str">
        <f t="shared" si="4"/>
        <v>⚠ MISSING: Call Date, Modality, Budget, Timeline, Decision Maker</v>
      </c>
      <c r="AC90" s="114" t="s">
        <v>103</v>
      </c>
      <c r="AD90" s="112"/>
      <c r="AE90" s="123"/>
    </row>
    <row r="91" ht="18.0" customHeight="1">
      <c r="A91" s="127" t="str">
        <f t="shared" si="1"/>
        <v>AYA-086</v>
      </c>
      <c r="B91" s="128">
        <v>45830.0</v>
      </c>
      <c r="C91" s="129" t="s">
        <v>730</v>
      </c>
      <c r="D91" s="129" t="s">
        <v>731</v>
      </c>
      <c r="E91" s="130"/>
      <c r="F91" s="131" t="s">
        <v>732</v>
      </c>
      <c r="G91" s="132" t="s">
        <v>733</v>
      </c>
      <c r="H91" s="132" t="s">
        <v>734</v>
      </c>
      <c r="I91" s="132"/>
      <c r="J91" s="132" t="s">
        <v>161</v>
      </c>
      <c r="K91" s="132" t="s">
        <v>735</v>
      </c>
      <c r="L91" s="133" t="s">
        <v>148</v>
      </c>
      <c r="M91" s="134">
        <v>45830.0</v>
      </c>
      <c r="N91" s="135" t="s">
        <v>266</v>
      </c>
      <c r="O91" s="135" t="s">
        <v>297</v>
      </c>
      <c r="P91" s="135" t="s">
        <v>375</v>
      </c>
      <c r="Q91" s="135" t="s">
        <v>173</v>
      </c>
      <c r="R91" s="134"/>
      <c r="S91" s="135"/>
      <c r="T91" s="132"/>
      <c r="U91" s="135"/>
      <c r="V91" s="135"/>
      <c r="W91" s="135"/>
      <c r="X91" s="135"/>
      <c r="Y91" s="132" t="s">
        <v>736</v>
      </c>
      <c r="Z91" s="136">
        <f t="shared" si="2"/>
        <v>37</v>
      </c>
      <c r="AA91" s="137" t="str">
        <f t="shared" si="3"/>
        <v>C</v>
      </c>
      <c r="AB91" s="138" t="str">
        <f t="shared" si="4"/>
        <v>⚠ MISSING: Call Date, Modality, Budget, Timeline, Decision Maker</v>
      </c>
      <c r="AC91" s="135" t="s">
        <v>101</v>
      </c>
      <c r="AD91" s="132"/>
      <c r="AE91" s="134"/>
    </row>
    <row r="92" ht="18.0" customHeight="1">
      <c r="A92" s="118" t="str">
        <f t="shared" si="1"/>
        <v>AYA-087</v>
      </c>
      <c r="B92" s="109">
        <v>45837.0</v>
      </c>
      <c r="C92" s="119" t="s">
        <v>737</v>
      </c>
      <c r="D92" s="119" t="s">
        <v>738</v>
      </c>
      <c r="E92" s="120"/>
      <c r="F92" s="121" t="s">
        <v>739</v>
      </c>
      <c r="G92" s="112" t="s">
        <v>740</v>
      </c>
      <c r="H92" s="112" t="s">
        <v>741</v>
      </c>
      <c r="I92" s="112"/>
      <c r="J92" s="112" t="s">
        <v>167</v>
      </c>
      <c r="K92" s="112" t="s">
        <v>742</v>
      </c>
      <c r="L92" s="122" t="s">
        <v>149</v>
      </c>
      <c r="M92" s="123"/>
      <c r="N92" s="114"/>
      <c r="O92" s="114" t="s">
        <v>297</v>
      </c>
      <c r="P92" s="114"/>
      <c r="Q92" s="114" t="s">
        <v>173</v>
      </c>
      <c r="R92" s="123"/>
      <c r="S92" s="114"/>
      <c r="T92" s="112"/>
      <c r="U92" s="114"/>
      <c r="V92" s="114"/>
      <c r="W92" s="114"/>
      <c r="X92" s="114"/>
      <c r="Y92" s="112"/>
      <c r="Z92" s="125">
        <f t="shared" si="2"/>
        <v>27</v>
      </c>
      <c r="AA92" s="126" t="str">
        <f t="shared" si="3"/>
        <v>C</v>
      </c>
      <c r="AB92" s="117" t="str">
        <f t="shared" si="4"/>
        <v>⚠ MISSING: Call Date, Modality, Budget, Timeline, Decision Maker</v>
      </c>
      <c r="AC92" s="114" t="s">
        <v>100</v>
      </c>
      <c r="AD92" s="112"/>
      <c r="AE92" s="123"/>
    </row>
    <row r="93" ht="18.0" customHeight="1">
      <c r="A93" s="127" t="str">
        <f t="shared" si="1"/>
        <v>AYA-088</v>
      </c>
      <c r="B93" s="128">
        <v>45845.0</v>
      </c>
      <c r="C93" s="129" t="s">
        <v>743</v>
      </c>
      <c r="D93" s="129" t="s">
        <v>744</v>
      </c>
      <c r="E93" s="130"/>
      <c r="F93" s="131" t="s">
        <v>745</v>
      </c>
      <c r="G93" s="132" t="s">
        <v>746</v>
      </c>
      <c r="H93" s="132"/>
      <c r="I93" s="132"/>
      <c r="J93" s="132" t="s">
        <v>159</v>
      </c>
      <c r="K93" s="132" t="s">
        <v>747</v>
      </c>
      <c r="L93" s="133" t="s">
        <v>148</v>
      </c>
      <c r="M93" s="134">
        <v>45845.0</v>
      </c>
      <c r="N93" s="135"/>
      <c r="O93" s="135" t="s">
        <v>267</v>
      </c>
      <c r="P93" s="135" t="s">
        <v>281</v>
      </c>
      <c r="Q93" s="135" t="s">
        <v>173</v>
      </c>
      <c r="R93" s="134"/>
      <c r="S93" s="135"/>
      <c r="T93" s="132"/>
      <c r="U93" s="135"/>
      <c r="V93" s="135"/>
      <c r="W93" s="135"/>
      <c r="X93" s="135" t="s">
        <v>58</v>
      </c>
      <c r="Y93" s="132" t="s">
        <v>748</v>
      </c>
      <c r="Z93" s="136">
        <f t="shared" si="2"/>
        <v>37</v>
      </c>
      <c r="AA93" s="137" t="str">
        <f t="shared" si="3"/>
        <v>C</v>
      </c>
      <c r="AB93" s="138" t="str">
        <f t="shared" si="4"/>
        <v>⚠ MISSING: Call Date, Modality, Budget, Timeline, Decision Maker</v>
      </c>
      <c r="AC93" s="135" t="s">
        <v>333</v>
      </c>
      <c r="AD93" s="132" t="s">
        <v>191</v>
      </c>
      <c r="AE93" s="134"/>
    </row>
    <row r="94" ht="18.0" customHeight="1">
      <c r="A94" s="118" t="str">
        <f t="shared" si="1"/>
        <v>AYA-089</v>
      </c>
      <c r="B94" s="109">
        <v>45846.0</v>
      </c>
      <c r="C94" s="119" t="s">
        <v>749</v>
      </c>
      <c r="D94" s="119" t="s">
        <v>750</v>
      </c>
      <c r="E94" s="120"/>
      <c r="F94" s="121" t="s">
        <v>751</v>
      </c>
      <c r="G94" s="112" t="s">
        <v>752</v>
      </c>
      <c r="H94" s="112" t="s">
        <v>753</v>
      </c>
      <c r="I94" s="112"/>
      <c r="J94" s="112" t="s">
        <v>159</v>
      </c>
      <c r="K94" s="112" t="s">
        <v>754</v>
      </c>
      <c r="L94" s="122" t="s">
        <v>148</v>
      </c>
      <c r="M94" s="123">
        <v>45846.0</v>
      </c>
      <c r="N94" s="114" t="s">
        <v>266</v>
      </c>
      <c r="O94" s="114" t="s">
        <v>297</v>
      </c>
      <c r="P94" s="114" t="s">
        <v>428</v>
      </c>
      <c r="Q94" s="114" t="s">
        <v>173</v>
      </c>
      <c r="R94" s="123"/>
      <c r="S94" s="114"/>
      <c r="T94" s="112"/>
      <c r="U94" s="114"/>
      <c r="V94" s="114"/>
      <c r="W94" s="114"/>
      <c r="X94" s="114" t="s">
        <v>59</v>
      </c>
      <c r="Y94" s="112" t="s">
        <v>755</v>
      </c>
      <c r="Z94" s="125">
        <f t="shared" si="2"/>
        <v>37</v>
      </c>
      <c r="AA94" s="126" t="str">
        <f t="shared" si="3"/>
        <v>C</v>
      </c>
      <c r="AB94" s="117" t="str">
        <f t="shared" si="4"/>
        <v>⚠ MISSING: Call Date, Modality, Budget, Timeline, Decision Maker</v>
      </c>
      <c r="AC94" s="114" t="s">
        <v>103</v>
      </c>
      <c r="AD94" s="112"/>
      <c r="AE94" s="123"/>
    </row>
    <row r="95" ht="18.0" customHeight="1">
      <c r="A95" s="127" t="str">
        <f t="shared" si="1"/>
        <v>AYA-090</v>
      </c>
      <c r="B95" s="128">
        <v>45848.0</v>
      </c>
      <c r="C95" s="129" t="s">
        <v>756</v>
      </c>
      <c r="D95" s="129" t="s">
        <v>757</v>
      </c>
      <c r="E95" s="130"/>
      <c r="F95" s="131" t="s">
        <v>758</v>
      </c>
      <c r="G95" s="132" t="s">
        <v>759</v>
      </c>
      <c r="H95" s="132"/>
      <c r="I95" s="132"/>
      <c r="J95" s="132" t="s">
        <v>159</v>
      </c>
      <c r="K95" s="132" t="s">
        <v>760</v>
      </c>
      <c r="L95" s="133" t="s">
        <v>153</v>
      </c>
      <c r="M95" s="134"/>
      <c r="N95" s="135"/>
      <c r="O95" s="135" t="s">
        <v>297</v>
      </c>
      <c r="P95" s="135" t="s">
        <v>452</v>
      </c>
      <c r="Q95" s="135" t="s">
        <v>173</v>
      </c>
      <c r="R95" s="134"/>
      <c r="S95" s="135"/>
      <c r="T95" s="132"/>
      <c r="U95" s="135"/>
      <c r="V95" s="135"/>
      <c r="W95" s="135"/>
      <c r="X95" s="135"/>
      <c r="Y95" s="132"/>
      <c r="Z95" s="136">
        <f t="shared" si="2"/>
        <v>37</v>
      </c>
      <c r="AA95" s="137" t="str">
        <f t="shared" si="3"/>
        <v>C</v>
      </c>
      <c r="AB95" s="138" t="str">
        <f t="shared" si="4"/>
        <v>⚠ MISSING: Call Date, Modality, Budget, Timeline, Decision Maker</v>
      </c>
      <c r="AC95" s="135" t="s">
        <v>100</v>
      </c>
      <c r="AD95" s="132"/>
      <c r="AE95" s="134"/>
    </row>
    <row r="96" ht="18.0" customHeight="1">
      <c r="A96" s="118" t="str">
        <f t="shared" si="1"/>
        <v>AYA-091</v>
      </c>
      <c r="B96" s="109">
        <v>45853.0</v>
      </c>
      <c r="C96" s="119" t="s">
        <v>761</v>
      </c>
      <c r="D96" s="119" t="s">
        <v>762</v>
      </c>
      <c r="E96" s="120"/>
      <c r="F96" s="121" t="s">
        <v>763</v>
      </c>
      <c r="G96" s="112" t="s">
        <v>764</v>
      </c>
      <c r="H96" s="112"/>
      <c r="I96" s="112"/>
      <c r="J96" s="112" t="s">
        <v>161</v>
      </c>
      <c r="K96" s="112" t="s">
        <v>765</v>
      </c>
      <c r="L96" s="122" t="s">
        <v>148</v>
      </c>
      <c r="M96" s="123">
        <v>45853.0</v>
      </c>
      <c r="N96" s="114" t="s">
        <v>266</v>
      </c>
      <c r="O96" s="114" t="s">
        <v>267</v>
      </c>
      <c r="P96" s="114" t="s">
        <v>274</v>
      </c>
      <c r="Q96" s="114" t="s">
        <v>173</v>
      </c>
      <c r="R96" s="123"/>
      <c r="S96" s="114"/>
      <c r="T96" s="112"/>
      <c r="U96" s="114"/>
      <c r="V96" s="114"/>
      <c r="W96" s="114"/>
      <c r="X96" s="114" t="s">
        <v>59</v>
      </c>
      <c r="Y96" s="112" t="s">
        <v>766</v>
      </c>
      <c r="Z96" s="125">
        <f t="shared" si="2"/>
        <v>37</v>
      </c>
      <c r="AA96" s="126" t="str">
        <f t="shared" si="3"/>
        <v>C</v>
      </c>
      <c r="AB96" s="117" t="str">
        <f t="shared" si="4"/>
        <v>⚠ MISSING: Call Date, Modality, Budget, Timeline, Decision Maker</v>
      </c>
      <c r="AC96" s="114" t="s">
        <v>409</v>
      </c>
      <c r="AD96" s="112"/>
      <c r="AE96" s="123"/>
    </row>
    <row r="97" ht="18.0" customHeight="1">
      <c r="A97" s="127" t="str">
        <f t="shared" si="1"/>
        <v>AYA-092</v>
      </c>
      <c r="B97" s="128">
        <v>45854.0</v>
      </c>
      <c r="C97" s="129" t="s">
        <v>767</v>
      </c>
      <c r="D97" s="129" t="s">
        <v>768</v>
      </c>
      <c r="E97" s="130"/>
      <c r="F97" s="131" t="s">
        <v>769</v>
      </c>
      <c r="G97" s="132" t="s">
        <v>770</v>
      </c>
      <c r="H97" s="132" t="s">
        <v>771</v>
      </c>
      <c r="I97" s="132"/>
      <c r="J97" s="132" t="s">
        <v>167</v>
      </c>
      <c r="K97" s="132" t="s">
        <v>772</v>
      </c>
      <c r="L97" s="133" t="s">
        <v>149</v>
      </c>
      <c r="M97" s="134"/>
      <c r="N97" s="135"/>
      <c r="O97" s="135" t="s">
        <v>267</v>
      </c>
      <c r="P97" s="135" t="s">
        <v>375</v>
      </c>
      <c r="Q97" s="135" t="s">
        <v>173</v>
      </c>
      <c r="R97" s="134"/>
      <c r="S97" s="135"/>
      <c r="T97" s="132"/>
      <c r="U97" s="135"/>
      <c r="V97" s="135"/>
      <c r="W97" s="135"/>
      <c r="X97" s="135"/>
      <c r="Y97" s="132"/>
      <c r="Z97" s="136">
        <f t="shared" si="2"/>
        <v>37</v>
      </c>
      <c r="AA97" s="137" t="str">
        <f t="shared" si="3"/>
        <v>C</v>
      </c>
      <c r="AB97" s="138" t="str">
        <f t="shared" si="4"/>
        <v>⚠ MISSING: Call Date, Modality, Budget, Timeline, Decision Maker</v>
      </c>
      <c r="AC97" s="135" t="s">
        <v>100</v>
      </c>
      <c r="AD97" s="132"/>
      <c r="AE97" s="134"/>
    </row>
    <row r="98" ht="18.0" customHeight="1">
      <c r="A98" s="118" t="str">
        <f t="shared" si="1"/>
        <v>AYA-093</v>
      </c>
      <c r="B98" s="109">
        <v>45856.0</v>
      </c>
      <c r="C98" s="119" t="s">
        <v>773</v>
      </c>
      <c r="D98" s="119" t="s">
        <v>774</v>
      </c>
      <c r="E98" s="120"/>
      <c r="F98" s="121" t="s">
        <v>775</v>
      </c>
      <c r="G98" s="112" t="s">
        <v>776</v>
      </c>
      <c r="H98" s="112" t="s">
        <v>777</v>
      </c>
      <c r="I98" s="112"/>
      <c r="J98" s="112" t="s">
        <v>167</v>
      </c>
      <c r="K98" s="112" t="s">
        <v>778</v>
      </c>
      <c r="L98" s="122" t="s">
        <v>149</v>
      </c>
      <c r="M98" s="123"/>
      <c r="N98" s="114"/>
      <c r="O98" s="114" t="s">
        <v>267</v>
      </c>
      <c r="P98" s="114" t="s">
        <v>281</v>
      </c>
      <c r="Q98" s="114" t="s">
        <v>173</v>
      </c>
      <c r="R98" s="123"/>
      <c r="S98" s="114"/>
      <c r="T98" s="112"/>
      <c r="U98" s="114"/>
      <c r="V98" s="114"/>
      <c r="W98" s="114"/>
      <c r="X98" s="114"/>
      <c r="Y98" s="112"/>
      <c r="Z98" s="125">
        <f t="shared" si="2"/>
        <v>37</v>
      </c>
      <c r="AA98" s="126" t="str">
        <f t="shared" si="3"/>
        <v>C</v>
      </c>
      <c r="AB98" s="117" t="str">
        <f t="shared" si="4"/>
        <v>⚠ MISSING: Call Date, Modality, Budget, Timeline, Decision Maker</v>
      </c>
      <c r="AC98" s="114" t="s">
        <v>100</v>
      </c>
      <c r="AD98" s="112"/>
      <c r="AE98" s="123"/>
    </row>
    <row r="99" ht="18.0" customHeight="1">
      <c r="A99" s="127" t="str">
        <f t="shared" si="1"/>
        <v>AYA-094</v>
      </c>
      <c r="B99" s="128">
        <v>45856.0</v>
      </c>
      <c r="C99" s="129" t="s">
        <v>779</v>
      </c>
      <c r="D99" s="129" t="s">
        <v>780</v>
      </c>
      <c r="E99" s="130"/>
      <c r="F99" s="131" t="s">
        <v>781</v>
      </c>
      <c r="G99" s="132" t="s">
        <v>782</v>
      </c>
      <c r="H99" s="132"/>
      <c r="I99" s="132"/>
      <c r="J99" s="132" t="s">
        <v>161</v>
      </c>
      <c r="K99" s="132"/>
      <c r="L99" s="133" t="s">
        <v>149</v>
      </c>
      <c r="M99" s="134"/>
      <c r="N99" s="135"/>
      <c r="O99" s="135" t="s">
        <v>267</v>
      </c>
      <c r="P99" s="135" t="s">
        <v>452</v>
      </c>
      <c r="Q99" s="135" t="s">
        <v>173</v>
      </c>
      <c r="R99" s="134"/>
      <c r="S99" s="135"/>
      <c r="T99" s="132"/>
      <c r="U99" s="135"/>
      <c r="V99" s="135"/>
      <c r="W99" s="135"/>
      <c r="X99" s="135"/>
      <c r="Y99" s="132"/>
      <c r="Z99" s="136">
        <f t="shared" si="2"/>
        <v>25</v>
      </c>
      <c r="AA99" s="137" t="str">
        <f t="shared" si="3"/>
        <v>C</v>
      </c>
      <c r="AB99" s="138" t="str">
        <f t="shared" si="4"/>
        <v>⚠ MISSING: Call Date, Modality, Budget, Timeline, Decision Maker</v>
      </c>
      <c r="AC99" s="135" t="s">
        <v>100</v>
      </c>
      <c r="AD99" s="132"/>
      <c r="AE99" s="134"/>
    </row>
    <row r="100" ht="18.0" customHeight="1">
      <c r="A100" s="118" t="str">
        <f t="shared" si="1"/>
        <v>AYA-095</v>
      </c>
      <c r="B100" s="109">
        <v>45860.0</v>
      </c>
      <c r="C100" s="119" t="s">
        <v>783</v>
      </c>
      <c r="D100" s="119" t="s">
        <v>784</v>
      </c>
      <c r="E100" s="120"/>
      <c r="F100" s="121" t="s">
        <v>785</v>
      </c>
      <c r="G100" s="112" t="s">
        <v>786</v>
      </c>
      <c r="H100" s="112"/>
      <c r="I100" s="112"/>
      <c r="J100" s="112" t="s">
        <v>162</v>
      </c>
      <c r="K100" s="112" t="s">
        <v>787</v>
      </c>
      <c r="L100" s="122" t="s">
        <v>67</v>
      </c>
      <c r="M100" s="123"/>
      <c r="N100" s="114"/>
      <c r="O100" s="114" t="s">
        <v>267</v>
      </c>
      <c r="P100" s="114" t="s">
        <v>281</v>
      </c>
      <c r="Q100" s="114" t="s">
        <v>173</v>
      </c>
      <c r="R100" s="123"/>
      <c r="S100" s="114"/>
      <c r="T100" s="112"/>
      <c r="U100" s="114"/>
      <c r="V100" s="114"/>
      <c r="W100" s="114"/>
      <c r="X100" s="114"/>
      <c r="Y100" s="112"/>
      <c r="Z100" s="125">
        <f t="shared" si="2"/>
        <v>37</v>
      </c>
      <c r="AA100" s="126" t="str">
        <f t="shared" si="3"/>
        <v>C</v>
      </c>
      <c r="AB100" s="117" t="str">
        <f t="shared" si="4"/>
        <v>⚠ MISSING: Call Date, Modality, Budget, Timeline, Decision Maker</v>
      </c>
      <c r="AC100" s="114" t="s">
        <v>100</v>
      </c>
      <c r="AD100" s="112"/>
      <c r="AE100" s="123"/>
    </row>
    <row r="101" ht="18.0" customHeight="1">
      <c r="A101" s="127" t="str">
        <f t="shared" si="1"/>
        <v>AYA-096</v>
      </c>
      <c r="B101" s="128">
        <v>45861.0</v>
      </c>
      <c r="C101" s="129" t="s">
        <v>788</v>
      </c>
      <c r="D101" s="129" t="s">
        <v>789</v>
      </c>
      <c r="E101" s="130"/>
      <c r="F101" s="131" t="s">
        <v>790</v>
      </c>
      <c r="G101" s="132" t="s">
        <v>791</v>
      </c>
      <c r="H101" s="132"/>
      <c r="I101" s="132"/>
      <c r="J101" s="132" t="s">
        <v>161</v>
      </c>
      <c r="K101" s="132" t="s">
        <v>792</v>
      </c>
      <c r="L101" s="133" t="s">
        <v>148</v>
      </c>
      <c r="M101" s="134">
        <v>45861.0</v>
      </c>
      <c r="N101" s="135" t="s">
        <v>266</v>
      </c>
      <c r="O101" s="135" t="s">
        <v>267</v>
      </c>
      <c r="P101" s="135" t="s">
        <v>375</v>
      </c>
      <c r="Q101" s="135" t="s">
        <v>173</v>
      </c>
      <c r="R101" s="134"/>
      <c r="S101" s="135"/>
      <c r="T101" s="132"/>
      <c r="U101" s="135"/>
      <c r="V101" s="135"/>
      <c r="W101" s="135"/>
      <c r="X101" s="135" t="s">
        <v>58</v>
      </c>
      <c r="Y101" s="132" t="s">
        <v>793</v>
      </c>
      <c r="Z101" s="136">
        <f t="shared" si="2"/>
        <v>37</v>
      </c>
      <c r="AA101" s="137" t="str">
        <f t="shared" si="3"/>
        <v>C</v>
      </c>
      <c r="AB101" s="138" t="str">
        <f t="shared" si="4"/>
        <v>⚠ MISSING: Call Date, Modality, Budget, Timeline, Decision Maker</v>
      </c>
      <c r="AC101" s="135" t="s">
        <v>101</v>
      </c>
      <c r="AD101" s="132"/>
      <c r="AE101" s="134"/>
    </row>
    <row r="102" ht="18.0" customHeight="1">
      <c r="A102" s="118" t="str">
        <f t="shared" si="1"/>
        <v>AYA-097</v>
      </c>
      <c r="B102" s="109">
        <v>45862.0</v>
      </c>
      <c r="C102" s="119" t="s">
        <v>794</v>
      </c>
      <c r="D102" s="119" t="s">
        <v>795</v>
      </c>
      <c r="E102" s="120"/>
      <c r="F102" s="121" t="s">
        <v>796</v>
      </c>
      <c r="G102" s="112" t="s">
        <v>797</v>
      </c>
      <c r="H102" s="112" t="s">
        <v>798</v>
      </c>
      <c r="I102" s="112"/>
      <c r="J102" s="112" t="s">
        <v>161</v>
      </c>
      <c r="K102" s="112" t="s">
        <v>799</v>
      </c>
      <c r="L102" s="122" t="s">
        <v>148</v>
      </c>
      <c r="M102" s="123">
        <v>45862.0</v>
      </c>
      <c r="N102" s="114" t="s">
        <v>266</v>
      </c>
      <c r="O102" s="114" t="s">
        <v>267</v>
      </c>
      <c r="P102" s="114" t="s">
        <v>281</v>
      </c>
      <c r="Q102" s="114" t="s">
        <v>173</v>
      </c>
      <c r="R102" s="123"/>
      <c r="S102" s="114"/>
      <c r="T102" s="112"/>
      <c r="U102" s="114"/>
      <c r="V102" s="114"/>
      <c r="W102" s="114"/>
      <c r="X102" s="114" t="s">
        <v>59</v>
      </c>
      <c r="Y102" s="112" t="s">
        <v>800</v>
      </c>
      <c r="Z102" s="125">
        <f t="shared" si="2"/>
        <v>37</v>
      </c>
      <c r="AA102" s="126" t="str">
        <f t="shared" si="3"/>
        <v>C</v>
      </c>
      <c r="AB102" s="117" t="str">
        <f t="shared" si="4"/>
        <v>⚠ MISSING: Call Date, Modality, Budget, Timeline, Decision Maker</v>
      </c>
      <c r="AC102" s="114" t="s">
        <v>101</v>
      </c>
      <c r="AD102" s="112"/>
      <c r="AE102" s="123"/>
    </row>
    <row r="103" ht="18.0" customHeight="1">
      <c r="A103" s="127" t="str">
        <f t="shared" si="1"/>
        <v>AYA-098</v>
      </c>
      <c r="B103" s="128">
        <v>45863.0</v>
      </c>
      <c r="C103" s="129" t="s">
        <v>801</v>
      </c>
      <c r="D103" s="129" t="s">
        <v>802</v>
      </c>
      <c r="E103" s="130"/>
      <c r="F103" s="131" t="s">
        <v>803</v>
      </c>
      <c r="G103" s="132" t="s">
        <v>804</v>
      </c>
      <c r="H103" s="132"/>
      <c r="I103" s="132"/>
      <c r="J103" s="132" t="s">
        <v>167</v>
      </c>
      <c r="K103" s="132" t="s">
        <v>805</v>
      </c>
      <c r="L103" s="133" t="s">
        <v>148</v>
      </c>
      <c r="M103" s="134">
        <v>45863.0</v>
      </c>
      <c r="N103" s="135" t="s">
        <v>266</v>
      </c>
      <c r="O103" s="135" t="s">
        <v>267</v>
      </c>
      <c r="P103" s="135" t="s">
        <v>281</v>
      </c>
      <c r="Q103" s="135" t="s">
        <v>173</v>
      </c>
      <c r="R103" s="134"/>
      <c r="S103" s="135"/>
      <c r="T103" s="132"/>
      <c r="U103" s="135"/>
      <c r="V103" s="135"/>
      <c r="W103" s="135"/>
      <c r="X103" s="135"/>
      <c r="Y103" s="132" t="s">
        <v>806</v>
      </c>
      <c r="Z103" s="136">
        <f t="shared" si="2"/>
        <v>37</v>
      </c>
      <c r="AA103" s="137" t="str">
        <f t="shared" si="3"/>
        <v>C</v>
      </c>
      <c r="AB103" s="138" t="str">
        <f t="shared" si="4"/>
        <v>⚠ MISSING: Call Date, Modality, Budget, Timeline, Decision Maker</v>
      </c>
      <c r="AC103" s="135" t="s">
        <v>101</v>
      </c>
      <c r="AD103" s="132"/>
      <c r="AE103" s="134"/>
    </row>
    <row r="104" ht="18.0" customHeight="1">
      <c r="A104" s="118" t="str">
        <f t="shared" si="1"/>
        <v>AYA-099</v>
      </c>
      <c r="B104" s="109">
        <v>45863.0</v>
      </c>
      <c r="C104" s="119" t="s">
        <v>807</v>
      </c>
      <c r="D104" s="119" t="s">
        <v>808</v>
      </c>
      <c r="E104" s="120"/>
      <c r="F104" s="121" t="s">
        <v>809</v>
      </c>
      <c r="G104" s="112" t="s">
        <v>810</v>
      </c>
      <c r="H104" s="112" t="s">
        <v>811</v>
      </c>
      <c r="I104" s="112"/>
      <c r="J104" s="112" t="s">
        <v>161</v>
      </c>
      <c r="K104" s="112" t="s">
        <v>812</v>
      </c>
      <c r="L104" s="122" t="s">
        <v>148</v>
      </c>
      <c r="M104" s="123">
        <v>45863.0</v>
      </c>
      <c r="N104" s="114" t="s">
        <v>266</v>
      </c>
      <c r="O104" s="114" t="s">
        <v>267</v>
      </c>
      <c r="P104" s="114" t="s">
        <v>452</v>
      </c>
      <c r="Q104" s="114" t="s">
        <v>173</v>
      </c>
      <c r="R104" s="123"/>
      <c r="S104" s="114"/>
      <c r="T104" s="112"/>
      <c r="U104" s="114"/>
      <c r="V104" s="114"/>
      <c r="W104" s="114"/>
      <c r="X104" s="114" t="s">
        <v>59</v>
      </c>
      <c r="Y104" s="112" t="s">
        <v>813</v>
      </c>
      <c r="Z104" s="125">
        <f t="shared" si="2"/>
        <v>37</v>
      </c>
      <c r="AA104" s="126" t="str">
        <f t="shared" si="3"/>
        <v>C</v>
      </c>
      <c r="AB104" s="117" t="str">
        <f t="shared" si="4"/>
        <v>⚠ MISSING: Call Date, Modality, Budget, Timeline, Decision Maker</v>
      </c>
      <c r="AC104" s="114" t="s">
        <v>101</v>
      </c>
      <c r="AD104" s="112"/>
      <c r="AE104" s="123"/>
    </row>
    <row r="105" ht="18.0" customHeight="1">
      <c r="A105" s="127" t="str">
        <f t="shared" si="1"/>
        <v>AYA-100</v>
      </c>
      <c r="B105" s="128">
        <v>45868.0</v>
      </c>
      <c r="C105" s="129" t="s">
        <v>814</v>
      </c>
      <c r="D105" s="129" t="s">
        <v>815</v>
      </c>
      <c r="E105" s="130"/>
      <c r="F105" s="131" t="s">
        <v>816</v>
      </c>
      <c r="G105" s="132" t="s">
        <v>817</v>
      </c>
      <c r="H105" s="132" t="s">
        <v>818</v>
      </c>
      <c r="I105" s="132"/>
      <c r="J105" s="132" t="s">
        <v>163</v>
      </c>
      <c r="K105" s="132" t="s">
        <v>819</v>
      </c>
      <c r="L105" s="133" t="s">
        <v>67</v>
      </c>
      <c r="M105" s="134"/>
      <c r="N105" s="135"/>
      <c r="O105" s="135" t="s">
        <v>267</v>
      </c>
      <c r="P105" s="135" t="s">
        <v>281</v>
      </c>
      <c r="Q105" s="135" t="s">
        <v>173</v>
      </c>
      <c r="R105" s="134"/>
      <c r="S105" s="135"/>
      <c r="T105" s="132"/>
      <c r="U105" s="135"/>
      <c r="V105" s="135"/>
      <c r="W105" s="135"/>
      <c r="X105" s="135" t="s">
        <v>66</v>
      </c>
      <c r="Y105" s="132"/>
      <c r="Z105" s="136">
        <f t="shared" si="2"/>
        <v>37</v>
      </c>
      <c r="AA105" s="137" t="str">
        <f t="shared" si="3"/>
        <v>C</v>
      </c>
      <c r="AB105" s="138" t="str">
        <f t="shared" si="4"/>
        <v>⚠ MISSING: Call Date, Modality, Budget, Timeline, Decision Maker</v>
      </c>
      <c r="AC105" s="135" t="s">
        <v>100</v>
      </c>
      <c r="AD105" s="132"/>
      <c r="AE105" s="134"/>
    </row>
    <row r="106" ht="18.0" customHeight="1">
      <c r="A106" s="118" t="str">
        <f t="shared" si="1"/>
        <v>AYA-101</v>
      </c>
      <c r="B106" s="109">
        <v>45869.0</v>
      </c>
      <c r="C106" s="119" t="s">
        <v>820</v>
      </c>
      <c r="D106" s="119" t="s">
        <v>821</v>
      </c>
      <c r="E106" s="120"/>
      <c r="F106" s="121" t="s">
        <v>822</v>
      </c>
      <c r="G106" s="112" t="s">
        <v>823</v>
      </c>
      <c r="H106" s="112"/>
      <c r="I106" s="112"/>
      <c r="J106" s="112" t="s">
        <v>161</v>
      </c>
      <c r="K106" s="112" t="s">
        <v>824</v>
      </c>
      <c r="L106" s="122" t="s">
        <v>148</v>
      </c>
      <c r="M106" s="123">
        <v>45869.0</v>
      </c>
      <c r="N106" s="114" t="s">
        <v>266</v>
      </c>
      <c r="O106" s="114" t="s">
        <v>267</v>
      </c>
      <c r="P106" s="114"/>
      <c r="Q106" s="114" t="s">
        <v>173</v>
      </c>
      <c r="R106" s="123"/>
      <c r="S106" s="114"/>
      <c r="T106" s="112"/>
      <c r="U106" s="114"/>
      <c r="V106" s="114"/>
      <c r="W106" s="114"/>
      <c r="X106" s="114" t="s">
        <v>58</v>
      </c>
      <c r="Y106" s="112" t="s">
        <v>825</v>
      </c>
      <c r="Z106" s="125">
        <f t="shared" si="2"/>
        <v>27</v>
      </c>
      <c r="AA106" s="126" t="str">
        <f t="shared" si="3"/>
        <v>C</v>
      </c>
      <c r="AB106" s="117" t="str">
        <f t="shared" si="4"/>
        <v>⚠ MISSING: Call Date, Modality, Budget, Timeline, Decision Maker</v>
      </c>
      <c r="AC106" s="114" t="s">
        <v>101</v>
      </c>
      <c r="AD106" s="112"/>
      <c r="AE106" s="123"/>
    </row>
    <row r="107" ht="18.0" customHeight="1">
      <c r="A107" s="127" t="str">
        <f t="shared" si="1"/>
        <v>AYA-102</v>
      </c>
      <c r="B107" s="128">
        <v>45870.0</v>
      </c>
      <c r="C107" s="129" t="s">
        <v>779</v>
      </c>
      <c r="D107" s="129" t="s">
        <v>780</v>
      </c>
      <c r="E107" s="130"/>
      <c r="F107" s="131" t="s">
        <v>781</v>
      </c>
      <c r="G107" s="132" t="s">
        <v>782</v>
      </c>
      <c r="H107" s="132"/>
      <c r="I107" s="132"/>
      <c r="J107" s="132" t="s">
        <v>67</v>
      </c>
      <c r="K107" s="132" t="s">
        <v>826</v>
      </c>
      <c r="L107" s="133" t="s">
        <v>149</v>
      </c>
      <c r="M107" s="134"/>
      <c r="N107" s="135"/>
      <c r="O107" s="135" t="s">
        <v>267</v>
      </c>
      <c r="P107" s="135" t="s">
        <v>827</v>
      </c>
      <c r="Q107" s="135" t="s">
        <v>173</v>
      </c>
      <c r="R107" s="134"/>
      <c r="S107" s="135"/>
      <c r="T107" s="132"/>
      <c r="U107" s="135"/>
      <c r="V107" s="135"/>
      <c r="W107" s="135"/>
      <c r="X107" s="135"/>
      <c r="Y107" s="132"/>
      <c r="Z107" s="136">
        <f t="shared" si="2"/>
        <v>37</v>
      </c>
      <c r="AA107" s="137" t="str">
        <f t="shared" si="3"/>
        <v>C</v>
      </c>
      <c r="AB107" s="138" t="str">
        <f t="shared" si="4"/>
        <v>⚠ MISSING: Call Date, Modality, Budget, Timeline, Decision Maker</v>
      </c>
      <c r="AC107" s="135" t="s">
        <v>100</v>
      </c>
      <c r="AD107" s="132"/>
      <c r="AE107" s="134"/>
    </row>
    <row r="108" ht="18.0" customHeight="1">
      <c r="A108" s="118" t="str">
        <f t="shared" si="1"/>
        <v>AYA-103</v>
      </c>
      <c r="B108" s="109">
        <v>45874.0</v>
      </c>
      <c r="C108" s="119" t="s">
        <v>828</v>
      </c>
      <c r="D108" s="119" t="s">
        <v>829</v>
      </c>
      <c r="E108" s="120"/>
      <c r="F108" s="121" t="s">
        <v>830</v>
      </c>
      <c r="G108" s="112" t="s">
        <v>831</v>
      </c>
      <c r="H108" s="112"/>
      <c r="I108" s="112"/>
      <c r="J108" s="112" t="s">
        <v>161</v>
      </c>
      <c r="K108" s="112" t="s">
        <v>832</v>
      </c>
      <c r="L108" s="122" t="s">
        <v>67</v>
      </c>
      <c r="M108" s="123"/>
      <c r="N108" s="114"/>
      <c r="O108" s="114" t="s">
        <v>267</v>
      </c>
      <c r="P108" s="114" t="s">
        <v>375</v>
      </c>
      <c r="Q108" s="114" t="s">
        <v>173</v>
      </c>
      <c r="R108" s="123"/>
      <c r="S108" s="114"/>
      <c r="T108" s="112"/>
      <c r="U108" s="114"/>
      <c r="V108" s="114"/>
      <c r="W108" s="114"/>
      <c r="X108" s="114"/>
      <c r="Y108" s="112"/>
      <c r="Z108" s="125">
        <f t="shared" si="2"/>
        <v>37</v>
      </c>
      <c r="AA108" s="126" t="str">
        <f t="shared" si="3"/>
        <v>C</v>
      </c>
      <c r="AB108" s="117" t="str">
        <f t="shared" si="4"/>
        <v>⚠ MISSING: Call Date, Modality, Budget, Timeline, Decision Maker</v>
      </c>
      <c r="AC108" s="114" t="s">
        <v>100</v>
      </c>
      <c r="AD108" s="112"/>
      <c r="AE108" s="123"/>
    </row>
    <row r="109" ht="18.0" customHeight="1">
      <c r="A109" s="127" t="str">
        <f t="shared" si="1"/>
        <v>AYA-104</v>
      </c>
      <c r="B109" s="128">
        <v>45876.0</v>
      </c>
      <c r="C109" s="129" t="s">
        <v>833</v>
      </c>
      <c r="D109" s="129" t="s">
        <v>834</v>
      </c>
      <c r="E109" s="130"/>
      <c r="F109" s="131" t="s">
        <v>835</v>
      </c>
      <c r="G109" s="132" t="s">
        <v>836</v>
      </c>
      <c r="H109" s="132"/>
      <c r="I109" s="132"/>
      <c r="J109" s="132" t="s">
        <v>161</v>
      </c>
      <c r="K109" s="132" t="s">
        <v>837</v>
      </c>
      <c r="L109" s="133" t="s">
        <v>148</v>
      </c>
      <c r="M109" s="134">
        <v>45876.0</v>
      </c>
      <c r="N109" s="135" t="s">
        <v>266</v>
      </c>
      <c r="O109" s="135" t="s">
        <v>267</v>
      </c>
      <c r="P109" s="135" t="s">
        <v>428</v>
      </c>
      <c r="Q109" s="135" t="s">
        <v>173</v>
      </c>
      <c r="R109" s="134"/>
      <c r="S109" s="135"/>
      <c r="T109" s="132"/>
      <c r="U109" s="135"/>
      <c r="V109" s="135"/>
      <c r="W109" s="135"/>
      <c r="X109" s="135" t="s">
        <v>59</v>
      </c>
      <c r="Y109" s="132" t="s">
        <v>838</v>
      </c>
      <c r="Z109" s="136">
        <f t="shared" si="2"/>
        <v>37</v>
      </c>
      <c r="AA109" s="137" t="str">
        <f t="shared" si="3"/>
        <v>C</v>
      </c>
      <c r="AB109" s="138" t="str">
        <f t="shared" si="4"/>
        <v>⚠ MISSING: Call Date, Modality, Budget, Timeline, Decision Maker</v>
      </c>
      <c r="AC109" s="135" t="s">
        <v>101</v>
      </c>
      <c r="AD109" s="132"/>
      <c r="AE109" s="134"/>
    </row>
    <row r="110" ht="18.0" customHeight="1">
      <c r="A110" s="118" t="str">
        <f t="shared" si="1"/>
        <v>AYA-105</v>
      </c>
      <c r="B110" s="109">
        <v>45877.0</v>
      </c>
      <c r="C110" s="119" t="s">
        <v>839</v>
      </c>
      <c r="D110" s="119" t="s">
        <v>840</v>
      </c>
      <c r="E110" s="120"/>
      <c r="F110" s="121" t="s">
        <v>841</v>
      </c>
      <c r="G110" s="112" t="s">
        <v>842</v>
      </c>
      <c r="H110" s="112"/>
      <c r="I110" s="112"/>
      <c r="J110" s="112" t="s">
        <v>159</v>
      </c>
      <c r="K110" s="112" t="s">
        <v>843</v>
      </c>
      <c r="L110" s="122" t="s">
        <v>148</v>
      </c>
      <c r="M110" s="123">
        <v>45877.0</v>
      </c>
      <c r="N110" s="114" t="s">
        <v>342</v>
      </c>
      <c r="O110" s="114" t="s">
        <v>267</v>
      </c>
      <c r="P110" s="114" t="s">
        <v>281</v>
      </c>
      <c r="Q110" s="114" t="s">
        <v>173</v>
      </c>
      <c r="R110" s="123"/>
      <c r="S110" s="114"/>
      <c r="T110" s="112"/>
      <c r="U110" s="114"/>
      <c r="V110" s="114"/>
      <c r="W110" s="114"/>
      <c r="X110" s="114" t="s">
        <v>66</v>
      </c>
      <c r="Y110" s="112" t="s">
        <v>844</v>
      </c>
      <c r="Z110" s="125">
        <f t="shared" si="2"/>
        <v>37</v>
      </c>
      <c r="AA110" s="126" t="str">
        <f t="shared" si="3"/>
        <v>C</v>
      </c>
      <c r="AB110" s="117" t="str">
        <f t="shared" si="4"/>
        <v>⚠ MISSING: Call Date, Modality, Budget, Timeline, Decision Maker</v>
      </c>
      <c r="AC110" s="114" t="s">
        <v>344</v>
      </c>
      <c r="AD110" s="112" t="s">
        <v>190</v>
      </c>
      <c r="AE110" s="123"/>
    </row>
    <row r="111" ht="18.0" customHeight="1">
      <c r="A111" s="127" t="str">
        <f t="shared" si="1"/>
        <v>AYA-106</v>
      </c>
      <c r="B111" s="128">
        <v>45880.0</v>
      </c>
      <c r="C111" s="129" t="s">
        <v>845</v>
      </c>
      <c r="D111" s="129" t="s">
        <v>846</v>
      </c>
      <c r="E111" s="130"/>
      <c r="F111" s="131" t="s">
        <v>847</v>
      </c>
      <c r="G111" s="132" t="s">
        <v>848</v>
      </c>
      <c r="H111" s="132" t="s">
        <v>849</v>
      </c>
      <c r="I111" s="132"/>
      <c r="J111" s="132" t="s">
        <v>167</v>
      </c>
      <c r="K111" s="132" t="s">
        <v>850</v>
      </c>
      <c r="L111" s="133" t="s">
        <v>148</v>
      </c>
      <c r="M111" s="134">
        <v>45880.0</v>
      </c>
      <c r="N111" s="135" t="s">
        <v>266</v>
      </c>
      <c r="O111" s="135" t="s">
        <v>297</v>
      </c>
      <c r="P111" s="135" t="s">
        <v>281</v>
      </c>
      <c r="Q111" s="135" t="s">
        <v>173</v>
      </c>
      <c r="R111" s="134"/>
      <c r="S111" s="135"/>
      <c r="T111" s="132"/>
      <c r="U111" s="135"/>
      <c r="V111" s="135"/>
      <c r="W111" s="135"/>
      <c r="X111" s="135" t="s">
        <v>67</v>
      </c>
      <c r="Y111" s="132" t="s">
        <v>851</v>
      </c>
      <c r="Z111" s="136">
        <f t="shared" si="2"/>
        <v>37</v>
      </c>
      <c r="AA111" s="137" t="str">
        <f t="shared" si="3"/>
        <v>C</v>
      </c>
      <c r="AB111" s="138" t="str">
        <f t="shared" si="4"/>
        <v>⚠ MISSING: Call Date, Modality, Budget, Timeline, Decision Maker</v>
      </c>
      <c r="AC111" s="135" t="s">
        <v>103</v>
      </c>
      <c r="AD111" s="132"/>
      <c r="AE111" s="134"/>
    </row>
    <row r="112" ht="18.0" customHeight="1">
      <c r="A112" s="118" t="str">
        <f t="shared" si="1"/>
        <v>AYA-107</v>
      </c>
      <c r="B112" s="109">
        <v>45880.0</v>
      </c>
      <c r="C112" s="119" t="s">
        <v>852</v>
      </c>
      <c r="D112" s="119" t="s">
        <v>853</v>
      </c>
      <c r="E112" s="120"/>
      <c r="F112" s="121" t="s">
        <v>854</v>
      </c>
      <c r="G112" s="112" t="s">
        <v>855</v>
      </c>
      <c r="H112" s="112" t="s">
        <v>856</v>
      </c>
      <c r="I112" s="112"/>
      <c r="J112" s="112" t="s">
        <v>161</v>
      </c>
      <c r="K112" s="112" t="s">
        <v>857</v>
      </c>
      <c r="L112" s="122" t="s">
        <v>148</v>
      </c>
      <c r="M112" s="123">
        <v>45880.0</v>
      </c>
      <c r="N112" s="114" t="s">
        <v>266</v>
      </c>
      <c r="O112" s="114" t="s">
        <v>267</v>
      </c>
      <c r="P112" s="114" t="s">
        <v>281</v>
      </c>
      <c r="Q112" s="114" t="s">
        <v>173</v>
      </c>
      <c r="R112" s="123"/>
      <c r="S112" s="114"/>
      <c r="T112" s="112"/>
      <c r="U112" s="114"/>
      <c r="V112" s="114"/>
      <c r="W112" s="114"/>
      <c r="X112" s="114" t="s">
        <v>58</v>
      </c>
      <c r="Y112" s="112" t="s">
        <v>858</v>
      </c>
      <c r="Z112" s="125">
        <f t="shared" si="2"/>
        <v>37</v>
      </c>
      <c r="AA112" s="126" t="str">
        <f t="shared" si="3"/>
        <v>C</v>
      </c>
      <c r="AB112" s="117" t="str">
        <f t="shared" si="4"/>
        <v>⚠ MISSING: Call Date, Modality, Budget, Timeline, Decision Maker</v>
      </c>
      <c r="AC112" s="114" t="s">
        <v>103</v>
      </c>
      <c r="AD112" s="112"/>
      <c r="AE112" s="123"/>
    </row>
    <row r="113" ht="18.0" customHeight="1">
      <c r="A113" s="127" t="str">
        <f t="shared" si="1"/>
        <v>AYA-108</v>
      </c>
      <c r="B113" s="128">
        <v>45883.0</v>
      </c>
      <c r="C113" s="129" t="s">
        <v>859</v>
      </c>
      <c r="D113" s="129" t="s">
        <v>860</v>
      </c>
      <c r="E113" s="130"/>
      <c r="F113" s="131" t="s">
        <v>861</v>
      </c>
      <c r="G113" s="132" t="s">
        <v>714</v>
      </c>
      <c r="H113" s="132"/>
      <c r="I113" s="132"/>
      <c r="J113" s="132" t="s">
        <v>163</v>
      </c>
      <c r="K113" s="132" t="s">
        <v>862</v>
      </c>
      <c r="L113" s="133" t="s">
        <v>148</v>
      </c>
      <c r="M113" s="134">
        <v>45883.0</v>
      </c>
      <c r="N113" s="135" t="s">
        <v>266</v>
      </c>
      <c r="O113" s="135" t="s">
        <v>267</v>
      </c>
      <c r="P113" s="135" t="s">
        <v>303</v>
      </c>
      <c r="Q113" s="135" t="s">
        <v>173</v>
      </c>
      <c r="R113" s="134"/>
      <c r="S113" s="135"/>
      <c r="T113" s="132"/>
      <c r="U113" s="135"/>
      <c r="V113" s="135"/>
      <c r="W113" s="135"/>
      <c r="X113" s="135" t="s">
        <v>59</v>
      </c>
      <c r="Y113" s="132" t="s">
        <v>863</v>
      </c>
      <c r="Z113" s="136">
        <f t="shared" si="2"/>
        <v>37</v>
      </c>
      <c r="AA113" s="137" t="str">
        <f t="shared" si="3"/>
        <v>C</v>
      </c>
      <c r="AB113" s="138" t="str">
        <f t="shared" si="4"/>
        <v>⚠ MISSING: Call Date, Modality, Budget, Timeline, Decision Maker</v>
      </c>
      <c r="AC113" s="135" t="s">
        <v>103</v>
      </c>
      <c r="AD113" s="132"/>
      <c r="AE113" s="134"/>
    </row>
    <row r="114" ht="18.0" customHeight="1">
      <c r="A114" s="118" t="str">
        <f t="shared" si="1"/>
        <v>AYA-109</v>
      </c>
      <c r="B114" s="109">
        <v>45886.0</v>
      </c>
      <c r="C114" s="119" t="s">
        <v>298</v>
      </c>
      <c r="D114" s="119" t="s">
        <v>864</v>
      </c>
      <c r="E114" s="120"/>
      <c r="F114" s="121" t="s">
        <v>865</v>
      </c>
      <c r="G114" s="112" t="s">
        <v>866</v>
      </c>
      <c r="H114" s="112" t="s">
        <v>596</v>
      </c>
      <c r="I114" s="112"/>
      <c r="J114" s="112" t="s">
        <v>161</v>
      </c>
      <c r="K114" s="112" t="s">
        <v>867</v>
      </c>
      <c r="L114" s="122" t="s">
        <v>148</v>
      </c>
      <c r="M114" s="123">
        <v>45886.0</v>
      </c>
      <c r="N114" s="114" t="s">
        <v>266</v>
      </c>
      <c r="O114" s="114" t="s">
        <v>267</v>
      </c>
      <c r="P114" s="114" t="s">
        <v>360</v>
      </c>
      <c r="Q114" s="114" t="s">
        <v>173</v>
      </c>
      <c r="R114" s="123"/>
      <c r="S114" s="114"/>
      <c r="T114" s="112"/>
      <c r="U114" s="114"/>
      <c r="V114" s="114"/>
      <c r="W114" s="114"/>
      <c r="X114" s="114" t="s">
        <v>66</v>
      </c>
      <c r="Y114" s="112" t="s">
        <v>868</v>
      </c>
      <c r="Z114" s="125">
        <f t="shared" si="2"/>
        <v>45</v>
      </c>
      <c r="AA114" s="126" t="str">
        <f t="shared" si="3"/>
        <v>C</v>
      </c>
      <c r="AB114" s="117" t="str">
        <f t="shared" si="4"/>
        <v>⚠ MISSING: Call Date, Modality, Budget, Timeline, Decision Maker</v>
      </c>
      <c r="AC114" s="114" t="s">
        <v>103</v>
      </c>
      <c r="AD114" s="112"/>
      <c r="AE114" s="123"/>
    </row>
    <row r="115" ht="18.0" customHeight="1">
      <c r="A115" s="127" t="str">
        <f t="shared" si="1"/>
        <v>AYA-110</v>
      </c>
      <c r="B115" s="128">
        <v>45886.0</v>
      </c>
      <c r="C115" s="129" t="s">
        <v>779</v>
      </c>
      <c r="D115" s="129" t="s">
        <v>869</v>
      </c>
      <c r="E115" s="130"/>
      <c r="F115" s="131" t="s">
        <v>870</v>
      </c>
      <c r="G115" s="132" t="s">
        <v>871</v>
      </c>
      <c r="H115" s="132"/>
      <c r="I115" s="132"/>
      <c r="J115" s="132" t="s">
        <v>161</v>
      </c>
      <c r="K115" s="132" t="s">
        <v>872</v>
      </c>
      <c r="L115" s="133" t="s">
        <v>148</v>
      </c>
      <c r="M115" s="134">
        <v>45886.0</v>
      </c>
      <c r="N115" s="135" t="s">
        <v>266</v>
      </c>
      <c r="O115" s="135" t="s">
        <v>267</v>
      </c>
      <c r="P115" s="135"/>
      <c r="Q115" s="135" t="s">
        <v>173</v>
      </c>
      <c r="R115" s="134"/>
      <c r="S115" s="135"/>
      <c r="T115" s="132"/>
      <c r="U115" s="135"/>
      <c r="V115" s="135"/>
      <c r="W115" s="135"/>
      <c r="X115" s="135" t="s">
        <v>59</v>
      </c>
      <c r="Y115" s="132" t="s">
        <v>873</v>
      </c>
      <c r="Z115" s="136">
        <f t="shared" si="2"/>
        <v>27</v>
      </c>
      <c r="AA115" s="137" t="str">
        <f t="shared" si="3"/>
        <v>C</v>
      </c>
      <c r="AB115" s="138" t="str">
        <f t="shared" si="4"/>
        <v>⚠ MISSING: Call Date, Modality, Budget, Timeline, Decision Maker</v>
      </c>
      <c r="AC115" s="135" t="s">
        <v>103</v>
      </c>
      <c r="AD115" s="132"/>
      <c r="AE115" s="134"/>
    </row>
    <row r="116" ht="18.0" customHeight="1">
      <c r="A116" s="118" t="str">
        <f t="shared" si="1"/>
        <v>AYA-111</v>
      </c>
      <c r="B116" s="109">
        <v>45891.0</v>
      </c>
      <c r="C116" s="119" t="s">
        <v>874</v>
      </c>
      <c r="D116" s="119" t="s">
        <v>875</v>
      </c>
      <c r="E116" s="120"/>
      <c r="F116" s="121" t="s">
        <v>876</v>
      </c>
      <c r="G116" s="112" t="s">
        <v>877</v>
      </c>
      <c r="H116" s="112"/>
      <c r="I116" s="112"/>
      <c r="J116" s="112" t="s">
        <v>161</v>
      </c>
      <c r="K116" s="112" t="s">
        <v>878</v>
      </c>
      <c r="L116" s="122" t="s">
        <v>148</v>
      </c>
      <c r="M116" s="123">
        <v>45891.0</v>
      </c>
      <c r="N116" s="114" t="s">
        <v>266</v>
      </c>
      <c r="O116" s="114" t="s">
        <v>267</v>
      </c>
      <c r="P116" s="114"/>
      <c r="Q116" s="114" t="s">
        <v>173</v>
      </c>
      <c r="R116" s="123"/>
      <c r="S116" s="114"/>
      <c r="T116" s="112"/>
      <c r="U116" s="114"/>
      <c r="V116" s="114"/>
      <c r="W116" s="114"/>
      <c r="X116" s="114" t="s">
        <v>58</v>
      </c>
      <c r="Y116" s="112" t="s">
        <v>879</v>
      </c>
      <c r="Z116" s="125">
        <f t="shared" si="2"/>
        <v>27</v>
      </c>
      <c r="AA116" s="126" t="str">
        <f t="shared" si="3"/>
        <v>C</v>
      </c>
      <c r="AB116" s="117" t="str">
        <f t="shared" si="4"/>
        <v>⚠ MISSING: Call Date, Modality, Budget, Timeline, Decision Maker</v>
      </c>
      <c r="AC116" s="114" t="s">
        <v>101</v>
      </c>
      <c r="AD116" s="112"/>
      <c r="AE116" s="123"/>
    </row>
    <row r="117" ht="18.0" customHeight="1">
      <c r="A117" s="127" t="str">
        <f t="shared" si="1"/>
        <v>AYA-112</v>
      </c>
      <c r="B117" s="128">
        <v>45892.0</v>
      </c>
      <c r="C117" s="129" t="s">
        <v>880</v>
      </c>
      <c r="D117" s="129" t="s">
        <v>881</v>
      </c>
      <c r="E117" s="130"/>
      <c r="F117" s="131" t="s">
        <v>882</v>
      </c>
      <c r="G117" s="132" t="s">
        <v>883</v>
      </c>
      <c r="H117" s="132"/>
      <c r="I117" s="132"/>
      <c r="J117" s="132" t="s">
        <v>161</v>
      </c>
      <c r="K117" s="132" t="s">
        <v>884</v>
      </c>
      <c r="L117" s="133" t="s">
        <v>148</v>
      </c>
      <c r="M117" s="134">
        <v>45892.0</v>
      </c>
      <c r="N117" s="135" t="s">
        <v>342</v>
      </c>
      <c r="O117" s="135" t="s">
        <v>267</v>
      </c>
      <c r="P117" s="135" t="s">
        <v>452</v>
      </c>
      <c r="Q117" s="135" t="s">
        <v>173</v>
      </c>
      <c r="R117" s="134"/>
      <c r="S117" s="135"/>
      <c r="T117" s="132"/>
      <c r="U117" s="135"/>
      <c r="V117" s="135"/>
      <c r="W117" s="135"/>
      <c r="X117" s="135" t="s">
        <v>59</v>
      </c>
      <c r="Y117" s="132" t="s">
        <v>885</v>
      </c>
      <c r="Z117" s="136">
        <f t="shared" si="2"/>
        <v>37</v>
      </c>
      <c r="AA117" s="137" t="str">
        <f t="shared" si="3"/>
        <v>C</v>
      </c>
      <c r="AB117" s="138" t="str">
        <f t="shared" si="4"/>
        <v>⚠ MISSING: Call Date, Modality, Budget, Timeline, Decision Maker</v>
      </c>
      <c r="AC117" s="135" t="s">
        <v>344</v>
      </c>
      <c r="AD117" s="132" t="s">
        <v>190</v>
      </c>
      <c r="AE117" s="134"/>
    </row>
    <row r="118" ht="18.0" customHeight="1">
      <c r="A118" s="118" t="str">
        <f t="shared" si="1"/>
        <v>AYA-113</v>
      </c>
      <c r="B118" s="109">
        <v>45893.0</v>
      </c>
      <c r="C118" s="119" t="s">
        <v>886</v>
      </c>
      <c r="D118" s="119" t="s">
        <v>887</v>
      </c>
      <c r="E118" s="120"/>
      <c r="F118" s="121" t="s">
        <v>888</v>
      </c>
      <c r="G118" s="112" t="s">
        <v>889</v>
      </c>
      <c r="H118" s="112"/>
      <c r="I118" s="112"/>
      <c r="J118" s="112" t="s">
        <v>161</v>
      </c>
      <c r="K118" s="112" t="s">
        <v>890</v>
      </c>
      <c r="L118" s="122" t="s">
        <v>148</v>
      </c>
      <c r="M118" s="123">
        <v>45893.0</v>
      </c>
      <c r="N118" s="114" t="s">
        <v>266</v>
      </c>
      <c r="O118" s="114" t="s">
        <v>267</v>
      </c>
      <c r="P118" s="114" t="s">
        <v>428</v>
      </c>
      <c r="Q118" s="114" t="s">
        <v>173</v>
      </c>
      <c r="R118" s="123"/>
      <c r="S118" s="114"/>
      <c r="T118" s="112"/>
      <c r="U118" s="114"/>
      <c r="V118" s="114"/>
      <c r="W118" s="114"/>
      <c r="X118" s="114" t="s">
        <v>59</v>
      </c>
      <c r="Y118" s="112" t="s">
        <v>891</v>
      </c>
      <c r="Z118" s="125">
        <f t="shared" si="2"/>
        <v>37</v>
      </c>
      <c r="AA118" s="126" t="str">
        <f t="shared" si="3"/>
        <v>C</v>
      </c>
      <c r="AB118" s="117" t="str">
        <f t="shared" si="4"/>
        <v>⚠ MISSING: Call Date, Modality, Budget, Timeline, Decision Maker</v>
      </c>
      <c r="AC118" s="114" t="s">
        <v>101</v>
      </c>
      <c r="AD118" s="112"/>
      <c r="AE118" s="123"/>
    </row>
    <row r="119" ht="18.0" customHeight="1">
      <c r="A119" s="127" t="str">
        <f t="shared" si="1"/>
        <v>AYA-114</v>
      </c>
      <c r="B119" s="128">
        <v>45895.0</v>
      </c>
      <c r="C119" s="129" t="s">
        <v>892</v>
      </c>
      <c r="D119" s="129" t="s">
        <v>893</v>
      </c>
      <c r="E119" s="130"/>
      <c r="F119" s="131" t="s">
        <v>894</v>
      </c>
      <c r="G119" s="132" t="s">
        <v>895</v>
      </c>
      <c r="H119" s="132"/>
      <c r="I119" s="132"/>
      <c r="J119" s="132" t="s">
        <v>167</v>
      </c>
      <c r="K119" s="132" t="s">
        <v>896</v>
      </c>
      <c r="L119" s="133" t="s">
        <v>148</v>
      </c>
      <c r="M119" s="134">
        <v>45895.0</v>
      </c>
      <c r="N119" s="135" t="s">
        <v>342</v>
      </c>
      <c r="O119" s="135" t="s">
        <v>267</v>
      </c>
      <c r="P119" s="135" t="s">
        <v>375</v>
      </c>
      <c r="Q119" s="135" t="s">
        <v>173</v>
      </c>
      <c r="R119" s="134"/>
      <c r="S119" s="135"/>
      <c r="T119" s="132"/>
      <c r="U119" s="135"/>
      <c r="V119" s="135"/>
      <c r="W119" s="135"/>
      <c r="X119" s="135" t="s">
        <v>66</v>
      </c>
      <c r="Y119" s="132" t="s">
        <v>897</v>
      </c>
      <c r="Z119" s="136">
        <f t="shared" si="2"/>
        <v>37</v>
      </c>
      <c r="AA119" s="137" t="str">
        <f t="shared" si="3"/>
        <v>C</v>
      </c>
      <c r="AB119" s="138" t="str">
        <f t="shared" si="4"/>
        <v>⚠ MISSING: Call Date, Modality, Budget, Timeline, Decision Maker</v>
      </c>
      <c r="AC119" s="135" t="s">
        <v>344</v>
      </c>
      <c r="AD119" s="132" t="s">
        <v>190</v>
      </c>
      <c r="AE119" s="134"/>
    </row>
    <row r="120" ht="18.0" customHeight="1">
      <c r="A120" s="118" t="str">
        <f t="shared" si="1"/>
        <v>AYA-115</v>
      </c>
      <c r="B120" s="109">
        <v>45896.0</v>
      </c>
      <c r="C120" s="119" t="s">
        <v>898</v>
      </c>
      <c r="D120" s="119" t="s">
        <v>899</v>
      </c>
      <c r="E120" s="120"/>
      <c r="F120" s="121" t="s">
        <v>900</v>
      </c>
      <c r="G120" s="112" t="s">
        <v>901</v>
      </c>
      <c r="H120" s="112"/>
      <c r="I120" s="112"/>
      <c r="J120" s="112" t="s">
        <v>67</v>
      </c>
      <c r="K120" s="112" t="s">
        <v>902</v>
      </c>
      <c r="L120" s="122" t="s">
        <v>148</v>
      </c>
      <c r="M120" s="123">
        <v>45896.0</v>
      </c>
      <c r="N120" s="114" t="s">
        <v>342</v>
      </c>
      <c r="O120" s="114" t="s">
        <v>267</v>
      </c>
      <c r="P120" s="114" t="s">
        <v>281</v>
      </c>
      <c r="Q120" s="114" t="s">
        <v>173</v>
      </c>
      <c r="R120" s="123"/>
      <c r="S120" s="114"/>
      <c r="T120" s="112"/>
      <c r="U120" s="114"/>
      <c r="V120" s="114"/>
      <c r="W120" s="114"/>
      <c r="X120" s="114" t="s">
        <v>59</v>
      </c>
      <c r="Y120" s="112" t="s">
        <v>903</v>
      </c>
      <c r="Z120" s="125">
        <f t="shared" si="2"/>
        <v>37</v>
      </c>
      <c r="AA120" s="126" t="str">
        <f t="shared" si="3"/>
        <v>C</v>
      </c>
      <c r="AB120" s="117" t="str">
        <f t="shared" si="4"/>
        <v>⚠ MISSING: Call Date, Modality, Budget, Timeline, Decision Maker</v>
      </c>
      <c r="AC120" s="114" t="s">
        <v>344</v>
      </c>
      <c r="AD120" s="112" t="s">
        <v>190</v>
      </c>
      <c r="AE120" s="123"/>
    </row>
    <row r="121" ht="18.0" customHeight="1">
      <c r="A121" s="127" t="str">
        <f t="shared" si="1"/>
        <v>AYA-116</v>
      </c>
      <c r="B121" s="128">
        <v>45900.0</v>
      </c>
      <c r="C121" s="129" t="s">
        <v>904</v>
      </c>
      <c r="D121" s="129" t="s">
        <v>905</v>
      </c>
      <c r="E121" s="130"/>
      <c r="F121" s="131" t="s">
        <v>906</v>
      </c>
      <c r="G121" s="132" t="s">
        <v>433</v>
      </c>
      <c r="H121" s="132" t="s">
        <v>907</v>
      </c>
      <c r="I121" s="132"/>
      <c r="J121" s="132" t="s">
        <v>167</v>
      </c>
      <c r="K121" s="132" t="s">
        <v>908</v>
      </c>
      <c r="L121" s="133" t="s">
        <v>148</v>
      </c>
      <c r="M121" s="134">
        <v>45900.0</v>
      </c>
      <c r="N121" s="135" t="s">
        <v>342</v>
      </c>
      <c r="O121" s="135" t="s">
        <v>267</v>
      </c>
      <c r="P121" s="135" t="s">
        <v>281</v>
      </c>
      <c r="Q121" s="135" t="s">
        <v>173</v>
      </c>
      <c r="R121" s="134"/>
      <c r="S121" s="135"/>
      <c r="T121" s="132"/>
      <c r="U121" s="135"/>
      <c r="V121" s="135"/>
      <c r="W121" s="135"/>
      <c r="X121" s="135" t="s">
        <v>66</v>
      </c>
      <c r="Y121" s="132" t="s">
        <v>909</v>
      </c>
      <c r="Z121" s="136">
        <f t="shared" si="2"/>
        <v>37</v>
      </c>
      <c r="AA121" s="137" t="str">
        <f t="shared" si="3"/>
        <v>C</v>
      </c>
      <c r="AB121" s="138" t="str">
        <f t="shared" si="4"/>
        <v>⚠ MISSING: Call Date, Modality, Budget, Timeline, Decision Maker</v>
      </c>
      <c r="AC121" s="135" t="s">
        <v>344</v>
      </c>
      <c r="AD121" s="132" t="s">
        <v>190</v>
      </c>
      <c r="AE121" s="134"/>
    </row>
    <row r="122" ht="18.0" customHeight="1">
      <c r="A122" s="118" t="str">
        <f t="shared" si="1"/>
        <v>AYA-117</v>
      </c>
      <c r="B122" s="109">
        <v>45902.0</v>
      </c>
      <c r="C122" s="119" t="s">
        <v>910</v>
      </c>
      <c r="D122" s="119" t="s">
        <v>911</v>
      </c>
      <c r="E122" s="120"/>
      <c r="F122" s="121" t="s">
        <v>912</v>
      </c>
      <c r="G122" s="112" t="s">
        <v>913</v>
      </c>
      <c r="H122" s="112" t="s">
        <v>133</v>
      </c>
      <c r="I122" s="112"/>
      <c r="J122" s="112" t="s">
        <v>163</v>
      </c>
      <c r="K122" s="112" t="s">
        <v>914</v>
      </c>
      <c r="L122" s="122" t="s">
        <v>152</v>
      </c>
      <c r="M122" s="123">
        <v>45902.0</v>
      </c>
      <c r="N122" s="114" t="s">
        <v>266</v>
      </c>
      <c r="O122" s="114" t="s">
        <v>297</v>
      </c>
      <c r="P122" s="114" t="s">
        <v>827</v>
      </c>
      <c r="Q122" s="114" t="s">
        <v>173</v>
      </c>
      <c r="R122" s="123"/>
      <c r="S122" s="114"/>
      <c r="T122" s="112"/>
      <c r="U122" s="114"/>
      <c r="V122" s="114"/>
      <c r="W122" s="114"/>
      <c r="X122" s="114"/>
      <c r="Y122" s="112" t="s">
        <v>915</v>
      </c>
      <c r="Z122" s="125">
        <f t="shared" si="2"/>
        <v>37</v>
      </c>
      <c r="AA122" s="126" t="str">
        <f t="shared" si="3"/>
        <v>C</v>
      </c>
      <c r="AB122" s="117" t="str">
        <f t="shared" si="4"/>
        <v>⚠ MISSING: Call Date, Modality, Budget, Timeline, Decision Maker</v>
      </c>
      <c r="AC122" s="114" t="s">
        <v>103</v>
      </c>
      <c r="AD122" s="112"/>
      <c r="AE122" s="123"/>
    </row>
    <row r="123" ht="18.0" customHeight="1">
      <c r="A123" s="127" t="str">
        <f t="shared" si="1"/>
        <v>AYA-118</v>
      </c>
      <c r="B123" s="128">
        <v>45903.0</v>
      </c>
      <c r="C123" s="129" t="s">
        <v>916</v>
      </c>
      <c r="D123" s="129" t="s">
        <v>917</v>
      </c>
      <c r="E123" s="130"/>
      <c r="F123" s="131" t="s">
        <v>918</v>
      </c>
      <c r="G123" s="132" t="s">
        <v>919</v>
      </c>
      <c r="H123" s="132" t="s">
        <v>920</v>
      </c>
      <c r="I123" s="132"/>
      <c r="J123" s="132" t="s">
        <v>163</v>
      </c>
      <c r="K123" s="132" t="s">
        <v>921</v>
      </c>
      <c r="L123" s="133" t="s">
        <v>148</v>
      </c>
      <c r="M123" s="134">
        <v>45903.0</v>
      </c>
      <c r="N123" s="135" t="s">
        <v>266</v>
      </c>
      <c r="O123" s="135" t="s">
        <v>267</v>
      </c>
      <c r="P123" s="135" t="s">
        <v>375</v>
      </c>
      <c r="Q123" s="135" t="s">
        <v>173</v>
      </c>
      <c r="R123" s="134"/>
      <c r="S123" s="135"/>
      <c r="T123" s="132"/>
      <c r="U123" s="135"/>
      <c r="V123" s="135"/>
      <c r="W123" s="135"/>
      <c r="X123" s="135" t="s">
        <v>58</v>
      </c>
      <c r="Y123" s="132" t="s">
        <v>922</v>
      </c>
      <c r="Z123" s="136">
        <f t="shared" si="2"/>
        <v>37</v>
      </c>
      <c r="AA123" s="137" t="str">
        <f t="shared" si="3"/>
        <v>C</v>
      </c>
      <c r="AB123" s="138" t="str">
        <f t="shared" si="4"/>
        <v>⚠ MISSING: Call Date, Modality, Budget, Timeline, Decision Maker</v>
      </c>
      <c r="AC123" s="135" t="s">
        <v>103</v>
      </c>
      <c r="AD123" s="132"/>
      <c r="AE123" s="134"/>
    </row>
    <row r="124" ht="18.0" customHeight="1">
      <c r="A124" s="118" t="str">
        <f t="shared" si="1"/>
        <v>AYA-119</v>
      </c>
      <c r="B124" s="109">
        <v>45908.0</v>
      </c>
      <c r="C124" s="119" t="s">
        <v>923</v>
      </c>
      <c r="D124" s="119" t="s">
        <v>612</v>
      </c>
      <c r="E124" s="120"/>
      <c r="F124" s="121" t="s">
        <v>924</v>
      </c>
      <c r="G124" s="112" t="s">
        <v>925</v>
      </c>
      <c r="H124" s="112"/>
      <c r="I124" s="112"/>
      <c r="J124" s="112" t="s">
        <v>161</v>
      </c>
      <c r="K124" s="112" t="s">
        <v>926</v>
      </c>
      <c r="L124" s="122" t="s">
        <v>148</v>
      </c>
      <c r="M124" s="123"/>
      <c r="N124" s="114"/>
      <c r="O124" s="114" t="s">
        <v>267</v>
      </c>
      <c r="P124" s="114" t="s">
        <v>281</v>
      </c>
      <c r="Q124" s="114" t="s">
        <v>173</v>
      </c>
      <c r="R124" s="123"/>
      <c r="S124" s="114"/>
      <c r="T124" s="112"/>
      <c r="U124" s="114"/>
      <c r="V124" s="114"/>
      <c r="W124" s="114"/>
      <c r="X124" s="114" t="s">
        <v>59</v>
      </c>
      <c r="Y124" s="112"/>
      <c r="Z124" s="125">
        <f t="shared" si="2"/>
        <v>37</v>
      </c>
      <c r="AA124" s="126" t="str">
        <f t="shared" si="3"/>
        <v>C</v>
      </c>
      <c r="AB124" s="117" t="str">
        <f t="shared" si="4"/>
        <v>⚠ MISSING: Call Date, Modality, Budget, Timeline, Decision Maker</v>
      </c>
      <c r="AC124" s="114" t="s">
        <v>100</v>
      </c>
      <c r="AD124" s="112"/>
      <c r="AE124" s="123"/>
    </row>
    <row r="125" ht="18.0" customHeight="1">
      <c r="A125" s="127" t="str">
        <f t="shared" si="1"/>
        <v>AYA-120</v>
      </c>
      <c r="B125" s="128">
        <v>45908.0</v>
      </c>
      <c r="C125" s="129" t="s">
        <v>927</v>
      </c>
      <c r="D125" s="129" t="s">
        <v>928</v>
      </c>
      <c r="E125" s="130"/>
      <c r="F125" s="131" t="s">
        <v>929</v>
      </c>
      <c r="G125" s="132" t="s">
        <v>930</v>
      </c>
      <c r="H125" s="132"/>
      <c r="I125" s="132"/>
      <c r="J125" s="132" t="s">
        <v>161</v>
      </c>
      <c r="K125" s="132" t="s">
        <v>931</v>
      </c>
      <c r="L125" s="133" t="s">
        <v>148</v>
      </c>
      <c r="M125" s="134"/>
      <c r="N125" s="135"/>
      <c r="O125" s="135" t="s">
        <v>267</v>
      </c>
      <c r="P125" s="135" t="s">
        <v>281</v>
      </c>
      <c r="Q125" s="135" t="s">
        <v>173</v>
      </c>
      <c r="R125" s="134"/>
      <c r="S125" s="135"/>
      <c r="T125" s="132"/>
      <c r="U125" s="135"/>
      <c r="V125" s="135"/>
      <c r="W125" s="135"/>
      <c r="X125" s="135" t="s">
        <v>59</v>
      </c>
      <c r="Y125" s="132"/>
      <c r="Z125" s="136">
        <f t="shared" si="2"/>
        <v>37</v>
      </c>
      <c r="AA125" s="137" t="str">
        <f t="shared" si="3"/>
        <v>C</v>
      </c>
      <c r="AB125" s="138" t="str">
        <f t="shared" si="4"/>
        <v>⚠ MISSING: Call Date, Modality, Budget, Timeline, Decision Maker</v>
      </c>
      <c r="AC125" s="135" t="s">
        <v>100</v>
      </c>
      <c r="AD125" s="132"/>
      <c r="AE125" s="134"/>
    </row>
    <row r="126" ht="18.0" customHeight="1">
      <c r="A126" s="118" t="str">
        <f t="shared" si="1"/>
        <v>AYA-121</v>
      </c>
      <c r="B126" s="109">
        <v>45911.0</v>
      </c>
      <c r="C126" s="119" t="s">
        <v>932</v>
      </c>
      <c r="D126" s="119" t="s">
        <v>933</v>
      </c>
      <c r="E126" s="120"/>
      <c r="F126" s="121" t="s">
        <v>934</v>
      </c>
      <c r="G126" s="112" t="s">
        <v>935</v>
      </c>
      <c r="H126" s="112"/>
      <c r="I126" s="112"/>
      <c r="J126" s="112" t="s">
        <v>67</v>
      </c>
      <c r="K126" s="112" t="s">
        <v>936</v>
      </c>
      <c r="L126" s="122" t="s">
        <v>149</v>
      </c>
      <c r="M126" s="123"/>
      <c r="N126" s="114"/>
      <c r="O126" s="114" t="s">
        <v>267</v>
      </c>
      <c r="P126" s="114" t="s">
        <v>827</v>
      </c>
      <c r="Q126" s="114" t="s">
        <v>173</v>
      </c>
      <c r="R126" s="123"/>
      <c r="S126" s="114"/>
      <c r="T126" s="112"/>
      <c r="U126" s="114"/>
      <c r="V126" s="114"/>
      <c r="W126" s="114"/>
      <c r="X126" s="114"/>
      <c r="Y126" s="112"/>
      <c r="Z126" s="125">
        <f t="shared" si="2"/>
        <v>37</v>
      </c>
      <c r="AA126" s="126" t="str">
        <f t="shared" si="3"/>
        <v>C</v>
      </c>
      <c r="AB126" s="117" t="str">
        <f t="shared" si="4"/>
        <v>⚠ MISSING: Call Date, Modality, Budget, Timeline, Decision Maker</v>
      </c>
      <c r="AC126" s="114" t="s">
        <v>100</v>
      </c>
      <c r="AD126" s="112"/>
      <c r="AE126" s="123"/>
    </row>
    <row r="127" ht="18.0" customHeight="1">
      <c r="A127" s="127" t="str">
        <f t="shared" si="1"/>
        <v>AYA-122</v>
      </c>
      <c r="B127" s="128">
        <v>45915.0</v>
      </c>
      <c r="C127" s="129" t="s">
        <v>749</v>
      </c>
      <c r="D127" s="129" t="s">
        <v>937</v>
      </c>
      <c r="E127" s="130"/>
      <c r="F127" s="131" t="s">
        <v>938</v>
      </c>
      <c r="G127" s="132" t="s">
        <v>939</v>
      </c>
      <c r="H127" s="132" t="s">
        <v>940</v>
      </c>
      <c r="I127" s="132"/>
      <c r="J127" s="132" t="s">
        <v>67</v>
      </c>
      <c r="K127" s="132" t="s">
        <v>941</v>
      </c>
      <c r="L127" s="133" t="s">
        <v>148</v>
      </c>
      <c r="M127" s="134"/>
      <c r="N127" s="135"/>
      <c r="O127" s="135" t="s">
        <v>267</v>
      </c>
      <c r="P127" s="135" t="s">
        <v>375</v>
      </c>
      <c r="Q127" s="135" t="s">
        <v>173</v>
      </c>
      <c r="R127" s="134"/>
      <c r="S127" s="135"/>
      <c r="T127" s="132"/>
      <c r="U127" s="135"/>
      <c r="V127" s="135"/>
      <c r="W127" s="135"/>
      <c r="X127" s="135" t="s">
        <v>59</v>
      </c>
      <c r="Y127" s="132"/>
      <c r="Z127" s="136">
        <f t="shared" si="2"/>
        <v>37</v>
      </c>
      <c r="AA127" s="137" t="str">
        <f t="shared" si="3"/>
        <v>C</v>
      </c>
      <c r="AB127" s="138" t="str">
        <f t="shared" si="4"/>
        <v>⚠ MISSING: Call Date, Modality, Budget, Timeline, Decision Maker</v>
      </c>
      <c r="AC127" s="135" t="s">
        <v>100</v>
      </c>
      <c r="AD127" s="132"/>
      <c r="AE127" s="134"/>
    </row>
    <row r="128" ht="18.0" customHeight="1">
      <c r="A128" s="118" t="str">
        <f t="shared" si="1"/>
        <v>AYA-123</v>
      </c>
      <c r="B128" s="109">
        <v>45916.0</v>
      </c>
      <c r="C128" s="119" t="s">
        <v>942</v>
      </c>
      <c r="D128" s="119" t="s">
        <v>943</v>
      </c>
      <c r="E128" s="120"/>
      <c r="F128" s="121" t="s">
        <v>944</v>
      </c>
      <c r="G128" s="112" t="s">
        <v>945</v>
      </c>
      <c r="H128" s="112"/>
      <c r="I128" s="112"/>
      <c r="J128" s="112" t="s">
        <v>161</v>
      </c>
      <c r="K128" s="112" t="s">
        <v>946</v>
      </c>
      <c r="L128" s="122" t="s">
        <v>148</v>
      </c>
      <c r="M128" s="123"/>
      <c r="N128" s="114"/>
      <c r="O128" s="114" t="s">
        <v>267</v>
      </c>
      <c r="P128" s="114" t="s">
        <v>428</v>
      </c>
      <c r="Q128" s="114" t="s">
        <v>173</v>
      </c>
      <c r="R128" s="123"/>
      <c r="S128" s="114"/>
      <c r="T128" s="112"/>
      <c r="U128" s="114"/>
      <c r="V128" s="114"/>
      <c r="W128" s="114"/>
      <c r="X128" s="114" t="s">
        <v>58</v>
      </c>
      <c r="Y128" s="112"/>
      <c r="Z128" s="125">
        <f t="shared" si="2"/>
        <v>37</v>
      </c>
      <c r="AA128" s="126" t="str">
        <f t="shared" si="3"/>
        <v>C</v>
      </c>
      <c r="AB128" s="117" t="str">
        <f t="shared" si="4"/>
        <v>⚠ MISSING: Call Date, Modality, Budget, Timeline, Decision Maker</v>
      </c>
      <c r="AC128" s="114" t="s">
        <v>100</v>
      </c>
      <c r="AD128" s="112"/>
      <c r="AE128" s="123"/>
    </row>
    <row r="129" ht="18.0" customHeight="1">
      <c r="A129" s="127" t="str">
        <f t="shared" si="1"/>
        <v>AYA-124</v>
      </c>
      <c r="B129" s="128">
        <v>45916.0</v>
      </c>
      <c r="C129" s="129" t="s">
        <v>947</v>
      </c>
      <c r="D129" s="129" t="s">
        <v>493</v>
      </c>
      <c r="E129" s="130"/>
      <c r="F129" s="131" t="s">
        <v>948</v>
      </c>
      <c r="G129" s="132" t="s">
        <v>495</v>
      </c>
      <c r="H129" s="132"/>
      <c r="I129" s="132"/>
      <c r="J129" s="132" t="s">
        <v>161</v>
      </c>
      <c r="K129" s="132" t="s">
        <v>949</v>
      </c>
      <c r="L129" s="133" t="s">
        <v>148</v>
      </c>
      <c r="M129" s="134">
        <v>45916.0</v>
      </c>
      <c r="N129" s="135" t="s">
        <v>342</v>
      </c>
      <c r="O129" s="135" t="s">
        <v>267</v>
      </c>
      <c r="P129" s="135" t="s">
        <v>827</v>
      </c>
      <c r="Q129" s="135" t="s">
        <v>173</v>
      </c>
      <c r="R129" s="134"/>
      <c r="S129" s="135"/>
      <c r="T129" s="132"/>
      <c r="U129" s="135"/>
      <c r="V129" s="135"/>
      <c r="W129" s="135"/>
      <c r="X129" s="135"/>
      <c r="Y129" s="132" t="s">
        <v>950</v>
      </c>
      <c r="Z129" s="136">
        <f t="shared" si="2"/>
        <v>37</v>
      </c>
      <c r="AA129" s="137" t="str">
        <f t="shared" si="3"/>
        <v>C</v>
      </c>
      <c r="AB129" s="138" t="str">
        <f t="shared" si="4"/>
        <v>⚠ MISSING: Call Date, Modality, Budget, Timeline, Decision Maker</v>
      </c>
      <c r="AC129" s="135" t="s">
        <v>344</v>
      </c>
      <c r="AD129" s="132" t="s">
        <v>190</v>
      </c>
      <c r="AE129" s="134"/>
    </row>
    <row r="130" ht="18.0" customHeight="1">
      <c r="A130" s="118" t="str">
        <f t="shared" si="1"/>
        <v>AYA-125</v>
      </c>
      <c r="B130" s="109">
        <v>45917.0</v>
      </c>
      <c r="C130" s="119" t="s">
        <v>951</v>
      </c>
      <c r="D130" s="119" t="s">
        <v>952</v>
      </c>
      <c r="E130" s="120"/>
      <c r="F130" s="121" t="s">
        <v>953</v>
      </c>
      <c r="G130" s="112" t="s">
        <v>954</v>
      </c>
      <c r="H130" s="112"/>
      <c r="I130" s="112"/>
      <c r="J130" s="112" t="s">
        <v>161</v>
      </c>
      <c r="K130" s="112" t="s">
        <v>955</v>
      </c>
      <c r="L130" s="122" t="s">
        <v>148</v>
      </c>
      <c r="M130" s="123"/>
      <c r="N130" s="114"/>
      <c r="O130" s="114" t="s">
        <v>267</v>
      </c>
      <c r="P130" s="114" t="s">
        <v>281</v>
      </c>
      <c r="Q130" s="114" t="s">
        <v>173</v>
      </c>
      <c r="R130" s="123"/>
      <c r="S130" s="114"/>
      <c r="T130" s="112"/>
      <c r="U130" s="114"/>
      <c r="V130" s="114"/>
      <c r="W130" s="114"/>
      <c r="X130" s="114" t="s">
        <v>59</v>
      </c>
      <c r="Y130" s="112"/>
      <c r="Z130" s="125">
        <f t="shared" si="2"/>
        <v>37</v>
      </c>
      <c r="AA130" s="126" t="str">
        <f t="shared" si="3"/>
        <v>C</v>
      </c>
      <c r="AB130" s="117" t="str">
        <f t="shared" si="4"/>
        <v>⚠ MISSING: Call Date, Modality, Budget, Timeline, Decision Maker</v>
      </c>
      <c r="AC130" s="114" t="s">
        <v>100</v>
      </c>
      <c r="AD130" s="112"/>
      <c r="AE130" s="123"/>
    </row>
    <row r="131" ht="18.0" customHeight="1">
      <c r="A131" s="127" t="str">
        <f t="shared" si="1"/>
        <v>AYA-126</v>
      </c>
      <c r="B131" s="128">
        <v>45917.0</v>
      </c>
      <c r="C131" s="129" t="s">
        <v>693</v>
      </c>
      <c r="D131" s="129" t="s">
        <v>956</v>
      </c>
      <c r="E131" s="130"/>
      <c r="F131" s="131" t="s">
        <v>957</v>
      </c>
      <c r="G131" s="132" t="s">
        <v>958</v>
      </c>
      <c r="H131" s="132"/>
      <c r="I131" s="132"/>
      <c r="J131" s="132" t="s">
        <v>67</v>
      </c>
      <c r="K131" s="132" t="s">
        <v>959</v>
      </c>
      <c r="L131" s="133" t="s">
        <v>148</v>
      </c>
      <c r="M131" s="134">
        <v>45917.0</v>
      </c>
      <c r="N131" s="135" t="s">
        <v>342</v>
      </c>
      <c r="O131" s="135" t="s">
        <v>267</v>
      </c>
      <c r="P131" s="135" t="s">
        <v>274</v>
      </c>
      <c r="Q131" s="135" t="s">
        <v>173</v>
      </c>
      <c r="R131" s="134"/>
      <c r="S131" s="135"/>
      <c r="T131" s="132"/>
      <c r="U131" s="135"/>
      <c r="V131" s="135"/>
      <c r="W131" s="135"/>
      <c r="X131" s="135" t="s">
        <v>59</v>
      </c>
      <c r="Y131" s="132" t="s">
        <v>950</v>
      </c>
      <c r="Z131" s="136">
        <f t="shared" si="2"/>
        <v>37</v>
      </c>
      <c r="AA131" s="137" t="str">
        <f t="shared" si="3"/>
        <v>C</v>
      </c>
      <c r="AB131" s="138" t="str">
        <f t="shared" si="4"/>
        <v>⚠ MISSING: Call Date, Modality, Budget, Timeline, Decision Maker</v>
      </c>
      <c r="AC131" s="135" t="s">
        <v>344</v>
      </c>
      <c r="AD131" s="132" t="s">
        <v>190</v>
      </c>
      <c r="AE131" s="134"/>
    </row>
    <row r="132" ht="18.0" customHeight="1">
      <c r="A132" s="118" t="str">
        <f t="shared" si="1"/>
        <v>AYA-127</v>
      </c>
      <c r="B132" s="109">
        <v>45918.0</v>
      </c>
      <c r="C132" s="119" t="s">
        <v>960</v>
      </c>
      <c r="D132" s="119" t="s">
        <v>961</v>
      </c>
      <c r="E132" s="120"/>
      <c r="F132" s="121" t="s">
        <v>962</v>
      </c>
      <c r="G132" s="112"/>
      <c r="H132" s="112"/>
      <c r="I132" s="112"/>
      <c r="J132" s="112" t="s">
        <v>161</v>
      </c>
      <c r="K132" s="112" t="s">
        <v>963</v>
      </c>
      <c r="L132" s="122" t="s">
        <v>148</v>
      </c>
      <c r="M132" s="123"/>
      <c r="N132" s="114"/>
      <c r="O132" s="114" t="s">
        <v>267</v>
      </c>
      <c r="P132" s="114" t="s">
        <v>281</v>
      </c>
      <c r="Q132" s="114" t="s">
        <v>173</v>
      </c>
      <c r="R132" s="123"/>
      <c r="S132" s="114"/>
      <c r="T132" s="112"/>
      <c r="U132" s="114"/>
      <c r="V132" s="114"/>
      <c r="W132" s="114"/>
      <c r="X132" s="114" t="s">
        <v>66</v>
      </c>
      <c r="Y132" s="112"/>
      <c r="Z132" s="125">
        <f t="shared" si="2"/>
        <v>22</v>
      </c>
      <c r="AA132" s="126" t="str">
        <f t="shared" si="3"/>
        <v>D</v>
      </c>
      <c r="AB132" s="117" t="str">
        <f t="shared" si="4"/>
        <v>⚠ MISSING: Call Date, Modality, Budget, Timeline, Decision Maker</v>
      </c>
      <c r="AC132" s="114" t="s">
        <v>100</v>
      </c>
      <c r="AD132" s="112"/>
      <c r="AE132" s="123"/>
    </row>
    <row r="133" ht="18.0" customHeight="1">
      <c r="A133" s="127" t="str">
        <f t="shared" si="1"/>
        <v>AYA-128</v>
      </c>
      <c r="B133" s="128">
        <v>45918.0</v>
      </c>
      <c r="C133" s="129" t="s">
        <v>964</v>
      </c>
      <c r="D133" s="129" t="s">
        <v>965</v>
      </c>
      <c r="E133" s="130"/>
      <c r="F133" s="131" t="s">
        <v>966</v>
      </c>
      <c r="G133" s="132"/>
      <c r="H133" s="132"/>
      <c r="I133" s="132"/>
      <c r="J133" s="132" t="s">
        <v>161</v>
      </c>
      <c r="K133" s="132" t="s">
        <v>967</v>
      </c>
      <c r="L133" s="133" t="s">
        <v>148</v>
      </c>
      <c r="M133" s="134"/>
      <c r="N133" s="135"/>
      <c r="O133" s="135" t="s">
        <v>267</v>
      </c>
      <c r="P133" s="135" t="s">
        <v>827</v>
      </c>
      <c r="Q133" s="135" t="s">
        <v>173</v>
      </c>
      <c r="R133" s="134"/>
      <c r="S133" s="135"/>
      <c r="T133" s="132"/>
      <c r="U133" s="135"/>
      <c r="V133" s="135"/>
      <c r="W133" s="135"/>
      <c r="X133" s="135"/>
      <c r="Y133" s="132"/>
      <c r="Z133" s="136">
        <f t="shared" si="2"/>
        <v>22</v>
      </c>
      <c r="AA133" s="137" t="str">
        <f t="shared" si="3"/>
        <v>D</v>
      </c>
      <c r="AB133" s="138" t="str">
        <f t="shared" si="4"/>
        <v>⚠ MISSING: Call Date, Modality, Budget, Timeline, Decision Maker</v>
      </c>
      <c r="AC133" s="135" t="s">
        <v>100</v>
      </c>
      <c r="AD133" s="132"/>
      <c r="AE133" s="134"/>
    </row>
    <row r="134" ht="18.0" customHeight="1">
      <c r="A134" s="118" t="str">
        <f t="shared" si="1"/>
        <v>AYA-129</v>
      </c>
      <c r="B134" s="109">
        <v>45924.0</v>
      </c>
      <c r="C134" s="119" t="s">
        <v>968</v>
      </c>
      <c r="D134" s="119" t="s">
        <v>969</v>
      </c>
      <c r="E134" s="120"/>
      <c r="F134" s="121" t="s">
        <v>970</v>
      </c>
      <c r="G134" s="112" t="s">
        <v>971</v>
      </c>
      <c r="H134" s="112"/>
      <c r="I134" s="112"/>
      <c r="J134" s="112" t="s">
        <v>163</v>
      </c>
      <c r="K134" s="112" t="s">
        <v>972</v>
      </c>
      <c r="L134" s="122" t="s">
        <v>67</v>
      </c>
      <c r="M134" s="123"/>
      <c r="N134" s="114"/>
      <c r="O134" s="114" t="s">
        <v>267</v>
      </c>
      <c r="P134" s="114" t="s">
        <v>375</v>
      </c>
      <c r="Q134" s="114" t="s">
        <v>173</v>
      </c>
      <c r="R134" s="123"/>
      <c r="S134" s="114"/>
      <c r="T134" s="112"/>
      <c r="U134" s="114"/>
      <c r="V134" s="114"/>
      <c r="W134" s="114"/>
      <c r="X134" s="114"/>
      <c r="Y134" s="112"/>
      <c r="Z134" s="125">
        <f t="shared" si="2"/>
        <v>37</v>
      </c>
      <c r="AA134" s="126" t="str">
        <f t="shared" si="3"/>
        <v>C</v>
      </c>
      <c r="AB134" s="117" t="str">
        <f t="shared" si="4"/>
        <v>⚠ MISSING: Call Date, Modality, Budget, Timeline, Decision Maker</v>
      </c>
      <c r="AC134" s="114" t="s">
        <v>100</v>
      </c>
      <c r="AD134" s="112"/>
      <c r="AE134" s="123"/>
    </row>
    <row r="135" ht="18.0" customHeight="1">
      <c r="A135" s="127" t="str">
        <f t="shared" si="1"/>
        <v>AYA-130</v>
      </c>
      <c r="B135" s="128">
        <v>45927.0</v>
      </c>
      <c r="C135" s="129" t="s">
        <v>973</v>
      </c>
      <c r="D135" s="129" t="s">
        <v>974</v>
      </c>
      <c r="E135" s="130"/>
      <c r="F135" s="131" t="s">
        <v>975</v>
      </c>
      <c r="G135" s="132"/>
      <c r="H135" s="132"/>
      <c r="I135" s="132"/>
      <c r="J135" s="132" t="s">
        <v>67</v>
      </c>
      <c r="K135" s="132" t="s">
        <v>976</v>
      </c>
      <c r="L135" s="133" t="s">
        <v>67</v>
      </c>
      <c r="M135" s="134"/>
      <c r="N135" s="135"/>
      <c r="O135" s="135" t="s">
        <v>267</v>
      </c>
      <c r="P135" s="135" t="s">
        <v>375</v>
      </c>
      <c r="Q135" s="135" t="s">
        <v>173</v>
      </c>
      <c r="R135" s="134"/>
      <c r="S135" s="135"/>
      <c r="T135" s="132"/>
      <c r="U135" s="135"/>
      <c r="V135" s="135"/>
      <c r="W135" s="135"/>
      <c r="X135" s="135"/>
      <c r="Y135" s="132"/>
      <c r="Z135" s="136">
        <f t="shared" si="2"/>
        <v>22</v>
      </c>
      <c r="AA135" s="137" t="str">
        <f t="shared" si="3"/>
        <v>D</v>
      </c>
      <c r="AB135" s="138" t="str">
        <f t="shared" si="4"/>
        <v>⚠ MISSING: Call Date, Modality, Budget, Timeline, Decision Maker</v>
      </c>
      <c r="AC135" s="135" t="s">
        <v>100</v>
      </c>
      <c r="AD135" s="132"/>
      <c r="AE135" s="134"/>
    </row>
    <row r="136" ht="18.0" customHeight="1">
      <c r="A136" s="118" t="str">
        <f t="shared" si="1"/>
        <v>AYA-131</v>
      </c>
      <c r="B136" s="109">
        <v>45929.0</v>
      </c>
      <c r="C136" s="119" t="s">
        <v>977</v>
      </c>
      <c r="D136" s="119" t="s">
        <v>978</v>
      </c>
      <c r="E136" s="120"/>
      <c r="F136" s="121" t="s">
        <v>979</v>
      </c>
      <c r="G136" s="112"/>
      <c r="H136" s="112"/>
      <c r="I136" s="112"/>
      <c r="J136" s="112" t="s">
        <v>161</v>
      </c>
      <c r="K136" s="112" t="s">
        <v>980</v>
      </c>
      <c r="L136" s="122" t="s">
        <v>148</v>
      </c>
      <c r="M136" s="123"/>
      <c r="N136" s="114"/>
      <c r="O136" s="114" t="s">
        <v>267</v>
      </c>
      <c r="P136" s="114" t="s">
        <v>452</v>
      </c>
      <c r="Q136" s="114" t="s">
        <v>173</v>
      </c>
      <c r="R136" s="123"/>
      <c r="S136" s="114"/>
      <c r="T136" s="112"/>
      <c r="U136" s="114"/>
      <c r="V136" s="114"/>
      <c r="W136" s="114"/>
      <c r="X136" s="114"/>
      <c r="Y136" s="112"/>
      <c r="Z136" s="125">
        <f t="shared" si="2"/>
        <v>22</v>
      </c>
      <c r="AA136" s="126" t="str">
        <f t="shared" si="3"/>
        <v>D</v>
      </c>
      <c r="AB136" s="117" t="str">
        <f t="shared" si="4"/>
        <v>⚠ MISSING: Call Date, Modality, Budget, Timeline, Decision Maker</v>
      </c>
      <c r="AC136" s="114" t="s">
        <v>100</v>
      </c>
      <c r="AD136" s="112"/>
      <c r="AE136" s="123"/>
    </row>
    <row r="137" ht="18.0" customHeight="1">
      <c r="A137" s="127" t="str">
        <f t="shared" si="1"/>
        <v>AYA-132</v>
      </c>
      <c r="B137" s="128">
        <v>45930.0</v>
      </c>
      <c r="C137" s="129" t="s">
        <v>981</v>
      </c>
      <c r="D137" s="129" t="s">
        <v>982</v>
      </c>
      <c r="E137" s="130"/>
      <c r="F137" s="131" t="s">
        <v>983</v>
      </c>
      <c r="G137" s="132" t="s">
        <v>984</v>
      </c>
      <c r="H137" s="132" t="s">
        <v>985</v>
      </c>
      <c r="I137" s="132"/>
      <c r="J137" s="132" t="s">
        <v>161</v>
      </c>
      <c r="K137" s="132" t="s">
        <v>986</v>
      </c>
      <c r="L137" s="133" t="s">
        <v>153</v>
      </c>
      <c r="M137" s="134"/>
      <c r="N137" s="135"/>
      <c r="O137" s="135" t="s">
        <v>297</v>
      </c>
      <c r="P137" s="135" t="s">
        <v>274</v>
      </c>
      <c r="Q137" s="135" t="s">
        <v>173</v>
      </c>
      <c r="R137" s="134"/>
      <c r="S137" s="135"/>
      <c r="T137" s="132"/>
      <c r="U137" s="135"/>
      <c r="V137" s="135"/>
      <c r="W137" s="135"/>
      <c r="X137" s="135"/>
      <c r="Y137" s="132"/>
      <c r="Z137" s="136">
        <f t="shared" si="2"/>
        <v>37</v>
      </c>
      <c r="AA137" s="137" t="str">
        <f t="shared" si="3"/>
        <v>C</v>
      </c>
      <c r="AB137" s="138" t="str">
        <f t="shared" si="4"/>
        <v>⚠ MISSING: Call Date, Modality, Budget, Timeline, Decision Maker</v>
      </c>
      <c r="AC137" s="135" t="s">
        <v>100</v>
      </c>
      <c r="AD137" s="132"/>
      <c r="AE137" s="134"/>
    </row>
    <row r="138" ht="18.0" customHeight="1">
      <c r="A138" s="118" t="str">
        <f t="shared" si="1"/>
        <v>AYA-133</v>
      </c>
      <c r="B138" s="109">
        <v>45936.0</v>
      </c>
      <c r="C138" s="119" t="s">
        <v>352</v>
      </c>
      <c r="D138" s="119" t="s">
        <v>987</v>
      </c>
      <c r="E138" s="120"/>
      <c r="F138" s="121" t="s">
        <v>988</v>
      </c>
      <c r="G138" s="112" t="s">
        <v>989</v>
      </c>
      <c r="H138" s="112"/>
      <c r="I138" s="112"/>
      <c r="J138" s="112" t="s">
        <v>167</v>
      </c>
      <c r="K138" s="112" t="s">
        <v>990</v>
      </c>
      <c r="L138" s="122" t="s">
        <v>148</v>
      </c>
      <c r="M138" s="123"/>
      <c r="N138" s="114"/>
      <c r="O138" s="114" t="s">
        <v>267</v>
      </c>
      <c r="P138" s="114" t="s">
        <v>287</v>
      </c>
      <c r="Q138" s="114" t="s">
        <v>173</v>
      </c>
      <c r="R138" s="123"/>
      <c r="S138" s="114"/>
      <c r="T138" s="112"/>
      <c r="U138" s="114"/>
      <c r="V138" s="114"/>
      <c r="W138" s="114"/>
      <c r="X138" s="114"/>
      <c r="Y138" s="112"/>
      <c r="Z138" s="125">
        <f t="shared" si="2"/>
        <v>37</v>
      </c>
      <c r="AA138" s="126" t="str">
        <f t="shared" si="3"/>
        <v>C</v>
      </c>
      <c r="AB138" s="117" t="str">
        <f t="shared" si="4"/>
        <v>⚠ MISSING: Call Date, Modality, Budget, Timeline, Decision Maker</v>
      </c>
      <c r="AC138" s="114" t="s">
        <v>100</v>
      </c>
      <c r="AD138" s="112"/>
      <c r="AE138" s="123"/>
    </row>
    <row r="139" ht="18.0" customHeight="1">
      <c r="A139" s="127" t="str">
        <f t="shared" si="1"/>
        <v>AYA-134</v>
      </c>
      <c r="B139" s="128">
        <v>45937.0</v>
      </c>
      <c r="C139" s="129" t="s">
        <v>991</v>
      </c>
      <c r="D139" s="129" t="s">
        <v>992</v>
      </c>
      <c r="E139" s="130"/>
      <c r="F139" s="131" t="s">
        <v>993</v>
      </c>
      <c r="G139" s="132" t="s">
        <v>994</v>
      </c>
      <c r="H139" s="132" t="s">
        <v>995</v>
      </c>
      <c r="I139" s="132"/>
      <c r="J139" s="132" t="s">
        <v>67</v>
      </c>
      <c r="K139" s="132" t="s">
        <v>996</v>
      </c>
      <c r="L139" s="133" t="s">
        <v>149</v>
      </c>
      <c r="M139" s="134"/>
      <c r="N139" s="135"/>
      <c r="O139" s="135" t="s">
        <v>267</v>
      </c>
      <c r="P139" s="135" t="s">
        <v>281</v>
      </c>
      <c r="Q139" s="135" t="s">
        <v>173</v>
      </c>
      <c r="R139" s="134"/>
      <c r="S139" s="135"/>
      <c r="T139" s="132"/>
      <c r="U139" s="135"/>
      <c r="V139" s="135"/>
      <c r="W139" s="135"/>
      <c r="X139" s="135"/>
      <c r="Y139" s="132"/>
      <c r="Z139" s="136">
        <f t="shared" si="2"/>
        <v>37</v>
      </c>
      <c r="AA139" s="137" t="str">
        <f t="shared" si="3"/>
        <v>C</v>
      </c>
      <c r="AB139" s="138" t="str">
        <f t="shared" si="4"/>
        <v>⚠ MISSING: Call Date, Modality, Budget, Timeline, Decision Maker</v>
      </c>
      <c r="AC139" s="135" t="s">
        <v>100</v>
      </c>
      <c r="AD139" s="132"/>
      <c r="AE139" s="134"/>
    </row>
    <row r="140" ht="18.0" customHeight="1">
      <c r="A140" s="118" t="str">
        <f t="shared" si="1"/>
        <v>AYA-135</v>
      </c>
      <c r="B140" s="109">
        <v>45937.0</v>
      </c>
      <c r="C140" s="119" t="s">
        <v>446</v>
      </c>
      <c r="D140" s="119" t="s">
        <v>997</v>
      </c>
      <c r="E140" s="120"/>
      <c r="F140" s="121" t="s">
        <v>998</v>
      </c>
      <c r="G140" s="112"/>
      <c r="H140" s="112"/>
      <c r="I140" s="112"/>
      <c r="J140" s="112" t="s">
        <v>161</v>
      </c>
      <c r="K140" s="112" t="s">
        <v>999</v>
      </c>
      <c r="L140" s="122" t="s">
        <v>148</v>
      </c>
      <c r="M140" s="123"/>
      <c r="N140" s="114"/>
      <c r="O140" s="114" t="s">
        <v>267</v>
      </c>
      <c r="P140" s="114" t="s">
        <v>281</v>
      </c>
      <c r="Q140" s="114" t="s">
        <v>173</v>
      </c>
      <c r="R140" s="123"/>
      <c r="S140" s="114"/>
      <c r="T140" s="112"/>
      <c r="U140" s="114"/>
      <c r="V140" s="114"/>
      <c r="W140" s="114"/>
      <c r="X140" s="114"/>
      <c r="Y140" s="112"/>
      <c r="Z140" s="125">
        <f t="shared" si="2"/>
        <v>22</v>
      </c>
      <c r="AA140" s="126" t="str">
        <f t="shared" si="3"/>
        <v>D</v>
      </c>
      <c r="AB140" s="117" t="str">
        <f t="shared" si="4"/>
        <v>⚠ MISSING: Call Date, Modality, Budget, Timeline, Decision Maker</v>
      </c>
      <c r="AC140" s="114" t="s">
        <v>100</v>
      </c>
      <c r="AD140" s="112"/>
      <c r="AE140" s="123"/>
    </row>
    <row r="141" ht="18.0" customHeight="1">
      <c r="A141" s="127" t="str">
        <f t="shared" si="1"/>
        <v>AYA-136</v>
      </c>
      <c r="B141" s="128">
        <v>45937.0</v>
      </c>
      <c r="C141" s="129" t="s">
        <v>1000</v>
      </c>
      <c r="D141" s="129" t="s">
        <v>1001</v>
      </c>
      <c r="E141" s="130"/>
      <c r="F141" s="131" t="s">
        <v>1002</v>
      </c>
      <c r="G141" s="132"/>
      <c r="H141" s="132"/>
      <c r="I141" s="132"/>
      <c r="J141" s="132" t="s">
        <v>161</v>
      </c>
      <c r="K141" s="132" t="s">
        <v>1003</v>
      </c>
      <c r="L141" s="133" t="s">
        <v>148</v>
      </c>
      <c r="M141" s="134"/>
      <c r="N141" s="135"/>
      <c r="O141" s="135" t="s">
        <v>297</v>
      </c>
      <c r="P141" s="135" t="s">
        <v>303</v>
      </c>
      <c r="Q141" s="135" t="s">
        <v>173</v>
      </c>
      <c r="R141" s="134"/>
      <c r="S141" s="135"/>
      <c r="T141" s="132"/>
      <c r="U141" s="135"/>
      <c r="V141" s="135"/>
      <c r="W141" s="135"/>
      <c r="X141" s="135"/>
      <c r="Y141" s="132"/>
      <c r="Z141" s="136">
        <f t="shared" si="2"/>
        <v>22</v>
      </c>
      <c r="AA141" s="137" t="str">
        <f t="shared" si="3"/>
        <v>D</v>
      </c>
      <c r="AB141" s="138" t="str">
        <f t="shared" si="4"/>
        <v>⚠ MISSING: Call Date, Modality, Budget, Timeline, Decision Maker</v>
      </c>
      <c r="AC141" s="135" t="s">
        <v>100</v>
      </c>
      <c r="AD141" s="132"/>
      <c r="AE141" s="134"/>
    </row>
    <row r="142" ht="18.0" customHeight="1">
      <c r="A142" s="118" t="str">
        <f t="shared" si="1"/>
        <v>AYA-137</v>
      </c>
      <c r="B142" s="109">
        <v>45937.0</v>
      </c>
      <c r="C142" s="119" t="s">
        <v>1004</v>
      </c>
      <c r="D142" s="119" t="s">
        <v>1005</v>
      </c>
      <c r="E142" s="120"/>
      <c r="F142" s="121"/>
      <c r="G142" s="112" t="s">
        <v>1006</v>
      </c>
      <c r="H142" s="112" t="s">
        <v>856</v>
      </c>
      <c r="I142" s="112"/>
      <c r="J142" s="112" t="s">
        <v>167</v>
      </c>
      <c r="K142" s="112" t="s">
        <v>1007</v>
      </c>
      <c r="L142" s="122" t="s">
        <v>148</v>
      </c>
      <c r="M142" s="123"/>
      <c r="N142" s="114"/>
      <c r="O142" s="114" t="s">
        <v>267</v>
      </c>
      <c r="P142" s="114" t="s">
        <v>281</v>
      </c>
      <c r="Q142" s="114" t="s">
        <v>173</v>
      </c>
      <c r="R142" s="123"/>
      <c r="S142" s="114"/>
      <c r="T142" s="112"/>
      <c r="U142" s="114"/>
      <c r="V142" s="114"/>
      <c r="W142" s="114"/>
      <c r="X142" s="114"/>
      <c r="Y142" s="112"/>
      <c r="Z142" s="125">
        <f t="shared" si="2"/>
        <v>37</v>
      </c>
      <c r="AA142" s="126" t="str">
        <f t="shared" si="3"/>
        <v>C</v>
      </c>
      <c r="AB142" s="117" t="str">
        <f t="shared" si="4"/>
        <v>⚠ MISSING: Call Date, Modality, Budget, Timeline, Decision Maker</v>
      </c>
      <c r="AC142" s="114" t="s">
        <v>100</v>
      </c>
      <c r="AD142" s="112"/>
      <c r="AE142" s="123"/>
    </row>
    <row r="143" ht="18.0" customHeight="1">
      <c r="A143" s="127" t="str">
        <f t="shared" si="1"/>
        <v>AYA-138</v>
      </c>
      <c r="B143" s="128">
        <v>45937.0</v>
      </c>
      <c r="C143" s="129" t="s">
        <v>737</v>
      </c>
      <c r="D143" s="129" t="s">
        <v>1008</v>
      </c>
      <c r="E143" s="130"/>
      <c r="F143" s="131" t="s">
        <v>1009</v>
      </c>
      <c r="G143" s="132" t="s">
        <v>1010</v>
      </c>
      <c r="H143" s="132" t="s">
        <v>1011</v>
      </c>
      <c r="I143" s="132"/>
      <c r="J143" s="132" t="s">
        <v>161</v>
      </c>
      <c r="K143" s="132" t="s">
        <v>1012</v>
      </c>
      <c r="L143" s="133" t="s">
        <v>148</v>
      </c>
      <c r="M143" s="134"/>
      <c r="N143" s="135"/>
      <c r="O143" s="135" t="s">
        <v>267</v>
      </c>
      <c r="P143" s="135" t="s">
        <v>281</v>
      </c>
      <c r="Q143" s="135" t="s">
        <v>173</v>
      </c>
      <c r="R143" s="134"/>
      <c r="S143" s="135"/>
      <c r="T143" s="132"/>
      <c r="U143" s="135"/>
      <c r="V143" s="135"/>
      <c r="W143" s="135"/>
      <c r="X143" s="135"/>
      <c r="Y143" s="132"/>
      <c r="Z143" s="136">
        <f t="shared" si="2"/>
        <v>37</v>
      </c>
      <c r="AA143" s="137" t="str">
        <f t="shared" si="3"/>
        <v>C</v>
      </c>
      <c r="AB143" s="138" t="str">
        <f t="shared" si="4"/>
        <v>⚠ MISSING: Call Date, Modality, Budget, Timeline, Decision Maker</v>
      </c>
      <c r="AC143" s="135" t="s">
        <v>100</v>
      </c>
      <c r="AD143" s="132"/>
      <c r="AE143" s="134"/>
    </row>
    <row r="144" ht="18.0" customHeight="1">
      <c r="A144" s="118" t="str">
        <f t="shared" si="1"/>
        <v>AYA-139</v>
      </c>
      <c r="B144" s="109">
        <v>45938.0</v>
      </c>
      <c r="C144" s="119" t="s">
        <v>1013</v>
      </c>
      <c r="D144" s="119" t="s">
        <v>1014</v>
      </c>
      <c r="E144" s="120"/>
      <c r="F144" s="121" t="s">
        <v>1015</v>
      </c>
      <c r="G144" s="112" t="s">
        <v>1016</v>
      </c>
      <c r="H144" s="112"/>
      <c r="I144" s="112"/>
      <c r="J144" s="112" t="s">
        <v>161</v>
      </c>
      <c r="K144" s="112" t="s">
        <v>1017</v>
      </c>
      <c r="L144" s="122" t="s">
        <v>148</v>
      </c>
      <c r="M144" s="123"/>
      <c r="N144" s="114"/>
      <c r="O144" s="114" t="s">
        <v>267</v>
      </c>
      <c r="P144" s="114" t="s">
        <v>281</v>
      </c>
      <c r="Q144" s="114" t="s">
        <v>173</v>
      </c>
      <c r="R144" s="123"/>
      <c r="S144" s="114"/>
      <c r="T144" s="112"/>
      <c r="U144" s="114"/>
      <c r="V144" s="114"/>
      <c r="W144" s="114"/>
      <c r="X144" s="114"/>
      <c r="Y144" s="112"/>
      <c r="Z144" s="125">
        <f t="shared" si="2"/>
        <v>37</v>
      </c>
      <c r="AA144" s="126" t="str">
        <f t="shared" si="3"/>
        <v>C</v>
      </c>
      <c r="AB144" s="117" t="str">
        <f t="shared" si="4"/>
        <v>⚠ MISSING: Call Date, Modality, Budget, Timeline, Decision Maker</v>
      </c>
      <c r="AC144" s="114" t="s">
        <v>100</v>
      </c>
      <c r="AD144" s="112"/>
      <c r="AE144" s="123"/>
    </row>
    <row r="145" ht="18.0" customHeight="1">
      <c r="A145" s="127" t="str">
        <f t="shared" si="1"/>
        <v>AYA-140</v>
      </c>
      <c r="B145" s="128">
        <v>45940.0</v>
      </c>
      <c r="C145" s="129" t="s">
        <v>1018</v>
      </c>
      <c r="D145" s="129" t="s">
        <v>1019</v>
      </c>
      <c r="E145" s="130"/>
      <c r="F145" s="131" t="s">
        <v>1020</v>
      </c>
      <c r="G145" s="132" t="s">
        <v>1021</v>
      </c>
      <c r="H145" s="132" t="s">
        <v>631</v>
      </c>
      <c r="I145" s="132" t="s">
        <v>74</v>
      </c>
      <c r="J145" s="132"/>
      <c r="K145" s="132" t="s">
        <v>1022</v>
      </c>
      <c r="L145" s="133" t="s">
        <v>67</v>
      </c>
      <c r="M145" s="134"/>
      <c r="N145" s="135"/>
      <c r="O145" s="135" t="s">
        <v>297</v>
      </c>
      <c r="P145" s="135" t="s">
        <v>827</v>
      </c>
      <c r="Q145" s="135" t="s">
        <v>173</v>
      </c>
      <c r="R145" s="134"/>
      <c r="S145" s="135"/>
      <c r="T145" s="132"/>
      <c r="U145" s="135"/>
      <c r="V145" s="135"/>
      <c r="W145" s="135"/>
      <c r="X145" s="135"/>
      <c r="Y145" s="132"/>
      <c r="Z145" s="136">
        <f t="shared" si="2"/>
        <v>37</v>
      </c>
      <c r="AA145" s="137" t="str">
        <f t="shared" si="3"/>
        <v>C</v>
      </c>
      <c r="AB145" s="138" t="str">
        <f t="shared" si="4"/>
        <v>⚠ MISSING: Call Date, Modality, Budget, Timeline, Decision Maker</v>
      </c>
      <c r="AC145" s="135" t="s">
        <v>100</v>
      </c>
      <c r="AD145" s="132"/>
      <c r="AE145" s="134"/>
    </row>
    <row r="146" ht="18.0" customHeight="1">
      <c r="A146" s="118" t="str">
        <f t="shared" si="1"/>
        <v>AYA-141</v>
      </c>
      <c r="B146" s="109">
        <v>45943.0</v>
      </c>
      <c r="C146" s="119" t="s">
        <v>1023</v>
      </c>
      <c r="D146" s="119" t="s">
        <v>1024</v>
      </c>
      <c r="E146" s="120"/>
      <c r="F146" s="121" t="s">
        <v>1025</v>
      </c>
      <c r="G146" s="112" t="s">
        <v>1026</v>
      </c>
      <c r="H146" s="112" t="s">
        <v>1027</v>
      </c>
      <c r="I146" s="112" t="s">
        <v>74</v>
      </c>
      <c r="J146" s="112" t="s">
        <v>159</v>
      </c>
      <c r="K146" s="112" t="s">
        <v>1028</v>
      </c>
      <c r="L146" s="122" t="s">
        <v>149</v>
      </c>
      <c r="M146" s="123"/>
      <c r="N146" s="114"/>
      <c r="O146" s="114" t="s">
        <v>267</v>
      </c>
      <c r="P146" s="114"/>
      <c r="Q146" s="114" t="s">
        <v>173</v>
      </c>
      <c r="R146" s="123"/>
      <c r="S146" s="114"/>
      <c r="T146" s="112"/>
      <c r="U146" s="114"/>
      <c r="V146" s="114"/>
      <c r="W146" s="114"/>
      <c r="X146" s="114"/>
      <c r="Y146" s="112"/>
      <c r="Z146" s="125">
        <f t="shared" si="2"/>
        <v>27</v>
      </c>
      <c r="AA146" s="126" t="str">
        <f t="shared" si="3"/>
        <v>C</v>
      </c>
      <c r="AB146" s="117" t="str">
        <f t="shared" si="4"/>
        <v>⚠ MISSING: Call Date, Modality, Budget, Timeline, Decision Maker</v>
      </c>
      <c r="AC146" s="114" t="s">
        <v>100</v>
      </c>
      <c r="AD146" s="112"/>
      <c r="AE146" s="123"/>
    </row>
    <row r="147" ht="18.0" customHeight="1">
      <c r="A147" s="127" t="str">
        <f t="shared" si="1"/>
        <v>AYA-142</v>
      </c>
      <c r="B147" s="128">
        <v>45944.0</v>
      </c>
      <c r="C147" s="129" t="s">
        <v>1029</v>
      </c>
      <c r="D147" s="129" t="s">
        <v>1030</v>
      </c>
      <c r="E147" s="130"/>
      <c r="F147" s="131" t="s">
        <v>1031</v>
      </c>
      <c r="G147" s="132" t="s">
        <v>1032</v>
      </c>
      <c r="H147" s="132"/>
      <c r="I147" s="132" t="s">
        <v>1033</v>
      </c>
      <c r="J147" s="132"/>
      <c r="K147" s="132" t="s">
        <v>1034</v>
      </c>
      <c r="L147" s="133" t="s">
        <v>148</v>
      </c>
      <c r="M147" s="134"/>
      <c r="N147" s="135"/>
      <c r="O147" s="135" t="s">
        <v>267</v>
      </c>
      <c r="P147" s="135" t="s">
        <v>303</v>
      </c>
      <c r="Q147" s="135" t="s">
        <v>173</v>
      </c>
      <c r="R147" s="134"/>
      <c r="S147" s="135"/>
      <c r="T147" s="132"/>
      <c r="U147" s="135"/>
      <c r="V147" s="135"/>
      <c r="W147" s="135"/>
      <c r="X147" s="135"/>
      <c r="Y147" s="132"/>
      <c r="Z147" s="136">
        <f t="shared" si="2"/>
        <v>37</v>
      </c>
      <c r="AA147" s="137" t="str">
        <f t="shared" si="3"/>
        <v>C</v>
      </c>
      <c r="AB147" s="138" t="str">
        <f t="shared" si="4"/>
        <v>⚠ MISSING: Call Date, Modality, Budget, Timeline, Decision Maker</v>
      </c>
      <c r="AC147" s="135" t="s">
        <v>100</v>
      </c>
      <c r="AD147" s="132"/>
      <c r="AE147" s="134"/>
    </row>
    <row r="148" ht="18.0" customHeight="1">
      <c r="A148" s="118" t="str">
        <f t="shared" si="1"/>
        <v>AYA-143</v>
      </c>
      <c r="B148" s="109">
        <v>45947.0</v>
      </c>
      <c r="C148" s="119" t="s">
        <v>1035</v>
      </c>
      <c r="D148" s="119" t="s">
        <v>1036</v>
      </c>
      <c r="E148" s="120"/>
      <c r="F148" s="121" t="s">
        <v>1037</v>
      </c>
      <c r="G148" s="112" t="s">
        <v>1038</v>
      </c>
      <c r="H148" s="112"/>
      <c r="I148" s="112" t="s">
        <v>1039</v>
      </c>
      <c r="J148" s="112" t="s">
        <v>161</v>
      </c>
      <c r="K148" s="112" t="s">
        <v>1040</v>
      </c>
      <c r="L148" s="122" t="s">
        <v>148</v>
      </c>
      <c r="M148" s="123"/>
      <c r="N148" s="114"/>
      <c r="O148" s="114" t="s">
        <v>267</v>
      </c>
      <c r="P148" s="114"/>
      <c r="Q148" s="114" t="s">
        <v>173</v>
      </c>
      <c r="R148" s="123"/>
      <c r="S148" s="114"/>
      <c r="T148" s="112"/>
      <c r="U148" s="114"/>
      <c r="V148" s="114"/>
      <c r="W148" s="114"/>
      <c r="X148" s="114"/>
      <c r="Y148" s="112"/>
      <c r="Z148" s="125">
        <f t="shared" si="2"/>
        <v>27</v>
      </c>
      <c r="AA148" s="126" t="str">
        <f t="shared" si="3"/>
        <v>C</v>
      </c>
      <c r="AB148" s="117" t="str">
        <f t="shared" si="4"/>
        <v>⚠ MISSING: Call Date, Modality, Budget, Timeline, Decision Maker</v>
      </c>
      <c r="AC148" s="114" t="s">
        <v>100</v>
      </c>
      <c r="AD148" s="112"/>
      <c r="AE148" s="123"/>
    </row>
    <row r="149" ht="18.0" customHeight="1">
      <c r="A149" s="127" t="str">
        <f t="shared" si="1"/>
        <v>AYA-144</v>
      </c>
      <c r="B149" s="128">
        <v>45947.0</v>
      </c>
      <c r="C149" s="129" t="s">
        <v>151</v>
      </c>
      <c r="D149" s="129" t="s">
        <v>1041</v>
      </c>
      <c r="E149" s="130"/>
      <c r="F149" s="131" t="s">
        <v>1042</v>
      </c>
      <c r="G149" s="132" t="s">
        <v>1043</v>
      </c>
      <c r="H149" s="132"/>
      <c r="I149" s="132" t="s">
        <v>1039</v>
      </c>
      <c r="J149" s="132" t="s">
        <v>67</v>
      </c>
      <c r="K149" s="132" t="s">
        <v>1044</v>
      </c>
      <c r="L149" s="133"/>
      <c r="M149" s="134"/>
      <c r="N149" s="135"/>
      <c r="O149" s="135" t="s">
        <v>297</v>
      </c>
      <c r="P149" s="135" t="s">
        <v>281</v>
      </c>
      <c r="Q149" s="135" t="s">
        <v>173</v>
      </c>
      <c r="R149" s="134"/>
      <c r="S149" s="135"/>
      <c r="T149" s="132"/>
      <c r="U149" s="135"/>
      <c r="V149" s="135"/>
      <c r="W149" s="135"/>
      <c r="X149" s="135"/>
      <c r="Y149" s="132"/>
      <c r="Z149" s="136">
        <f t="shared" si="2"/>
        <v>37</v>
      </c>
      <c r="AA149" s="137" t="str">
        <f t="shared" si="3"/>
        <v>C</v>
      </c>
      <c r="AB149" s="138" t="str">
        <f t="shared" si="4"/>
        <v>⚠ MISSING: Call Date, Modality, Budget, Timeline, Decision Maker</v>
      </c>
      <c r="AC149" s="135" t="s">
        <v>100</v>
      </c>
      <c r="AD149" s="132"/>
      <c r="AE149" s="134"/>
    </row>
    <row r="150" ht="18.0" customHeight="1">
      <c r="A150" s="118" t="str">
        <f t="shared" si="1"/>
        <v>AYA-145</v>
      </c>
      <c r="B150" s="109">
        <v>45952.0</v>
      </c>
      <c r="C150" s="119" t="s">
        <v>1045</v>
      </c>
      <c r="D150" s="119" t="s">
        <v>718</v>
      </c>
      <c r="E150" s="120"/>
      <c r="F150" s="121" t="s">
        <v>1046</v>
      </c>
      <c r="G150" s="112" t="s">
        <v>1047</v>
      </c>
      <c r="H150" s="112" t="s">
        <v>1048</v>
      </c>
      <c r="I150" s="112"/>
      <c r="J150" s="112" t="s">
        <v>167</v>
      </c>
      <c r="K150" s="112" t="s">
        <v>1049</v>
      </c>
      <c r="L150" s="122" t="s">
        <v>149</v>
      </c>
      <c r="M150" s="123"/>
      <c r="N150" s="114"/>
      <c r="O150" s="114" t="s">
        <v>267</v>
      </c>
      <c r="P150" s="114" t="s">
        <v>281</v>
      </c>
      <c r="Q150" s="114" t="s">
        <v>173</v>
      </c>
      <c r="R150" s="123"/>
      <c r="S150" s="114"/>
      <c r="T150" s="112"/>
      <c r="U150" s="114"/>
      <c r="V150" s="114"/>
      <c r="W150" s="114"/>
      <c r="X150" s="114"/>
      <c r="Y150" s="112"/>
      <c r="Z150" s="125">
        <f t="shared" si="2"/>
        <v>37</v>
      </c>
      <c r="AA150" s="126" t="str">
        <f t="shared" si="3"/>
        <v>C</v>
      </c>
      <c r="AB150" s="117" t="str">
        <f t="shared" si="4"/>
        <v>⚠ MISSING: Call Date, Modality, Budget, Timeline, Decision Maker</v>
      </c>
      <c r="AC150" s="114" t="s">
        <v>100</v>
      </c>
      <c r="AD150" s="112"/>
      <c r="AE150" s="123"/>
    </row>
    <row r="151" ht="18.0" customHeight="1">
      <c r="A151" s="127" t="str">
        <f t="shared" si="1"/>
        <v>AYA-146</v>
      </c>
      <c r="B151" s="128">
        <v>45953.0</v>
      </c>
      <c r="C151" s="129" t="s">
        <v>1050</v>
      </c>
      <c r="D151" s="129" t="s">
        <v>1051</v>
      </c>
      <c r="E151" s="130"/>
      <c r="F151" s="131" t="s">
        <v>1052</v>
      </c>
      <c r="G151" s="132" t="s">
        <v>1053</v>
      </c>
      <c r="H151" s="132"/>
      <c r="I151" s="132" t="s">
        <v>1054</v>
      </c>
      <c r="J151" s="132" t="s">
        <v>161</v>
      </c>
      <c r="K151" s="132" t="s">
        <v>1055</v>
      </c>
      <c r="L151" s="133" t="s">
        <v>148</v>
      </c>
      <c r="M151" s="134"/>
      <c r="N151" s="135"/>
      <c r="O151" s="135" t="s">
        <v>267</v>
      </c>
      <c r="P151" s="135" t="s">
        <v>281</v>
      </c>
      <c r="Q151" s="135" t="s">
        <v>173</v>
      </c>
      <c r="R151" s="134"/>
      <c r="S151" s="135"/>
      <c r="T151" s="132"/>
      <c r="U151" s="135"/>
      <c r="V151" s="135"/>
      <c r="W151" s="135"/>
      <c r="X151" s="135"/>
      <c r="Y151" s="132"/>
      <c r="Z151" s="136">
        <f t="shared" si="2"/>
        <v>37</v>
      </c>
      <c r="AA151" s="137" t="str">
        <f t="shared" si="3"/>
        <v>C</v>
      </c>
      <c r="AB151" s="138" t="str">
        <f t="shared" si="4"/>
        <v>⚠ MISSING: Call Date, Modality, Budget, Timeline, Decision Maker</v>
      </c>
      <c r="AC151" s="135" t="s">
        <v>100</v>
      </c>
      <c r="AD151" s="132"/>
      <c r="AE151" s="134"/>
    </row>
    <row r="152" ht="18.0" customHeight="1">
      <c r="A152" s="118" t="str">
        <f t="shared" si="1"/>
        <v>AYA-147</v>
      </c>
      <c r="B152" s="109">
        <v>45953.0</v>
      </c>
      <c r="C152" s="119" t="s">
        <v>749</v>
      </c>
      <c r="D152" s="119" t="s">
        <v>1056</v>
      </c>
      <c r="E152" s="120"/>
      <c r="F152" s="121" t="s">
        <v>1057</v>
      </c>
      <c r="G152" s="112" t="s">
        <v>1058</v>
      </c>
      <c r="H152" s="112"/>
      <c r="I152" s="112" t="s">
        <v>84</v>
      </c>
      <c r="J152" s="112" t="s">
        <v>161</v>
      </c>
      <c r="K152" s="112" t="s">
        <v>1059</v>
      </c>
      <c r="L152" s="122" t="s">
        <v>148</v>
      </c>
      <c r="M152" s="123"/>
      <c r="N152" s="114"/>
      <c r="O152" s="114" t="s">
        <v>267</v>
      </c>
      <c r="P152" s="114" t="s">
        <v>274</v>
      </c>
      <c r="Q152" s="114" t="s">
        <v>173</v>
      </c>
      <c r="R152" s="123"/>
      <c r="S152" s="114"/>
      <c r="T152" s="112"/>
      <c r="U152" s="114"/>
      <c r="V152" s="114"/>
      <c r="W152" s="114"/>
      <c r="X152" s="114"/>
      <c r="Y152" s="112"/>
      <c r="Z152" s="125">
        <f t="shared" si="2"/>
        <v>37</v>
      </c>
      <c r="AA152" s="126" t="str">
        <f t="shared" si="3"/>
        <v>C</v>
      </c>
      <c r="AB152" s="117" t="str">
        <f t="shared" si="4"/>
        <v>⚠ MISSING: Call Date, Modality, Budget, Timeline, Decision Maker</v>
      </c>
      <c r="AC152" s="114" t="s">
        <v>100</v>
      </c>
      <c r="AD152" s="112"/>
      <c r="AE152" s="123"/>
    </row>
    <row r="153" ht="18.0" customHeight="1">
      <c r="A153" s="127" t="str">
        <f t="shared" si="1"/>
        <v>AYA-148</v>
      </c>
      <c r="B153" s="128">
        <v>45953.0</v>
      </c>
      <c r="C153" s="129" t="s">
        <v>1060</v>
      </c>
      <c r="D153" s="129" t="s">
        <v>1061</v>
      </c>
      <c r="E153" s="130"/>
      <c r="F153" s="131" t="s">
        <v>1062</v>
      </c>
      <c r="G153" s="132" t="s">
        <v>1063</v>
      </c>
      <c r="H153" s="132"/>
      <c r="I153" s="132" t="s">
        <v>1064</v>
      </c>
      <c r="J153" s="132" t="s">
        <v>161</v>
      </c>
      <c r="K153" s="132" t="s">
        <v>1065</v>
      </c>
      <c r="L153" s="133" t="s">
        <v>148</v>
      </c>
      <c r="M153" s="134"/>
      <c r="N153" s="135"/>
      <c r="O153" s="135" t="s">
        <v>267</v>
      </c>
      <c r="P153" s="135" t="s">
        <v>428</v>
      </c>
      <c r="Q153" s="135" t="s">
        <v>173</v>
      </c>
      <c r="R153" s="134"/>
      <c r="S153" s="135"/>
      <c r="T153" s="132"/>
      <c r="U153" s="135"/>
      <c r="V153" s="135"/>
      <c r="W153" s="135"/>
      <c r="X153" s="135"/>
      <c r="Y153" s="132"/>
      <c r="Z153" s="136">
        <f t="shared" si="2"/>
        <v>37</v>
      </c>
      <c r="AA153" s="137" t="str">
        <f t="shared" si="3"/>
        <v>C</v>
      </c>
      <c r="AB153" s="138" t="str">
        <f t="shared" si="4"/>
        <v>⚠ MISSING: Call Date, Modality, Budget, Timeline, Decision Maker</v>
      </c>
      <c r="AC153" s="135" t="s">
        <v>100</v>
      </c>
      <c r="AD153" s="132"/>
      <c r="AE153" s="134"/>
    </row>
    <row r="154" ht="18.0" customHeight="1">
      <c r="A154" s="118" t="str">
        <f t="shared" si="1"/>
        <v>AYA-149</v>
      </c>
      <c r="B154" s="109">
        <v>45957.0</v>
      </c>
      <c r="C154" s="119" t="s">
        <v>1066</v>
      </c>
      <c r="D154" s="119" t="s">
        <v>1067</v>
      </c>
      <c r="E154" s="120"/>
      <c r="F154" s="121" t="s">
        <v>1068</v>
      </c>
      <c r="G154" s="112" t="s">
        <v>1069</v>
      </c>
      <c r="H154" s="112"/>
      <c r="I154" s="112" t="s">
        <v>1039</v>
      </c>
      <c r="J154" s="112"/>
      <c r="K154" s="112" t="s">
        <v>1070</v>
      </c>
      <c r="L154" s="122" t="s">
        <v>148</v>
      </c>
      <c r="M154" s="123"/>
      <c r="N154" s="114"/>
      <c r="O154" s="114" t="s">
        <v>267</v>
      </c>
      <c r="P154" s="114" t="s">
        <v>281</v>
      </c>
      <c r="Q154" s="114" t="s">
        <v>173</v>
      </c>
      <c r="R154" s="123"/>
      <c r="S154" s="114"/>
      <c r="T154" s="112"/>
      <c r="U154" s="114"/>
      <c r="V154" s="114"/>
      <c r="W154" s="114"/>
      <c r="X154" s="114"/>
      <c r="Y154" s="112"/>
      <c r="Z154" s="125">
        <f t="shared" si="2"/>
        <v>37</v>
      </c>
      <c r="AA154" s="126" t="str">
        <f t="shared" si="3"/>
        <v>C</v>
      </c>
      <c r="AB154" s="117" t="str">
        <f t="shared" si="4"/>
        <v>⚠ MISSING: Call Date, Modality, Budget, Timeline, Decision Maker</v>
      </c>
      <c r="AC154" s="114" t="s">
        <v>100</v>
      </c>
      <c r="AD154" s="112"/>
      <c r="AE154" s="123"/>
    </row>
    <row r="155" ht="18.0" customHeight="1">
      <c r="A155" s="127" t="str">
        <f t="shared" si="1"/>
        <v>AYA-150</v>
      </c>
      <c r="B155" s="128">
        <v>45957.0</v>
      </c>
      <c r="C155" s="129" t="s">
        <v>1071</v>
      </c>
      <c r="D155" s="129" t="s">
        <v>1072</v>
      </c>
      <c r="E155" s="130"/>
      <c r="F155" s="131" t="s">
        <v>1073</v>
      </c>
      <c r="G155" s="132" t="s">
        <v>1074</v>
      </c>
      <c r="H155" s="132"/>
      <c r="I155" s="132" t="s">
        <v>1033</v>
      </c>
      <c r="J155" s="132"/>
      <c r="K155" s="132" t="s">
        <v>1075</v>
      </c>
      <c r="L155" s="133" t="s">
        <v>67</v>
      </c>
      <c r="M155" s="134"/>
      <c r="N155" s="135"/>
      <c r="O155" s="135" t="s">
        <v>297</v>
      </c>
      <c r="P155" s="135" t="s">
        <v>375</v>
      </c>
      <c r="Q155" s="135" t="s">
        <v>173</v>
      </c>
      <c r="R155" s="134"/>
      <c r="S155" s="135"/>
      <c r="T155" s="132"/>
      <c r="U155" s="135"/>
      <c r="V155" s="135"/>
      <c r="W155" s="135"/>
      <c r="X155" s="135"/>
      <c r="Y155" s="132"/>
      <c r="Z155" s="136">
        <f t="shared" si="2"/>
        <v>37</v>
      </c>
      <c r="AA155" s="137" t="str">
        <f t="shared" si="3"/>
        <v>C</v>
      </c>
      <c r="AB155" s="138" t="str">
        <f t="shared" si="4"/>
        <v>⚠ MISSING: Call Date, Modality, Budget, Timeline, Decision Maker</v>
      </c>
      <c r="AC155" s="135" t="s">
        <v>100</v>
      </c>
      <c r="AD155" s="132"/>
      <c r="AE155" s="134"/>
    </row>
    <row r="156" ht="18.0" customHeight="1">
      <c r="A156" s="118" t="str">
        <f t="shared" si="1"/>
        <v>AYA-151</v>
      </c>
      <c r="B156" s="109">
        <v>45957.0</v>
      </c>
      <c r="C156" s="119" t="s">
        <v>1076</v>
      </c>
      <c r="D156" s="119" t="s">
        <v>1077</v>
      </c>
      <c r="E156" s="120"/>
      <c r="F156" s="121" t="s">
        <v>1078</v>
      </c>
      <c r="G156" s="112" t="s">
        <v>1079</v>
      </c>
      <c r="H156" s="112" t="s">
        <v>1080</v>
      </c>
      <c r="I156" s="112" t="s">
        <v>86</v>
      </c>
      <c r="J156" s="112" t="s">
        <v>161</v>
      </c>
      <c r="K156" s="112" t="s">
        <v>1081</v>
      </c>
      <c r="L156" s="122" t="s">
        <v>148</v>
      </c>
      <c r="M156" s="123"/>
      <c r="N156" s="114"/>
      <c r="O156" s="114" t="s">
        <v>267</v>
      </c>
      <c r="P156" s="114" t="s">
        <v>375</v>
      </c>
      <c r="Q156" s="114" t="s">
        <v>173</v>
      </c>
      <c r="R156" s="123"/>
      <c r="S156" s="114"/>
      <c r="T156" s="112"/>
      <c r="U156" s="114"/>
      <c r="V156" s="114"/>
      <c r="W156" s="114"/>
      <c r="X156" s="114"/>
      <c r="Y156" s="112"/>
      <c r="Z156" s="125">
        <f t="shared" si="2"/>
        <v>37</v>
      </c>
      <c r="AA156" s="126" t="str">
        <f t="shared" si="3"/>
        <v>C</v>
      </c>
      <c r="AB156" s="117" t="str">
        <f t="shared" si="4"/>
        <v>⚠ MISSING: Call Date, Modality, Budget, Timeline, Decision Maker</v>
      </c>
      <c r="AC156" s="114" t="s">
        <v>100</v>
      </c>
      <c r="AD156" s="112"/>
      <c r="AE156" s="123"/>
    </row>
    <row r="157" ht="18.0" customHeight="1">
      <c r="A157" s="127" t="str">
        <f t="shared" si="1"/>
        <v>AYA-152</v>
      </c>
      <c r="B157" s="128">
        <v>45959.0</v>
      </c>
      <c r="C157" s="129" t="s">
        <v>1082</v>
      </c>
      <c r="D157" s="129" t="s">
        <v>1083</v>
      </c>
      <c r="E157" s="130"/>
      <c r="F157" s="131" t="s">
        <v>1084</v>
      </c>
      <c r="G157" s="132" t="s">
        <v>1085</v>
      </c>
      <c r="H157" s="132" t="s">
        <v>1086</v>
      </c>
      <c r="I157" s="132" t="s">
        <v>1087</v>
      </c>
      <c r="J157" s="132" t="s">
        <v>167</v>
      </c>
      <c r="K157" s="132" t="s">
        <v>1088</v>
      </c>
      <c r="L157" s="133" t="s">
        <v>148</v>
      </c>
      <c r="M157" s="134"/>
      <c r="N157" s="135"/>
      <c r="O157" s="135" t="s">
        <v>267</v>
      </c>
      <c r="P157" s="135" t="s">
        <v>274</v>
      </c>
      <c r="Q157" s="135" t="s">
        <v>173</v>
      </c>
      <c r="R157" s="134"/>
      <c r="S157" s="135"/>
      <c r="T157" s="132"/>
      <c r="U157" s="135"/>
      <c r="V157" s="135"/>
      <c r="W157" s="135"/>
      <c r="X157" s="135"/>
      <c r="Y157" s="132"/>
      <c r="Z157" s="136">
        <f t="shared" si="2"/>
        <v>37</v>
      </c>
      <c r="AA157" s="137" t="str">
        <f t="shared" si="3"/>
        <v>C</v>
      </c>
      <c r="AB157" s="138" t="str">
        <f t="shared" si="4"/>
        <v>⚠ MISSING: Call Date, Modality, Budget, Timeline, Decision Maker</v>
      </c>
      <c r="AC157" s="135" t="s">
        <v>100</v>
      </c>
      <c r="AD157" s="132"/>
      <c r="AE157" s="134"/>
    </row>
    <row r="158" ht="18.0" customHeight="1">
      <c r="A158" s="118" t="str">
        <f t="shared" si="1"/>
        <v>AYA-153</v>
      </c>
      <c r="B158" s="109">
        <v>45961.0</v>
      </c>
      <c r="C158" s="119" t="s">
        <v>1089</v>
      </c>
      <c r="D158" s="119" t="s">
        <v>1090</v>
      </c>
      <c r="E158" s="120"/>
      <c r="F158" s="121" t="s">
        <v>1091</v>
      </c>
      <c r="G158" s="112" t="s">
        <v>1092</v>
      </c>
      <c r="H158" s="112" t="s">
        <v>586</v>
      </c>
      <c r="I158" s="112"/>
      <c r="J158" s="112"/>
      <c r="K158" s="112" t="s">
        <v>1093</v>
      </c>
      <c r="L158" s="122"/>
      <c r="M158" s="123"/>
      <c r="N158" s="114"/>
      <c r="O158" s="114" t="s">
        <v>267</v>
      </c>
      <c r="P158" s="114" t="s">
        <v>428</v>
      </c>
      <c r="Q158" s="114" t="s">
        <v>173</v>
      </c>
      <c r="R158" s="123"/>
      <c r="S158" s="114"/>
      <c r="T158" s="112"/>
      <c r="U158" s="114"/>
      <c r="V158" s="114"/>
      <c r="W158" s="114"/>
      <c r="X158" s="114"/>
      <c r="Y158" s="112"/>
      <c r="Z158" s="125">
        <f t="shared" si="2"/>
        <v>37</v>
      </c>
      <c r="AA158" s="126" t="str">
        <f t="shared" si="3"/>
        <v>C</v>
      </c>
      <c r="AB158" s="117" t="str">
        <f t="shared" si="4"/>
        <v>⚠ MISSING: Call Date, Modality, Budget, Timeline, Decision Maker</v>
      </c>
      <c r="AC158" s="114" t="s">
        <v>100</v>
      </c>
      <c r="AD158" s="112"/>
      <c r="AE158" s="123"/>
    </row>
    <row r="159" ht="18.0" customHeight="1">
      <c r="A159" s="127" t="str">
        <f t="shared" si="1"/>
        <v>AYA-154</v>
      </c>
      <c r="B159" s="128">
        <v>45963.0</v>
      </c>
      <c r="C159" s="129" t="s">
        <v>1094</v>
      </c>
      <c r="D159" s="129" t="s">
        <v>1095</v>
      </c>
      <c r="E159" s="130"/>
      <c r="F159" s="131" t="s">
        <v>1096</v>
      </c>
      <c r="G159" s="132" t="s">
        <v>1097</v>
      </c>
      <c r="H159" s="132" t="s">
        <v>450</v>
      </c>
      <c r="I159" s="132" t="s">
        <v>74</v>
      </c>
      <c r="J159" s="132" t="s">
        <v>163</v>
      </c>
      <c r="K159" s="132" t="s">
        <v>1098</v>
      </c>
      <c r="L159" s="133" t="s">
        <v>67</v>
      </c>
      <c r="M159" s="134"/>
      <c r="N159" s="135"/>
      <c r="O159" s="135" t="s">
        <v>297</v>
      </c>
      <c r="P159" s="135" t="s">
        <v>452</v>
      </c>
      <c r="Q159" s="135" t="s">
        <v>173</v>
      </c>
      <c r="R159" s="134"/>
      <c r="S159" s="135"/>
      <c r="T159" s="132"/>
      <c r="U159" s="135"/>
      <c r="V159" s="135"/>
      <c r="W159" s="135"/>
      <c r="X159" s="135"/>
      <c r="Y159" s="132"/>
      <c r="Z159" s="136">
        <f t="shared" si="2"/>
        <v>37</v>
      </c>
      <c r="AA159" s="137" t="str">
        <f t="shared" si="3"/>
        <v>C</v>
      </c>
      <c r="AB159" s="138" t="str">
        <f t="shared" si="4"/>
        <v>⚠ MISSING: Call Date, Modality, Budget, Timeline, Decision Maker</v>
      </c>
      <c r="AC159" s="135" t="s">
        <v>100</v>
      </c>
      <c r="AD159" s="132"/>
      <c r="AE159" s="134"/>
    </row>
    <row r="160" ht="18.0" customHeight="1">
      <c r="A160" s="118" t="str">
        <f t="shared" si="1"/>
        <v>AYA-155</v>
      </c>
      <c r="B160" s="109">
        <v>45966.0</v>
      </c>
      <c r="C160" s="119" t="s">
        <v>1099</v>
      </c>
      <c r="D160" s="119" t="s">
        <v>1100</v>
      </c>
      <c r="E160" s="120"/>
      <c r="F160" s="121" t="s">
        <v>1101</v>
      </c>
      <c r="G160" s="112" t="s">
        <v>1102</v>
      </c>
      <c r="H160" s="112" t="s">
        <v>1103</v>
      </c>
      <c r="I160" s="112" t="s">
        <v>1033</v>
      </c>
      <c r="J160" s="112" t="s">
        <v>167</v>
      </c>
      <c r="K160" s="112" t="s">
        <v>1104</v>
      </c>
      <c r="L160" s="122" t="s">
        <v>148</v>
      </c>
      <c r="M160" s="123"/>
      <c r="N160" s="114"/>
      <c r="O160" s="114" t="s">
        <v>267</v>
      </c>
      <c r="P160" s="114" t="s">
        <v>281</v>
      </c>
      <c r="Q160" s="114" t="s">
        <v>173</v>
      </c>
      <c r="R160" s="123"/>
      <c r="S160" s="114"/>
      <c r="T160" s="112"/>
      <c r="U160" s="114"/>
      <c r="V160" s="114"/>
      <c r="W160" s="114"/>
      <c r="X160" s="114"/>
      <c r="Y160" s="112"/>
      <c r="Z160" s="125">
        <f t="shared" si="2"/>
        <v>37</v>
      </c>
      <c r="AA160" s="126" t="str">
        <f t="shared" si="3"/>
        <v>C</v>
      </c>
      <c r="AB160" s="117" t="str">
        <f t="shared" si="4"/>
        <v>⚠ MISSING: Call Date, Modality, Budget, Timeline, Decision Maker</v>
      </c>
      <c r="AC160" s="114" t="s">
        <v>100</v>
      </c>
      <c r="AD160" s="112"/>
      <c r="AE160" s="123"/>
    </row>
    <row r="161" ht="18.0" customHeight="1">
      <c r="A161" s="127" t="str">
        <f t="shared" si="1"/>
        <v>AYA-156</v>
      </c>
      <c r="B161" s="128">
        <v>45967.0</v>
      </c>
      <c r="C161" s="129" t="s">
        <v>1105</v>
      </c>
      <c r="D161" s="129" t="s">
        <v>947</v>
      </c>
      <c r="E161" s="130"/>
      <c r="F161" s="131" t="s">
        <v>1106</v>
      </c>
      <c r="G161" s="132" t="s">
        <v>551</v>
      </c>
      <c r="H161" s="132"/>
      <c r="I161" s="132" t="s">
        <v>74</v>
      </c>
      <c r="J161" s="132" t="s">
        <v>167</v>
      </c>
      <c r="K161" s="132" t="s">
        <v>1107</v>
      </c>
      <c r="L161" s="133" t="s">
        <v>148</v>
      </c>
      <c r="M161" s="134"/>
      <c r="N161" s="135"/>
      <c r="O161" s="135" t="s">
        <v>267</v>
      </c>
      <c r="P161" s="135" t="s">
        <v>375</v>
      </c>
      <c r="Q161" s="135" t="s">
        <v>173</v>
      </c>
      <c r="R161" s="134"/>
      <c r="S161" s="135"/>
      <c r="T161" s="132"/>
      <c r="U161" s="135"/>
      <c r="V161" s="135"/>
      <c r="W161" s="135"/>
      <c r="X161" s="135"/>
      <c r="Y161" s="132"/>
      <c r="Z161" s="136">
        <f t="shared" si="2"/>
        <v>37</v>
      </c>
      <c r="AA161" s="137" t="str">
        <f t="shared" si="3"/>
        <v>C</v>
      </c>
      <c r="AB161" s="138" t="str">
        <f t="shared" si="4"/>
        <v>⚠ MISSING: Call Date, Modality, Budget, Timeline, Decision Maker</v>
      </c>
      <c r="AC161" s="135" t="s">
        <v>100</v>
      </c>
      <c r="AD161" s="132"/>
      <c r="AE161" s="134"/>
    </row>
    <row r="162" ht="18.0" customHeight="1">
      <c r="A162" s="118" t="str">
        <f t="shared" si="1"/>
        <v>AYA-157</v>
      </c>
      <c r="B162" s="109">
        <v>45967.0</v>
      </c>
      <c r="C162" s="119" t="s">
        <v>1108</v>
      </c>
      <c r="D162" s="119" t="s">
        <v>1109</v>
      </c>
      <c r="E162" s="120"/>
      <c r="F162" s="121" t="s">
        <v>1110</v>
      </c>
      <c r="G162" s="112" t="s">
        <v>1111</v>
      </c>
      <c r="H162" s="112" t="s">
        <v>1112</v>
      </c>
      <c r="I162" s="112" t="s">
        <v>74</v>
      </c>
      <c r="J162" s="112" t="s">
        <v>163</v>
      </c>
      <c r="K162" s="112" t="s">
        <v>1113</v>
      </c>
      <c r="L162" s="122" t="s">
        <v>67</v>
      </c>
      <c r="M162" s="123">
        <v>45967.0</v>
      </c>
      <c r="N162" s="114" t="s">
        <v>266</v>
      </c>
      <c r="O162" s="114" t="s">
        <v>297</v>
      </c>
      <c r="P162" s="114" t="s">
        <v>274</v>
      </c>
      <c r="Q162" s="114" t="s">
        <v>173</v>
      </c>
      <c r="R162" s="123"/>
      <c r="S162" s="114"/>
      <c r="T162" s="112"/>
      <c r="U162" s="114"/>
      <c r="V162" s="114"/>
      <c r="W162" s="114"/>
      <c r="X162" s="114"/>
      <c r="Y162" s="112" t="s">
        <v>1114</v>
      </c>
      <c r="Z162" s="125">
        <f t="shared" si="2"/>
        <v>37</v>
      </c>
      <c r="AA162" s="126" t="str">
        <f t="shared" si="3"/>
        <v>C</v>
      </c>
      <c r="AB162" s="117" t="str">
        <f t="shared" si="4"/>
        <v>⚠ MISSING: Call Date, Modality, Budget, Timeline, Decision Maker</v>
      </c>
      <c r="AC162" s="114" t="s">
        <v>103</v>
      </c>
      <c r="AD162" s="112"/>
      <c r="AE162" s="123"/>
    </row>
    <row r="163" ht="18.0" customHeight="1">
      <c r="A163" s="127" t="str">
        <f t="shared" si="1"/>
        <v>AYA-158</v>
      </c>
      <c r="B163" s="128">
        <v>45974.0</v>
      </c>
      <c r="C163" s="129" t="s">
        <v>1115</v>
      </c>
      <c r="D163" s="129" t="s">
        <v>1116</v>
      </c>
      <c r="E163" s="130"/>
      <c r="F163" s="131" t="s">
        <v>1117</v>
      </c>
      <c r="G163" s="132" t="s">
        <v>1118</v>
      </c>
      <c r="H163" s="132"/>
      <c r="I163" s="132"/>
      <c r="J163" s="132" t="s">
        <v>167</v>
      </c>
      <c r="K163" s="132" t="s">
        <v>1119</v>
      </c>
      <c r="L163" s="133" t="s">
        <v>148</v>
      </c>
      <c r="M163" s="134"/>
      <c r="N163" s="135"/>
      <c r="O163" s="135" t="s">
        <v>267</v>
      </c>
      <c r="P163" s="135" t="s">
        <v>281</v>
      </c>
      <c r="Q163" s="135" t="s">
        <v>173</v>
      </c>
      <c r="R163" s="134"/>
      <c r="S163" s="135"/>
      <c r="T163" s="132"/>
      <c r="U163" s="135"/>
      <c r="V163" s="135"/>
      <c r="W163" s="135"/>
      <c r="X163" s="135"/>
      <c r="Y163" s="132"/>
      <c r="Z163" s="136">
        <f t="shared" si="2"/>
        <v>37</v>
      </c>
      <c r="AA163" s="137" t="str">
        <f t="shared" si="3"/>
        <v>C</v>
      </c>
      <c r="AB163" s="138" t="str">
        <f t="shared" si="4"/>
        <v>⚠ MISSING: Call Date, Modality, Budget, Timeline, Decision Maker</v>
      </c>
      <c r="AC163" s="135" t="s">
        <v>100</v>
      </c>
      <c r="AD163" s="132"/>
      <c r="AE163" s="134"/>
    </row>
    <row r="164" ht="18.0" customHeight="1">
      <c r="A164" s="118" t="str">
        <f t="shared" si="1"/>
        <v>AYA-159</v>
      </c>
      <c r="B164" s="109">
        <v>45974.0</v>
      </c>
      <c r="C164" s="119" t="s">
        <v>1120</v>
      </c>
      <c r="D164" s="119" t="s">
        <v>1121</v>
      </c>
      <c r="E164" s="120"/>
      <c r="F164" s="121" t="s">
        <v>1122</v>
      </c>
      <c r="G164" s="112" t="s">
        <v>1123</v>
      </c>
      <c r="H164" s="112" t="s">
        <v>1124</v>
      </c>
      <c r="I164" s="112" t="s">
        <v>1054</v>
      </c>
      <c r="J164" s="112" t="s">
        <v>167</v>
      </c>
      <c r="K164" s="112" t="s">
        <v>1125</v>
      </c>
      <c r="L164" s="122" t="s">
        <v>148</v>
      </c>
      <c r="M164" s="123"/>
      <c r="N164" s="114"/>
      <c r="O164" s="114" t="s">
        <v>267</v>
      </c>
      <c r="P164" s="114" t="s">
        <v>281</v>
      </c>
      <c r="Q164" s="114" t="s">
        <v>173</v>
      </c>
      <c r="R164" s="123"/>
      <c r="S164" s="114"/>
      <c r="T164" s="112"/>
      <c r="U164" s="114"/>
      <c r="V164" s="114"/>
      <c r="W164" s="114"/>
      <c r="X164" s="114"/>
      <c r="Y164" s="112"/>
      <c r="Z164" s="125">
        <f t="shared" si="2"/>
        <v>37</v>
      </c>
      <c r="AA164" s="126" t="str">
        <f t="shared" si="3"/>
        <v>C</v>
      </c>
      <c r="AB164" s="117" t="str">
        <f t="shared" si="4"/>
        <v>⚠ MISSING: Call Date, Modality, Budget, Timeline, Decision Maker</v>
      </c>
      <c r="AC164" s="114" t="s">
        <v>100</v>
      </c>
      <c r="AD164" s="112"/>
      <c r="AE164" s="123"/>
    </row>
    <row r="165" ht="18.0" customHeight="1">
      <c r="A165" s="127" t="str">
        <f t="shared" si="1"/>
        <v>AYA-160</v>
      </c>
      <c r="B165" s="128">
        <v>45975.0</v>
      </c>
      <c r="C165" s="129" t="s">
        <v>1126</v>
      </c>
      <c r="D165" s="129" t="s">
        <v>1127</v>
      </c>
      <c r="E165" s="130"/>
      <c r="F165" s="131" t="s">
        <v>1128</v>
      </c>
      <c r="G165" s="132" t="s">
        <v>1129</v>
      </c>
      <c r="H165" s="132" t="s">
        <v>1130</v>
      </c>
      <c r="I165" s="132"/>
      <c r="J165" s="132" t="s">
        <v>167</v>
      </c>
      <c r="K165" s="132" t="s">
        <v>1131</v>
      </c>
      <c r="L165" s="133" t="s">
        <v>148</v>
      </c>
      <c r="M165" s="134"/>
      <c r="N165" s="135"/>
      <c r="O165" s="135" t="s">
        <v>267</v>
      </c>
      <c r="P165" s="135" t="s">
        <v>281</v>
      </c>
      <c r="Q165" s="135" t="s">
        <v>173</v>
      </c>
      <c r="R165" s="134"/>
      <c r="S165" s="135"/>
      <c r="T165" s="132"/>
      <c r="U165" s="135"/>
      <c r="V165" s="135"/>
      <c r="W165" s="135"/>
      <c r="X165" s="135"/>
      <c r="Y165" s="132"/>
      <c r="Z165" s="136">
        <f t="shared" si="2"/>
        <v>37</v>
      </c>
      <c r="AA165" s="137" t="str">
        <f t="shared" si="3"/>
        <v>C</v>
      </c>
      <c r="AB165" s="138" t="str">
        <f t="shared" si="4"/>
        <v>⚠ MISSING: Call Date, Modality, Budget, Timeline, Decision Maker</v>
      </c>
      <c r="AC165" s="135" t="s">
        <v>100</v>
      </c>
      <c r="AD165" s="132"/>
      <c r="AE165" s="134"/>
    </row>
    <row r="166" ht="18.0" customHeight="1">
      <c r="A166" s="118" t="str">
        <f t="shared" si="1"/>
        <v>AYA-161</v>
      </c>
      <c r="B166" s="109">
        <v>45980.0</v>
      </c>
      <c r="C166" s="119" t="s">
        <v>1132</v>
      </c>
      <c r="D166" s="119" t="s">
        <v>1133</v>
      </c>
      <c r="E166" s="120"/>
      <c r="F166" s="121" t="s">
        <v>1134</v>
      </c>
      <c r="G166" s="112" t="s">
        <v>1135</v>
      </c>
      <c r="H166" s="112" t="s">
        <v>596</v>
      </c>
      <c r="I166" s="112" t="s">
        <v>72</v>
      </c>
      <c r="J166" s="112" t="s">
        <v>167</v>
      </c>
      <c r="K166" s="112" t="s">
        <v>1136</v>
      </c>
      <c r="L166" s="122" t="s">
        <v>148</v>
      </c>
      <c r="M166" s="123"/>
      <c r="N166" s="114"/>
      <c r="O166" s="114" t="s">
        <v>267</v>
      </c>
      <c r="P166" s="114" t="s">
        <v>303</v>
      </c>
      <c r="Q166" s="114" t="s">
        <v>173</v>
      </c>
      <c r="R166" s="123"/>
      <c r="S166" s="114"/>
      <c r="T166" s="112"/>
      <c r="U166" s="114"/>
      <c r="V166" s="114"/>
      <c r="W166" s="114"/>
      <c r="X166" s="114"/>
      <c r="Y166" s="112"/>
      <c r="Z166" s="125">
        <f t="shared" si="2"/>
        <v>37</v>
      </c>
      <c r="AA166" s="126" t="str">
        <f t="shared" si="3"/>
        <v>C</v>
      </c>
      <c r="AB166" s="117" t="str">
        <f t="shared" si="4"/>
        <v>⚠ MISSING: Call Date, Modality, Budget, Timeline, Decision Maker</v>
      </c>
      <c r="AC166" s="114" t="s">
        <v>100</v>
      </c>
      <c r="AD166" s="112"/>
      <c r="AE166" s="123"/>
    </row>
    <row r="167" ht="18.0" customHeight="1">
      <c r="A167" s="127" t="str">
        <f t="shared" si="1"/>
        <v>AYA-162</v>
      </c>
      <c r="B167" s="128">
        <v>45980.0</v>
      </c>
      <c r="C167" s="129" t="s">
        <v>1137</v>
      </c>
      <c r="D167" s="129" t="s">
        <v>1138</v>
      </c>
      <c r="E167" s="130"/>
      <c r="F167" s="131"/>
      <c r="G167" s="132" t="s">
        <v>1123</v>
      </c>
      <c r="H167" s="132" t="s">
        <v>1124</v>
      </c>
      <c r="I167" s="132"/>
      <c r="J167" s="132" t="s">
        <v>167</v>
      </c>
      <c r="K167" s="132" t="s">
        <v>1139</v>
      </c>
      <c r="L167" s="133" t="s">
        <v>148</v>
      </c>
      <c r="M167" s="134"/>
      <c r="N167" s="135"/>
      <c r="O167" s="135" t="s">
        <v>267</v>
      </c>
      <c r="P167" s="135" t="s">
        <v>375</v>
      </c>
      <c r="Q167" s="135" t="s">
        <v>173</v>
      </c>
      <c r="R167" s="134"/>
      <c r="S167" s="135"/>
      <c r="T167" s="132"/>
      <c r="U167" s="135"/>
      <c r="V167" s="135"/>
      <c r="W167" s="135"/>
      <c r="X167" s="135"/>
      <c r="Y167" s="132"/>
      <c r="Z167" s="136">
        <f t="shared" si="2"/>
        <v>37</v>
      </c>
      <c r="AA167" s="137" t="str">
        <f t="shared" si="3"/>
        <v>C</v>
      </c>
      <c r="AB167" s="138" t="str">
        <f t="shared" si="4"/>
        <v>⚠ MISSING: Call Date, Modality, Budget, Timeline, Decision Maker</v>
      </c>
      <c r="AC167" s="135" t="s">
        <v>100</v>
      </c>
      <c r="AD167" s="132"/>
      <c r="AE167" s="134"/>
    </row>
    <row r="168" ht="18.0" customHeight="1">
      <c r="A168" s="118" t="str">
        <f t="shared" si="1"/>
        <v>AYA-163</v>
      </c>
      <c r="B168" s="109">
        <v>45982.0</v>
      </c>
      <c r="C168" s="119" t="s">
        <v>1140</v>
      </c>
      <c r="D168" s="119" t="s">
        <v>1141</v>
      </c>
      <c r="E168" s="120"/>
      <c r="F168" s="121" t="s">
        <v>1142</v>
      </c>
      <c r="G168" s="112" t="s">
        <v>1143</v>
      </c>
      <c r="H168" s="112"/>
      <c r="I168" s="112" t="s">
        <v>1144</v>
      </c>
      <c r="J168" s="112" t="s">
        <v>161</v>
      </c>
      <c r="K168" s="112" t="s">
        <v>1145</v>
      </c>
      <c r="L168" s="122" t="s">
        <v>153</v>
      </c>
      <c r="M168" s="123">
        <v>45982.0</v>
      </c>
      <c r="N168" s="114" t="s">
        <v>266</v>
      </c>
      <c r="O168" s="114" t="s">
        <v>267</v>
      </c>
      <c r="P168" s="114" t="s">
        <v>281</v>
      </c>
      <c r="Q168" s="114" t="s">
        <v>173</v>
      </c>
      <c r="R168" s="123"/>
      <c r="S168" s="114"/>
      <c r="T168" s="112"/>
      <c r="U168" s="114"/>
      <c r="V168" s="114"/>
      <c r="W168" s="114"/>
      <c r="X168" s="114"/>
      <c r="Y168" s="112" t="s">
        <v>1146</v>
      </c>
      <c r="Z168" s="125">
        <f t="shared" si="2"/>
        <v>37</v>
      </c>
      <c r="AA168" s="126" t="str">
        <f t="shared" si="3"/>
        <v>C</v>
      </c>
      <c r="AB168" s="117" t="str">
        <f t="shared" si="4"/>
        <v>⚠ MISSING: Call Date, Modality, Budget, Timeline, Decision Maker</v>
      </c>
      <c r="AC168" s="114" t="s">
        <v>101</v>
      </c>
      <c r="AD168" s="112"/>
      <c r="AE168" s="123"/>
    </row>
    <row r="169" ht="18.0" customHeight="1">
      <c r="A169" s="127" t="str">
        <f t="shared" si="1"/>
        <v>AYA-164</v>
      </c>
      <c r="B169" s="128">
        <v>45985.0</v>
      </c>
      <c r="C169" s="129" t="s">
        <v>1147</v>
      </c>
      <c r="D169" s="129" t="s">
        <v>1148</v>
      </c>
      <c r="E169" s="130"/>
      <c r="F169" s="131" t="s">
        <v>1149</v>
      </c>
      <c r="G169" s="132"/>
      <c r="H169" s="132"/>
      <c r="I169" s="132" t="s">
        <v>1150</v>
      </c>
      <c r="J169" s="132" t="s">
        <v>161</v>
      </c>
      <c r="K169" s="132" t="s">
        <v>1151</v>
      </c>
      <c r="L169" s="133" t="s">
        <v>148</v>
      </c>
      <c r="M169" s="134"/>
      <c r="N169" s="135"/>
      <c r="O169" s="135" t="s">
        <v>267</v>
      </c>
      <c r="P169" s="135" t="s">
        <v>281</v>
      </c>
      <c r="Q169" s="135" t="s">
        <v>173</v>
      </c>
      <c r="R169" s="134"/>
      <c r="S169" s="135"/>
      <c r="T169" s="132"/>
      <c r="U169" s="135"/>
      <c r="V169" s="135"/>
      <c r="W169" s="135"/>
      <c r="X169" s="135"/>
      <c r="Y169" s="132"/>
      <c r="Z169" s="136">
        <f t="shared" si="2"/>
        <v>22</v>
      </c>
      <c r="AA169" s="137" t="str">
        <f t="shared" si="3"/>
        <v>D</v>
      </c>
      <c r="AB169" s="138" t="str">
        <f t="shared" si="4"/>
        <v>⚠ MISSING: Call Date, Modality, Budget, Timeline, Decision Maker</v>
      </c>
      <c r="AC169" s="135" t="s">
        <v>100</v>
      </c>
      <c r="AD169" s="132"/>
      <c r="AE169" s="134"/>
    </row>
    <row r="170" ht="18.0" customHeight="1">
      <c r="A170" s="118" t="str">
        <f t="shared" si="1"/>
        <v>AYA-165</v>
      </c>
      <c r="B170" s="109">
        <v>45987.0</v>
      </c>
      <c r="C170" s="119" t="s">
        <v>1152</v>
      </c>
      <c r="D170" s="119" t="s">
        <v>1153</v>
      </c>
      <c r="E170" s="120"/>
      <c r="F170" s="121" t="s">
        <v>1154</v>
      </c>
      <c r="G170" s="112" t="s">
        <v>1155</v>
      </c>
      <c r="H170" s="112"/>
      <c r="I170" s="112" t="s">
        <v>1039</v>
      </c>
      <c r="J170" s="112" t="s">
        <v>163</v>
      </c>
      <c r="K170" s="112" t="s">
        <v>1156</v>
      </c>
      <c r="L170" s="122" t="s">
        <v>148</v>
      </c>
      <c r="M170" s="123"/>
      <c r="N170" s="114"/>
      <c r="O170" s="114" t="s">
        <v>267</v>
      </c>
      <c r="P170" s="114" t="s">
        <v>281</v>
      </c>
      <c r="Q170" s="114" t="s">
        <v>173</v>
      </c>
      <c r="R170" s="123"/>
      <c r="S170" s="114"/>
      <c r="T170" s="112"/>
      <c r="U170" s="114"/>
      <c r="V170" s="114"/>
      <c r="W170" s="114"/>
      <c r="X170" s="114"/>
      <c r="Y170" s="112"/>
      <c r="Z170" s="125">
        <f t="shared" si="2"/>
        <v>37</v>
      </c>
      <c r="AA170" s="126" t="str">
        <f t="shared" si="3"/>
        <v>C</v>
      </c>
      <c r="AB170" s="117" t="str">
        <f t="shared" si="4"/>
        <v>⚠ MISSING: Call Date, Modality, Budget, Timeline, Decision Maker</v>
      </c>
      <c r="AC170" s="114" t="s">
        <v>100</v>
      </c>
      <c r="AD170" s="112"/>
      <c r="AE170" s="123"/>
    </row>
    <row r="171" ht="18.0" customHeight="1">
      <c r="A171" s="127" t="str">
        <f t="shared" si="1"/>
        <v>AYA-166</v>
      </c>
      <c r="B171" s="128">
        <v>45988.0</v>
      </c>
      <c r="C171" s="129" t="s">
        <v>1157</v>
      </c>
      <c r="D171" s="129" t="s">
        <v>277</v>
      </c>
      <c r="E171" s="130"/>
      <c r="F171" s="131" t="s">
        <v>1158</v>
      </c>
      <c r="G171" s="132"/>
      <c r="H171" s="132"/>
      <c r="I171" s="132" t="s">
        <v>1033</v>
      </c>
      <c r="J171" s="132" t="s">
        <v>167</v>
      </c>
      <c r="K171" s="132" t="s">
        <v>1159</v>
      </c>
      <c r="L171" s="133" t="s">
        <v>148</v>
      </c>
      <c r="M171" s="134"/>
      <c r="N171" s="135"/>
      <c r="O171" s="135" t="s">
        <v>267</v>
      </c>
      <c r="P171" s="135" t="s">
        <v>281</v>
      </c>
      <c r="Q171" s="135" t="s">
        <v>173</v>
      </c>
      <c r="R171" s="134"/>
      <c r="S171" s="135"/>
      <c r="T171" s="132"/>
      <c r="U171" s="135"/>
      <c r="V171" s="135"/>
      <c r="W171" s="135"/>
      <c r="X171" s="135"/>
      <c r="Y171" s="132"/>
      <c r="Z171" s="136">
        <f t="shared" si="2"/>
        <v>22</v>
      </c>
      <c r="AA171" s="137" t="str">
        <f t="shared" si="3"/>
        <v>D</v>
      </c>
      <c r="AB171" s="138" t="str">
        <f t="shared" si="4"/>
        <v>⚠ MISSING: Call Date, Modality, Budget, Timeline, Decision Maker</v>
      </c>
      <c r="AC171" s="135" t="s">
        <v>100</v>
      </c>
      <c r="AD171" s="132"/>
      <c r="AE171" s="134"/>
    </row>
    <row r="172" ht="18.0" customHeight="1">
      <c r="A172" s="118" t="str">
        <f t="shared" si="1"/>
        <v>AYA-167</v>
      </c>
      <c r="B172" s="109">
        <v>45995.0</v>
      </c>
      <c r="C172" s="119" t="s">
        <v>1160</v>
      </c>
      <c r="D172" s="119" t="s">
        <v>1161</v>
      </c>
      <c r="E172" s="120"/>
      <c r="F172" s="121" t="s">
        <v>1162</v>
      </c>
      <c r="G172" s="112"/>
      <c r="H172" s="112"/>
      <c r="I172" s="112" t="s">
        <v>1039</v>
      </c>
      <c r="J172" s="112"/>
      <c r="K172" s="112" t="s">
        <v>1163</v>
      </c>
      <c r="L172" s="122" t="s">
        <v>67</v>
      </c>
      <c r="M172" s="123"/>
      <c r="N172" s="114"/>
      <c r="O172" s="114" t="s">
        <v>267</v>
      </c>
      <c r="P172" s="124" t="s">
        <v>274</v>
      </c>
      <c r="Q172" s="114" t="s">
        <v>173</v>
      </c>
      <c r="R172" s="123"/>
      <c r="S172" s="114"/>
      <c r="T172" s="112"/>
      <c r="U172" s="114"/>
      <c r="V172" s="114"/>
      <c r="W172" s="114"/>
      <c r="X172" s="114"/>
      <c r="Y172" s="112"/>
      <c r="Z172" s="125">
        <f t="shared" si="2"/>
        <v>22</v>
      </c>
      <c r="AA172" s="126" t="str">
        <f t="shared" si="3"/>
        <v>D</v>
      </c>
      <c r="AB172" s="117" t="str">
        <f t="shared" si="4"/>
        <v>⚠ MISSING: Call Date, Modality, Budget, Timeline, Decision Maker</v>
      </c>
      <c r="AC172" s="114" t="s">
        <v>100</v>
      </c>
      <c r="AD172" s="112"/>
      <c r="AE172" s="123"/>
    </row>
    <row r="173" ht="18.0" customHeight="1">
      <c r="A173" s="127" t="str">
        <f t="shared" si="1"/>
        <v>AYA-168</v>
      </c>
      <c r="B173" s="128">
        <v>45998.0</v>
      </c>
      <c r="C173" s="129" t="s">
        <v>1164</v>
      </c>
      <c r="D173" s="129" t="s">
        <v>1165</v>
      </c>
      <c r="E173" s="130"/>
      <c r="F173" s="131" t="s">
        <v>1166</v>
      </c>
      <c r="G173" s="132" t="s">
        <v>1167</v>
      </c>
      <c r="H173" s="132" t="s">
        <v>1168</v>
      </c>
      <c r="I173" s="132" t="s">
        <v>1169</v>
      </c>
      <c r="J173" s="132" t="s">
        <v>161</v>
      </c>
      <c r="K173" s="132" t="s">
        <v>1170</v>
      </c>
      <c r="L173" s="133" t="s">
        <v>148</v>
      </c>
      <c r="M173" s="134"/>
      <c r="N173" s="135"/>
      <c r="O173" s="135" t="s">
        <v>267</v>
      </c>
      <c r="P173" s="135"/>
      <c r="Q173" s="135" t="s">
        <v>173</v>
      </c>
      <c r="R173" s="134"/>
      <c r="S173" s="135"/>
      <c r="T173" s="132"/>
      <c r="U173" s="135"/>
      <c r="V173" s="135"/>
      <c r="W173" s="135"/>
      <c r="X173" s="135"/>
      <c r="Y173" s="132"/>
      <c r="Z173" s="136">
        <f t="shared" si="2"/>
        <v>27</v>
      </c>
      <c r="AA173" s="137" t="str">
        <f t="shared" si="3"/>
        <v>C</v>
      </c>
      <c r="AB173" s="138" t="str">
        <f t="shared" si="4"/>
        <v>⚠ MISSING: Call Date, Modality, Budget, Timeline, Decision Maker</v>
      </c>
      <c r="AC173" s="135" t="s">
        <v>100</v>
      </c>
      <c r="AD173" s="132"/>
      <c r="AE173" s="134"/>
    </row>
    <row r="174" ht="18.0" customHeight="1">
      <c r="A174" s="118" t="str">
        <f t="shared" si="1"/>
        <v>AYA-169</v>
      </c>
      <c r="B174" s="109">
        <v>45999.0</v>
      </c>
      <c r="C174" s="119" t="s">
        <v>634</v>
      </c>
      <c r="D174" s="119" t="s">
        <v>1171</v>
      </c>
      <c r="E174" s="120"/>
      <c r="F174" s="121" t="s">
        <v>1172</v>
      </c>
      <c r="G174" s="112" t="s">
        <v>1173</v>
      </c>
      <c r="H174" s="112"/>
      <c r="I174" s="112" t="s">
        <v>1033</v>
      </c>
      <c r="J174" s="112" t="s">
        <v>167</v>
      </c>
      <c r="K174" s="112" t="s">
        <v>1174</v>
      </c>
      <c r="L174" s="122" t="s">
        <v>148</v>
      </c>
      <c r="M174" s="123"/>
      <c r="N174" s="114"/>
      <c r="O174" s="114" t="s">
        <v>267</v>
      </c>
      <c r="P174" s="114"/>
      <c r="Q174" s="114" t="s">
        <v>173</v>
      </c>
      <c r="R174" s="123"/>
      <c r="S174" s="114"/>
      <c r="T174" s="112"/>
      <c r="U174" s="114"/>
      <c r="V174" s="114"/>
      <c r="W174" s="114"/>
      <c r="X174" s="114"/>
      <c r="Y174" s="112"/>
      <c r="Z174" s="125">
        <f t="shared" si="2"/>
        <v>27</v>
      </c>
      <c r="AA174" s="126" t="str">
        <f t="shared" si="3"/>
        <v>C</v>
      </c>
      <c r="AB174" s="117" t="str">
        <f t="shared" si="4"/>
        <v>⚠ MISSING: Call Date, Modality, Budget, Timeline, Decision Maker</v>
      </c>
      <c r="AC174" s="114" t="s">
        <v>100</v>
      </c>
      <c r="AD174" s="112"/>
      <c r="AE174" s="123"/>
    </row>
    <row r="175" ht="18.0" customHeight="1">
      <c r="A175" s="127" t="str">
        <f t="shared" si="1"/>
        <v>AYA-170</v>
      </c>
      <c r="B175" s="128">
        <v>46001.0</v>
      </c>
      <c r="C175" s="129" t="s">
        <v>1175</v>
      </c>
      <c r="D175" s="129" t="s">
        <v>1176</v>
      </c>
      <c r="E175" s="130"/>
      <c r="F175" s="131" t="s">
        <v>1177</v>
      </c>
      <c r="G175" s="132" t="s">
        <v>1178</v>
      </c>
      <c r="H175" s="132"/>
      <c r="I175" s="132" t="s">
        <v>1039</v>
      </c>
      <c r="J175" s="132" t="s">
        <v>161</v>
      </c>
      <c r="K175" s="132" t="s">
        <v>1179</v>
      </c>
      <c r="L175" s="133" t="s">
        <v>148</v>
      </c>
      <c r="M175" s="134"/>
      <c r="N175" s="135"/>
      <c r="O175" s="135" t="s">
        <v>267</v>
      </c>
      <c r="P175" s="135"/>
      <c r="Q175" s="135" t="s">
        <v>173</v>
      </c>
      <c r="R175" s="134"/>
      <c r="S175" s="135"/>
      <c r="T175" s="132"/>
      <c r="U175" s="135"/>
      <c r="V175" s="135"/>
      <c r="W175" s="135"/>
      <c r="X175" s="135"/>
      <c r="Y175" s="132"/>
      <c r="Z175" s="136">
        <f t="shared" si="2"/>
        <v>27</v>
      </c>
      <c r="AA175" s="137" t="str">
        <f t="shared" si="3"/>
        <v>C</v>
      </c>
      <c r="AB175" s="138" t="str">
        <f t="shared" si="4"/>
        <v>⚠ MISSING: Call Date, Modality, Budget, Timeline, Decision Maker</v>
      </c>
      <c r="AC175" s="135" t="s">
        <v>100</v>
      </c>
      <c r="AD175" s="132"/>
      <c r="AE175" s="134"/>
    </row>
    <row r="176" ht="18.0" customHeight="1">
      <c r="A176" s="118" t="str">
        <f t="shared" si="1"/>
        <v>AYA-171</v>
      </c>
      <c r="B176" s="109">
        <v>46002.0</v>
      </c>
      <c r="C176" s="119" t="s">
        <v>1180</v>
      </c>
      <c r="D176" s="119" t="s">
        <v>1181</v>
      </c>
      <c r="E176" s="120"/>
      <c r="F176" s="121" t="s">
        <v>1182</v>
      </c>
      <c r="G176" s="112" t="s">
        <v>1183</v>
      </c>
      <c r="H176" s="112"/>
      <c r="I176" s="112"/>
      <c r="J176" s="112" t="s">
        <v>159</v>
      </c>
      <c r="K176" s="112" t="s">
        <v>1184</v>
      </c>
      <c r="L176" s="122" t="s">
        <v>148</v>
      </c>
      <c r="M176" s="123"/>
      <c r="N176" s="114"/>
      <c r="O176" s="114" t="s">
        <v>267</v>
      </c>
      <c r="P176" s="114"/>
      <c r="Q176" s="114" t="s">
        <v>173</v>
      </c>
      <c r="R176" s="123"/>
      <c r="S176" s="114"/>
      <c r="T176" s="112"/>
      <c r="U176" s="114"/>
      <c r="V176" s="114"/>
      <c r="W176" s="114"/>
      <c r="X176" s="114"/>
      <c r="Y176" s="112"/>
      <c r="Z176" s="125">
        <f t="shared" si="2"/>
        <v>27</v>
      </c>
      <c r="AA176" s="126" t="str">
        <f t="shared" si="3"/>
        <v>C</v>
      </c>
      <c r="AB176" s="117" t="str">
        <f t="shared" si="4"/>
        <v>⚠ MISSING: Call Date, Modality, Budget, Timeline, Decision Maker</v>
      </c>
      <c r="AC176" s="114" t="s">
        <v>100</v>
      </c>
      <c r="AD176" s="112"/>
      <c r="AE176" s="123"/>
    </row>
    <row r="177" ht="18.0" customHeight="1">
      <c r="A177" s="127" t="str">
        <f t="shared" si="1"/>
        <v>AYA-172</v>
      </c>
      <c r="B177" s="128">
        <v>46004.0</v>
      </c>
      <c r="C177" s="129" t="s">
        <v>1185</v>
      </c>
      <c r="D177" s="129" t="s">
        <v>1186</v>
      </c>
      <c r="E177" s="130"/>
      <c r="F177" s="131" t="s">
        <v>1187</v>
      </c>
      <c r="G177" s="132" t="s">
        <v>1188</v>
      </c>
      <c r="H177" s="132"/>
      <c r="I177" s="132" t="s">
        <v>1033</v>
      </c>
      <c r="J177" s="132" t="s">
        <v>159</v>
      </c>
      <c r="K177" s="132" t="s">
        <v>1189</v>
      </c>
      <c r="L177" s="133" t="s">
        <v>148</v>
      </c>
      <c r="M177" s="134">
        <v>46004.0</v>
      </c>
      <c r="N177" s="135" t="s">
        <v>266</v>
      </c>
      <c r="O177" s="135" t="s">
        <v>267</v>
      </c>
      <c r="P177" s="135"/>
      <c r="Q177" s="135" t="s">
        <v>173</v>
      </c>
      <c r="R177" s="139" t="s">
        <v>1190</v>
      </c>
      <c r="S177" s="135"/>
      <c r="T177" s="132"/>
      <c r="U177" s="135"/>
      <c r="V177" s="135"/>
      <c r="W177" s="135"/>
      <c r="X177" s="135"/>
      <c r="Y177" s="132" t="s">
        <v>1191</v>
      </c>
      <c r="Z177" s="136">
        <f t="shared" si="2"/>
        <v>27</v>
      </c>
      <c r="AA177" s="137" t="str">
        <f t="shared" si="3"/>
        <v>C</v>
      </c>
      <c r="AB177" s="138" t="str">
        <f t="shared" si="4"/>
        <v>⚠ MISSING: Modality, Budget, Timeline, Decision Maker</v>
      </c>
      <c r="AC177" s="135" t="s">
        <v>103</v>
      </c>
      <c r="AD177" s="132"/>
      <c r="AE177" s="134"/>
    </row>
    <row r="178" ht="18.0" customHeight="1">
      <c r="A178" s="118" t="str">
        <f t="shared" si="1"/>
        <v>AYA-173</v>
      </c>
      <c r="B178" s="109">
        <v>46007.0</v>
      </c>
      <c r="C178" s="119" t="s">
        <v>1192</v>
      </c>
      <c r="D178" s="119" t="s">
        <v>1193</v>
      </c>
      <c r="E178" s="120"/>
      <c r="F178" s="121" t="s">
        <v>1194</v>
      </c>
      <c r="G178" s="112" t="s">
        <v>1195</v>
      </c>
      <c r="H178" s="112"/>
      <c r="I178" s="112" t="s">
        <v>1039</v>
      </c>
      <c r="J178" s="112" t="s">
        <v>161</v>
      </c>
      <c r="K178" s="112" t="s">
        <v>1196</v>
      </c>
      <c r="L178" s="122" t="s">
        <v>148</v>
      </c>
      <c r="M178" s="123"/>
      <c r="N178" s="114"/>
      <c r="O178" s="114" t="s">
        <v>267</v>
      </c>
      <c r="P178" s="114"/>
      <c r="Q178" s="114" t="s">
        <v>173</v>
      </c>
      <c r="R178" s="123"/>
      <c r="S178" s="114"/>
      <c r="T178" s="112"/>
      <c r="U178" s="114"/>
      <c r="V178" s="114"/>
      <c r="W178" s="114"/>
      <c r="X178" s="114"/>
      <c r="Y178" s="112"/>
      <c r="Z178" s="125">
        <f t="shared" si="2"/>
        <v>27</v>
      </c>
      <c r="AA178" s="126" t="str">
        <f t="shared" si="3"/>
        <v>C</v>
      </c>
      <c r="AB178" s="117" t="str">
        <f t="shared" si="4"/>
        <v>⚠ MISSING: Call Date, Modality, Budget, Timeline, Decision Maker</v>
      </c>
      <c r="AC178" s="114" t="s">
        <v>100</v>
      </c>
      <c r="AD178" s="112"/>
      <c r="AE178" s="123"/>
    </row>
    <row r="179" ht="18.0" customHeight="1">
      <c r="A179" s="127" t="str">
        <f t="shared" si="1"/>
        <v>AYA-174</v>
      </c>
      <c r="B179" s="128">
        <v>46014.0</v>
      </c>
      <c r="C179" s="129" t="s">
        <v>1197</v>
      </c>
      <c r="D179" s="129"/>
      <c r="E179" s="130"/>
      <c r="F179" s="131"/>
      <c r="G179" s="132" t="s">
        <v>1198</v>
      </c>
      <c r="H179" s="132"/>
      <c r="I179" s="132" t="s">
        <v>1054</v>
      </c>
      <c r="J179" s="132" t="s">
        <v>167</v>
      </c>
      <c r="K179" s="132" t="s">
        <v>1199</v>
      </c>
      <c r="L179" s="133" t="s">
        <v>148</v>
      </c>
      <c r="M179" s="134"/>
      <c r="N179" s="135"/>
      <c r="O179" s="135" t="s">
        <v>267</v>
      </c>
      <c r="P179" s="135"/>
      <c r="Q179" s="135" t="s">
        <v>173</v>
      </c>
      <c r="R179" s="134"/>
      <c r="S179" s="135"/>
      <c r="T179" s="132"/>
      <c r="U179" s="135"/>
      <c r="V179" s="135"/>
      <c r="W179" s="135"/>
      <c r="X179" s="135"/>
      <c r="Y179" s="132"/>
      <c r="Z179" s="136">
        <f t="shared" si="2"/>
        <v>27</v>
      </c>
      <c r="AA179" s="137" t="str">
        <f t="shared" si="3"/>
        <v>C</v>
      </c>
      <c r="AB179" s="138" t="str">
        <f t="shared" si="4"/>
        <v>⚠ MISSING: Call Date, Modality, Budget, Timeline, Decision Maker</v>
      </c>
      <c r="AC179" s="135" t="s">
        <v>100</v>
      </c>
      <c r="AD179" s="132"/>
      <c r="AE179" s="134"/>
    </row>
    <row r="180" ht="18.0" customHeight="1">
      <c r="A180" s="118" t="str">
        <f t="shared" si="1"/>
        <v>AYA-175</v>
      </c>
      <c r="B180" s="109">
        <v>46020.0</v>
      </c>
      <c r="C180" s="119" t="s">
        <v>151</v>
      </c>
      <c r="D180" s="119" t="s">
        <v>1200</v>
      </c>
      <c r="E180" s="120"/>
      <c r="F180" s="121" t="s">
        <v>1201</v>
      </c>
      <c r="G180" s="112" t="s">
        <v>1202</v>
      </c>
      <c r="H180" s="112" t="s">
        <v>1203</v>
      </c>
      <c r="I180" s="112"/>
      <c r="J180" s="112" t="s">
        <v>167</v>
      </c>
      <c r="K180" s="112" t="s">
        <v>1204</v>
      </c>
      <c r="L180" s="122" t="s">
        <v>148</v>
      </c>
      <c r="M180" s="123"/>
      <c r="N180" s="114"/>
      <c r="O180" s="114" t="s">
        <v>267</v>
      </c>
      <c r="P180" s="114"/>
      <c r="Q180" s="114" t="s">
        <v>173</v>
      </c>
      <c r="R180" s="123"/>
      <c r="S180" s="114"/>
      <c r="T180" s="112"/>
      <c r="U180" s="114"/>
      <c r="V180" s="114"/>
      <c r="W180" s="114"/>
      <c r="X180" s="114"/>
      <c r="Y180" s="112"/>
      <c r="Z180" s="125">
        <f t="shared" si="2"/>
        <v>27</v>
      </c>
      <c r="AA180" s="126" t="str">
        <f t="shared" si="3"/>
        <v>C</v>
      </c>
      <c r="AB180" s="117" t="str">
        <f t="shared" si="4"/>
        <v>⚠ MISSING: Call Date, Modality, Budget, Timeline, Decision Maker</v>
      </c>
      <c r="AC180" s="114" t="s">
        <v>100</v>
      </c>
      <c r="AD180" s="112"/>
      <c r="AE180" s="123"/>
    </row>
    <row r="181" ht="18.0" customHeight="1">
      <c r="A181" s="118" t="str">
        <f t="shared" si="1"/>
        <v>AYA-176</v>
      </c>
      <c r="B181" s="140">
        <v>45932.0</v>
      </c>
      <c r="C181" s="119" t="s">
        <v>910</v>
      </c>
      <c r="D181" s="119" t="s">
        <v>911</v>
      </c>
      <c r="E181" s="120"/>
      <c r="F181" s="121" t="s">
        <v>912</v>
      </c>
      <c r="G181" s="112" t="s">
        <v>1205</v>
      </c>
      <c r="H181" s="112" t="s">
        <v>596</v>
      </c>
      <c r="I181" s="112" t="s">
        <v>74</v>
      </c>
      <c r="J181" s="112" t="s">
        <v>1206</v>
      </c>
      <c r="K181" s="112"/>
      <c r="L181" s="122" t="s">
        <v>155</v>
      </c>
      <c r="M181" s="123">
        <v>45932.0</v>
      </c>
      <c r="N181" s="114" t="s">
        <v>266</v>
      </c>
      <c r="O181" s="114" t="s">
        <v>297</v>
      </c>
      <c r="P181" s="114" t="s">
        <v>274</v>
      </c>
      <c r="Q181" s="114" t="s">
        <v>173</v>
      </c>
      <c r="R181" s="123">
        <v>45932.0</v>
      </c>
      <c r="S181" s="114" t="s">
        <v>1207</v>
      </c>
      <c r="T181" s="112"/>
      <c r="U181" s="114" t="s">
        <v>1208</v>
      </c>
      <c r="V181" s="114"/>
      <c r="W181" s="114" t="s">
        <v>1209</v>
      </c>
      <c r="X181" s="114" t="s">
        <v>65</v>
      </c>
      <c r="Y181" s="112" t="s">
        <v>1210</v>
      </c>
      <c r="Z181" s="125">
        <v>40.0</v>
      </c>
      <c r="AA181" s="126" t="s">
        <v>1211</v>
      </c>
      <c r="AB181" s="117" t="s">
        <v>1212</v>
      </c>
      <c r="AC181" s="114" t="s">
        <v>259</v>
      </c>
      <c r="AD181" s="112" t="s">
        <v>1213</v>
      </c>
      <c r="AE181" s="123"/>
    </row>
    <row r="182" ht="18.0" customHeight="1">
      <c r="A182" s="118" t="str">
        <f t="shared" si="1"/>
        <v>AYA-177</v>
      </c>
      <c r="B182" s="141">
        <v>45936.0</v>
      </c>
      <c r="C182" s="119" t="s">
        <v>981</v>
      </c>
      <c r="D182" s="119" t="s">
        <v>982</v>
      </c>
      <c r="E182" s="120" t="s">
        <v>1214</v>
      </c>
      <c r="F182" s="121" t="s">
        <v>983</v>
      </c>
      <c r="G182" s="112" t="s">
        <v>1215</v>
      </c>
      <c r="H182" s="112" t="s">
        <v>1216</v>
      </c>
      <c r="I182" s="112" t="s">
        <v>74</v>
      </c>
      <c r="J182" s="112" t="s">
        <v>163</v>
      </c>
      <c r="K182" s="112"/>
      <c r="L182" s="122" t="s">
        <v>155</v>
      </c>
      <c r="M182" s="123">
        <v>45952.0</v>
      </c>
      <c r="N182" s="114" t="s">
        <v>266</v>
      </c>
      <c r="O182" s="114" t="s">
        <v>297</v>
      </c>
      <c r="P182" s="114" t="s">
        <v>274</v>
      </c>
      <c r="Q182" s="114" t="s">
        <v>173</v>
      </c>
      <c r="R182" s="123">
        <v>45954.0</v>
      </c>
      <c r="S182" s="114" t="s">
        <v>1207</v>
      </c>
      <c r="T182" s="112"/>
      <c r="U182" s="114" t="s">
        <v>1217</v>
      </c>
      <c r="V182" s="114" t="s">
        <v>1218</v>
      </c>
      <c r="W182" s="114" t="s">
        <v>1219</v>
      </c>
      <c r="X182" s="114" t="s">
        <v>62</v>
      </c>
      <c r="Y182" s="112" t="s">
        <v>1220</v>
      </c>
      <c r="Z182" s="125">
        <v>30.0</v>
      </c>
      <c r="AA182" s="126" t="s">
        <v>1211</v>
      </c>
      <c r="AB182" s="117" t="s">
        <v>1221</v>
      </c>
      <c r="AC182" s="114" t="s">
        <v>102</v>
      </c>
      <c r="AD182" s="112"/>
      <c r="AE182" s="123"/>
    </row>
    <row r="183" ht="18.0" customHeight="1">
      <c r="A183" s="127" t="str">
        <f t="shared" si="1"/>
        <v>AYA-178</v>
      </c>
      <c r="B183" s="140">
        <v>45995.0</v>
      </c>
      <c r="C183" s="129" t="s">
        <v>1222</v>
      </c>
      <c r="D183" s="129" t="s">
        <v>1223</v>
      </c>
      <c r="E183" s="130" t="s">
        <v>1224</v>
      </c>
      <c r="F183" s="131" t="s">
        <v>1225</v>
      </c>
      <c r="G183" s="132" t="s">
        <v>1226</v>
      </c>
      <c r="H183" s="132" t="s">
        <v>1227</v>
      </c>
      <c r="I183" s="132" t="s">
        <v>74</v>
      </c>
      <c r="J183" s="132" t="s">
        <v>167</v>
      </c>
      <c r="K183" s="132" t="s">
        <v>1228</v>
      </c>
      <c r="L183" s="133" t="s">
        <v>155</v>
      </c>
      <c r="M183" s="134">
        <v>45995.0</v>
      </c>
      <c r="N183" s="135" t="s">
        <v>266</v>
      </c>
      <c r="O183" s="135" t="s">
        <v>297</v>
      </c>
      <c r="P183" s="135" t="s">
        <v>274</v>
      </c>
      <c r="Q183" s="135" t="s">
        <v>173</v>
      </c>
      <c r="R183" s="134">
        <v>46080.0</v>
      </c>
      <c r="S183" s="135" t="s">
        <v>1229</v>
      </c>
      <c r="T183" s="132"/>
      <c r="U183" s="135" t="s">
        <v>1217</v>
      </c>
      <c r="V183" s="135" t="s">
        <v>1218</v>
      </c>
      <c r="W183" s="135" t="s">
        <v>1219</v>
      </c>
      <c r="X183" s="135" t="s">
        <v>1230</v>
      </c>
      <c r="Y183" s="132" t="s">
        <v>1231</v>
      </c>
      <c r="Z183" s="136">
        <v>42.0</v>
      </c>
      <c r="AA183" s="137" t="s">
        <v>1211</v>
      </c>
      <c r="AB183" s="138" t="s">
        <v>1221</v>
      </c>
      <c r="AC183" s="135" t="s">
        <v>101</v>
      </c>
      <c r="AD183" s="132"/>
      <c r="AE183" s="134"/>
    </row>
    <row r="184" ht="18.0" customHeight="1">
      <c r="A184" s="118" t="str">
        <f t="shared" si="1"/>
        <v>AYA-179</v>
      </c>
      <c r="B184" s="109">
        <v>46036.0</v>
      </c>
      <c r="C184" s="119" t="s">
        <v>1232</v>
      </c>
      <c r="D184" s="119" t="s">
        <v>1004</v>
      </c>
      <c r="E184" s="120"/>
      <c r="F184" s="121" t="s">
        <v>1233</v>
      </c>
      <c r="G184" s="112" t="s">
        <v>1234</v>
      </c>
      <c r="H184" s="112"/>
      <c r="I184" s="112" t="s">
        <v>1235</v>
      </c>
      <c r="J184" s="112" t="s">
        <v>161</v>
      </c>
      <c r="K184" s="112" t="s">
        <v>1236</v>
      </c>
      <c r="L184" s="122" t="s">
        <v>148</v>
      </c>
      <c r="M184" s="123"/>
      <c r="N184" s="114"/>
      <c r="O184" s="114" t="s">
        <v>297</v>
      </c>
      <c r="P184" s="114"/>
      <c r="Q184" s="114" t="s">
        <v>173</v>
      </c>
      <c r="R184" s="123"/>
      <c r="S184" s="114"/>
      <c r="T184" s="112"/>
      <c r="U184" s="114"/>
      <c r="V184" s="114"/>
      <c r="W184" s="114"/>
      <c r="X184" s="114"/>
      <c r="Y184" s="112"/>
      <c r="Z184" s="125">
        <f t="shared" ref="Z184:Z222" si="5">IF(C184="","",(IF(OR(P184="Data Annotation",P184="GenAI / LLM Eval",P184="Medical Annotation"),25,IF(OR(P184="AI Consulting",P184="Data Collection"),18,IF(P184&lt;&gt;"",10,0)))+IF(AND(K184&lt;&gt;"",LEN(K184)&gt;50,T184&lt;&gt;""),20,IF(AND(K184&lt;&gt;"",LEN(K184)&gt;20),12,IF(K184&lt;&gt;"",5,0)))+IF(OR(U184="$100k–$500k",U184="$500k+"),20,IF(OR(U184="$25k–$100k"),15,IF(OR(U184="$5k–$25k"),10,IF(U184="$1k–$5k",5,0))))+IF(AND(G184&lt;&gt;"",G184&lt;&gt;"-"),15,IF(G184&lt;&gt;"",8,0))+IF(V184="Immediate (this month)",10,IF(V184="Short-term (1–3 months)",7,IF(V184="Medium (3–6 months)",4,0)))+IF(W184="Yes",10,IF(W184="Unclear",5,0))))</f>
        <v>27</v>
      </c>
      <c r="AA184" s="126" t="str">
        <f t="shared" ref="AA184:AA222" si="6">IF(Z184="","",IF(Z184&gt;=75,"A",IF(Z184&gt;=50,"B",IF(Z184&gt;=25,"C","D"))))</f>
        <v>C</v>
      </c>
      <c r="AB184" s="117" t="str">
        <f t="shared" ref="AB184:AB190" si="7">IF(C184="","",IF(AND(R184&lt;&gt;"",S184&lt;&gt;"",U184&lt;&gt;"",V184&lt;&gt;"",W184&lt;&gt;""),"✓ Complete","⚠ MISSING: "&amp;IF(R184="","Call Date, ","")&amp;IF(S184="","Modality, ","")&amp;IF(U184="","Budget, ","")&amp;IF(V184="","Timeline, ","")&amp;IF(W184="","Decision Maker","")))</f>
        <v>⚠ MISSING: Call Date, Modality, Budget, Timeline, Decision Maker</v>
      </c>
      <c r="AC184" s="114" t="s">
        <v>100</v>
      </c>
      <c r="AD184" s="112"/>
      <c r="AE184" s="123"/>
    </row>
    <row r="185" ht="18.0" customHeight="1">
      <c r="A185" s="127" t="str">
        <f t="shared" si="1"/>
        <v>AYA-180</v>
      </c>
      <c r="B185" s="128">
        <v>46039.0</v>
      </c>
      <c r="C185" s="129" t="s">
        <v>1237</v>
      </c>
      <c r="D185" s="129" t="s">
        <v>738</v>
      </c>
      <c r="E185" s="130"/>
      <c r="F185" s="131" t="s">
        <v>1238</v>
      </c>
      <c r="G185" s="132" t="s">
        <v>1239</v>
      </c>
      <c r="H185" s="132" t="s">
        <v>450</v>
      </c>
      <c r="I185" s="132" t="s">
        <v>1039</v>
      </c>
      <c r="J185" s="132" t="s">
        <v>161</v>
      </c>
      <c r="K185" s="132" t="s">
        <v>1240</v>
      </c>
      <c r="L185" s="133" t="s">
        <v>148</v>
      </c>
      <c r="M185" s="134"/>
      <c r="N185" s="135"/>
      <c r="O185" s="135" t="s">
        <v>267</v>
      </c>
      <c r="P185" s="135"/>
      <c r="Q185" s="135" t="s">
        <v>173</v>
      </c>
      <c r="R185" s="134"/>
      <c r="S185" s="135"/>
      <c r="T185" s="132"/>
      <c r="U185" s="135"/>
      <c r="V185" s="135"/>
      <c r="W185" s="135"/>
      <c r="X185" s="135"/>
      <c r="Y185" s="132"/>
      <c r="Z185" s="136">
        <f t="shared" si="5"/>
        <v>27</v>
      </c>
      <c r="AA185" s="137" t="str">
        <f t="shared" si="6"/>
        <v>C</v>
      </c>
      <c r="AB185" s="138" t="str">
        <f t="shared" si="7"/>
        <v>⚠ MISSING: Call Date, Modality, Budget, Timeline, Decision Maker</v>
      </c>
      <c r="AC185" s="135" t="s">
        <v>100</v>
      </c>
      <c r="AD185" s="132"/>
      <c r="AE185" s="134"/>
    </row>
    <row r="186" ht="18.0" customHeight="1">
      <c r="A186" s="118" t="str">
        <f t="shared" si="1"/>
        <v>AYA-181</v>
      </c>
      <c r="B186" s="109">
        <v>46041.0</v>
      </c>
      <c r="C186" s="119" t="s">
        <v>1241</v>
      </c>
      <c r="D186" s="119" t="s">
        <v>1242</v>
      </c>
      <c r="E186" s="120"/>
      <c r="F186" s="121" t="s">
        <v>1243</v>
      </c>
      <c r="G186" s="112"/>
      <c r="H186" s="112"/>
      <c r="I186" s="112" t="s">
        <v>1244</v>
      </c>
      <c r="J186" s="112" t="s">
        <v>161</v>
      </c>
      <c r="K186" s="112" t="s">
        <v>1245</v>
      </c>
      <c r="L186" s="122" t="s">
        <v>148</v>
      </c>
      <c r="M186" s="123"/>
      <c r="N186" s="114"/>
      <c r="O186" s="114" t="s">
        <v>297</v>
      </c>
      <c r="P186" s="114"/>
      <c r="Q186" s="114" t="s">
        <v>173</v>
      </c>
      <c r="R186" s="123"/>
      <c r="S186" s="114"/>
      <c r="T186" s="112"/>
      <c r="U186" s="114"/>
      <c r="V186" s="114"/>
      <c r="W186" s="114"/>
      <c r="X186" s="114"/>
      <c r="Y186" s="112"/>
      <c r="Z186" s="125">
        <f t="shared" si="5"/>
        <v>12</v>
      </c>
      <c r="AA186" s="126" t="str">
        <f t="shared" si="6"/>
        <v>D</v>
      </c>
      <c r="AB186" s="117" t="str">
        <f t="shared" si="7"/>
        <v>⚠ MISSING: Call Date, Modality, Budget, Timeline, Decision Maker</v>
      </c>
      <c r="AC186" s="114" t="s">
        <v>100</v>
      </c>
      <c r="AD186" s="112"/>
      <c r="AE186" s="123"/>
    </row>
    <row r="187" ht="18.0" customHeight="1">
      <c r="A187" s="127" t="str">
        <f t="shared" si="1"/>
        <v>AYA-182</v>
      </c>
      <c r="B187" s="128">
        <v>46042.0</v>
      </c>
      <c r="C187" s="129" t="s">
        <v>1246</v>
      </c>
      <c r="D187" s="129" t="s">
        <v>1247</v>
      </c>
      <c r="E187" s="130"/>
      <c r="F187" s="131" t="s">
        <v>1248</v>
      </c>
      <c r="G187" s="132" t="s">
        <v>1249</v>
      </c>
      <c r="H187" s="132" t="s">
        <v>1103</v>
      </c>
      <c r="I187" s="132" t="s">
        <v>74</v>
      </c>
      <c r="J187" s="132" t="s">
        <v>161</v>
      </c>
      <c r="K187" s="132" t="s">
        <v>1250</v>
      </c>
      <c r="L187" s="133" t="s">
        <v>67</v>
      </c>
      <c r="M187" s="134"/>
      <c r="N187" s="135"/>
      <c r="O187" s="135" t="s">
        <v>297</v>
      </c>
      <c r="P187" s="135"/>
      <c r="Q187" s="135" t="s">
        <v>173</v>
      </c>
      <c r="R187" s="134"/>
      <c r="S187" s="135"/>
      <c r="T187" s="132"/>
      <c r="U187" s="135"/>
      <c r="V187" s="135"/>
      <c r="W187" s="135"/>
      <c r="X187" s="135"/>
      <c r="Y187" s="132"/>
      <c r="Z187" s="136">
        <f t="shared" si="5"/>
        <v>27</v>
      </c>
      <c r="AA187" s="137" t="str">
        <f t="shared" si="6"/>
        <v>C</v>
      </c>
      <c r="AB187" s="138" t="str">
        <f t="shared" si="7"/>
        <v>⚠ MISSING: Call Date, Modality, Budget, Timeline, Decision Maker</v>
      </c>
      <c r="AC187" s="135" t="s">
        <v>100</v>
      </c>
      <c r="AD187" s="132"/>
      <c r="AE187" s="134"/>
    </row>
    <row r="188" ht="18.0" customHeight="1">
      <c r="A188" s="118" t="str">
        <f t="shared" si="1"/>
        <v>AYA-183</v>
      </c>
      <c r="B188" s="109">
        <v>46043.0</v>
      </c>
      <c r="C188" s="119" t="s">
        <v>1251</v>
      </c>
      <c r="D188" s="119" t="s">
        <v>1252</v>
      </c>
      <c r="E188" s="120"/>
      <c r="F188" s="121" t="s">
        <v>1253</v>
      </c>
      <c r="G188" s="112" t="s">
        <v>1254</v>
      </c>
      <c r="H188" s="112"/>
      <c r="I188" s="112" t="s">
        <v>78</v>
      </c>
      <c r="J188" s="112" t="s">
        <v>161</v>
      </c>
      <c r="K188" s="112" t="s">
        <v>1255</v>
      </c>
      <c r="L188" s="122" t="s">
        <v>148</v>
      </c>
      <c r="M188" s="123"/>
      <c r="N188" s="114"/>
      <c r="O188" s="114" t="s">
        <v>267</v>
      </c>
      <c r="P188" s="114"/>
      <c r="Q188" s="114" t="s">
        <v>173</v>
      </c>
      <c r="R188" s="123"/>
      <c r="S188" s="114"/>
      <c r="T188" s="112"/>
      <c r="U188" s="114"/>
      <c r="V188" s="114"/>
      <c r="W188" s="114"/>
      <c r="X188" s="114"/>
      <c r="Y188" s="112"/>
      <c r="Z188" s="125">
        <f t="shared" si="5"/>
        <v>27</v>
      </c>
      <c r="AA188" s="126" t="str">
        <f t="shared" si="6"/>
        <v>C</v>
      </c>
      <c r="AB188" s="117" t="str">
        <f t="shared" si="7"/>
        <v>⚠ MISSING: Call Date, Modality, Budget, Timeline, Decision Maker</v>
      </c>
      <c r="AC188" s="114" t="s">
        <v>100</v>
      </c>
      <c r="AD188" s="112"/>
      <c r="AE188" s="123"/>
    </row>
    <row r="189" ht="18.0" customHeight="1">
      <c r="A189" s="127" t="str">
        <f t="shared" si="1"/>
        <v>AYA-184</v>
      </c>
      <c r="B189" s="128">
        <v>46043.0</v>
      </c>
      <c r="C189" s="129" t="s">
        <v>1256</v>
      </c>
      <c r="D189" s="129" t="s">
        <v>1257</v>
      </c>
      <c r="E189" s="130"/>
      <c r="F189" s="131" t="s">
        <v>1258</v>
      </c>
      <c r="G189" s="132" t="s">
        <v>1259</v>
      </c>
      <c r="H189" s="132"/>
      <c r="I189" s="132" t="s">
        <v>1033</v>
      </c>
      <c r="J189" s="132" t="s">
        <v>161</v>
      </c>
      <c r="K189" s="132" t="s">
        <v>1260</v>
      </c>
      <c r="L189" s="133" t="s">
        <v>148</v>
      </c>
      <c r="M189" s="134"/>
      <c r="N189" s="135"/>
      <c r="O189" s="135" t="s">
        <v>267</v>
      </c>
      <c r="P189" s="135"/>
      <c r="Q189" s="135" t="s">
        <v>173</v>
      </c>
      <c r="R189" s="134"/>
      <c r="S189" s="135"/>
      <c r="T189" s="132"/>
      <c r="U189" s="135"/>
      <c r="V189" s="135"/>
      <c r="W189" s="135"/>
      <c r="X189" s="135"/>
      <c r="Y189" s="132"/>
      <c r="Z189" s="136">
        <f t="shared" si="5"/>
        <v>27</v>
      </c>
      <c r="AA189" s="137" t="str">
        <f t="shared" si="6"/>
        <v>C</v>
      </c>
      <c r="AB189" s="138" t="str">
        <f t="shared" si="7"/>
        <v>⚠ MISSING: Call Date, Modality, Budget, Timeline, Decision Maker</v>
      </c>
      <c r="AC189" s="135" t="s">
        <v>100</v>
      </c>
      <c r="AD189" s="132"/>
      <c r="AE189" s="134"/>
    </row>
    <row r="190" ht="18.0" customHeight="1">
      <c r="A190" s="118" t="str">
        <f t="shared" si="1"/>
        <v>AYA-185</v>
      </c>
      <c r="B190" s="109">
        <v>46044.0</v>
      </c>
      <c r="C190" s="119" t="s">
        <v>1261</v>
      </c>
      <c r="D190" s="119" t="s">
        <v>1262</v>
      </c>
      <c r="E190" s="120"/>
      <c r="F190" s="121" t="s">
        <v>1263</v>
      </c>
      <c r="G190" s="112" t="s">
        <v>1264</v>
      </c>
      <c r="H190" s="112"/>
      <c r="I190" s="112" t="s">
        <v>80</v>
      </c>
      <c r="J190" s="112" t="s">
        <v>161</v>
      </c>
      <c r="K190" s="112" t="s">
        <v>1265</v>
      </c>
      <c r="L190" s="122" t="s">
        <v>148</v>
      </c>
      <c r="M190" s="123"/>
      <c r="N190" s="114"/>
      <c r="O190" s="114" t="s">
        <v>267</v>
      </c>
      <c r="P190" s="114"/>
      <c r="Q190" s="114" t="s">
        <v>173</v>
      </c>
      <c r="R190" s="123"/>
      <c r="S190" s="114"/>
      <c r="T190" s="112"/>
      <c r="U190" s="114"/>
      <c r="V190" s="114"/>
      <c r="W190" s="114"/>
      <c r="X190" s="114"/>
      <c r="Y190" s="112"/>
      <c r="Z190" s="125">
        <f t="shared" si="5"/>
        <v>27</v>
      </c>
      <c r="AA190" s="126" t="str">
        <f t="shared" si="6"/>
        <v>C</v>
      </c>
      <c r="AB190" s="117" t="str">
        <f t="shared" si="7"/>
        <v>⚠ MISSING: Call Date, Modality, Budget, Timeline, Decision Maker</v>
      </c>
      <c r="AC190" s="114" t="s">
        <v>100</v>
      </c>
      <c r="AD190" s="112"/>
      <c r="AE190" s="123"/>
    </row>
    <row r="191" ht="18.0" customHeight="1">
      <c r="A191" s="118" t="str">
        <f t="shared" si="1"/>
        <v>AYA-186</v>
      </c>
      <c r="B191" s="140">
        <v>46045.0</v>
      </c>
      <c r="C191" s="142" t="s">
        <v>1266</v>
      </c>
      <c r="D191" s="142" t="s">
        <v>1267</v>
      </c>
      <c r="E191" s="143" t="s">
        <v>1268</v>
      </c>
      <c r="F191" s="144" t="s">
        <v>1269</v>
      </c>
      <c r="G191" s="145" t="s">
        <v>1270</v>
      </c>
      <c r="H191" s="145" t="s">
        <v>1271</v>
      </c>
      <c r="I191" s="145" t="s">
        <v>74</v>
      </c>
      <c r="J191" s="146" t="s">
        <v>1206</v>
      </c>
      <c r="K191" s="145" t="s">
        <v>1272</v>
      </c>
      <c r="L191" s="147" t="s">
        <v>155</v>
      </c>
      <c r="M191" s="148">
        <v>46045.0</v>
      </c>
      <c r="N191" s="149" t="s">
        <v>189</v>
      </c>
      <c r="O191" s="150" t="s">
        <v>297</v>
      </c>
      <c r="P191" s="124" t="s">
        <v>274</v>
      </c>
      <c r="Q191" s="124" t="s">
        <v>173</v>
      </c>
      <c r="R191" s="151"/>
      <c r="S191" s="152"/>
      <c r="T191" s="153"/>
      <c r="U191" s="152"/>
      <c r="V191" s="152"/>
      <c r="W191" s="152"/>
      <c r="X191" s="152"/>
      <c r="Y191" s="153"/>
      <c r="Z191" s="125">
        <f t="shared" si="5"/>
        <v>37</v>
      </c>
      <c r="AA191" s="126" t="str">
        <f t="shared" si="6"/>
        <v>C</v>
      </c>
      <c r="AB191" s="154" t="str">
        <f>IF(C191="","",IF(AND(S191&lt;&gt;"",U191&lt;&gt;"",V191&lt;&gt;"",W191&lt;&gt;""),"✓ Complete","⚠ MISSING: "&amp;IF(S191="","Modality, ","")&amp;IF(U191="","Budget, ","")&amp;IF(V191="","Timeline, ","")&amp;IF(W191="","Decision Maker","")))</f>
        <v>⚠ MISSING: Modality, Budget, Timeline, Decision Maker</v>
      </c>
      <c r="AC191" s="155"/>
      <c r="AD191" s="153"/>
      <c r="AE191" s="156"/>
    </row>
    <row r="192" ht="18.0" customHeight="1">
      <c r="A192" s="118" t="str">
        <f t="shared" si="1"/>
        <v>AYA-187</v>
      </c>
      <c r="B192" s="109">
        <v>46048.0</v>
      </c>
      <c r="C192" s="119" t="s">
        <v>1273</v>
      </c>
      <c r="D192" s="119" t="s">
        <v>1121</v>
      </c>
      <c r="E192" s="120"/>
      <c r="F192" s="121" t="s">
        <v>1274</v>
      </c>
      <c r="G192" s="112" t="s">
        <v>1123</v>
      </c>
      <c r="H192" s="112" t="s">
        <v>1275</v>
      </c>
      <c r="I192" s="112" t="s">
        <v>1054</v>
      </c>
      <c r="J192" s="112" t="s">
        <v>161</v>
      </c>
      <c r="K192" s="112" t="s">
        <v>1276</v>
      </c>
      <c r="L192" s="122" t="s">
        <v>67</v>
      </c>
      <c r="M192" s="123"/>
      <c r="N192" s="114"/>
      <c r="O192" s="114" t="s">
        <v>267</v>
      </c>
      <c r="P192" s="114" t="s">
        <v>360</v>
      </c>
      <c r="Q192" s="114" t="s">
        <v>173</v>
      </c>
      <c r="R192" s="123"/>
      <c r="S192" s="114"/>
      <c r="T192" s="112"/>
      <c r="U192" s="114"/>
      <c r="V192" s="114"/>
      <c r="W192" s="114"/>
      <c r="X192" s="114"/>
      <c r="Y192" s="112"/>
      <c r="Z192" s="125">
        <f t="shared" si="5"/>
        <v>45</v>
      </c>
      <c r="AA192" s="126" t="str">
        <f t="shared" si="6"/>
        <v>C</v>
      </c>
      <c r="AB192" s="117" t="str">
        <f t="shared" ref="AB192:AB208" si="8">IF(C192="","",IF(AND(R192&lt;&gt;"",S192&lt;&gt;"",U192&lt;&gt;"",V192&lt;&gt;"",W192&lt;&gt;""),"✓ Complete","⚠ MISSING: "&amp;IF(R192="","Call Date, ","")&amp;IF(S192="","Modality, ","")&amp;IF(U192="","Budget, ","")&amp;IF(V192="","Timeline, ","")&amp;IF(W192="","Decision Maker","")))</f>
        <v>⚠ MISSING: Call Date, Modality, Budget, Timeline, Decision Maker</v>
      </c>
      <c r="AC192" s="114" t="s">
        <v>100</v>
      </c>
      <c r="AD192" s="112"/>
      <c r="AE192" s="123"/>
    </row>
    <row r="193" ht="18.0" customHeight="1">
      <c r="A193" s="127" t="str">
        <f t="shared" si="1"/>
        <v>AYA-188</v>
      </c>
      <c r="B193" s="128">
        <v>46049.0</v>
      </c>
      <c r="C193" s="129" t="s">
        <v>1277</v>
      </c>
      <c r="D193" s="129" t="s">
        <v>1278</v>
      </c>
      <c r="E193" s="130"/>
      <c r="F193" s="131" t="s">
        <v>1279</v>
      </c>
      <c r="G193" s="132" t="s">
        <v>1280</v>
      </c>
      <c r="H193" s="132"/>
      <c r="I193" s="132" t="s">
        <v>1054</v>
      </c>
      <c r="J193" s="132" t="s">
        <v>161</v>
      </c>
      <c r="K193" s="132" t="s">
        <v>1281</v>
      </c>
      <c r="L193" s="133" t="s">
        <v>67</v>
      </c>
      <c r="M193" s="134"/>
      <c r="N193" s="135"/>
      <c r="O193" s="135" t="s">
        <v>297</v>
      </c>
      <c r="P193" s="135"/>
      <c r="Q193" s="135" t="s">
        <v>173</v>
      </c>
      <c r="R193" s="134"/>
      <c r="S193" s="135"/>
      <c r="T193" s="132"/>
      <c r="U193" s="135"/>
      <c r="V193" s="135"/>
      <c r="W193" s="135"/>
      <c r="X193" s="135"/>
      <c r="Y193" s="132"/>
      <c r="Z193" s="136">
        <f t="shared" si="5"/>
        <v>27</v>
      </c>
      <c r="AA193" s="137" t="str">
        <f t="shared" si="6"/>
        <v>C</v>
      </c>
      <c r="AB193" s="138" t="str">
        <f t="shared" si="8"/>
        <v>⚠ MISSING: Call Date, Modality, Budget, Timeline, Decision Maker</v>
      </c>
      <c r="AC193" s="135" t="s">
        <v>100</v>
      </c>
      <c r="AD193" s="132"/>
      <c r="AE193" s="134"/>
    </row>
    <row r="194" ht="18.0" customHeight="1">
      <c r="A194" s="118" t="str">
        <f t="shared" si="1"/>
        <v>AYA-189</v>
      </c>
      <c r="B194" s="109">
        <v>46050.0</v>
      </c>
      <c r="C194" s="119" t="s">
        <v>1282</v>
      </c>
      <c r="D194" s="119" t="s">
        <v>1283</v>
      </c>
      <c r="E194" s="120"/>
      <c r="F194" s="121" t="s">
        <v>1284</v>
      </c>
      <c r="G194" s="112" t="s">
        <v>1285</v>
      </c>
      <c r="H194" s="112"/>
      <c r="I194" s="112" t="s">
        <v>72</v>
      </c>
      <c r="J194" s="112" t="s">
        <v>161</v>
      </c>
      <c r="K194" s="112" t="s">
        <v>1286</v>
      </c>
      <c r="L194" s="122" t="s">
        <v>148</v>
      </c>
      <c r="M194" s="123"/>
      <c r="N194" s="114"/>
      <c r="O194" s="114" t="s">
        <v>267</v>
      </c>
      <c r="P194" s="114" t="s">
        <v>360</v>
      </c>
      <c r="Q194" s="114" t="s">
        <v>173</v>
      </c>
      <c r="R194" s="123"/>
      <c r="S194" s="114"/>
      <c r="T194" s="112"/>
      <c r="U194" s="114"/>
      <c r="V194" s="114"/>
      <c r="W194" s="114"/>
      <c r="X194" s="114"/>
      <c r="Y194" s="112"/>
      <c r="Z194" s="125">
        <f t="shared" si="5"/>
        <v>45</v>
      </c>
      <c r="AA194" s="126" t="str">
        <f t="shared" si="6"/>
        <v>C</v>
      </c>
      <c r="AB194" s="117" t="str">
        <f t="shared" si="8"/>
        <v>⚠ MISSING: Call Date, Modality, Budget, Timeline, Decision Maker</v>
      </c>
      <c r="AC194" s="114" t="s">
        <v>100</v>
      </c>
      <c r="AD194" s="112"/>
      <c r="AE194" s="123"/>
    </row>
    <row r="195" ht="18.0" customHeight="1">
      <c r="A195" s="127" t="str">
        <f t="shared" si="1"/>
        <v>AYA-190</v>
      </c>
      <c r="B195" s="128">
        <v>46051.0</v>
      </c>
      <c r="C195" s="129" t="s">
        <v>1287</v>
      </c>
      <c r="D195" s="129" t="s">
        <v>1288</v>
      </c>
      <c r="E195" s="130"/>
      <c r="F195" s="131" t="s">
        <v>1289</v>
      </c>
      <c r="G195" s="132" t="s">
        <v>1290</v>
      </c>
      <c r="H195" s="132"/>
      <c r="I195" s="132" t="s">
        <v>72</v>
      </c>
      <c r="J195" s="132" t="s">
        <v>161</v>
      </c>
      <c r="K195" s="132" t="s">
        <v>1291</v>
      </c>
      <c r="L195" s="133" t="s">
        <v>148</v>
      </c>
      <c r="M195" s="134"/>
      <c r="N195" s="135"/>
      <c r="O195" s="135" t="s">
        <v>267</v>
      </c>
      <c r="P195" s="135"/>
      <c r="Q195" s="135" t="s">
        <v>173</v>
      </c>
      <c r="R195" s="134"/>
      <c r="S195" s="135"/>
      <c r="T195" s="132"/>
      <c r="U195" s="135"/>
      <c r="V195" s="135"/>
      <c r="W195" s="135"/>
      <c r="X195" s="135"/>
      <c r="Y195" s="132"/>
      <c r="Z195" s="136">
        <f t="shared" si="5"/>
        <v>27</v>
      </c>
      <c r="AA195" s="137" t="str">
        <f t="shared" si="6"/>
        <v>C</v>
      </c>
      <c r="AB195" s="138" t="str">
        <f t="shared" si="8"/>
        <v>⚠ MISSING: Call Date, Modality, Budget, Timeline, Decision Maker</v>
      </c>
      <c r="AC195" s="135" t="s">
        <v>100</v>
      </c>
      <c r="AD195" s="132"/>
      <c r="AE195" s="134"/>
    </row>
    <row r="196" ht="18.0" customHeight="1">
      <c r="A196" s="118" t="str">
        <f t="shared" si="1"/>
        <v>AYA-191</v>
      </c>
      <c r="B196" s="109">
        <v>46052.0</v>
      </c>
      <c r="C196" s="119" t="s">
        <v>1292</v>
      </c>
      <c r="D196" s="119" t="s">
        <v>1293</v>
      </c>
      <c r="E196" s="120"/>
      <c r="F196" s="121" t="s">
        <v>1294</v>
      </c>
      <c r="G196" s="112" t="s">
        <v>1295</v>
      </c>
      <c r="H196" s="112"/>
      <c r="I196" s="112" t="s">
        <v>1039</v>
      </c>
      <c r="J196" s="112" t="s">
        <v>161</v>
      </c>
      <c r="K196" s="112" t="s">
        <v>1296</v>
      </c>
      <c r="L196" s="122" t="s">
        <v>148</v>
      </c>
      <c r="M196" s="123"/>
      <c r="N196" s="114"/>
      <c r="O196" s="114" t="s">
        <v>267</v>
      </c>
      <c r="P196" s="114"/>
      <c r="Q196" s="114" t="s">
        <v>173</v>
      </c>
      <c r="R196" s="123"/>
      <c r="S196" s="114"/>
      <c r="T196" s="112"/>
      <c r="U196" s="114"/>
      <c r="V196" s="114"/>
      <c r="W196" s="114"/>
      <c r="X196" s="114"/>
      <c r="Y196" s="112"/>
      <c r="Z196" s="125">
        <f t="shared" si="5"/>
        <v>27</v>
      </c>
      <c r="AA196" s="126" t="str">
        <f t="shared" si="6"/>
        <v>C</v>
      </c>
      <c r="AB196" s="117" t="str">
        <f t="shared" si="8"/>
        <v>⚠ MISSING: Call Date, Modality, Budget, Timeline, Decision Maker</v>
      </c>
      <c r="AC196" s="114" t="s">
        <v>100</v>
      </c>
      <c r="AD196" s="112"/>
      <c r="AE196" s="123"/>
    </row>
    <row r="197" ht="18.0" customHeight="1">
      <c r="A197" s="127" t="str">
        <f t="shared" si="1"/>
        <v>AYA-192</v>
      </c>
      <c r="B197" s="128">
        <v>46052.0</v>
      </c>
      <c r="C197" s="129" t="s">
        <v>1297</v>
      </c>
      <c r="D197" s="129" t="s">
        <v>1298</v>
      </c>
      <c r="E197" s="130"/>
      <c r="F197" s="131" t="s">
        <v>1299</v>
      </c>
      <c r="G197" s="132"/>
      <c r="H197" s="132"/>
      <c r="I197" s="132" t="s">
        <v>72</v>
      </c>
      <c r="J197" s="132" t="s">
        <v>161</v>
      </c>
      <c r="K197" s="132" t="s">
        <v>1300</v>
      </c>
      <c r="L197" s="133" t="s">
        <v>148</v>
      </c>
      <c r="M197" s="134"/>
      <c r="N197" s="135"/>
      <c r="O197" s="135" t="s">
        <v>267</v>
      </c>
      <c r="P197" s="135"/>
      <c r="Q197" s="135" t="s">
        <v>173</v>
      </c>
      <c r="R197" s="134"/>
      <c r="S197" s="135"/>
      <c r="T197" s="132"/>
      <c r="U197" s="135"/>
      <c r="V197" s="135"/>
      <c r="W197" s="135"/>
      <c r="X197" s="135"/>
      <c r="Y197" s="132"/>
      <c r="Z197" s="136">
        <f t="shared" si="5"/>
        <v>12</v>
      </c>
      <c r="AA197" s="137" t="str">
        <f t="shared" si="6"/>
        <v>D</v>
      </c>
      <c r="AB197" s="138" t="str">
        <f t="shared" si="8"/>
        <v>⚠ MISSING: Call Date, Modality, Budget, Timeline, Decision Maker</v>
      </c>
      <c r="AC197" s="135" t="s">
        <v>100</v>
      </c>
      <c r="AD197" s="132"/>
      <c r="AE197" s="134"/>
    </row>
    <row r="198" ht="18.0" customHeight="1">
      <c r="A198" s="118" t="str">
        <f t="shared" si="1"/>
        <v>AYA-193</v>
      </c>
      <c r="B198" s="109">
        <v>46052.0</v>
      </c>
      <c r="C198" s="119" t="s">
        <v>1301</v>
      </c>
      <c r="D198" s="119" t="s">
        <v>1302</v>
      </c>
      <c r="E198" s="120"/>
      <c r="F198" s="121" t="s">
        <v>1303</v>
      </c>
      <c r="G198" s="112" t="s">
        <v>1304</v>
      </c>
      <c r="H198" s="112" t="s">
        <v>1305</v>
      </c>
      <c r="I198" s="112" t="s">
        <v>1306</v>
      </c>
      <c r="J198" s="112" t="s">
        <v>167</v>
      </c>
      <c r="K198" s="112" t="s">
        <v>1307</v>
      </c>
      <c r="L198" s="122" t="s">
        <v>149</v>
      </c>
      <c r="M198" s="123"/>
      <c r="N198" s="114"/>
      <c r="O198" s="124" t="s">
        <v>267</v>
      </c>
      <c r="P198" s="124" t="s">
        <v>274</v>
      </c>
      <c r="Q198" s="114" t="s">
        <v>173</v>
      </c>
      <c r="R198" s="123"/>
      <c r="S198" s="114"/>
      <c r="T198" s="112"/>
      <c r="U198" s="114"/>
      <c r="V198" s="114"/>
      <c r="W198" s="114"/>
      <c r="X198" s="114"/>
      <c r="Y198" s="112"/>
      <c r="Z198" s="125">
        <f t="shared" si="5"/>
        <v>37</v>
      </c>
      <c r="AA198" s="126" t="str">
        <f t="shared" si="6"/>
        <v>C</v>
      </c>
      <c r="AB198" s="117" t="str">
        <f t="shared" si="8"/>
        <v>⚠ MISSING: Call Date, Modality, Budget, Timeline, Decision Maker</v>
      </c>
      <c r="AC198" s="114" t="s">
        <v>100</v>
      </c>
      <c r="AD198" s="112"/>
      <c r="AE198" s="123"/>
    </row>
    <row r="199" ht="18.0" customHeight="1">
      <c r="A199" s="127" t="str">
        <f t="shared" si="1"/>
        <v>AYA-194</v>
      </c>
      <c r="B199" s="128">
        <v>46056.0</v>
      </c>
      <c r="C199" s="129" t="s">
        <v>1308</v>
      </c>
      <c r="D199" s="129" t="s">
        <v>1309</v>
      </c>
      <c r="E199" s="130"/>
      <c r="F199" s="131" t="s">
        <v>1310</v>
      </c>
      <c r="G199" s="132" t="s">
        <v>1311</v>
      </c>
      <c r="H199" s="132"/>
      <c r="I199" s="132" t="s">
        <v>72</v>
      </c>
      <c r="J199" s="132" t="s">
        <v>161</v>
      </c>
      <c r="K199" s="132" t="s">
        <v>1312</v>
      </c>
      <c r="L199" s="133" t="s">
        <v>148</v>
      </c>
      <c r="M199" s="134"/>
      <c r="N199" s="135"/>
      <c r="O199" s="135" t="s">
        <v>267</v>
      </c>
      <c r="P199" s="135"/>
      <c r="Q199" s="135" t="s">
        <v>173</v>
      </c>
      <c r="R199" s="134"/>
      <c r="S199" s="135"/>
      <c r="T199" s="132"/>
      <c r="U199" s="135"/>
      <c r="V199" s="135"/>
      <c r="W199" s="135"/>
      <c r="X199" s="135"/>
      <c r="Y199" s="132"/>
      <c r="Z199" s="136">
        <f t="shared" si="5"/>
        <v>27</v>
      </c>
      <c r="AA199" s="137" t="str">
        <f t="shared" si="6"/>
        <v>C</v>
      </c>
      <c r="AB199" s="138" t="str">
        <f t="shared" si="8"/>
        <v>⚠ MISSING: Call Date, Modality, Budget, Timeline, Decision Maker</v>
      </c>
      <c r="AC199" s="135" t="s">
        <v>100</v>
      </c>
      <c r="AD199" s="132"/>
      <c r="AE199" s="134"/>
    </row>
    <row r="200" ht="18.0" customHeight="1">
      <c r="A200" s="118" t="str">
        <f t="shared" si="1"/>
        <v>AYA-195</v>
      </c>
      <c r="B200" s="109">
        <v>46056.0</v>
      </c>
      <c r="C200" s="119" t="s">
        <v>475</v>
      </c>
      <c r="D200" s="119" t="s">
        <v>1283</v>
      </c>
      <c r="E200" s="120"/>
      <c r="F200" s="121" t="s">
        <v>1313</v>
      </c>
      <c r="G200" s="112" t="s">
        <v>1314</v>
      </c>
      <c r="H200" s="112"/>
      <c r="I200" s="112" t="s">
        <v>72</v>
      </c>
      <c r="J200" s="112" t="s">
        <v>1315</v>
      </c>
      <c r="K200" s="112" t="s">
        <v>1316</v>
      </c>
      <c r="L200" s="122" t="s">
        <v>148</v>
      </c>
      <c r="M200" s="123"/>
      <c r="N200" s="114"/>
      <c r="O200" s="114" t="s">
        <v>267</v>
      </c>
      <c r="P200" s="114"/>
      <c r="Q200" s="114" t="s">
        <v>173</v>
      </c>
      <c r="R200" s="123"/>
      <c r="S200" s="114"/>
      <c r="T200" s="112"/>
      <c r="U200" s="114"/>
      <c r="V200" s="114"/>
      <c r="W200" s="114"/>
      <c r="X200" s="114"/>
      <c r="Y200" s="112"/>
      <c r="Z200" s="125">
        <f t="shared" si="5"/>
        <v>27</v>
      </c>
      <c r="AA200" s="126" t="str">
        <f t="shared" si="6"/>
        <v>C</v>
      </c>
      <c r="AB200" s="117" t="str">
        <f t="shared" si="8"/>
        <v>⚠ MISSING: Call Date, Modality, Budget, Timeline, Decision Maker</v>
      </c>
      <c r="AC200" s="114" t="s">
        <v>100</v>
      </c>
      <c r="AD200" s="112"/>
      <c r="AE200" s="123"/>
    </row>
    <row r="201" ht="18.0" customHeight="1">
      <c r="A201" s="127" t="str">
        <f t="shared" si="1"/>
        <v>AYA-196</v>
      </c>
      <c r="B201" s="128">
        <v>46056.0</v>
      </c>
      <c r="C201" s="129" t="s">
        <v>1317</v>
      </c>
      <c r="D201" s="129" t="s">
        <v>1318</v>
      </c>
      <c r="E201" s="130"/>
      <c r="F201" s="131" t="s">
        <v>1319</v>
      </c>
      <c r="G201" s="132" t="s">
        <v>1320</v>
      </c>
      <c r="H201" s="132"/>
      <c r="I201" s="132" t="s">
        <v>1039</v>
      </c>
      <c r="J201" s="132" t="s">
        <v>1321</v>
      </c>
      <c r="K201" s="132" t="s">
        <v>1322</v>
      </c>
      <c r="L201" s="133" t="s">
        <v>148</v>
      </c>
      <c r="M201" s="134"/>
      <c r="N201" s="135"/>
      <c r="O201" s="135" t="s">
        <v>267</v>
      </c>
      <c r="P201" s="135"/>
      <c r="Q201" s="135" t="s">
        <v>173</v>
      </c>
      <c r="R201" s="134"/>
      <c r="S201" s="135"/>
      <c r="T201" s="132"/>
      <c r="U201" s="135"/>
      <c r="V201" s="135"/>
      <c r="W201" s="135"/>
      <c r="X201" s="135"/>
      <c r="Y201" s="132"/>
      <c r="Z201" s="136">
        <f t="shared" si="5"/>
        <v>27</v>
      </c>
      <c r="AA201" s="137" t="str">
        <f t="shared" si="6"/>
        <v>C</v>
      </c>
      <c r="AB201" s="138" t="str">
        <f t="shared" si="8"/>
        <v>⚠ MISSING: Call Date, Modality, Budget, Timeline, Decision Maker</v>
      </c>
      <c r="AC201" s="135" t="s">
        <v>100</v>
      </c>
      <c r="AD201" s="132"/>
      <c r="AE201" s="134"/>
    </row>
    <row r="202" ht="18.0" customHeight="1">
      <c r="A202" s="118" t="str">
        <f t="shared" si="1"/>
        <v>AYA-197</v>
      </c>
      <c r="B202" s="109">
        <v>46057.0</v>
      </c>
      <c r="C202" s="119" t="s">
        <v>446</v>
      </c>
      <c r="D202" s="119" t="s">
        <v>1323</v>
      </c>
      <c r="E202" s="120"/>
      <c r="F202" s="121" t="s">
        <v>1324</v>
      </c>
      <c r="G202" s="112"/>
      <c r="H202" s="112"/>
      <c r="I202" s="112" t="s">
        <v>1169</v>
      </c>
      <c r="J202" s="112" t="s">
        <v>1321</v>
      </c>
      <c r="K202" s="112" t="s">
        <v>1322</v>
      </c>
      <c r="L202" s="122" t="s">
        <v>148</v>
      </c>
      <c r="M202" s="123"/>
      <c r="N202" s="114"/>
      <c r="O202" s="114" t="s">
        <v>267</v>
      </c>
      <c r="P202" s="114"/>
      <c r="Q202" s="114" t="s">
        <v>173</v>
      </c>
      <c r="R202" s="123"/>
      <c r="S202" s="114"/>
      <c r="T202" s="112"/>
      <c r="U202" s="114"/>
      <c r="V202" s="114"/>
      <c r="W202" s="114"/>
      <c r="X202" s="114"/>
      <c r="Y202" s="112"/>
      <c r="Z202" s="125">
        <f t="shared" si="5"/>
        <v>12</v>
      </c>
      <c r="AA202" s="126" t="str">
        <f t="shared" si="6"/>
        <v>D</v>
      </c>
      <c r="AB202" s="117" t="str">
        <f t="shared" si="8"/>
        <v>⚠ MISSING: Call Date, Modality, Budget, Timeline, Decision Maker</v>
      </c>
      <c r="AC202" s="114" t="s">
        <v>100</v>
      </c>
      <c r="AD202" s="112"/>
      <c r="AE202" s="123"/>
    </row>
    <row r="203" ht="18.0" customHeight="1">
      <c r="A203" s="157" t="str">
        <f t="shared" si="1"/>
        <v>AYA-198</v>
      </c>
      <c r="B203" s="158">
        <v>46059.0</v>
      </c>
      <c r="C203" s="159" t="s">
        <v>1018</v>
      </c>
      <c r="D203" s="159" t="s">
        <v>1019</v>
      </c>
      <c r="E203" s="160"/>
      <c r="F203" s="161" t="s">
        <v>1020</v>
      </c>
      <c r="G203" s="162" t="s">
        <v>1021</v>
      </c>
      <c r="H203" s="162"/>
      <c r="I203" s="162" t="s">
        <v>74</v>
      </c>
      <c r="J203" s="162" t="s">
        <v>161</v>
      </c>
      <c r="K203" s="162" t="s">
        <v>1325</v>
      </c>
      <c r="L203" s="163" t="s">
        <v>67</v>
      </c>
      <c r="M203" s="164"/>
      <c r="N203" s="165"/>
      <c r="O203" s="166" t="s">
        <v>297</v>
      </c>
      <c r="P203" s="165"/>
      <c r="Q203" s="165" t="s">
        <v>173</v>
      </c>
      <c r="R203" s="164"/>
      <c r="S203" s="165"/>
      <c r="T203" s="162"/>
      <c r="U203" s="165"/>
      <c r="V203" s="165"/>
      <c r="W203" s="165"/>
      <c r="X203" s="165"/>
      <c r="Y203" s="162"/>
      <c r="Z203" s="167">
        <f t="shared" si="5"/>
        <v>27</v>
      </c>
      <c r="AA203" s="168" t="str">
        <f t="shared" si="6"/>
        <v>C</v>
      </c>
      <c r="AB203" s="169" t="str">
        <f t="shared" si="8"/>
        <v>⚠ MISSING: Call Date, Modality, Budget, Timeline, Decision Maker</v>
      </c>
      <c r="AC203" s="165" t="s">
        <v>100</v>
      </c>
      <c r="AD203" s="162"/>
      <c r="AE203" s="164"/>
    </row>
    <row r="204" ht="18.0" customHeight="1">
      <c r="A204" s="170" t="str">
        <f t="shared" si="1"/>
        <v>AYA-199</v>
      </c>
      <c r="B204" s="171">
        <v>46067.0</v>
      </c>
      <c r="C204" s="172" t="s">
        <v>1326</v>
      </c>
      <c r="D204" s="172" t="s">
        <v>1327</v>
      </c>
      <c r="E204" s="173"/>
      <c r="F204" s="174" t="s">
        <v>1328</v>
      </c>
      <c r="G204" s="175" t="s">
        <v>1329</v>
      </c>
      <c r="H204" s="175" t="s">
        <v>1330</v>
      </c>
      <c r="I204" s="176" t="s">
        <v>1331</v>
      </c>
      <c r="J204" s="177" t="s">
        <v>161</v>
      </c>
      <c r="K204" s="178" t="s">
        <v>1332</v>
      </c>
      <c r="L204" s="179" t="s">
        <v>148</v>
      </c>
      <c r="M204" s="180"/>
      <c r="N204" s="179"/>
      <c r="O204" s="181" t="s">
        <v>267</v>
      </c>
      <c r="P204" s="182"/>
      <c r="Q204" s="182"/>
      <c r="R204" s="183"/>
      <c r="S204" s="184"/>
      <c r="T204" s="185"/>
      <c r="U204" s="184"/>
      <c r="V204" s="184"/>
      <c r="W204" s="184"/>
      <c r="X204" s="182"/>
      <c r="Y204" s="177"/>
      <c r="Z204" s="186">
        <f t="shared" si="5"/>
        <v>27</v>
      </c>
      <c r="AA204" s="187" t="str">
        <f t="shared" si="6"/>
        <v>C</v>
      </c>
      <c r="AB204" s="188" t="str">
        <f t="shared" si="8"/>
        <v>⚠ MISSING: Call Date, Modality, Budget, Timeline, Decision Maker</v>
      </c>
      <c r="AC204" s="182"/>
      <c r="AD204" s="177"/>
      <c r="AE204" s="183"/>
    </row>
    <row r="205" ht="18.0" customHeight="1">
      <c r="A205" s="189" t="str">
        <f t="shared" si="1"/>
        <v>AYA-200</v>
      </c>
      <c r="B205" s="190">
        <v>46071.0</v>
      </c>
      <c r="C205" s="191" t="s">
        <v>1333</v>
      </c>
      <c r="D205" s="191" t="s">
        <v>774</v>
      </c>
      <c r="E205" s="192"/>
      <c r="F205" s="193" t="s">
        <v>1334</v>
      </c>
      <c r="G205" s="194" t="s">
        <v>1335</v>
      </c>
      <c r="H205" s="194" t="s">
        <v>1330</v>
      </c>
      <c r="I205" s="195" t="s">
        <v>72</v>
      </c>
      <c r="J205" s="177" t="s">
        <v>161</v>
      </c>
      <c r="K205" s="196" t="s">
        <v>1336</v>
      </c>
      <c r="L205" s="179" t="s">
        <v>149</v>
      </c>
      <c r="M205" s="197"/>
      <c r="N205" s="198"/>
      <c r="O205" s="181" t="s">
        <v>55</v>
      </c>
      <c r="P205" s="199"/>
      <c r="Q205" s="200" t="s">
        <v>1337</v>
      </c>
      <c r="R205" s="201"/>
      <c r="S205" s="202"/>
      <c r="T205" s="203"/>
      <c r="U205" s="202"/>
      <c r="V205" s="202"/>
      <c r="W205" s="202"/>
      <c r="X205" s="199"/>
      <c r="Y205" s="204"/>
      <c r="Z205" s="205">
        <f t="shared" si="5"/>
        <v>27</v>
      </c>
      <c r="AA205" s="206" t="str">
        <f t="shared" si="6"/>
        <v>C</v>
      </c>
      <c r="AB205" s="154" t="str">
        <f t="shared" si="8"/>
        <v>⚠ MISSING: Call Date, Modality, Budget, Timeline, Decision Maker</v>
      </c>
      <c r="AC205" s="199"/>
      <c r="AD205" s="204"/>
      <c r="AE205" s="201"/>
    </row>
    <row r="206" ht="18.0" customHeight="1">
      <c r="A206" s="170" t="str">
        <f t="shared" si="1"/>
        <v>AYA-201</v>
      </c>
      <c r="B206" s="171">
        <v>46072.0</v>
      </c>
      <c r="C206" s="172" t="s">
        <v>1338</v>
      </c>
      <c r="D206" s="172" t="s">
        <v>1339</v>
      </c>
      <c r="E206" s="173"/>
      <c r="F206" s="174" t="s">
        <v>1340</v>
      </c>
      <c r="G206" s="175" t="s">
        <v>1341</v>
      </c>
      <c r="H206" s="207"/>
      <c r="I206" s="176" t="s">
        <v>1039</v>
      </c>
      <c r="J206" s="208" t="s">
        <v>160</v>
      </c>
      <c r="K206" s="178" t="s">
        <v>1342</v>
      </c>
      <c r="L206" s="179" t="s">
        <v>148</v>
      </c>
      <c r="M206" s="180"/>
      <c r="N206" s="179"/>
      <c r="O206" s="181" t="s">
        <v>267</v>
      </c>
      <c r="P206" s="182"/>
      <c r="Q206" s="182"/>
      <c r="R206" s="183"/>
      <c r="S206" s="184"/>
      <c r="T206" s="185"/>
      <c r="U206" s="184"/>
      <c r="V206" s="184"/>
      <c r="W206" s="184"/>
      <c r="X206" s="182"/>
      <c r="Y206" s="177"/>
      <c r="Z206" s="186">
        <f t="shared" si="5"/>
        <v>27</v>
      </c>
      <c r="AA206" s="187" t="str">
        <f t="shared" si="6"/>
        <v>C</v>
      </c>
      <c r="AB206" s="188" t="str">
        <f t="shared" si="8"/>
        <v>⚠ MISSING: Call Date, Modality, Budget, Timeline, Decision Maker</v>
      </c>
      <c r="AC206" s="182"/>
      <c r="AD206" s="177"/>
      <c r="AE206" s="183"/>
    </row>
    <row r="207" ht="18.0" customHeight="1">
      <c r="A207" s="189" t="str">
        <f t="shared" si="1"/>
        <v>AYA-202</v>
      </c>
      <c r="B207" s="190">
        <v>46073.0</v>
      </c>
      <c r="C207" s="209" t="s">
        <v>1343</v>
      </c>
      <c r="D207" s="191" t="s">
        <v>1344</v>
      </c>
      <c r="E207" s="192"/>
      <c r="F207" s="193" t="s">
        <v>1345</v>
      </c>
      <c r="G207" s="194" t="s">
        <v>1346</v>
      </c>
      <c r="H207" s="194" t="s">
        <v>1347</v>
      </c>
      <c r="I207" s="195" t="s">
        <v>1330</v>
      </c>
      <c r="J207" s="210" t="s">
        <v>208</v>
      </c>
      <c r="K207" s="196" t="s">
        <v>1348</v>
      </c>
      <c r="L207" s="179" t="s">
        <v>148</v>
      </c>
      <c r="M207" s="197"/>
      <c r="N207" s="198"/>
      <c r="O207" s="181" t="s">
        <v>267</v>
      </c>
      <c r="P207" s="199"/>
      <c r="Q207" s="199"/>
      <c r="R207" s="201"/>
      <c r="S207" s="202"/>
      <c r="T207" s="203"/>
      <c r="U207" s="202"/>
      <c r="V207" s="202"/>
      <c r="W207" s="202"/>
      <c r="X207" s="199"/>
      <c r="Y207" s="204"/>
      <c r="Z207" s="205">
        <f t="shared" si="5"/>
        <v>27</v>
      </c>
      <c r="AA207" s="206" t="str">
        <f t="shared" si="6"/>
        <v>C</v>
      </c>
      <c r="AB207" s="154" t="str">
        <f t="shared" si="8"/>
        <v>⚠ MISSING: Call Date, Modality, Budget, Timeline, Decision Maker</v>
      </c>
      <c r="AC207" s="199"/>
      <c r="AD207" s="204"/>
      <c r="AE207" s="201"/>
    </row>
    <row r="208" ht="18.0" customHeight="1">
      <c r="A208" s="170" t="str">
        <f t="shared" si="1"/>
        <v>AYA-203</v>
      </c>
      <c r="B208" s="171">
        <v>46055.0</v>
      </c>
      <c r="C208" s="211" t="s">
        <v>260</v>
      </c>
      <c r="D208" s="211" t="s">
        <v>1349</v>
      </c>
      <c r="E208" s="173"/>
      <c r="F208" s="212" t="s">
        <v>1350</v>
      </c>
      <c r="G208" s="175" t="s">
        <v>1351</v>
      </c>
      <c r="H208" s="213" t="s">
        <v>1352</v>
      </c>
      <c r="I208" s="176" t="s">
        <v>74</v>
      </c>
      <c r="J208" s="208" t="s">
        <v>1206</v>
      </c>
      <c r="K208" s="178" t="s">
        <v>1353</v>
      </c>
      <c r="L208" s="214" t="s">
        <v>155</v>
      </c>
      <c r="M208" s="215">
        <v>46071.0</v>
      </c>
      <c r="N208" s="216" t="s">
        <v>266</v>
      </c>
      <c r="O208" s="181" t="s">
        <v>297</v>
      </c>
      <c r="P208" s="181" t="s">
        <v>274</v>
      </c>
      <c r="Q208" s="181" t="s">
        <v>173</v>
      </c>
      <c r="R208" s="217">
        <v>46071.0</v>
      </c>
      <c r="S208" s="218" t="s">
        <v>67</v>
      </c>
      <c r="T208" s="185"/>
      <c r="U208" s="218" t="s">
        <v>1217</v>
      </c>
      <c r="V208" s="218" t="s">
        <v>1218</v>
      </c>
      <c r="W208" s="218" t="s">
        <v>1219</v>
      </c>
      <c r="X208" s="181" t="s">
        <v>65</v>
      </c>
      <c r="Y208" s="219" t="s">
        <v>1354</v>
      </c>
      <c r="Z208" s="186">
        <f t="shared" si="5"/>
        <v>42</v>
      </c>
      <c r="AA208" s="187" t="str">
        <f t="shared" si="6"/>
        <v>C</v>
      </c>
      <c r="AB208" s="188" t="str">
        <f t="shared" si="8"/>
        <v>✓ Complete</v>
      </c>
      <c r="AC208" s="181" t="s">
        <v>101</v>
      </c>
      <c r="AD208" s="177"/>
      <c r="AE208" s="183"/>
    </row>
    <row r="209" ht="18.0" customHeight="1">
      <c r="A209" s="189" t="str">
        <f t="shared" si="1"/>
        <v>AYA-204</v>
      </c>
      <c r="B209" s="190">
        <v>46063.0</v>
      </c>
      <c r="C209" s="191" t="s">
        <v>1355</v>
      </c>
      <c r="D209" s="191" t="s">
        <v>1356</v>
      </c>
      <c r="E209" s="192"/>
      <c r="F209" s="193" t="s">
        <v>1357</v>
      </c>
      <c r="G209" s="194" t="s">
        <v>1358</v>
      </c>
      <c r="H209" s="194" t="s">
        <v>596</v>
      </c>
      <c r="I209" s="195" t="s">
        <v>74</v>
      </c>
      <c r="J209" s="220" t="s">
        <v>162</v>
      </c>
      <c r="K209" s="196" t="s">
        <v>1359</v>
      </c>
      <c r="L209" s="221" t="s">
        <v>155</v>
      </c>
      <c r="M209" s="222">
        <v>46063.0</v>
      </c>
      <c r="N209" s="223" t="s">
        <v>342</v>
      </c>
      <c r="O209" s="181" t="s">
        <v>297</v>
      </c>
      <c r="P209" s="199"/>
      <c r="Q209" s="200" t="s">
        <v>173</v>
      </c>
      <c r="R209" s="224"/>
      <c r="S209" s="224"/>
      <c r="T209" s="225"/>
      <c r="U209" s="224"/>
      <c r="V209" s="224"/>
      <c r="W209" s="224"/>
      <c r="X209" s="200"/>
      <c r="Y209" s="226" t="s">
        <v>1360</v>
      </c>
      <c r="Z209" s="205">
        <f t="shared" si="5"/>
        <v>27</v>
      </c>
      <c r="AA209" s="206" t="str">
        <f t="shared" si="6"/>
        <v>C</v>
      </c>
      <c r="AB209" s="154" t="str">
        <f t="shared" ref="AB209:AB246" si="9">IF(C209="","",IF(AND(S209&lt;&gt;"",U209&lt;&gt;"",V209&lt;&gt;"",W209&lt;&gt;""),"✓ Complete","⚠ MISSING: "&amp;IF(S209="","Modality, ","")&amp;IF(U209="","Budget, ","")&amp;IF(V209="","Timeline, ","")&amp;IF(W209="","Decision Maker","")))</f>
        <v>⚠ MISSING: Modality, Budget, Timeline, Decision Maker</v>
      </c>
      <c r="AC209" s="200" t="s">
        <v>344</v>
      </c>
      <c r="AD209" s="204"/>
      <c r="AE209" s="201"/>
    </row>
    <row r="210" ht="18.0" customHeight="1">
      <c r="A210" s="118" t="str">
        <f t="shared" si="1"/>
        <v>AYA-205</v>
      </c>
      <c r="B210" s="140">
        <v>46067.0</v>
      </c>
      <c r="C210" s="142" t="s">
        <v>1361</v>
      </c>
      <c r="D210" s="142" t="s">
        <v>1362</v>
      </c>
      <c r="E210" s="143" t="s">
        <v>1363</v>
      </c>
      <c r="F210" s="144" t="s">
        <v>1364</v>
      </c>
      <c r="G210" s="145" t="s">
        <v>1365</v>
      </c>
      <c r="H210" s="145" t="s">
        <v>1366</v>
      </c>
      <c r="I210" s="145" t="s">
        <v>74</v>
      </c>
      <c r="J210" s="146" t="s">
        <v>163</v>
      </c>
      <c r="K210" s="145" t="s">
        <v>1367</v>
      </c>
      <c r="L210" s="147" t="s">
        <v>155</v>
      </c>
      <c r="M210" s="148">
        <v>46070.0</v>
      </c>
      <c r="N210" s="149" t="s">
        <v>266</v>
      </c>
      <c r="O210" s="150" t="s">
        <v>297</v>
      </c>
      <c r="P210" s="124" t="s">
        <v>274</v>
      </c>
      <c r="Q210" s="124" t="s">
        <v>173</v>
      </c>
      <c r="R210" s="148">
        <v>46077.0</v>
      </c>
      <c r="S210" s="149" t="s">
        <v>1368</v>
      </c>
      <c r="T210" s="145" t="s">
        <v>1369</v>
      </c>
      <c r="U210" s="149" t="s">
        <v>1217</v>
      </c>
      <c r="V210" s="149" t="s">
        <v>1370</v>
      </c>
      <c r="W210" s="149" t="s">
        <v>1209</v>
      </c>
      <c r="X210" s="149" t="s">
        <v>1371</v>
      </c>
      <c r="Y210" s="145" t="s">
        <v>1372</v>
      </c>
      <c r="Z210" s="125">
        <f t="shared" si="5"/>
        <v>65</v>
      </c>
      <c r="AA210" s="126" t="str">
        <f t="shared" si="6"/>
        <v>B</v>
      </c>
      <c r="AB210" s="154" t="str">
        <f t="shared" si="9"/>
        <v>✓ Complete</v>
      </c>
      <c r="AC210" s="155" t="s">
        <v>103</v>
      </c>
      <c r="AD210" s="153"/>
      <c r="AE210" s="156"/>
    </row>
    <row r="211" ht="18.0" customHeight="1">
      <c r="A211" s="189" t="str">
        <f t="shared" si="1"/>
        <v>AYA-206</v>
      </c>
      <c r="B211" s="190">
        <v>46075.0</v>
      </c>
      <c r="C211" s="227" t="s">
        <v>1373</v>
      </c>
      <c r="D211" s="228" t="s">
        <v>1141</v>
      </c>
      <c r="E211" s="192"/>
      <c r="F211" s="193" t="s">
        <v>1374</v>
      </c>
      <c r="G211" s="194" t="s">
        <v>1375</v>
      </c>
      <c r="H211" s="194" t="s">
        <v>1330</v>
      </c>
      <c r="I211" s="195" t="s">
        <v>78</v>
      </c>
      <c r="J211" s="220" t="s">
        <v>161</v>
      </c>
      <c r="K211" s="196" t="s">
        <v>1376</v>
      </c>
      <c r="L211" s="179" t="s">
        <v>148</v>
      </c>
      <c r="M211" s="197"/>
      <c r="N211" s="198"/>
      <c r="O211" s="181" t="s">
        <v>267</v>
      </c>
      <c r="P211" s="229" t="s">
        <v>375</v>
      </c>
      <c r="Q211" s="229" t="s">
        <v>173</v>
      </c>
      <c r="R211" s="230">
        <v>46091.0</v>
      </c>
      <c r="S211" s="231" t="s">
        <v>1377</v>
      </c>
      <c r="T211" s="232">
        <v>200000.0</v>
      </c>
      <c r="U211" s="231" t="s">
        <v>1378</v>
      </c>
      <c r="V211" s="231" t="s">
        <v>1370</v>
      </c>
      <c r="W211" s="231" t="s">
        <v>1209</v>
      </c>
      <c r="X211" s="231" t="s">
        <v>58</v>
      </c>
      <c r="Y211" s="204"/>
      <c r="Z211" s="205">
        <f t="shared" si="5"/>
        <v>85</v>
      </c>
      <c r="AA211" s="206" t="str">
        <f t="shared" si="6"/>
        <v>A</v>
      </c>
      <c r="AB211" s="154" t="str">
        <f t="shared" si="9"/>
        <v>✓ Complete</v>
      </c>
      <c r="AC211" s="155"/>
      <c r="AD211" s="204"/>
      <c r="AE211" s="233"/>
    </row>
    <row r="212" ht="18.0" customHeight="1">
      <c r="A212" s="170" t="str">
        <f t="shared" si="1"/>
        <v>AYA-207</v>
      </c>
      <c r="B212" s="171">
        <v>46075.0</v>
      </c>
      <c r="C212" s="172" t="s">
        <v>1379</v>
      </c>
      <c r="D212" s="172" t="s">
        <v>1380</v>
      </c>
      <c r="E212" s="173"/>
      <c r="F212" s="174" t="s">
        <v>1381</v>
      </c>
      <c r="G212" s="175" t="s">
        <v>1330</v>
      </c>
      <c r="H212" s="175" t="s">
        <v>1330</v>
      </c>
      <c r="I212" s="176" t="s">
        <v>1033</v>
      </c>
      <c r="J212" s="234" t="s">
        <v>161</v>
      </c>
      <c r="K212" s="178" t="s">
        <v>1382</v>
      </c>
      <c r="L212" s="179" t="s">
        <v>148</v>
      </c>
      <c r="M212" s="180"/>
      <c r="N212" s="179"/>
      <c r="O212" s="181" t="s">
        <v>267</v>
      </c>
      <c r="P212" s="182"/>
      <c r="Q212" s="182"/>
      <c r="R212" s="183"/>
      <c r="S212" s="184"/>
      <c r="T212" s="185"/>
      <c r="U212" s="184"/>
      <c r="V212" s="184"/>
      <c r="W212" s="184"/>
      <c r="X212" s="182"/>
      <c r="Y212" s="177"/>
      <c r="Z212" s="186">
        <f t="shared" si="5"/>
        <v>20</v>
      </c>
      <c r="AA212" s="187" t="str">
        <f t="shared" si="6"/>
        <v>D</v>
      </c>
      <c r="AB212" s="154" t="str">
        <f t="shared" si="9"/>
        <v>⚠ MISSING: Modality, Budget, Timeline, Decision Maker</v>
      </c>
      <c r="AC212" s="155"/>
      <c r="AD212" s="177"/>
      <c r="AE212" s="183"/>
    </row>
    <row r="213" ht="18.0" customHeight="1">
      <c r="A213" s="189" t="str">
        <f t="shared" si="1"/>
        <v>AYA-208</v>
      </c>
      <c r="B213" s="190">
        <v>46077.0</v>
      </c>
      <c r="C213" s="191" t="s">
        <v>1383</v>
      </c>
      <c r="D213" s="191" t="s">
        <v>1384</v>
      </c>
      <c r="E213" s="192"/>
      <c r="F213" s="193" t="s">
        <v>1385</v>
      </c>
      <c r="G213" s="194" t="s">
        <v>1386</v>
      </c>
      <c r="H213" s="194" t="s">
        <v>1330</v>
      </c>
      <c r="I213" s="195" t="s">
        <v>1039</v>
      </c>
      <c r="J213" s="220" t="s">
        <v>208</v>
      </c>
      <c r="K213" s="196" t="s">
        <v>1387</v>
      </c>
      <c r="L213" s="235" t="s">
        <v>149</v>
      </c>
      <c r="M213" s="236"/>
      <c r="N213" s="237"/>
      <c r="O213" s="181" t="s">
        <v>55</v>
      </c>
      <c r="P213" s="199"/>
      <c r="Q213" s="200" t="s">
        <v>1337</v>
      </c>
      <c r="R213" s="201"/>
      <c r="S213" s="202"/>
      <c r="T213" s="203"/>
      <c r="U213" s="202"/>
      <c r="V213" s="202"/>
      <c r="W213" s="202"/>
      <c r="X213" s="199"/>
      <c r="Y213" s="204"/>
      <c r="Z213" s="205">
        <f t="shared" si="5"/>
        <v>27</v>
      </c>
      <c r="AA213" s="206" t="str">
        <f t="shared" si="6"/>
        <v>C</v>
      </c>
      <c r="AB213" s="154" t="str">
        <f t="shared" si="9"/>
        <v>⚠ MISSING: Modality, Budget, Timeline, Decision Maker</v>
      </c>
      <c r="AC213" s="155"/>
      <c r="AD213" s="204"/>
      <c r="AE213" s="201"/>
    </row>
    <row r="214" ht="18.0" customHeight="1">
      <c r="A214" s="170" t="str">
        <f t="shared" si="1"/>
        <v>AYA-209</v>
      </c>
      <c r="B214" s="171">
        <v>46080.0</v>
      </c>
      <c r="C214" s="172" t="s">
        <v>1388</v>
      </c>
      <c r="D214" s="238" t="s">
        <v>1389</v>
      </c>
      <c r="E214" s="239" t="s">
        <v>1390</v>
      </c>
      <c r="F214" s="174" t="s">
        <v>1391</v>
      </c>
      <c r="G214" s="175" t="s">
        <v>1392</v>
      </c>
      <c r="H214" s="175" t="s">
        <v>1330</v>
      </c>
      <c r="I214" s="176" t="s">
        <v>72</v>
      </c>
      <c r="J214" s="234" t="s">
        <v>161</v>
      </c>
      <c r="K214" s="178" t="s">
        <v>1393</v>
      </c>
      <c r="L214" s="179" t="s">
        <v>148</v>
      </c>
      <c r="M214" s="180"/>
      <c r="N214" s="179"/>
      <c r="O214" s="181" t="s">
        <v>267</v>
      </c>
      <c r="P214" s="182"/>
      <c r="Q214" s="182"/>
      <c r="R214" s="183"/>
      <c r="S214" s="184"/>
      <c r="T214" s="185"/>
      <c r="U214" s="184"/>
      <c r="V214" s="184"/>
      <c r="W214" s="184"/>
      <c r="X214" s="182"/>
      <c r="Y214" s="177"/>
      <c r="Z214" s="186">
        <f t="shared" si="5"/>
        <v>27</v>
      </c>
      <c r="AA214" s="187" t="str">
        <f t="shared" si="6"/>
        <v>C</v>
      </c>
      <c r="AB214" s="154" t="str">
        <f t="shared" si="9"/>
        <v>⚠ MISSING: Modality, Budget, Timeline, Decision Maker</v>
      </c>
      <c r="AC214" s="155"/>
      <c r="AD214" s="177"/>
      <c r="AE214" s="183"/>
    </row>
    <row r="215" ht="18.0" customHeight="1">
      <c r="A215" s="189" t="str">
        <f t="shared" si="1"/>
        <v>AYA-210</v>
      </c>
      <c r="B215" s="190">
        <v>46080.0</v>
      </c>
      <c r="C215" s="209" t="s">
        <v>537</v>
      </c>
      <c r="D215" s="209" t="s">
        <v>1394</v>
      </c>
      <c r="E215" s="240" t="s">
        <v>1395</v>
      </c>
      <c r="F215" s="241" t="s">
        <v>1396</v>
      </c>
      <c r="G215" s="194" t="s">
        <v>1397</v>
      </c>
      <c r="H215" s="194" t="s">
        <v>1330</v>
      </c>
      <c r="I215" s="195" t="s">
        <v>1039</v>
      </c>
      <c r="J215" s="220" t="s">
        <v>161</v>
      </c>
      <c r="K215" s="196" t="s">
        <v>1398</v>
      </c>
      <c r="L215" s="179" t="s">
        <v>148</v>
      </c>
      <c r="M215" s="197"/>
      <c r="N215" s="198"/>
      <c r="O215" s="181" t="s">
        <v>267</v>
      </c>
      <c r="P215" s="199"/>
      <c r="Q215" s="199"/>
      <c r="R215" s="201"/>
      <c r="S215" s="202"/>
      <c r="T215" s="203"/>
      <c r="U215" s="202"/>
      <c r="V215" s="202"/>
      <c r="W215" s="202"/>
      <c r="X215" s="199"/>
      <c r="Y215" s="204"/>
      <c r="Z215" s="205">
        <f t="shared" si="5"/>
        <v>27</v>
      </c>
      <c r="AA215" s="206" t="str">
        <f t="shared" si="6"/>
        <v>C</v>
      </c>
      <c r="AB215" s="154" t="str">
        <f t="shared" si="9"/>
        <v>⚠ MISSING: Modality, Budget, Timeline, Decision Maker</v>
      </c>
      <c r="AC215" s="155"/>
      <c r="AD215" s="204"/>
      <c r="AE215" s="201"/>
    </row>
    <row r="216" ht="18.0" customHeight="1">
      <c r="A216" s="189" t="str">
        <f t="shared" si="1"/>
        <v>AYA-211</v>
      </c>
      <c r="B216" s="171">
        <v>46081.0</v>
      </c>
      <c r="C216" s="172" t="s">
        <v>1399</v>
      </c>
      <c r="D216" s="172" t="s">
        <v>1400</v>
      </c>
      <c r="E216" s="242" t="s">
        <v>1401</v>
      </c>
      <c r="F216" s="243" t="s">
        <v>1402</v>
      </c>
      <c r="G216" s="244" t="s">
        <v>1403</v>
      </c>
      <c r="H216" s="244" t="s">
        <v>1330</v>
      </c>
      <c r="I216" s="245" t="s">
        <v>1033</v>
      </c>
      <c r="J216" s="234" t="s">
        <v>162</v>
      </c>
      <c r="K216" s="246" t="s">
        <v>1404</v>
      </c>
      <c r="L216" s="247" t="s">
        <v>148</v>
      </c>
      <c r="M216" s="248"/>
      <c r="N216" s="249"/>
      <c r="O216" s="181" t="s">
        <v>267</v>
      </c>
      <c r="P216" s="199"/>
      <c r="Q216" s="199"/>
      <c r="R216" s="201"/>
      <c r="S216" s="202"/>
      <c r="T216" s="203"/>
      <c r="U216" s="202"/>
      <c r="V216" s="202"/>
      <c r="W216" s="202"/>
      <c r="X216" s="199"/>
      <c r="Y216" s="204"/>
      <c r="Z216" s="205">
        <f t="shared" si="5"/>
        <v>27</v>
      </c>
      <c r="AA216" s="206" t="str">
        <f t="shared" si="6"/>
        <v>C</v>
      </c>
      <c r="AB216" s="154" t="str">
        <f t="shared" si="9"/>
        <v>⚠ MISSING: Modality, Budget, Timeline, Decision Maker</v>
      </c>
      <c r="AC216" s="155"/>
      <c r="AD216" s="204"/>
      <c r="AE216" s="201"/>
    </row>
    <row r="217" ht="18.0" customHeight="1">
      <c r="A217" s="170" t="str">
        <f t="shared" si="1"/>
        <v>AYA-212</v>
      </c>
      <c r="B217" s="190">
        <v>46081.0</v>
      </c>
      <c r="C217" s="209" t="s">
        <v>1405</v>
      </c>
      <c r="D217" s="209" t="s">
        <v>1406</v>
      </c>
      <c r="E217" s="250" t="s">
        <v>1407</v>
      </c>
      <c r="F217" s="241" t="s">
        <v>1408</v>
      </c>
      <c r="G217" s="251" t="s">
        <v>1330</v>
      </c>
      <c r="H217" s="251" t="s">
        <v>1330</v>
      </c>
      <c r="I217" s="252" t="s">
        <v>1039</v>
      </c>
      <c r="J217" s="220" t="s">
        <v>161</v>
      </c>
      <c r="K217" s="253" t="s">
        <v>1409</v>
      </c>
      <c r="L217" s="199" t="s">
        <v>148</v>
      </c>
      <c r="M217" s="254"/>
      <c r="N217" s="255"/>
      <c r="O217" s="181" t="s">
        <v>267</v>
      </c>
      <c r="P217" s="182"/>
      <c r="Q217" s="182"/>
      <c r="R217" s="183"/>
      <c r="S217" s="184"/>
      <c r="T217" s="185"/>
      <c r="U217" s="184"/>
      <c r="V217" s="184"/>
      <c r="W217" s="184"/>
      <c r="X217" s="182"/>
      <c r="Y217" s="177"/>
      <c r="Z217" s="186">
        <f t="shared" si="5"/>
        <v>20</v>
      </c>
      <c r="AA217" s="187" t="str">
        <f t="shared" si="6"/>
        <v>D</v>
      </c>
      <c r="AB217" s="154" t="str">
        <f t="shared" si="9"/>
        <v>⚠ MISSING: Modality, Budget, Timeline, Decision Maker</v>
      </c>
      <c r="AC217" s="155"/>
      <c r="AD217" s="177"/>
      <c r="AE217" s="183"/>
    </row>
    <row r="218" ht="18.0" customHeight="1">
      <c r="A218" s="256" t="str">
        <f t="shared" si="1"/>
        <v>AYA-213</v>
      </c>
      <c r="B218" s="171">
        <v>46084.0</v>
      </c>
      <c r="C218" s="238" t="s">
        <v>1410</v>
      </c>
      <c r="D218" s="238" t="s">
        <v>1411</v>
      </c>
      <c r="E218" s="257" t="s">
        <v>1412</v>
      </c>
      <c r="F218" s="174" t="s">
        <v>1413</v>
      </c>
      <c r="G218" s="244" t="s">
        <v>1414</v>
      </c>
      <c r="H218" s="244" t="s">
        <v>1415</v>
      </c>
      <c r="I218" s="245" t="s">
        <v>1416</v>
      </c>
      <c r="J218" s="234" t="s">
        <v>161</v>
      </c>
      <c r="K218" s="246" t="s">
        <v>1417</v>
      </c>
      <c r="L218" s="199" t="s">
        <v>148</v>
      </c>
      <c r="M218" s="233"/>
      <c r="N218" s="199"/>
      <c r="O218" s="258" t="s">
        <v>267</v>
      </c>
      <c r="P218" s="259"/>
      <c r="Q218" s="259"/>
      <c r="R218" s="260"/>
      <c r="S218" s="261"/>
      <c r="T218" s="262"/>
      <c r="U218" s="261"/>
      <c r="V218" s="261"/>
      <c r="W218" s="261"/>
      <c r="X218" s="259"/>
      <c r="Y218" s="263"/>
      <c r="Z218" s="264">
        <f t="shared" si="5"/>
        <v>27</v>
      </c>
      <c r="AA218" s="265" t="str">
        <f t="shared" si="6"/>
        <v>C</v>
      </c>
      <c r="AB218" s="154" t="str">
        <f t="shared" si="9"/>
        <v>⚠ MISSING: Modality, Budget, Timeline, Decision Maker</v>
      </c>
      <c r="AC218" s="266"/>
      <c r="AD218" s="263"/>
      <c r="AE218" s="260"/>
    </row>
    <row r="219" ht="18.0" customHeight="1">
      <c r="A219" s="170" t="str">
        <f t="shared" si="1"/>
        <v>AYA-214</v>
      </c>
      <c r="B219" s="190">
        <v>46085.0</v>
      </c>
      <c r="C219" s="209" t="s">
        <v>1418</v>
      </c>
      <c r="D219" s="191" t="s">
        <v>1419</v>
      </c>
      <c r="E219" s="250" t="s">
        <v>1330</v>
      </c>
      <c r="F219" s="193" t="s">
        <v>1420</v>
      </c>
      <c r="G219" s="267" t="s">
        <v>1421</v>
      </c>
      <c r="H219" s="267" t="s">
        <v>1422</v>
      </c>
      <c r="I219" s="252" t="s">
        <v>1423</v>
      </c>
      <c r="J219" s="220" t="s">
        <v>161</v>
      </c>
      <c r="K219" s="253" t="s">
        <v>1424</v>
      </c>
      <c r="L219" s="268" t="s">
        <v>148</v>
      </c>
      <c r="M219" s="269"/>
      <c r="N219" s="270"/>
      <c r="O219" s="181" t="s">
        <v>267</v>
      </c>
      <c r="P219" s="182"/>
      <c r="Q219" s="182"/>
      <c r="R219" s="183"/>
      <c r="S219" s="184"/>
      <c r="T219" s="185"/>
      <c r="U219" s="184"/>
      <c r="V219" s="184"/>
      <c r="W219" s="184"/>
      <c r="X219" s="182"/>
      <c r="Y219" s="177"/>
      <c r="Z219" s="186">
        <f t="shared" si="5"/>
        <v>27</v>
      </c>
      <c r="AA219" s="187" t="str">
        <f t="shared" si="6"/>
        <v>C</v>
      </c>
      <c r="AB219" s="154" t="str">
        <f t="shared" si="9"/>
        <v>⚠ MISSING: Modality, Budget, Timeline, Decision Maker</v>
      </c>
      <c r="AC219" s="155"/>
      <c r="AD219" s="177"/>
      <c r="AE219" s="183"/>
    </row>
    <row r="220" ht="18.0" customHeight="1">
      <c r="A220" s="189" t="str">
        <f t="shared" si="1"/>
        <v>AYA-215</v>
      </c>
      <c r="B220" s="171">
        <v>46086.0</v>
      </c>
      <c r="C220" s="172" t="s">
        <v>1425</v>
      </c>
      <c r="D220" s="172" t="s">
        <v>583</v>
      </c>
      <c r="E220" s="242" t="s">
        <v>1426</v>
      </c>
      <c r="F220" s="174" t="s">
        <v>1427</v>
      </c>
      <c r="G220" s="244" t="s">
        <v>1428</v>
      </c>
      <c r="H220" s="244" t="s">
        <v>1330</v>
      </c>
      <c r="I220" s="245" t="s">
        <v>72</v>
      </c>
      <c r="J220" s="234" t="s">
        <v>161</v>
      </c>
      <c r="K220" s="246" t="s">
        <v>1429</v>
      </c>
      <c r="L220" s="199" t="s">
        <v>148</v>
      </c>
      <c r="M220" s="233"/>
      <c r="N220" s="199"/>
      <c r="O220" s="181" t="s">
        <v>267</v>
      </c>
      <c r="P220" s="200" t="s">
        <v>428</v>
      </c>
      <c r="Q220" s="199"/>
      <c r="R220" s="201"/>
      <c r="S220" s="202"/>
      <c r="T220" s="203"/>
      <c r="U220" s="202"/>
      <c r="V220" s="202"/>
      <c r="W220" s="202"/>
      <c r="X220" s="199"/>
      <c r="Y220" s="204"/>
      <c r="Z220" s="205">
        <f t="shared" si="5"/>
        <v>37</v>
      </c>
      <c r="AA220" s="206" t="str">
        <f t="shared" si="6"/>
        <v>C</v>
      </c>
      <c r="AB220" s="154" t="str">
        <f t="shared" si="9"/>
        <v>⚠ MISSING: Modality, Budget, Timeline, Decision Maker</v>
      </c>
      <c r="AC220" s="155"/>
      <c r="AD220" s="204"/>
      <c r="AE220" s="201"/>
    </row>
    <row r="221" ht="18.0" customHeight="1">
      <c r="A221" s="170" t="str">
        <f t="shared" si="1"/>
        <v>AYA-216</v>
      </c>
      <c r="B221" s="190">
        <v>46090.0</v>
      </c>
      <c r="C221" s="191" t="s">
        <v>1430</v>
      </c>
      <c r="D221" s="191" t="s">
        <v>1431</v>
      </c>
      <c r="E221" s="250" t="s">
        <v>1432</v>
      </c>
      <c r="F221" s="193" t="s">
        <v>1433</v>
      </c>
      <c r="G221" s="251" t="s">
        <v>1434</v>
      </c>
      <c r="H221" s="251" t="s">
        <v>1330</v>
      </c>
      <c r="I221" s="252" t="s">
        <v>1033</v>
      </c>
      <c r="J221" s="220" t="s">
        <v>161</v>
      </c>
      <c r="K221" s="253" t="s">
        <v>1435</v>
      </c>
      <c r="L221" s="199" t="s">
        <v>148</v>
      </c>
      <c r="M221" s="254"/>
      <c r="N221" s="255"/>
      <c r="O221" s="181" t="s">
        <v>267</v>
      </c>
      <c r="P221" s="182"/>
      <c r="Q221" s="182"/>
      <c r="R221" s="183"/>
      <c r="S221" s="184"/>
      <c r="T221" s="185"/>
      <c r="U221" s="184"/>
      <c r="V221" s="184"/>
      <c r="W221" s="184"/>
      <c r="X221" s="182"/>
      <c r="Y221" s="177"/>
      <c r="Z221" s="186">
        <f t="shared" si="5"/>
        <v>27</v>
      </c>
      <c r="AA221" s="187" t="str">
        <f t="shared" si="6"/>
        <v>C</v>
      </c>
      <c r="AB221" s="154" t="str">
        <f t="shared" si="9"/>
        <v>⚠ MISSING: Modality, Budget, Timeline, Decision Maker</v>
      </c>
      <c r="AC221" s="155"/>
      <c r="AD221" s="177"/>
      <c r="AE221" s="183"/>
    </row>
    <row r="222" ht="18.0" customHeight="1">
      <c r="A222" s="189" t="str">
        <f t="shared" si="1"/>
        <v>AYA-217</v>
      </c>
      <c r="B222" s="171">
        <v>46092.0</v>
      </c>
      <c r="C222" s="172" t="s">
        <v>1436</v>
      </c>
      <c r="D222" s="172" t="s">
        <v>1437</v>
      </c>
      <c r="E222" s="242" t="s">
        <v>1438</v>
      </c>
      <c r="F222" s="243" t="s">
        <v>1439</v>
      </c>
      <c r="G222" s="244" t="s">
        <v>1428</v>
      </c>
      <c r="H222" s="244" t="s">
        <v>1330</v>
      </c>
      <c r="I222" s="245" t="s">
        <v>72</v>
      </c>
      <c r="J222" s="234" t="s">
        <v>161</v>
      </c>
      <c r="K222" s="246" t="s">
        <v>1435</v>
      </c>
      <c r="L222" s="200" t="s">
        <v>148</v>
      </c>
      <c r="M222" s="271"/>
      <c r="N222" s="272"/>
      <c r="O222" s="181" t="s">
        <v>267</v>
      </c>
      <c r="P222" s="199"/>
      <c r="Q222" s="199"/>
      <c r="R222" s="201"/>
      <c r="S222" s="202"/>
      <c r="T222" s="203"/>
      <c r="U222" s="202"/>
      <c r="V222" s="202"/>
      <c r="W222" s="202"/>
      <c r="X222" s="199"/>
      <c r="Y222" s="204"/>
      <c r="Z222" s="205">
        <f t="shared" si="5"/>
        <v>27</v>
      </c>
      <c r="AA222" s="206" t="str">
        <f t="shared" si="6"/>
        <v>C</v>
      </c>
      <c r="AB222" s="154" t="str">
        <f t="shared" si="9"/>
        <v>⚠ MISSING: Modality, Budget, Timeline, Decision Maker</v>
      </c>
      <c r="AC222" s="155"/>
      <c r="AD222" s="204"/>
      <c r="AE222" s="201"/>
    </row>
    <row r="223" ht="18.0" customHeight="1">
      <c r="A223" s="189" t="str">
        <f t="shared" si="1"/>
        <v>AYA-218</v>
      </c>
      <c r="B223" s="273">
        <v>46092.0</v>
      </c>
      <c r="C223" s="274" t="s">
        <v>1440</v>
      </c>
      <c r="D223" s="274" t="s">
        <v>1441</v>
      </c>
      <c r="E223" s="275" t="s">
        <v>1442</v>
      </c>
      <c r="F223" s="276" t="s">
        <v>1443</v>
      </c>
      <c r="G223" s="277" t="s">
        <v>1444</v>
      </c>
      <c r="H223" s="277" t="s">
        <v>1330</v>
      </c>
      <c r="I223" s="278" t="s">
        <v>1054</v>
      </c>
      <c r="J223" s="279" t="s">
        <v>161</v>
      </c>
      <c r="K223" s="280" t="s">
        <v>1445</v>
      </c>
      <c r="L223" s="268" t="s">
        <v>149</v>
      </c>
      <c r="M223" s="269"/>
      <c r="N223" s="270"/>
      <c r="O223" s="181" t="s">
        <v>55</v>
      </c>
      <c r="P223" s="181" t="s">
        <v>281</v>
      </c>
      <c r="Q223" s="181" t="s">
        <v>1337</v>
      </c>
      <c r="R223" s="183"/>
      <c r="S223" s="184"/>
      <c r="T223" s="185"/>
      <c r="U223" s="184"/>
      <c r="V223" s="184"/>
      <c r="W223" s="184"/>
      <c r="X223" s="182"/>
      <c r="Y223" s="177"/>
      <c r="Z223" s="186"/>
      <c r="AA223" s="187"/>
      <c r="AB223" s="154" t="str">
        <f t="shared" si="9"/>
        <v>⚠ MISSING: Modality, Budget, Timeline, Decision Maker</v>
      </c>
      <c r="AC223" s="155"/>
      <c r="AD223" s="177"/>
      <c r="AE223" s="183"/>
    </row>
    <row r="224" ht="18.0" customHeight="1">
      <c r="A224" s="170" t="str">
        <f t="shared" si="1"/>
        <v>AYA-219</v>
      </c>
      <c r="B224" s="171">
        <v>46093.0</v>
      </c>
      <c r="C224" s="172" t="s">
        <v>1446</v>
      </c>
      <c r="D224" s="172" t="s">
        <v>1447</v>
      </c>
      <c r="E224" s="242" t="s">
        <v>1448</v>
      </c>
      <c r="F224" s="243" t="s">
        <v>1449</v>
      </c>
      <c r="G224" s="244" t="s">
        <v>1450</v>
      </c>
      <c r="H224" s="244" t="s">
        <v>1451</v>
      </c>
      <c r="I224" s="245" t="s">
        <v>81</v>
      </c>
      <c r="J224" s="234" t="s">
        <v>161</v>
      </c>
      <c r="K224" s="281" t="s">
        <v>1452</v>
      </c>
      <c r="L224" s="282" t="s">
        <v>149</v>
      </c>
      <c r="M224" s="283"/>
      <c r="N224" s="284"/>
      <c r="O224" s="181" t="s">
        <v>55</v>
      </c>
      <c r="P224" s="181" t="s">
        <v>281</v>
      </c>
      <c r="Q224" s="181" t="s">
        <v>1337</v>
      </c>
      <c r="R224" s="183"/>
      <c r="S224" s="184"/>
      <c r="T224" s="185"/>
      <c r="U224" s="184"/>
      <c r="V224" s="184"/>
      <c r="W224" s="184"/>
      <c r="X224" s="182"/>
      <c r="Y224" s="177"/>
      <c r="Z224" s="186">
        <f t="shared" ref="Z224:Z229" si="10">IF(C224="","",(IF(OR(P224="Data Annotation",P224="GenAI / LLM Eval",P224="Medical Annotation"),25,IF(OR(P224="AI Consulting",P224="Data Collection"),18,IF(P224&lt;&gt;"",10,0)))+IF(AND(K224&lt;&gt;"",LEN(K224)&gt;50,T224&lt;&gt;""),20,IF(AND(K224&lt;&gt;"",LEN(K224)&gt;20),12,IF(K224&lt;&gt;"",5,0)))+IF(OR(U224="$100k–$500k",U224="$500k+"),20,IF(OR(U224="$25k–$100k"),15,IF(OR(U224="$5k–$25k"),10,IF(U224="$1k–$5k",5,0))))+IF(AND(G224&lt;&gt;"",G224&lt;&gt;"-"),15,IF(G224&lt;&gt;"",8,0))+IF(V224="Immediate (this month)",10,IF(V224="Short-term (1–3 months)",7,IF(V224="Medium (3–6 months)",4,0)))+IF(W224="Yes",10,IF(W224="Unclear",5,0))))</f>
        <v>37</v>
      </c>
      <c r="AA224" s="187" t="str">
        <f t="shared" ref="AA224:AA233" si="11">IF(Z224="","",IF(Z224&gt;=75,"A",IF(Z224&gt;=50,"B",IF(Z224&gt;=25,"C","D"))))</f>
        <v>C</v>
      </c>
      <c r="AB224" s="154" t="str">
        <f t="shared" si="9"/>
        <v>⚠ MISSING: Modality, Budget, Timeline, Decision Maker</v>
      </c>
      <c r="AC224" s="155"/>
      <c r="AD224" s="177"/>
      <c r="AE224" s="183"/>
    </row>
    <row r="225" ht="18.0" customHeight="1">
      <c r="A225" s="285" t="str">
        <f t="shared" si="1"/>
        <v>AYA-220</v>
      </c>
      <c r="B225" s="286">
        <v>46087.0</v>
      </c>
      <c r="C225" s="287" t="s">
        <v>1453</v>
      </c>
      <c r="D225" s="287" t="s">
        <v>1453</v>
      </c>
      <c r="E225" s="288">
        <v>2.1992284222E10</v>
      </c>
      <c r="F225" s="289" t="s">
        <v>1454</v>
      </c>
      <c r="G225" s="290" t="s">
        <v>1453</v>
      </c>
      <c r="H225" s="291"/>
      <c r="I225" s="292" t="s">
        <v>1033</v>
      </c>
      <c r="J225" s="290" t="s">
        <v>67</v>
      </c>
      <c r="K225" s="290" t="s">
        <v>1453</v>
      </c>
      <c r="L225" s="293" t="s">
        <v>153</v>
      </c>
      <c r="M225" s="294"/>
      <c r="N225" s="295"/>
      <c r="O225" s="296" t="s">
        <v>267</v>
      </c>
      <c r="P225" s="296" t="s">
        <v>452</v>
      </c>
      <c r="Q225" s="296" t="s">
        <v>173</v>
      </c>
      <c r="R225" s="297"/>
      <c r="S225" s="298" t="s">
        <v>1377</v>
      </c>
      <c r="T225" s="299"/>
      <c r="U225" s="298" t="s">
        <v>1455</v>
      </c>
      <c r="V225" s="298" t="s">
        <v>1370</v>
      </c>
      <c r="W225" s="298" t="s">
        <v>1209</v>
      </c>
      <c r="X225" s="298" t="s">
        <v>58</v>
      </c>
      <c r="Y225" s="299"/>
      <c r="Z225" s="300">
        <f t="shared" si="10"/>
        <v>70</v>
      </c>
      <c r="AA225" s="301" t="str">
        <f t="shared" si="11"/>
        <v>B</v>
      </c>
      <c r="AB225" s="154" t="str">
        <f t="shared" si="9"/>
        <v>✓ Complete</v>
      </c>
      <c r="AC225" s="155" t="s">
        <v>409</v>
      </c>
      <c r="AD225" s="299"/>
      <c r="AE225" s="302"/>
    </row>
    <row r="226" ht="18.0" customHeight="1">
      <c r="A226" s="118" t="str">
        <f t="shared" si="1"/>
        <v>AYA-221</v>
      </c>
      <c r="B226" s="303">
        <v>46092.0</v>
      </c>
      <c r="C226" s="142" t="s">
        <v>1456</v>
      </c>
      <c r="D226" s="142" t="s">
        <v>1457</v>
      </c>
      <c r="E226" s="143" t="s">
        <v>1458</v>
      </c>
      <c r="F226" s="144" t="s">
        <v>1459</v>
      </c>
      <c r="G226" s="145" t="s">
        <v>1460</v>
      </c>
      <c r="H226" s="145" t="s">
        <v>1330</v>
      </c>
      <c r="I226" s="145" t="s">
        <v>1461</v>
      </c>
      <c r="J226" s="146" t="s">
        <v>161</v>
      </c>
      <c r="K226" s="145" t="s">
        <v>1462</v>
      </c>
      <c r="L226" s="124" t="s">
        <v>148</v>
      </c>
      <c r="M226" s="151"/>
      <c r="N226" s="152"/>
      <c r="O226" s="139" t="s">
        <v>267</v>
      </c>
      <c r="P226" s="124" t="s">
        <v>281</v>
      </c>
      <c r="Q226" s="124" t="s">
        <v>173</v>
      </c>
      <c r="R226" s="151"/>
      <c r="S226" s="152"/>
      <c r="T226" s="153"/>
      <c r="U226" s="152"/>
      <c r="V226" s="152"/>
      <c r="W226" s="152"/>
      <c r="X226" s="152"/>
      <c r="Y226" s="153"/>
      <c r="Z226" s="125">
        <f t="shared" si="10"/>
        <v>37</v>
      </c>
      <c r="AA226" s="126" t="str">
        <f t="shared" si="11"/>
        <v>C</v>
      </c>
      <c r="AB226" s="154" t="str">
        <f t="shared" si="9"/>
        <v>⚠ MISSING: Modality, Budget, Timeline, Decision Maker</v>
      </c>
      <c r="AC226" s="155"/>
      <c r="AD226" s="153"/>
      <c r="AE226" s="156"/>
    </row>
    <row r="227" ht="18.0" customHeight="1">
      <c r="A227" s="118" t="str">
        <f t="shared" si="1"/>
        <v>AYA-222</v>
      </c>
      <c r="B227" s="304">
        <v>46094.0</v>
      </c>
      <c r="C227" s="305" t="s">
        <v>1463</v>
      </c>
      <c r="D227" s="305" t="s">
        <v>1464</v>
      </c>
      <c r="E227" s="306" t="s">
        <v>1465</v>
      </c>
      <c r="F227" s="307" t="s">
        <v>1466</v>
      </c>
      <c r="G227" s="308" t="s">
        <v>1467</v>
      </c>
      <c r="H227" s="308" t="s">
        <v>450</v>
      </c>
      <c r="I227" s="308" t="s">
        <v>1468</v>
      </c>
      <c r="J227" s="309" t="s">
        <v>161</v>
      </c>
      <c r="K227" s="308" t="s">
        <v>1469</v>
      </c>
      <c r="L227" s="139" t="s">
        <v>149</v>
      </c>
      <c r="M227" s="310"/>
      <c r="N227" s="311"/>
      <c r="O227" s="312" t="s">
        <v>55</v>
      </c>
      <c r="P227" s="312" t="s">
        <v>360</v>
      </c>
      <c r="Q227" s="312" t="s">
        <v>1337</v>
      </c>
      <c r="R227" s="310"/>
      <c r="S227" s="311"/>
      <c r="T227" s="313"/>
      <c r="U227" s="311"/>
      <c r="V227" s="311"/>
      <c r="W227" s="311"/>
      <c r="X227" s="311"/>
      <c r="Y227" s="313"/>
      <c r="Z227" s="314">
        <f t="shared" si="10"/>
        <v>45</v>
      </c>
      <c r="AA227" s="315" t="str">
        <f t="shared" si="11"/>
        <v>C</v>
      </c>
      <c r="AB227" s="154" t="str">
        <f t="shared" si="9"/>
        <v>⚠ MISSING: Modality, Budget, Timeline, Decision Maker</v>
      </c>
      <c r="AC227" s="155"/>
      <c r="AD227" s="313"/>
      <c r="AE227" s="316"/>
    </row>
    <row r="228" ht="18.0" customHeight="1">
      <c r="A228" s="127" t="str">
        <f t="shared" si="1"/>
        <v>AYA-223</v>
      </c>
      <c r="B228" s="141">
        <v>46099.0</v>
      </c>
      <c r="C228" s="305" t="s">
        <v>699</v>
      </c>
      <c r="D228" s="305" t="s">
        <v>1470</v>
      </c>
      <c r="E228" s="306" t="s">
        <v>1471</v>
      </c>
      <c r="F228" s="307" t="s">
        <v>1472</v>
      </c>
      <c r="G228" s="308" t="s">
        <v>1473</v>
      </c>
      <c r="H228" s="308" t="s">
        <v>1474</v>
      </c>
      <c r="I228" s="308" t="s">
        <v>74</v>
      </c>
      <c r="J228" s="309" t="s">
        <v>163</v>
      </c>
      <c r="K228" s="308" t="s">
        <v>1475</v>
      </c>
      <c r="L228" s="312" t="s">
        <v>155</v>
      </c>
      <c r="M228" s="317">
        <v>46100.0</v>
      </c>
      <c r="N228" s="318" t="s">
        <v>189</v>
      </c>
      <c r="O228" s="150" t="s">
        <v>297</v>
      </c>
      <c r="P228" s="139" t="s">
        <v>274</v>
      </c>
      <c r="Q228" s="139" t="s">
        <v>173</v>
      </c>
      <c r="R228" s="317">
        <v>46100.0</v>
      </c>
      <c r="S228" s="318" t="s">
        <v>1229</v>
      </c>
      <c r="T228" s="319"/>
      <c r="U228" s="318" t="s">
        <v>1217</v>
      </c>
      <c r="V228" s="318" t="s">
        <v>1218</v>
      </c>
      <c r="W228" s="318" t="s">
        <v>1219</v>
      </c>
      <c r="X228" s="318" t="s">
        <v>1476</v>
      </c>
      <c r="Y228" s="308" t="s">
        <v>1477</v>
      </c>
      <c r="Z228" s="136">
        <f t="shared" si="10"/>
        <v>42</v>
      </c>
      <c r="AA228" s="137" t="str">
        <f t="shared" si="11"/>
        <v>C</v>
      </c>
      <c r="AB228" s="154" t="str">
        <f t="shared" si="9"/>
        <v>✓ Complete</v>
      </c>
      <c r="AC228" s="155" t="s">
        <v>101</v>
      </c>
      <c r="AD228" s="319"/>
      <c r="AE228" s="320"/>
    </row>
    <row r="229" ht="18.0" customHeight="1">
      <c r="A229" s="127" t="str">
        <f t="shared" si="1"/>
        <v>AYA-224</v>
      </c>
      <c r="B229" s="141">
        <v>46099.0</v>
      </c>
      <c r="C229" s="305" t="s">
        <v>1478</v>
      </c>
      <c r="D229" s="305" t="s">
        <v>1479</v>
      </c>
      <c r="E229" s="306" t="s">
        <v>1480</v>
      </c>
      <c r="F229" s="307" t="s">
        <v>1481</v>
      </c>
      <c r="G229" s="308" t="s">
        <v>1482</v>
      </c>
      <c r="H229" s="308" t="s">
        <v>1483</v>
      </c>
      <c r="I229" s="308" t="s">
        <v>85</v>
      </c>
      <c r="J229" s="309" t="s">
        <v>161</v>
      </c>
      <c r="K229" s="308" t="s">
        <v>1484</v>
      </c>
      <c r="L229" s="312" t="s">
        <v>148</v>
      </c>
      <c r="M229" s="321"/>
      <c r="N229" s="322"/>
      <c r="O229" s="139" t="s">
        <v>267</v>
      </c>
      <c r="P229" s="135"/>
      <c r="Q229" s="139" t="s">
        <v>173</v>
      </c>
      <c r="R229" s="321"/>
      <c r="S229" s="322"/>
      <c r="T229" s="319"/>
      <c r="U229" s="322"/>
      <c r="V229" s="322"/>
      <c r="W229" s="322"/>
      <c r="X229" s="322"/>
      <c r="Y229" s="319"/>
      <c r="Z229" s="136">
        <f t="shared" si="10"/>
        <v>27</v>
      </c>
      <c r="AA229" s="137" t="str">
        <f t="shared" si="11"/>
        <v>C</v>
      </c>
      <c r="AB229" s="154" t="str">
        <f t="shared" si="9"/>
        <v>⚠ MISSING: Modality, Budget, Timeline, Decision Maker</v>
      </c>
      <c r="AC229" s="155"/>
      <c r="AD229" s="319"/>
      <c r="AE229" s="320"/>
    </row>
    <row r="230" ht="18.0" customHeight="1">
      <c r="A230" s="118" t="str">
        <f t="shared" si="1"/>
        <v>AYA-225</v>
      </c>
      <c r="B230" s="141">
        <v>46100.0</v>
      </c>
      <c r="C230" s="142" t="s">
        <v>1485</v>
      </c>
      <c r="D230" s="142" t="s">
        <v>1486</v>
      </c>
      <c r="E230" s="143" t="s">
        <v>1330</v>
      </c>
      <c r="F230" s="144" t="s">
        <v>1487</v>
      </c>
      <c r="G230" s="145" t="s">
        <v>1488</v>
      </c>
      <c r="H230" s="145" t="s">
        <v>1489</v>
      </c>
      <c r="I230" s="145" t="s">
        <v>1039</v>
      </c>
      <c r="J230" s="146" t="s">
        <v>67</v>
      </c>
      <c r="K230" s="145" t="s">
        <v>1490</v>
      </c>
      <c r="L230" s="147" t="s">
        <v>155</v>
      </c>
      <c r="M230" s="148">
        <v>46077.0</v>
      </c>
      <c r="N230" s="149" t="s">
        <v>342</v>
      </c>
      <c r="O230" s="139" t="s">
        <v>297</v>
      </c>
      <c r="P230" s="124" t="s">
        <v>274</v>
      </c>
      <c r="Q230" s="124" t="s">
        <v>173</v>
      </c>
      <c r="R230" s="151"/>
      <c r="S230" s="152"/>
      <c r="T230" s="153"/>
      <c r="U230" s="152"/>
      <c r="V230" s="152"/>
      <c r="W230" s="152"/>
      <c r="X230" s="152"/>
      <c r="Y230" s="145" t="s">
        <v>1491</v>
      </c>
      <c r="Z230" s="323"/>
      <c r="AA230" s="126" t="str">
        <f t="shared" si="11"/>
        <v/>
      </c>
      <c r="AB230" s="154" t="str">
        <f t="shared" si="9"/>
        <v>⚠ MISSING: Modality, Budget, Timeline, Decision Maker</v>
      </c>
      <c r="AC230" s="155"/>
      <c r="AD230" s="153"/>
      <c r="AE230" s="156"/>
    </row>
    <row r="231" ht="18.0" customHeight="1">
      <c r="A231" s="127" t="str">
        <f t="shared" si="1"/>
        <v>AYA-226</v>
      </c>
      <c r="B231" s="141">
        <v>46105.0</v>
      </c>
      <c r="C231" s="305" t="s">
        <v>1492</v>
      </c>
      <c r="D231" s="305" t="s">
        <v>1493</v>
      </c>
      <c r="E231" s="306" t="s">
        <v>1494</v>
      </c>
      <c r="F231" s="307" t="s">
        <v>1495</v>
      </c>
      <c r="G231" s="308" t="s">
        <v>1496</v>
      </c>
      <c r="H231" s="308" t="s">
        <v>1330</v>
      </c>
      <c r="I231" s="308" t="s">
        <v>82</v>
      </c>
      <c r="J231" s="309" t="s">
        <v>161</v>
      </c>
      <c r="K231" s="308" t="s">
        <v>1497</v>
      </c>
      <c r="L231" s="312" t="s">
        <v>148</v>
      </c>
      <c r="M231" s="317">
        <v>46105.0</v>
      </c>
      <c r="N231" s="318" t="s">
        <v>266</v>
      </c>
      <c r="O231" s="139" t="s">
        <v>267</v>
      </c>
      <c r="P231" s="139" t="s">
        <v>375</v>
      </c>
      <c r="Q231" s="139" t="s">
        <v>173</v>
      </c>
      <c r="R231" s="317">
        <v>46111.0</v>
      </c>
      <c r="S231" s="318" t="s">
        <v>1498</v>
      </c>
      <c r="T231" s="308" t="s">
        <v>1499</v>
      </c>
      <c r="U231" s="318" t="s">
        <v>1217</v>
      </c>
      <c r="V231" s="318" t="s">
        <v>1500</v>
      </c>
      <c r="W231" s="318" t="s">
        <v>1209</v>
      </c>
      <c r="X231" s="318" t="s">
        <v>58</v>
      </c>
      <c r="Y231" s="308" t="s">
        <v>1501</v>
      </c>
      <c r="Z231" s="136">
        <f t="shared" ref="Z231:Z233" si="12">IF(C231="","",(IF(OR(P231="Data Annotation",P231="GenAI / LLM Eval",P231="Medical Annotation"),25,IF(OR(P231="AI Consulting",P231="Data Collection"),18,IF(P231&lt;&gt;"",10,0)))+IF(AND(K231&lt;&gt;"",LEN(K231)&gt;50,T231&lt;&gt;""),20,IF(AND(K231&lt;&gt;"",LEN(K231)&gt;20),12,IF(K231&lt;&gt;"",5,0)))+IF(OR(U231="$100k–$500k",U231="$500k+"),20,IF(OR(U231="$25k–$100k"),15,IF(OR(U231="$5k–$25k"),10,IF(U231="$1k–$5k",5,0))))+IF(AND(G231&lt;&gt;"",G231&lt;&gt;"-"),15,IF(G231&lt;&gt;"",8,0))+IF(V231="Immediate (this month)",10,IF(V231="Short-term (1–3 months)",7,IF(V231="Medium (3–6 months)",4,0)))+IF(W231="Yes",10,IF(W231="Unclear",5,0))))</f>
        <v>62</v>
      </c>
      <c r="AA231" s="137" t="str">
        <f t="shared" si="11"/>
        <v>B</v>
      </c>
      <c r="AB231" s="154" t="str">
        <f t="shared" si="9"/>
        <v>✓ Complete</v>
      </c>
      <c r="AC231" s="155"/>
      <c r="AD231" s="319"/>
      <c r="AE231" s="320"/>
    </row>
    <row r="232" ht="18.0" customHeight="1">
      <c r="A232" s="118" t="str">
        <f t="shared" si="1"/>
        <v>AYA-227</v>
      </c>
      <c r="B232" s="141">
        <v>46105.0</v>
      </c>
      <c r="C232" s="142" t="s">
        <v>1502</v>
      </c>
      <c r="D232" s="142" t="s">
        <v>1503</v>
      </c>
      <c r="E232" s="143" t="s">
        <v>1504</v>
      </c>
      <c r="F232" s="144" t="s">
        <v>1505</v>
      </c>
      <c r="G232" s="145" t="s">
        <v>1506</v>
      </c>
      <c r="H232" s="145" t="s">
        <v>1330</v>
      </c>
      <c r="I232" s="145" t="s">
        <v>83</v>
      </c>
      <c r="J232" s="146" t="s">
        <v>161</v>
      </c>
      <c r="K232" s="145" t="s">
        <v>1507</v>
      </c>
      <c r="L232" s="147" t="s">
        <v>148</v>
      </c>
      <c r="M232" s="148">
        <v>46105.0</v>
      </c>
      <c r="N232" s="149" t="s">
        <v>189</v>
      </c>
      <c r="O232" s="139" t="s">
        <v>267</v>
      </c>
      <c r="P232" s="124" t="s">
        <v>375</v>
      </c>
      <c r="Q232" s="124" t="s">
        <v>173</v>
      </c>
      <c r="R232" s="324"/>
      <c r="S232" s="149" t="s">
        <v>1508</v>
      </c>
      <c r="T232" s="145" t="s">
        <v>1217</v>
      </c>
      <c r="U232" s="149" t="s">
        <v>1217</v>
      </c>
      <c r="V232" s="149" t="s">
        <v>1218</v>
      </c>
      <c r="W232" s="149" t="s">
        <v>1219</v>
      </c>
      <c r="X232" s="149" t="s">
        <v>58</v>
      </c>
      <c r="Y232" s="145" t="s">
        <v>1509</v>
      </c>
      <c r="Z232" s="125">
        <f t="shared" si="12"/>
        <v>50</v>
      </c>
      <c r="AA232" s="126" t="str">
        <f t="shared" si="11"/>
        <v>B</v>
      </c>
      <c r="AB232" s="154" t="str">
        <f t="shared" si="9"/>
        <v>✓ Complete</v>
      </c>
      <c r="AC232" s="155"/>
      <c r="AD232" s="153"/>
      <c r="AE232" s="156"/>
    </row>
    <row r="233" ht="18.0" customHeight="1">
      <c r="A233" s="127" t="str">
        <f t="shared" si="1"/>
        <v>AYA-228</v>
      </c>
      <c r="B233" s="141">
        <v>46105.0</v>
      </c>
      <c r="C233" s="305" t="s">
        <v>1510</v>
      </c>
      <c r="D233" s="305" t="s">
        <v>1493</v>
      </c>
      <c r="E233" s="325"/>
      <c r="F233" s="307" t="s">
        <v>1511</v>
      </c>
      <c r="G233" s="308" t="s">
        <v>1512</v>
      </c>
      <c r="H233" s="308" t="s">
        <v>1366</v>
      </c>
      <c r="I233" s="308" t="s">
        <v>74</v>
      </c>
      <c r="J233" s="309" t="s">
        <v>164</v>
      </c>
      <c r="K233" s="308" t="s">
        <v>1513</v>
      </c>
      <c r="L233" s="312" t="s">
        <v>155</v>
      </c>
      <c r="M233" s="317">
        <v>46136.0</v>
      </c>
      <c r="N233" s="318" t="s">
        <v>266</v>
      </c>
      <c r="O233" s="150" t="s">
        <v>297</v>
      </c>
      <c r="P233" s="139" t="s">
        <v>274</v>
      </c>
      <c r="Q233" s="139" t="s">
        <v>173</v>
      </c>
      <c r="R233" s="317">
        <v>46107.0</v>
      </c>
      <c r="S233" s="318" t="s">
        <v>67</v>
      </c>
      <c r="T233" s="319"/>
      <c r="U233" s="318" t="s">
        <v>1217</v>
      </c>
      <c r="V233" s="318" t="s">
        <v>1218</v>
      </c>
      <c r="W233" s="318" t="s">
        <v>1209</v>
      </c>
      <c r="X233" s="318" t="s">
        <v>62</v>
      </c>
      <c r="Y233" s="308" t="s">
        <v>1514</v>
      </c>
      <c r="Z233" s="136">
        <f t="shared" si="12"/>
        <v>47</v>
      </c>
      <c r="AA233" s="137" t="str">
        <f t="shared" si="11"/>
        <v>C</v>
      </c>
      <c r="AB233" s="154" t="str">
        <f t="shared" si="9"/>
        <v>✓ Complete</v>
      </c>
      <c r="AC233" s="155" t="s">
        <v>101</v>
      </c>
      <c r="AD233" s="319"/>
      <c r="AE233" s="320"/>
    </row>
    <row r="234" ht="18.0" customHeight="1">
      <c r="A234" s="118" t="str">
        <f t="shared" si="1"/>
        <v>AYA-229</v>
      </c>
      <c r="B234" s="141">
        <v>46106.0</v>
      </c>
      <c r="C234" s="326" t="s">
        <v>1157</v>
      </c>
      <c r="D234" s="305" t="s">
        <v>1515</v>
      </c>
      <c r="E234" s="306" t="s">
        <v>1330</v>
      </c>
      <c r="F234" s="307" t="s">
        <v>1516</v>
      </c>
      <c r="G234" s="326" t="s">
        <v>1517</v>
      </c>
      <c r="H234" s="308" t="s">
        <v>596</v>
      </c>
      <c r="I234" s="308" t="s">
        <v>1033</v>
      </c>
      <c r="J234" s="309" t="s">
        <v>161</v>
      </c>
      <c r="K234" s="308" t="s">
        <v>1518</v>
      </c>
      <c r="L234" s="312" t="s">
        <v>149</v>
      </c>
      <c r="M234" s="321"/>
      <c r="N234" s="322"/>
      <c r="O234" s="139" t="s">
        <v>55</v>
      </c>
      <c r="P234" s="139"/>
      <c r="Q234" s="139" t="s">
        <v>1337</v>
      </c>
      <c r="R234" s="321"/>
      <c r="S234" s="322"/>
      <c r="T234" s="319"/>
      <c r="U234" s="322"/>
      <c r="V234" s="322"/>
      <c r="W234" s="322"/>
      <c r="X234" s="322"/>
      <c r="Y234" s="319"/>
      <c r="Z234" s="136"/>
      <c r="AA234" s="137"/>
      <c r="AB234" s="154" t="str">
        <f t="shared" si="9"/>
        <v>⚠ MISSING: Modality, Budget, Timeline, Decision Maker</v>
      </c>
      <c r="AC234" s="155"/>
      <c r="AD234" s="319"/>
      <c r="AE234" s="320"/>
    </row>
    <row r="235" ht="18.0" customHeight="1">
      <c r="A235" s="118" t="str">
        <f t="shared" si="1"/>
        <v>AYA-230</v>
      </c>
      <c r="B235" s="140">
        <v>46107.0</v>
      </c>
      <c r="C235" s="326" t="s">
        <v>1519</v>
      </c>
      <c r="D235" s="142" t="s">
        <v>1520</v>
      </c>
      <c r="E235" s="143" t="s">
        <v>1330</v>
      </c>
      <c r="F235" s="144" t="s">
        <v>1521</v>
      </c>
      <c r="G235" s="145" t="s">
        <v>1522</v>
      </c>
      <c r="H235" s="145" t="s">
        <v>1330</v>
      </c>
      <c r="I235" s="145" t="s">
        <v>1235</v>
      </c>
      <c r="J235" s="146" t="s">
        <v>161</v>
      </c>
      <c r="K235" s="145" t="s">
        <v>1523</v>
      </c>
      <c r="L235" s="147" t="s">
        <v>148</v>
      </c>
      <c r="M235" s="148">
        <v>46107.0</v>
      </c>
      <c r="N235" s="149" t="s">
        <v>266</v>
      </c>
      <c r="O235" s="139" t="s">
        <v>267</v>
      </c>
      <c r="P235" s="124" t="s">
        <v>281</v>
      </c>
      <c r="Q235" s="124" t="s">
        <v>173</v>
      </c>
      <c r="R235" s="148">
        <v>46108.0</v>
      </c>
      <c r="S235" s="149" t="s">
        <v>1508</v>
      </c>
      <c r="T235" s="145" t="s">
        <v>1524</v>
      </c>
      <c r="U235" s="149" t="s">
        <v>1208</v>
      </c>
      <c r="V235" s="149" t="s">
        <v>1370</v>
      </c>
      <c r="W235" s="149" t="s">
        <v>1209</v>
      </c>
      <c r="X235" s="149" t="s">
        <v>67</v>
      </c>
      <c r="Y235" s="327" t="s">
        <v>1525</v>
      </c>
      <c r="Z235" s="125">
        <f t="shared" ref="Z235:Z244" si="13">IF(C235="","",(IF(OR(P235="Data Annotation",P235="GenAI / LLM Eval",P235="Medical Annotation"),25,IF(OR(P235="AI Consulting",P235="Data Collection"),18,IF(P235&lt;&gt;"",10,0)))+IF(AND(K235&lt;&gt;"",LEN(K235)&gt;50,T235&lt;&gt;""),20,IF(AND(K235&lt;&gt;"",LEN(K235)&gt;20),12,IF(K235&lt;&gt;"",5,0)))+IF(OR(U235="$100k–$500k",U235="$500k+"),20,IF(OR(U235="$25k–$100k"),15,IF(OR(U235="$5k–$25k"),10,IF(U235="$1k–$5k",5,0))))+IF(AND(G235&lt;&gt;"",G235&lt;&gt;"-"),15,IF(G235&lt;&gt;"",8,0))+IF(V235="Immediate (this month)",10,IF(V235="Short-term (1–3 months)",7,IF(V235="Medium (3–6 months)",4,0)))+IF(W235="Yes",10,IF(W235="Unclear",5,0))))</f>
        <v>70</v>
      </c>
      <c r="AA235" s="126" t="str">
        <f t="shared" ref="AA235:AA246" si="14">IF(Z235="","",IF(Z235&gt;=75,"A",IF(Z235&gt;=50,"B",IF(Z235&gt;=25,"C","D"))))</f>
        <v>B</v>
      </c>
      <c r="AB235" s="154" t="str">
        <f t="shared" si="9"/>
        <v>✓ Complete</v>
      </c>
      <c r="AC235" s="155" t="s">
        <v>333</v>
      </c>
      <c r="AD235" s="327" t="s">
        <v>1526</v>
      </c>
      <c r="AE235" s="156"/>
    </row>
    <row r="236" ht="18.0" customHeight="1">
      <c r="A236" s="127" t="str">
        <f t="shared" si="1"/>
        <v>AYA-231</v>
      </c>
      <c r="B236" s="140">
        <v>46107.0</v>
      </c>
      <c r="C236" s="305" t="s">
        <v>1527</v>
      </c>
      <c r="D236" s="305" t="s">
        <v>1528</v>
      </c>
      <c r="E236" s="306" t="s">
        <v>1529</v>
      </c>
      <c r="F236" s="307" t="s">
        <v>1530</v>
      </c>
      <c r="G236" s="308" t="s">
        <v>1531</v>
      </c>
      <c r="H236" s="308" t="s">
        <v>1330</v>
      </c>
      <c r="I236" s="308" t="s">
        <v>1039</v>
      </c>
      <c r="J236" s="309" t="s">
        <v>161</v>
      </c>
      <c r="K236" s="308" t="s">
        <v>1532</v>
      </c>
      <c r="L236" s="312" t="s">
        <v>148</v>
      </c>
      <c r="M236" s="317">
        <v>46108.0</v>
      </c>
      <c r="N236" s="318" t="s">
        <v>266</v>
      </c>
      <c r="O236" s="139" t="s">
        <v>267</v>
      </c>
      <c r="P236" s="139" t="s">
        <v>281</v>
      </c>
      <c r="Q236" s="139" t="s">
        <v>173</v>
      </c>
      <c r="R236" s="321"/>
      <c r="S236" s="318" t="s">
        <v>1377</v>
      </c>
      <c r="T236" s="308" t="s">
        <v>1533</v>
      </c>
      <c r="U236" s="318" t="s">
        <v>1217</v>
      </c>
      <c r="V236" s="318" t="s">
        <v>1534</v>
      </c>
      <c r="W236" s="318" t="s">
        <v>1219</v>
      </c>
      <c r="X236" s="318" t="s">
        <v>67</v>
      </c>
      <c r="Y236" s="308" t="s">
        <v>1535</v>
      </c>
      <c r="Z236" s="136">
        <f t="shared" si="13"/>
        <v>54</v>
      </c>
      <c r="AA236" s="137" t="str">
        <f t="shared" si="14"/>
        <v>B</v>
      </c>
      <c r="AB236" s="154" t="str">
        <f t="shared" si="9"/>
        <v>✓ Complete</v>
      </c>
      <c r="AC236" s="155"/>
      <c r="AD236" s="319"/>
      <c r="AE236" s="320"/>
    </row>
    <row r="237" ht="18.0" customHeight="1">
      <c r="A237" s="118" t="str">
        <f t="shared" si="1"/>
        <v>AYA-232</v>
      </c>
      <c r="B237" s="140">
        <v>46108.0</v>
      </c>
      <c r="C237" s="142" t="s">
        <v>1536</v>
      </c>
      <c r="D237" s="142" t="s">
        <v>1537</v>
      </c>
      <c r="E237" s="143" t="s">
        <v>1330</v>
      </c>
      <c r="F237" s="144" t="s">
        <v>1538</v>
      </c>
      <c r="G237" s="145" t="s">
        <v>1539</v>
      </c>
      <c r="H237" s="145" t="s">
        <v>1540</v>
      </c>
      <c r="I237" s="145" t="s">
        <v>1054</v>
      </c>
      <c r="J237" s="146" t="s">
        <v>208</v>
      </c>
      <c r="K237" s="145" t="s">
        <v>1541</v>
      </c>
      <c r="L237" s="147" t="s">
        <v>149</v>
      </c>
      <c r="M237" s="151"/>
      <c r="N237" s="152"/>
      <c r="O237" s="139" t="s">
        <v>55</v>
      </c>
      <c r="P237" s="114"/>
      <c r="Q237" s="124" t="s">
        <v>1337</v>
      </c>
      <c r="R237" s="151"/>
      <c r="S237" s="152"/>
      <c r="T237" s="153"/>
      <c r="U237" s="152"/>
      <c r="V237" s="152"/>
      <c r="W237" s="152"/>
      <c r="X237" s="152"/>
      <c r="Y237" s="153"/>
      <c r="Z237" s="125">
        <f t="shared" si="13"/>
        <v>27</v>
      </c>
      <c r="AA237" s="126" t="str">
        <f t="shared" si="14"/>
        <v>C</v>
      </c>
      <c r="AB237" s="154" t="str">
        <f t="shared" si="9"/>
        <v>⚠ MISSING: Modality, Budget, Timeline, Decision Maker</v>
      </c>
      <c r="AC237" s="155"/>
      <c r="AD237" s="153"/>
      <c r="AE237" s="156"/>
    </row>
    <row r="238" ht="18.0" customHeight="1">
      <c r="A238" s="127" t="str">
        <f t="shared" si="1"/>
        <v>AYA-233</v>
      </c>
      <c r="B238" s="140">
        <v>46108.0</v>
      </c>
      <c r="C238" s="305" t="s">
        <v>1542</v>
      </c>
      <c r="D238" s="305" t="s">
        <v>1543</v>
      </c>
      <c r="E238" s="306" t="s">
        <v>1544</v>
      </c>
      <c r="F238" s="307" t="s">
        <v>1545</v>
      </c>
      <c r="G238" s="308" t="s">
        <v>1546</v>
      </c>
      <c r="H238" s="308" t="s">
        <v>1330</v>
      </c>
      <c r="I238" s="308" t="s">
        <v>1033</v>
      </c>
      <c r="J238" s="309" t="s">
        <v>161</v>
      </c>
      <c r="K238" s="308" t="s">
        <v>1547</v>
      </c>
      <c r="L238" s="312" t="s">
        <v>149</v>
      </c>
      <c r="M238" s="321"/>
      <c r="N238" s="322"/>
      <c r="O238" s="139" t="s">
        <v>55</v>
      </c>
      <c r="P238" s="135"/>
      <c r="Q238" s="139" t="s">
        <v>1337</v>
      </c>
      <c r="R238" s="321"/>
      <c r="S238" s="322"/>
      <c r="T238" s="319"/>
      <c r="U238" s="322"/>
      <c r="V238" s="322"/>
      <c r="W238" s="322"/>
      <c r="X238" s="322"/>
      <c r="Y238" s="319"/>
      <c r="Z238" s="136">
        <f t="shared" si="13"/>
        <v>27</v>
      </c>
      <c r="AA238" s="137" t="str">
        <f t="shared" si="14"/>
        <v>C</v>
      </c>
      <c r="AB238" s="154" t="str">
        <f t="shared" si="9"/>
        <v>⚠ MISSING: Modality, Budget, Timeline, Decision Maker</v>
      </c>
      <c r="AC238" s="155"/>
      <c r="AD238" s="319"/>
      <c r="AE238" s="320"/>
    </row>
    <row r="239" ht="18.0" customHeight="1">
      <c r="A239" s="127" t="str">
        <f t="shared" si="1"/>
        <v>AYA-234</v>
      </c>
      <c r="B239" s="141">
        <v>46111.0</v>
      </c>
      <c r="C239" s="305" t="s">
        <v>1548</v>
      </c>
      <c r="D239" s="305" t="s">
        <v>1549</v>
      </c>
      <c r="E239" s="306" t="s">
        <v>1550</v>
      </c>
      <c r="F239" s="307" t="s">
        <v>1551</v>
      </c>
      <c r="G239" s="308" t="s">
        <v>1552</v>
      </c>
      <c r="H239" s="308" t="s">
        <v>1553</v>
      </c>
      <c r="I239" s="308" t="s">
        <v>74</v>
      </c>
      <c r="J239" s="309" t="s">
        <v>163</v>
      </c>
      <c r="K239" s="308" t="s">
        <v>1554</v>
      </c>
      <c r="L239" s="312" t="s">
        <v>155</v>
      </c>
      <c r="M239" s="317">
        <v>46111.0</v>
      </c>
      <c r="N239" s="318" t="s">
        <v>189</v>
      </c>
      <c r="O239" s="150" t="s">
        <v>297</v>
      </c>
      <c r="P239" s="139" t="s">
        <v>274</v>
      </c>
      <c r="Q239" s="139" t="s">
        <v>173</v>
      </c>
      <c r="R239" s="321"/>
      <c r="S239" s="322"/>
      <c r="T239" s="319"/>
      <c r="U239" s="322"/>
      <c r="V239" s="322"/>
      <c r="W239" s="322"/>
      <c r="X239" s="322"/>
      <c r="Y239" s="319"/>
      <c r="Z239" s="136">
        <f t="shared" si="13"/>
        <v>37</v>
      </c>
      <c r="AA239" s="137" t="str">
        <f t="shared" si="14"/>
        <v>C</v>
      </c>
      <c r="AB239" s="154" t="str">
        <f t="shared" si="9"/>
        <v>⚠ MISSING: Modality, Budget, Timeline, Decision Maker</v>
      </c>
      <c r="AC239" s="155"/>
      <c r="AD239" s="319"/>
      <c r="AE239" s="320"/>
    </row>
    <row r="240" ht="18.0" customHeight="1">
      <c r="A240" s="118" t="str">
        <f t="shared" si="1"/>
        <v>AYA-235</v>
      </c>
      <c r="B240" s="328">
        <v>46112.0</v>
      </c>
      <c r="C240" s="142" t="s">
        <v>1555</v>
      </c>
      <c r="D240" s="142" t="s">
        <v>1556</v>
      </c>
      <c r="E240" s="143" t="s">
        <v>1330</v>
      </c>
      <c r="F240" s="144" t="s">
        <v>1557</v>
      </c>
      <c r="G240" s="145" t="s">
        <v>1558</v>
      </c>
      <c r="H240" s="145" t="s">
        <v>1330</v>
      </c>
      <c r="I240" s="145" t="s">
        <v>1039</v>
      </c>
      <c r="J240" s="146" t="s">
        <v>208</v>
      </c>
      <c r="K240" s="145" t="s">
        <v>1559</v>
      </c>
      <c r="L240" s="312" t="s">
        <v>149</v>
      </c>
      <c r="M240" s="151"/>
      <c r="N240" s="152"/>
      <c r="O240" s="139" t="s">
        <v>55</v>
      </c>
      <c r="P240" s="114"/>
      <c r="Q240" s="124" t="s">
        <v>1337</v>
      </c>
      <c r="R240" s="151"/>
      <c r="S240" s="152"/>
      <c r="T240" s="153"/>
      <c r="U240" s="152"/>
      <c r="V240" s="152"/>
      <c r="W240" s="152"/>
      <c r="X240" s="152"/>
      <c r="Y240" s="153"/>
      <c r="Z240" s="125">
        <f t="shared" si="13"/>
        <v>27</v>
      </c>
      <c r="AA240" s="126" t="str">
        <f t="shared" si="14"/>
        <v>C</v>
      </c>
      <c r="AB240" s="154" t="str">
        <f t="shared" si="9"/>
        <v>⚠ MISSING: Modality, Budget, Timeline, Decision Maker</v>
      </c>
      <c r="AC240" s="155"/>
      <c r="AD240" s="153"/>
      <c r="AE240" s="156"/>
    </row>
    <row r="241" ht="18.0" customHeight="1">
      <c r="A241" s="127" t="str">
        <f t="shared" si="1"/>
        <v>AYA-236</v>
      </c>
      <c r="B241" s="328">
        <v>46112.0</v>
      </c>
      <c r="C241" s="305" t="s">
        <v>1560</v>
      </c>
      <c r="D241" s="305" t="s">
        <v>1561</v>
      </c>
      <c r="E241" s="306" t="s">
        <v>1562</v>
      </c>
      <c r="F241" s="307" t="s">
        <v>1563</v>
      </c>
      <c r="G241" s="308" t="s">
        <v>1564</v>
      </c>
      <c r="H241" s="308" t="s">
        <v>1565</v>
      </c>
      <c r="I241" s="308" t="s">
        <v>72</v>
      </c>
      <c r="J241" s="309" t="s">
        <v>161</v>
      </c>
      <c r="K241" s="308" t="s">
        <v>1566</v>
      </c>
      <c r="L241" s="312" t="s">
        <v>149</v>
      </c>
      <c r="M241" s="321"/>
      <c r="N241" s="322"/>
      <c r="O241" s="139" t="s">
        <v>55</v>
      </c>
      <c r="P241" s="135"/>
      <c r="Q241" s="139" t="s">
        <v>1337</v>
      </c>
      <c r="R241" s="321"/>
      <c r="S241" s="322"/>
      <c r="T241" s="319"/>
      <c r="U241" s="322"/>
      <c r="V241" s="322"/>
      <c r="W241" s="322"/>
      <c r="X241" s="322"/>
      <c r="Y241" s="319"/>
      <c r="Z241" s="136">
        <f t="shared" si="13"/>
        <v>27</v>
      </c>
      <c r="AA241" s="137" t="str">
        <f t="shared" si="14"/>
        <v>C</v>
      </c>
      <c r="AB241" s="154" t="str">
        <f t="shared" si="9"/>
        <v>⚠ MISSING: Modality, Budget, Timeline, Decision Maker</v>
      </c>
      <c r="AC241" s="155"/>
      <c r="AD241" s="319"/>
      <c r="AE241" s="320"/>
    </row>
    <row r="242" ht="18.0" customHeight="1">
      <c r="A242" s="118" t="str">
        <f t="shared" si="1"/>
        <v>AYA-237</v>
      </c>
      <c r="B242" s="328">
        <v>46114.0</v>
      </c>
      <c r="C242" s="142" t="s">
        <v>1567</v>
      </c>
      <c r="D242" s="142" t="s">
        <v>1568</v>
      </c>
      <c r="E242" s="143" t="s">
        <v>1569</v>
      </c>
      <c r="F242" s="144" t="s">
        <v>1570</v>
      </c>
      <c r="G242" s="145" t="s">
        <v>1571</v>
      </c>
      <c r="H242" s="145" t="s">
        <v>1330</v>
      </c>
      <c r="I242" s="145" t="s">
        <v>1039</v>
      </c>
      <c r="J242" s="146" t="s">
        <v>160</v>
      </c>
      <c r="K242" s="145" t="s">
        <v>1572</v>
      </c>
      <c r="L242" s="147" t="s">
        <v>148</v>
      </c>
      <c r="M242" s="148">
        <v>46120.0</v>
      </c>
      <c r="N242" s="149"/>
      <c r="O242" s="150" t="s">
        <v>267</v>
      </c>
      <c r="P242" s="124" t="s">
        <v>428</v>
      </c>
      <c r="Q242" s="124" t="s">
        <v>173</v>
      </c>
      <c r="R242" s="151"/>
      <c r="S242" s="149" t="s">
        <v>1573</v>
      </c>
      <c r="T242" s="153"/>
      <c r="U242" s="152"/>
      <c r="V242" s="152"/>
      <c r="W242" s="152"/>
      <c r="X242" s="152"/>
      <c r="Y242" s="153"/>
      <c r="Z242" s="125">
        <f t="shared" si="13"/>
        <v>37</v>
      </c>
      <c r="AA242" s="126" t="str">
        <f t="shared" si="14"/>
        <v>C</v>
      </c>
      <c r="AB242" s="154" t="str">
        <f t="shared" si="9"/>
        <v>⚠ MISSING: Budget, Timeline, Decision Maker</v>
      </c>
      <c r="AC242" s="155"/>
      <c r="AD242" s="153"/>
      <c r="AE242" s="156"/>
    </row>
    <row r="243" ht="18.0" customHeight="1">
      <c r="A243" s="127" t="str">
        <f t="shared" si="1"/>
        <v>AYA-238</v>
      </c>
      <c r="B243" s="328">
        <v>46113.0</v>
      </c>
      <c r="C243" s="305" t="s">
        <v>833</v>
      </c>
      <c r="D243" s="305" t="s">
        <v>1574</v>
      </c>
      <c r="E243" s="306" t="s">
        <v>1330</v>
      </c>
      <c r="F243" s="307" t="s">
        <v>1575</v>
      </c>
      <c r="G243" s="308" t="s">
        <v>1576</v>
      </c>
      <c r="H243" s="308" t="s">
        <v>1577</v>
      </c>
      <c r="I243" s="308" t="s">
        <v>1578</v>
      </c>
      <c r="J243" s="309" t="s">
        <v>161</v>
      </c>
      <c r="K243" s="308" t="s">
        <v>1579</v>
      </c>
      <c r="L243" s="312" t="s">
        <v>149</v>
      </c>
      <c r="M243" s="321"/>
      <c r="N243" s="322"/>
      <c r="O243" s="150" t="s">
        <v>55</v>
      </c>
      <c r="P243" s="139" t="s">
        <v>281</v>
      </c>
      <c r="Q243" s="139" t="s">
        <v>1337</v>
      </c>
      <c r="R243" s="321"/>
      <c r="S243" s="322"/>
      <c r="T243" s="319"/>
      <c r="U243" s="322"/>
      <c r="V243" s="322"/>
      <c r="W243" s="322"/>
      <c r="X243" s="322"/>
      <c r="Y243" s="319"/>
      <c r="Z243" s="136">
        <f t="shared" si="13"/>
        <v>37</v>
      </c>
      <c r="AA243" s="137" t="str">
        <f t="shared" si="14"/>
        <v>C</v>
      </c>
      <c r="AB243" s="154" t="str">
        <f t="shared" si="9"/>
        <v>⚠ MISSING: Modality, Budget, Timeline, Decision Maker</v>
      </c>
      <c r="AC243" s="155"/>
      <c r="AD243" s="319"/>
      <c r="AE243" s="320"/>
    </row>
    <row r="244" ht="18.0" customHeight="1">
      <c r="A244" s="118" t="str">
        <f t="shared" si="1"/>
        <v>AYA-239</v>
      </c>
      <c r="B244" s="328">
        <v>46114.0</v>
      </c>
      <c r="C244" s="142" t="s">
        <v>1580</v>
      </c>
      <c r="D244" s="142" t="s">
        <v>1581</v>
      </c>
      <c r="E244" s="143" t="s">
        <v>1330</v>
      </c>
      <c r="F244" s="144" t="s">
        <v>1582</v>
      </c>
      <c r="G244" s="145" t="s">
        <v>1583</v>
      </c>
      <c r="H244" s="145" t="s">
        <v>907</v>
      </c>
      <c r="I244" s="145" t="s">
        <v>1039</v>
      </c>
      <c r="J244" s="146" t="s">
        <v>208</v>
      </c>
      <c r="K244" s="145" t="s">
        <v>1584</v>
      </c>
      <c r="L244" s="147" t="s">
        <v>151</v>
      </c>
      <c r="M244" s="151"/>
      <c r="N244" s="152"/>
      <c r="O244" s="150"/>
      <c r="P244" s="114"/>
      <c r="Q244" s="124" t="s">
        <v>173</v>
      </c>
      <c r="R244" s="151"/>
      <c r="S244" s="152"/>
      <c r="T244" s="153"/>
      <c r="U244" s="152"/>
      <c r="V244" s="152"/>
      <c r="W244" s="152"/>
      <c r="X244" s="152"/>
      <c r="Y244" s="153"/>
      <c r="Z244" s="125">
        <f t="shared" si="13"/>
        <v>27</v>
      </c>
      <c r="AA244" s="126" t="str">
        <f t="shared" si="14"/>
        <v>C</v>
      </c>
      <c r="AB244" s="154" t="str">
        <f t="shared" si="9"/>
        <v>⚠ MISSING: Modality, Budget, Timeline, Decision Maker</v>
      </c>
      <c r="AC244" s="155"/>
      <c r="AD244" s="153"/>
      <c r="AE244" s="156"/>
    </row>
    <row r="245" ht="18.0" customHeight="1">
      <c r="A245" s="127" t="str">
        <f t="shared" si="1"/>
        <v>AYA-240</v>
      </c>
      <c r="B245" s="328">
        <v>46119.0</v>
      </c>
      <c r="C245" s="305" t="s">
        <v>1585</v>
      </c>
      <c r="D245" s="305" t="s">
        <v>1586</v>
      </c>
      <c r="E245" s="306" t="s">
        <v>1587</v>
      </c>
      <c r="F245" s="307" t="s">
        <v>1588</v>
      </c>
      <c r="G245" s="326" t="s">
        <v>1589</v>
      </c>
      <c r="H245" s="308" t="s">
        <v>1330</v>
      </c>
      <c r="I245" s="308" t="s">
        <v>1461</v>
      </c>
      <c r="J245" s="309" t="s">
        <v>208</v>
      </c>
      <c r="K245" s="329" t="s">
        <v>1590</v>
      </c>
      <c r="L245" s="312" t="s">
        <v>148</v>
      </c>
      <c r="M245" s="317">
        <v>46119.0</v>
      </c>
      <c r="N245" s="318" t="s">
        <v>266</v>
      </c>
      <c r="O245" s="150" t="s">
        <v>267</v>
      </c>
      <c r="P245" s="139" t="s">
        <v>375</v>
      </c>
      <c r="Q245" s="139" t="s">
        <v>173</v>
      </c>
      <c r="R245" s="321"/>
      <c r="S245" s="318" t="s">
        <v>1508</v>
      </c>
      <c r="T245" s="308" t="s">
        <v>1591</v>
      </c>
      <c r="U245" s="322"/>
      <c r="V245" s="318" t="s">
        <v>1500</v>
      </c>
      <c r="W245" s="318" t="s">
        <v>1209</v>
      </c>
      <c r="X245" s="318" t="s">
        <v>58</v>
      </c>
      <c r="Y245" s="319"/>
      <c r="Z245" s="136">
        <f>IF(C245="","",(IF(OR(P245="Data Annotation",P245="GenAI / LLM Eval",P245="Medical Annotation"),25,IF(OR(P245="AI Consulting",P245="Data Collection"),18,IF(P245&lt;&gt;"",10,0)))+IF(AND(K245&lt;&gt;"",LEN(K245)&gt;50,T245&lt;&gt;""),20,IF(AND(K245&lt;&gt;"",LEN(K245)&gt;20),12,IF(K245&lt;&gt;"",5,0)))+IF(OR(U245="$100k–$500k",U245="$500k+"),20,IF(OR(U245="$25k–$100k"),15,IF(OR(U245="$5k–$25k"),10,IF(U245="$1k–$5k",5,0))))+IF(AND(I245&lt;&gt;"",I245&lt;&gt;"-"),15,IF(I245&lt;&gt;"",8,0))+IF(V245="Immediate (this month)",10,IF(V245="Short-term (1–3 months)",7,IF(V245="Medium (3–6 months)",4,0)))+IF(W245="Yes",10,IF(W245="Unclear",5,0))))</f>
        <v>62</v>
      </c>
      <c r="AA245" s="137" t="str">
        <f t="shared" si="14"/>
        <v>B</v>
      </c>
      <c r="AB245" s="154" t="str">
        <f t="shared" si="9"/>
        <v>⚠ MISSING: Budget, </v>
      </c>
      <c r="AC245" s="155"/>
      <c r="AD245" s="319"/>
      <c r="AE245" s="320"/>
    </row>
    <row r="246" ht="18.0" customHeight="1">
      <c r="A246" s="118" t="str">
        <f t="shared" si="1"/>
        <v>AYA-241</v>
      </c>
      <c r="B246" s="328">
        <v>46118.0</v>
      </c>
      <c r="C246" s="142" t="s">
        <v>1592</v>
      </c>
      <c r="D246" s="142" t="s">
        <v>1593</v>
      </c>
      <c r="E246" s="143" t="s">
        <v>1594</v>
      </c>
      <c r="F246" s="144" t="s">
        <v>1595</v>
      </c>
      <c r="G246" s="145" t="s">
        <v>1596</v>
      </c>
      <c r="H246" s="145" t="s">
        <v>596</v>
      </c>
      <c r="I246" s="145" t="s">
        <v>1597</v>
      </c>
      <c r="J246" s="146" t="s">
        <v>208</v>
      </c>
      <c r="K246" s="145" t="s">
        <v>1598</v>
      </c>
      <c r="L246" s="147" t="s">
        <v>149</v>
      </c>
      <c r="M246" s="151"/>
      <c r="N246" s="152"/>
      <c r="O246" s="150" t="s">
        <v>55</v>
      </c>
      <c r="P246" s="114"/>
      <c r="Q246" s="124" t="s">
        <v>1337</v>
      </c>
      <c r="R246" s="151"/>
      <c r="S246" s="149"/>
      <c r="T246" s="145"/>
      <c r="U246" s="152"/>
      <c r="V246" s="149"/>
      <c r="W246" s="149"/>
      <c r="X246" s="149"/>
      <c r="Y246" s="153"/>
      <c r="Z246" s="125">
        <f>IF(C246="","",(IF(OR(P246="Data Annotation",P246="GenAI / LLM Eval",P246="Medical Annotation"),25,IF(OR(P246="AI Consulting",P246="Data Collection"),18,IF(P246&lt;&gt;"",10,0)))+IF(AND(K246&lt;&gt;"",LEN(K246)&gt;50,T246&lt;&gt;""),20,IF(AND(K246&lt;&gt;"",LEN(K246)&gt;20),12,IF(K246&lt;&gt;"",5,0)))+IF(OR(U246="$100k–$500k",U246="$500k+"),20,IF(OR(U246="$25k–$100k"),15,IF(OR(U246="$5k–$25k"),10,IF(U246="$1k–$5k",5,0))))+IF(AND(G246&lt;&gt;"",G246&lt;&gt;"-"),15,IF(G246&lt;&gt;"",8,0))+IF(V246="Immediate (this month)",10,IF(V246="Short-term (1–3 months)",7,IF(V246="Medium (3–6 months)",4,0)))+IF(W246="Yes",10,IF(W246="Unclear",5,0))))</f>
        <v>27</v>
      </c>
      <c r="AA246" s="126" t="str">
        <f t="shared" si="14"/>
        <v>C</v>
      </c>
      <c r="AB246" s="154" t="str">
        <f t="shared" si="9"/>
        <v>⚠ MISSING: Modality, Budget, Timeline, Decision Maker</v>
      </c>
      <c r="AC246" s="155"/>
      <c r="AD246" s="153"/>
      <c r="AE246" s="156"/>
    </row>
    <row r="247" ht="18.0" customHeight="1">
      <c r="A247" s="118"/>
      <c r="C247" s="142"/>
      <c r="D247" s="142"/>
      <c r="E247" s="330"/>
      <c r="F247" s="144"/>
      <c r="G247" s="145"/>
      <c r="H247" s="145"/>
      <c r="I247" s="145"/>
      <c r="J247" s="146"/>
      <c r="K247" s="153"/>
      <c r="L247" s="147"/>
      <c r="M247" s="148"/>
      <c r="N247" s="149"/>
      <c r="O247" s="150"/>
      <c r="P247" s="124"/>
      <c r="Q247" s="124"/>
      <c r="R247" s="148"/>
      <c r="S247" s="149"/>
      <c r="T247" s="153"/>
      <c r="U247" s="149"/>
      <c r="V247" s="149"/>
      <c r="W247" s="149"/>
      <c r="X247" s="149"/>
      <c r="Y247" s="145"/>
      <c r="Z247" s="125"/>
      <c r="AA247" s="126"/>
      <c r="AB247" s="154"/>
      <c r="AC247" s="155"/>
      <c r="AD247" s="145"/>
      <c r="AE247" s="156"/>
    </row>
    <row r="248" ht="18.0" customHeight="1">
      <c r="A248" s="127"/>
      <c r="C248" s="305"/>
      <c r="D248" s="305"/>
      <c r="E248" s="306"/>
      <c r="F248" s="307"/>
      <c r="G248" s="308"/>
      <c r="H248" s="308"/>
      <c r="I248" s="308"/>
      <c r="J248" s="309"/>
      <c r="K248" s="319"/>
      <c r="L248" s="312"/>
      <c r="M248" s="317"/>
      <c r="N248" s="318"/>
      <c r="O248" s="150"/>
      <c r="P248" s="139"/>
      <c r="Q248" s="139"/>
      <c r="R248" s="317"/>
      <c r="S248" s="318"/>
      <c r="T248" s="319"/>
      <c r="U248" s="318"/>
      <c r="V248" s="318"/>
      <c r="W248" s="318"/>
      <c r="X248" s="318"/>
      <c r="Y248" s="308"/>
      <c r="Z248" s="136"/>
      <c r="AA248" s="137"/>
      <c r="AB248" s="154"/>
      <c r="AC248" s="155"/>
      <c r="AD248" s="319"/>
      <c r="AE248" s="320"/>
    </row>
    <row r="249" ht="18.0" customHeight="1">
      <c r="A249" s="118"/>
      <c r="C249" s="142"/>
      <c r="D249" s="142"/>
      <c r="E249" s="143"/>
      <c r="F249" s="144"/>
      <c r="G249" s="145"/>
      <c r="H249" s="145"/>
      <c r="I249" s="145"/>
      <c r="J249" s="146"/>
      <c r="K249" s="145"/>
      <c r="L249" s="147"/>
      <c r="M249" s="148"/>
      <c r="N249" s="149"/>
      <c r="O249" s="150"/>
      <c r="P249" s="124"/>
      <c r="Q249" s="124"/>
      <c r="R249" s="148"/>
      <c r="S249" s="149"/>
      <c r="T249" s="153"/>
      <c r="U249" s="149"/>
      <c r="V249" s="149"/>
      <c r="W249" s="149"/>
      <c r="X249" s="149"/>
      <c r="Y249" s="145"/>
      <c r="Z249" s="125"/>
      <c r="AA249" s="126"/>
      <c r="AB249" s="154"/>
      <c r="AC249" s="155"/>
      <c r="AD249" s="153"/>
      <c r="AE249" s="156"/>
    </row>
    <row r="250" ht="18.0" customHeight="1">
      <c r="A250" s="127" t="str">
        <f t="shared" ref="A250:A1996" si="15">IF(C250&lt;&gt;"","AYA-"&amp;TEXT(ROW()-5,"000"),"")</f>
        <v/>
      </c>
      <c r="B250" s="331"/>
      <c r="C250" s="129"/>
      <c r="D250" s="129"/>
      <c r="E250" s="325"/>
      <c r="F250" s="131"/>
      <c r="G250" s="319"/>
      <c r="H250" s="319"/>
      <c r="I250" s="319"/>
      <c r="J250" s="132"/>
      <c r="K250" s="319"/>
      <c r="L250" s="133"/>
      <c r="M250" s="321"/>
      <c r="N250" s="322"/>
      <c r="O250" s="150"/>
      <c r="P250" s="135"/>
      <c r="Q250" s="135"/>
      <c r="R250" s="321"/>
      <c r="S250" s="322"/>
      <c r="T250" s="319"/>
      <c r="U250" s="322"/>
      <c r="V250" s="322"/>
      <c r="W250" s="322"/>
      <c r="X250" s="322"/>
      <c r="Y250" s="319"/>
      <c r="Z250" s="136" t="str">
        <f t="shared" ref="Z250:Z1996" si="16">IF(C250="","",(IF(OR(P250="Data Annotation",P250="GenAI / LLM Eval",P250="Medical Annotation"),25,IF(OR(P250="AI Consulting",P250="Data Collection"),18,IF(P250&lt;&gt;"",10,0)))+IF(AND(K250&lt;&gt;"",LEN(K250)&gt;50,T250&lt;&gt;""),20,IF(AND(K250&lt;&gt;"",LEN(K250)&gt;20),12,IF(K250&lt;&gt;"",5,0)))+IF(OR(U250="$100k–$500k",U250="$500k+"),20,IF(OR(U250="$25k–$100k"),15,IF(OR(U250="$5k–$25k"),10,IF(U250="$1k–$5k",5,0))))+IF(AND(G250&lt;&gt;"",G250&lt;&gt;"-"),15,IF(G250&lt;&gt;"",8,0))+IF(V250="Immediate (this month)",10,IF(V250="Short-term (1–3 months)",7,IF(V250="Medium (3–6 months)",4,0)))+IF(W250="Yes",10,IF(W250="Unclear",5,0))))</f>
        <v/>
      </c>
      <c r="AA250" s="137" t="str">
        <f t="shared" ref="AA250:AA1996" si="17">IF(Z250="","",IF(Z250&gt;=75,"A",IF(Z250&gt;=50,"B",IF(Z250&gt;=25,"C","D"))))</f>
        <v/>
      </c>
      <c r="AB250" s="154" t="str">
        <f t="shared" ref="AB250:AB1017" si="18">IF(C250="","",IF(AND(S250&lt;&gt;"",U250&lt;&gt;"",V250&lt;&gt;"",W250&lt;&gt;""),"✓ Complete","⚠ MISSING: "&amp;IF(S250="","Modality, ","")&amp;IF(U250="","Budget, ","")&amp;IF(V250="","Timeline, ","")&amp;IF(W250="","Decision Maker","")))</f>
        <v/>
      </c>
      <c r="AC250" s="155"/>
      <c r="AD250" s="319"/>
      <c r="AE250" s="320"/>
    </row>
    <row r="251" ht="18.0" customHeight="1">
      <c r="A251" s="118" t="str">
        <f t="shared" si="15"/>
        <v/>
      </c>
      <c r="B251" s="332"/>
      <c r="C251" s="119"/>
      <c r="D251" s="119"/>
      <c r="E251" s="330"/>
      <c r="F251" s="121"/>
      <c r="G251" s="153"/>
      <c r="H251" s="153"/>
      <c r="I251" s="153"/>
      <c r="J251" s="112"/>
      <c r="K251" s="153"/>
      <c r="L251" s="122"/>
      <c r="M251" s="151"/>
      <c r="N251" s="152"/>
      <c r="O251" s="150"/>
      <c r="P251" s="114"/>
      <c r="Q251" s="114"/>
      <c r="R251" s="151"/>
      <c r="S251" s="152"/>
      <c r="T251" s="153"/>
      <c r="U251" s="152"/>
      <c r="V251" s="152"/>
      <c r="W251" s="152"/>
      <c r="X251" s="152"/>
      <c r="Y251" s="153"/>
      <c r="Z251" s="125" t="str">
        <f t="shared" si="16"/>
        <v/>
      </c>
      <c r="AA251" s="126" t="str">
        <f t="shared" si="17"/>
        <v/>
      </c>
      <c r="AB251" s="154" t="str">
        <f t="shared" si="18"/>
        <v/>
      </c>
      <c r="AC251" s="155"/>
      <c r="AD251" s="153"/>
      <c r="AE251" s="156"/>
    </row>
    <row r="252" ht="18.0" customHeight="1">
      <c r="A252" s="127" t="str">
        <f t="shared" si="15"/>
        <v/>
      </c>
      <c r="B252" s="128"/>
      <c r="C252" s="129"/>
      <c r="D252" s="129"/>
      <c r="E252" s="325"/>
      <c r="F252" s="131"/>
      <c r="G252" s="319"/>
      <c r="H252" s="319"/>
      <c r="I252" s="319"/>
      <c r="J252" s="132"/>
      <c r="K252" s="319"/>
      <c r="L252" s="133"/>
      <c r="M252" s="321"/>
      <c r="N252" s="322"/>
      <c r="O252" s="150"/>
      <c r="P252" s="135"/>
      <c r="Q252" s="135"/>
      <c r="R252" s="321"/>
      <c r="S252" s="322"/>
      <c r="T252" s="319"/>
      <c r="U252" s="322"/>
      <c r="V252" s="322"/>
      <c r="W252" s="322"/>
      <c r="X252" s="322"/>
      <c r="Y252" s="319"/>
      <c r="Z252" s="136" t="str">
        <f t="shared" si="16"/>
        <v/>
      </c>
      <c r="AA252" s="137" t="str">
        <f t="shared" si="17"/>
        <v/>
      </c>
      <c r="AB252" s="154" t="str">
        <f t="shared" si="18"/>
        <v/>
      </c>
      <c r="AC252" s="155"/>
      <c r="AD252" s="319"/>
      <c r="AE252" s="320"/>
    </row>
    <row r="253" ht="18.0" customHeight="1">
      <c r="A253" s="118" t="str">
        <f t="shared" si="15"/>
        <v/>
      </c>
      <c r="B253" s="109"/>
      <c r="C253" s="119"/>
      <c r="D253" s="119"/>
      <c r="E253" s="330"/>
      <c r="F253" s="121"/>
      <c r="G253" s="153"/>
      <c r="H253" s="153"/>
      <c r="I253" s="153"/>
      <c r="J253" s="112"/>
      <c r="K253" s="153"/>
      <c r="L253" s="122"/>
      <c r="M253" s="151"/>
      <c r="N253" s="152"/>
      <c r="O253" s="150"/>
      <c r="P253" s="114"/>
      <c r="Q253" s="114"/>
      <c r="R253" s="151"/>
      <c r="S253" s="152"/>
      <c r="T253" s="153"/>
      <c r="U253" s="152"/>
      <c r="V253" s="152"/>
      <c r="W253" s="152"/>
      <c r="X253" s="152"/>
      <c r="Y253" s="153"/>
      <c r="Z253" s="125" t="str">
        <f t="shared" si="16"/>
        <v/>
      </c>
      <c r="AA253" s="126" t="str">
        <f t="shared" si="17"/>
        <v/>
      </c>
      <c r="AB253" s="154" t="str">
        <f t="shared" si="18"/>
        <v/>
      </c>
      <c r="AC253" s="155"/>
      <c r="AD253" s="153"/>
      <c r="AE253" s="156"/>
    </row>
    <row r="254" ht="18.0" customHeight="1">
      <c r="A254" s="127" t="str">
        <f t="shared" si="15"/>
        <v/>
      </c>
      <c r="B254" s="128"/>
      <c r="C254" s="129"/>
      <c r="D254" s="129"/>
      <c r="E254" s="325"/>
      <c r="F254" s="131"/>
      <c r="G254" s="319"/>
      <c r="H254" s="319"/>
      <c r="I254" s="319"/>
      <c r="J254" s="132"/>
      <c r="K254" s="319"/>
      <c r="L254" s="133"/>
      <c r="M254" s="321"/>
      <c r="N254" s="322"/>
      <c r="O254" s="150"/>
      <c r="P254" s="135"/>
      <c r="Q254" s="135"/>
      <c r="R254" s="321"/>
      <c r="S254" s="322"/>
      <c r="T254" s="319"/>
      <c r="U254" s="322"/>
      <c r="V254" s="322"/>
      <c r="W254" s="322"/>
      <c r="X254" s="322"/>
      <c r="Y254" s="319"/>
      <c r="Z254" s="136" t="str">
        <f t="shared" si="16"/>
        <v/>
      </c>
      <c r="AA254" s="137" t="str">
        <f t="shared" si="17"/>
        <v/>
      </c>
      <c r="AB254" s="154" t="str">
        <f t="shared" si="18"/>
        <v/>
      </c>
      <c r="AC254" s="155"/>
      <c r="AD254" s="319"/>
      <c r="AE254" s="320"/>
    </row>
    <row r="255" ht="18.0" customHeight="1">
      <c r="A255" s="118" t="str">
        <f t="shared" si="15"/>
        <v/>
      </c>
      <c r="B255" s="109"/>
      <c r="C255" s="119"/>
      <c r="D255" s="119"/>
      <c r="E255" s="330"/>
      <c r="F255" s="121"/>
      <c r="G255" s="153"/>
      <c r="H255" s="153"/>
      <c r="I255" s="153"/>
      <c r="J255" s="112"/>
      <c r="K255" s="153"/>
      <c r="L255" s="122"/>
      <c r="M255" s="151"/>
      <c r="N255" s="152"/>
      <c r="O255" s="150"/>
      <c r="P255" s="114"/>
      <c r="Q255" s="114"/>
      <c r="R255" s="151"/>
      <c r="S255" s="152"/>
      <c r="T255" s="153"/>
      <c r="U255" s="152"/>
      <c r="V255" s="152"/>
      <c r="W255" s="152"/>
      <c r="X255" s="152"/>
      <c r="Y255" s="153"/>
      <c r="Z255" s="125" t="str">
        <f t="shared" si="16"/>
        <v/>
      </c>
      <c r="AA255" s="126" t="str">
        <f t="shared" si="17"/>
        <v/>
      </c>
      <c r="AB255" s="154" t="str">
        <f t="shared" si="18"/>
        <v/>
      </c>
      <c r="AC255" s="155"/>
      <c r="AD255" s="153"/>
      <c r="AE255" s="156"/>
    </row>
    <row r="256" ht="18.0" customHeight="1">
      <c r="A256" s="127" t="str">
        <f t="shared" si="15"/>
        <v/>
      </c>
      <c r="B256" s="128"/>
      <c r="C256" s="129"/>
      <c r="D256" s="129"/>
      <c r="E256" s="325"/>
      <c r="F256" s="131"/>
      <c r="G256" s="319"/>
      <c r="H256" s="319"/>
      <c r="I256" s="319"/>
      <c r="J256" s="132"/>
      <c r="K256" s="319"/>
      <c r="L256" s="133"/>
      <c r="M256" s="321"/>
      <c r="N256" s="322"/>
      <c r="O256" s="150"/>
      <c r="P256" s="135"/>
      <c r="Q256" s="135"/>
      <c r="R256" s="321"/>
      <c r="S256" s="322"/>
      <c r="T256" s="319"/>
      <c r="U256" s="322"/>
      <c r="V256" s="322"/>
      <c r="W256" s="322"/>
      <c r="X256" s="322"/>
      <c r="Y256" s="319"/>
      <c r="Z256" s="136" t="str">
        <f t="shared" si="16"/>
        <v/>
      </c>
      <c r="AA256" s="137" t="str">
        <f t="shared" si="17"/>
        <v/>
      </c>
      <c r="AB256" s="154" t="str">
        <f t="shared" si="18"/>
        <v/>
      </c>
      <c r="AC256" s="155"/>
      <c r="AD256" s="319"/>
      <c r="AE256" s="320"/>
    </row>
    <row r="257" ht="18.0" customHeight="1">
      <c r="A257" s="118" t="str">
        <f t="shared" si="15"/>
        <v/>
      </c>
      <c r="B257" s="109"/>
      <c r="C257" s="119"/>
      <c r="D257" s="119"/>
      <c r="E257" s="330"/>
      <c r="F257" s="121"/>
      <c r="G257" s="153"/>
      <c r="H257" s="153"/>
      <c r="I257" s="153"/>
      <c r="J257" s="112"/>
      <c r="K257" s="153"/>
      <c r="L257" s="122"/>
      <c r="M257" s="151"/>
      <c r="N257" s="152"/>
      <c r="O257" s="150"/>
      <c r="P257" s="114"/>
      <c r="Q257" s="114"/>
      <c r="R257" s="151"/>
      <c r="S257" s="152"/>
      <c r="T257" s="153"/>
      <c r="U257" s="152"/>
      <c r="V257" s="152"/>
      <c r="W257" s="152"/>
      <c r="X257" s="152"/>
      <c r="Y257" s="153"/>
      <c r="Z257" s="125" t="str">
        <f t="shared" si="16"/>
        <v/>
      </c>
      <c r="AA257" s="126" t="str">
        <f t="shared" si="17"/>
        <v/>
      </c>
      <c r="AB257" s="154" t="str">
        <f t="shared" si="18"/>
        <v/>
      </c>
      <c r="AC257" s="155"/>
      <c r="AD257" s="153"/>
      <c r="AE257" s="156"/>
    </row>
    <row r="258" ht="18.0" customHeight="1">
      <c r="A258" s="127" t="str">
        <f t="shared" si="15"/>
        <v/>
      </c>
      <c r="B258" s="128"/>
      <c r="C258" s="129"/>
      <c r="D258" s="129"/>
      <c r="E258" s="325"/>
      <c r="F258" s="131"/>
      <c r="G258" s="319"/>
      <c r="H258" s="319"/>
      <c r="I258" s="319"/>
      <c r="J258" s="132"/>
      <c r="K258" s="319"/>
      <c r="L258" s="133"/>
      <c r="M258" s="321"/>
      <c r="N258" s="322"/>
      <c r="O258" s="150"/>
      <c r="P258" s="135"/>
      <c r="Q258" s="135"/>
      <c r="R258" s="321"/>
      <c r="S258" s="322"/>
      <c r="T258" s="319"/>
      <c r="U258" s="322"/>
      <c r="V258" s="322"/>
      <c r="W258" s="322"/>
      <c r="X258" s="322"/>
      <c r="Y258" s="319"/>
      <c r="Z258" s="136" t="str">
        <f t="shared" si="16"/>
        <v/>
      </c>
      <c r="AA258" s="137" t="str">
        <f t="shared" si="17"/>
        <v/>
      </c>
      <c r="AB258" s="154" t="str">
        <f t="shared" si="18"/>
        <v/>
      </c>
      <c r="AC258" s="155"/>
      <c r="AD258" s="319"/>
      <c r="AE258" s="320"/>
    </row>
    <row r="259" ht="18.0" customHeight="1">
      <c r="A259" s="118" t="str">
        <f t="shared" si="15"/>
        <v/>
      </c>
      <c r="B259" s="109"/>
      <c r="C259" s="119"/>
      <c r="D259" s="119"/>
      <c r="E259" s="330"/>
      <c r="F259" s="121"/>
      <c r="G259" s="153"/>
      <c r="H259" s="153"/>
      <c r="I259" s="153"/>
      <c r="J259" s="112"/>
      <c r="K259" s="153"/>
      <c r="L259" s="122"/>
      <c r="M259" s="151"/>
      <c r="N259" s="152"/>
      <c r="O259" s="150"/>
      <c r="P259" s="114"/>
      <c r="Q259" s="114"/>
      <c r="R259" s="151"/>
      <c r="S259" s="152"/>
      <c r="T259" s="153"/>
      <c r="U259" s="152"/>
      <c r="V259" s="152"/>
      <c r="W259" s="152"/>
      <c r="X259" s="152"/>
      <c r="Y259" s="153"/>
      <c r="Z259" s="125" t="str">
        <f t="shared" si="16"/>
        <v/>
      </c>
      <c r="AA259" s="126" t="str">
        <f t="shared" si="17"/>
        <v/>
      </c>
      <c r="AB259" s="154" t="str">
        <f t="shared" si="18"/>
        <v/>
      </c>
      <c r="AC259" s="155"/>
      <c r="AD259" s="153"/>
      <c r="AE259" s="156"/>
    </row>
    <row r="260" ht="18.0" customHeight="1">
      <c r="A260" s="127" t="str">
        <f t="shared" si="15"/>
        <v/>
      </c>
      <c r="B260" s="128"/>
      <c r="C260" s="129"/>
      <c r="D260" s="129"/>
      <c r="E260" s="325"/>
      <c r="F260" s="131"/>
      <c r="G260" s="319"/>
      <c r="H260" s="319"/>
      <c r="I260" s="319"/>
      <c r="J260" s="132"/>
      <c r="K260" s="319"/>
      <c r="L260" s="133"/>
      <c r="M260" s="321"/>
      <c r="N260" s="322"/>
      <c r="O260" s="150"/>
      <c r="P260" s="135"/>
      <c r="Q260" s="135"/>
      <c r="R260" s="321"/>
      <c r="S260" s="322"/>
      <c r="T260" s="319"/>
      <c r="U260" s="322"/>
      <c r="V260" s="322"/>
      <c r="W260" s="322"/>
      <c r="X260" s="322"/>
      <c r="Y260" s="319"/>
      <c r="Z260" s="136" t="str">
        <f t="shared" si="16"/>
        <v/>
      </c>
      <c r="AA260" s="137" t="str">
        <f t="shared" si="17"/>
        <v/>
      </c>
      <c r="AB260" s="154" t="str">
        <f t="shared" si="18"/>
        <v/>
      </c>
      <c r="AC260" s="155"/>
      <c r="AD260" s="319"/>
      <c r="AE260" s="320"/>
    </row>
    <row r="261" ht="18.0" customHeight="1">
      <c r="A261" s="118" t="str">
        <f t="shared" si="15"/>
        <v/>
      </c>
      <c r="B261" s="109"/>
      <c r="C261" s="119"/>
      <c r="D261" s="119"/>
      <c r="E261" s="330"/>
      <c r="F261" s="121"/>
      <c r="G261" s="153"/>
      <c r="H261" s="153"/>
      <c r="I261" s="153"/>
      <c r="J261" s="112"/>
      <c r="K261" s="153"/>
      <c r="L261" s="122"/>
      <c r="M261" s="151"/>
      <c r="N261" s="152"/>
      <c r="O261" s="150"/>
      <c r="P261" s="114"/>
      <c r="Q261" s="114"/>
      <c r="R261" s="151"/>
      <c r="S261" s="152"/>
      <c r="T261" s="153"/>
      <c r="U261" s="152"/>
      <c r="V261" s="152"/>
      <c r="W261" s="152"/>
      <c r="X261" s="152"/>
      <c r="Y261" s="153"/>
      <c r="Z261" s="125" t="str">
        <f t="shared" si="16"/>
        <v/>
      </c>
      <c r="AA261" s="126" t="str">
        <f t="shared" si="17"/>
        <v/>
      </c>
      <c r="AB261" s="154" t="str">
        <f t="shared" si="18"/>
        <v/>
      </c>
      <c r="AC261" s="155"/>
      <c r="AD261" s="153"/>
      <c r="AE261" s="156"/>
    </row>
    <row r="262" ht="18.0" customHeight="1">
      <c r="A262" s="127" t="str">
        <f t="shared" si="15"/>
        <v/>
      </c>
      <c r="B262" s="128"/>
      <c r="C262" s="129"/>
      <c r="D262" s="129"/>
      <c r="E262" s="325"/>
      <c r="F262" s="131"/>
      <c r="G262" s="319"/>
      <c r="H262" s="319"/>
      <c r="I262" s="319"/>
      <c r="J262" s="132"/>
      <c r="K262" s="319"/>
      <c r="L262" s="133"/>
      <c r="M262" s="321"/>
      <c r="N262" s="322"/>
      <c r="O262" s="150"/>
      <c r="P262" s="135"/>
      <c r="Q262" s="135"/>
      <c r="R262" s="321"/>
      <c r="S262" s="322"/>
      <c r="T262" s="319"/>
      <c r="U262" s="322"/>
      <c r="V262" s="322"/>
      <c r="W262" s="322"/>
      <c r="X262" s="322"/>
      <c r="Y262" s="319"/>
      <c r="Z262" s="136" t="str">
        <f t="shared" si="16"/>
        <v/>
      </c>
      <c r="AA262" s="137" t="str">
        <f t="shared" si="17"/>
        <v/>
      </c>
      <c r="AB262" s="154" t="str">
        <f t="shared" si="18"/>
        <v/>
      </c>
      <c r="AC262" s="155"/>
      <c r="AD262" s="319"/>
      <c r="AE262" s="320"/>
    </row>
    <row r="263" ht="18.0" customHeight="1">
      <c r="A263" s="118" t="str">
        <f t="shared" si="15"/>
        <v/>
      </c>
      <c r="B263" s="109"/>
      <c r="C263" s="119"/>
      <c r="D263" s="119"/>
      <c r="E263" s="330"/>
      <c r="F263" s="121"/>
      <c r="G263" s="153"/>
      <c r="H263" s="153"/>
      <c r="I263" s="153"/>
      <c r="J263" s="112"/>
      <c r="K263" s="153"/>
      <c r="L263" s="122"/>
      <c r="M263" s="151"/>
      <c r="N263" s="152"/>
      <c r="O263" s="150"/>
      <c r="P263" s="114"/>
      <c r="Q263" s="114"/>
      <c r="R263" s="151"/>
      <c r="S263" s="152"/>
      <c r="T263" s="153"/>
      <c r="U263" s="152"/>
      <c r="V263" s="152"/>
      <c r="W263" s="152"/>
      <c r="X263" s="152"/>
      <c r="Y263" s="153"/>
      <c r="Z263" s="125" t="str">
        <f t="shared" si="16"/>
        <v/>
      </c>
      <c r="AA263" s="126" t="str">
        <f t="shared" si="17"/>
        <v/>
      </c>
      <c r="AB263" s="154" t="str">
        <f t="shared" si="18"/>
        <v/>
      </c>
      <c r="AC263" s="155"/>
      <c r="AD263" s="153"/>
      <c r="AE263" s="156"/>
    </row>
    <row r="264" ht="18.0" customHeight="1">
      <c r="A264" s="127" t="str">
        <f t="shared" si="15"/>
        <v/>
      </c>
      <c r="B264" s="128"/>
      <c r="C264" s="129"/>
      <c r="D264" s="129"/>
      <c r="E264" s="325"/>
      <c r="F264" s="131"/>
      <c r="G264" s="319"/>
      <c r="H264" s="319"/>
      <c r="I264" s="319"/>
      <c r="J264" s="132"/>
      <c r="K264" s="319"/>
      <c r="L264" s="133"/>
      <c r="M264" s="321"/>
      <c r="N264" s="322"/>
      <c r="O264" s="150"/>
      <c r="P264" s="135"/>
      <c r="Q264" s="135"/>
      <c r="R264" s="321"/>
      <c r="S264" s="322"/>
      <c r="T264" s="319"/>
      <c r="U264" s="322"/>
      <c r="V264" s="322"/>
      <c r="W264" s="322"/>
      <c r="X264" s="322"/>
      <c r="Y264" s="319"/>
      <c r="Z264" s="136" t="str">
        <f t="shared" si="16"/>
        <v/>
      </c>
      <c r="AA264" s="137" t="str">
        <f t="shared" si="17"/>
        <v/>
      </c>
      <c r="AB264" s="154" t="str">
        <f t="shared" si="18"/>
        <v/>
      </c>
      <c r="AC264" s="155"/>
      <c r="AD264" s="319"/>
      <c r="AE264" s="320"/>
    </row>
    <row r="265" ht="18.0" customHeight="1">
      <c r="A265" s="118" t="str">
        <f t="shared" si="15"/>
        <v/>
      </c>
      <c r="B265" s="109"/>
      <c r="C265" s="119"/>
      <c r="D265" s="119"/>
      <c r="E265" s="330"/>
      <c r="F265" s="121"/>
      <c r="G265" s="153"/>
      <c r="H265" s="153"/>
      <c r="I265" s="153"/>
      <c r="J265" s="112"/>
      <c r="K265" s="153"/>
      <c r="L265" s="122"/>
      <c r="M265" s="151"/>
      <c r="N265" s="152"/>
      <c r="O265" s="150"/>
      <c r="P265" s="114"/>
      <c r="Q265" s="114"/>
      <c r="R265" s="151"/>
      <c r="S265" s="152"/>
      <c r="T265" s="153"/>
      <c r="U265" s="152"/>
      <c r="V265" s="152"/>
      <c r="W265" s="152"/>
      <c r="X265" s="152"/>
      <c r="Y265" s="153"/>
      <c r="Z265" s="125" t="str">
        <f t="shared" si="16"/>
        <v/>
      </c>
      <c r="AA265" s="126" t="str">
        <f t="shared" si="17"/>
        <v/>
      </c>
      <c r="AB265" s="154" t="str">
        <f t="shared" si="18"/>
        <v/>
      </c>
      <c r="AC265" s="155"/>
      <c r="AD265" s="153"/>
      <c r="AE265" s="156"/>
    </row>
    <row r="266" ht="18.0" customHeight="1">
      <c r="A266" s="127" t="str">
        <f t="shared" si="15"/>
        <v/>
      </c>
      <c r="B266" s="128"/>
      <c r="C266" s="129"/>
      <c r="D266" s="129"/>
      <c r="E266" s="325"/>
      <c r="F266" s="131"/>
      <c r="G266" s="319"/>
      <c r="H266" s="319"/>
      <c r="I266" s="319"/>
      <c r="J266" s="132"/>
      <c r="K266" s="319"/>
      <c r="L266" s="133"/>
      <c r="M266" s="321"/>
      <c r="N266" s="322"/>
      <c r="O266" s="150"/>
      <c r="P266" s="135"/>
      <c r="Q266" s="135"/>
      <c r="R266" s="321"/>
      <c r="S266" s="322"/>
      <c r="T266" s="319"/>
      <c r="U266" s="322"/>
      <c r="V266" s="322"/>
      <c r="W266" s="322"/>
      <c r="X266" s="322"/>
      <c r="Y266" s="319"/>
      <c r="Z266" s="136" t="str">
        <f t="shared" si="16"/>
        <v/>
      </c>
      <c r="AA266" s="137" t="str">
        <f t="shared" si="17"/>
        <v/>
      </c>
      <c r="AB266" s="154" t="str">
        <f t="shared" si="18"/>
        <v/>
      </c>
      <c r="AC266" s="155"/>
      <c r="AD266" s="319"/>
      <c r="AE266" s="320"/>
    </row>
    <row r="267" ht="18.0" customHeight="1">
      <c r="A267" s="118" t="str">
        <f t="shared" si="15"/>
        <v/>
      </c>
      <c r="B267" s="109"/>
      <c r="C267" s="119"/>
      <c r="D267" s="119"/>
      <c r="E267" s="330"/>
      <c r="F267" s="121"/>
      <c r="G267" s="153"/>
      <c r="H267" s="153"/>
      <c r="I267" s="153"/>
      <c r="J267" s="112"/>
      <c r="K267" s="153"/>
      <c r="L267" s="122"/>
      <c r="M267" s="151"/>
      <c r="N267" s="152"/>
      <c r="O267" s="150"/>
      <c r="P267" s="114"/>
      <c r="Q267" s="114"/>
      <c r="R267" s="151"/>
      <c r="S267" s="152"/>
      <c r="T267" s="153"/>
      <c r="U267" s="152"/>
      <c r="V267" s="152"/>
      <c r="W267" s="152"/>
      <c r="X267" s="152"/>
      <c r="Y267" s="153"/>
      <c r="Z267" s="125" t="str">
        <f t="shared" si="16"/>
        <v/>
      </c>
      <c r="AA267" s="126" t="str">
        <f t="shared" si="17"/>
        <v/>
      </c>
      <c r="AB267" s="154" t="str">
        <f t="shared" si="18"/>
        <v/>
      </c>
      <c r="AC267" s="155"/>
      <c r="AD267" s="153"/>
      <c r="AE267" s="156"/>
    </row>
    <row r="268" ht="18.0" customHeight="1">
      <c r="A268" s="127" t="str">
        <f t="shared" si="15"/>
        <v/>
      </c>
      <c r="B268" s="128"/>
      <c r="C268" s="129"/>
      <c r="D268" s="129"/>
      <c r="E268" s="325"/>
      <c r="F268" s="131"/>
      <c r="G268" s="319"/>
      <c r="H268" s="319"/>
      <c r="I268" s="319"/>
      <c r="J268" s="132"/>
      <c r="K268" s="319"/>
      <c r="L268" s="133"/>
      <c r="M268" s="321"/>
      <c r="N268" s="322"/>
      <c r="O268" s="150"/>
      <c r="P268" s="135"/>
      <c r="Q268" s="135"/>
      <c r="R268" s="321"/>
      <c r="S268" s="322"/>
      <c r="T268" s="319"/>
      <c r="U268" s="322"/>
      <c r="V268" s="322"/>
      <c r="W268" s="322"/>
      <c r="X268" s="322"/>
      <c r="Y268" s="319"/>
      <c r="Z268" s="136" t="str">
        <f t="shared" si="16"/>
        <v/>
      </c>
      <c r="AA268" s="137" t="str">
        <f t="shared" si="17"/>
        <v/>
      </c>
      <c r="AB268" s="154" t="str">
        <f t="shared" si="18"/>
        <v/>
      </c>
      <c r="AC268" s="155"/>
      <c r="AD268" s="319"/>
      <c r="AE268" s="320"/>
    </row>
    <row r="269" ht="18.0" customHeight="1">
      <c r="A269" s="118" t="str">
        <f t="shared" si="15"/>
        <v/>
      </c>
      <c r="B269" s="109"/>
      <c r="C269" s="119"/>
      <c r="D269" s="119"/>
      <c r="E269" s="330"/>
      <c r="F269" s="121"/>
      <c r="G269" s="153"/>
      <c r="H269" s="153"/>
      <c r="I269" s="153"/>
      <c r="J269" s="112"/>
      <c r="K269" s="153"/>
      <c r="L269" s="122"/>
      <c r="M269" s="151"/>
      <c r="N269" s="152"/>
      <c r="O269" s="150"/>
      <c r="P269" s="114"/>
      <c r="Q269" s="114"/>
      <c r="R269" s="151"/>
      <c r="S269" s="152"/>
      <c r="T269" s="153"/>
      <c r="U269" s="152"/>
      <c r="V269" s="152"/>
      <c r="W269" s="152"/>
      <c r="X269" s="152"/>
      <c r="Y269" s="153"/>
      <c r="Z269" s="125" t="str">
        <f t="shared" si="16"/>
        <v/>
      </c>
      <c r="AA269" s="126" t="str">
        <f t="shared" si="17"/>
        <v/>
      </c>
      <c r="AB269" s="154" t="str">
        <f t="shared" si="18"/>
        <v/>
      </c>
      <c r="AC269" s="155"/>
      <c r="AD269" s="153"/>
      <c r="AE269" s="156"/>
    </row>
    <row r="270" ht="18.0" customHeight="1">
      <c r="A270" s="127" t="str">
        <f t="shared" si="15"/>
        <v/>
      </c>
      <c r="B270" s="128"/>
      <c r="C270" s="129"/>
      <c r="D270" s="129"/>
      <c r="E270" s="325"/>
      <c r="F270" s="131"/>
      <c r="G270" s="319"/>
      <c r="H270" s="319"/>
      <c r="I270" s="319"/>
      <c r="J270" s="132"/>
      <c r="K270" s="319"/>
      <c r="L270" s="133"/>
      <c r="M270" s="321"/>
      <c r="N270" s="322"/>
      <c r="O270" s="150"/>
      <c r="P270" s="135"/>
      <c r="Q270" s="135"/>
      <c r="R270" s="321"/>
      <c r="S270" s="322"/>
      <c r="T270" s="319"/>
      <c r="U270" s="322"/>
      <c r="V270" s="322"/>
      <c r="W270" s="322"/>
      <c r="X270" s="322"/>
      <c r="Y270" s="319"/>
      <c r="Z270" s="136" t="str">
        <f t="shared" si="16"/>
        <v/>
      </c>
      <c r="AA270" s="137" t="str">
        <f t="shared" si="17"/>
        <v/>
      </c>
      <c r="AB270" s="154" t="str">
        <f t="shared" si="18"/>
        <v/>
      </c>
      <c r="AC270" s="155"/>
      <c r="AD270" s="319"/>
      <c r="AE270" s="320"/>
    </row>
    <row r="271" ht="18.0" customHeight="1">
      <c r="A271" s="118" t="str">
        <f t="shared" si="15"/>
        <v/>
      </c>
      <c r="B271" s="109"/>
      <c r="C271" s="119"/>
      <c r="D271" s="119"/>
      <c r="E271" s="330"/>
      <c r="F271" s="121"/>
      <c r="G271" s="153"/>
      <c r="H271" s="153"/>
      <c r="I271" s="153"/>
      <c r="J271" s="112"/>
      <c r="K271" s="153"/>
      <c r="L271" s="122"/>
      <c r="M271" s="151"/>
      <c r="N271" s="152"/>
      <c r="O271" s="150"/>
      <c r="P271" s="114"/>
      <c r="Q271" s="114"/>
      <c r="R271" s="151"/>
      <c r="S271" s="152"/>
      <c r="T271" s="153"/>
      <c r="U271" s="152"/>
      <c r="V271" s="152"/>
      <c r="W271" s="152"/>
      <c r="X271" s="152"/>
      <c r="Y271" s="153"/>
      <c r="Z271" s="125" t="str">
        <f t="shared" si="16"/>
        <v/>
      </c>
      <c r="AA271" s="126" t="str">
        <f t="shared" si="17"/>
        <v/>
      </c>
      <c r="AB271" s="154" t="str">
        <f t="shared" si="18"/>
        <v/>
      </c>
      <c r="AC271" s="155"/>
      <c r="AD271" s="153"/>
      <c r="AE271" s="156"/>
    </row>
    <row r="272" ht="18.0" customHeight="1">
      <c r="A272" s="127" t="str">
        <f t="shared" si="15"/>
        <v/>
      </c>
      <c r="B272" s="128"/>
      <c r="C272" s="129"/>
      <c r="D272" s="129"/>
      <c r="E272" s="325"/>
      <c r="F272" s="131"/>
      <c r="G272" s="319"/>
      <c r="H272" s="319"/>
      <c r="I272" s="319"/>
      <c r="J272" s="132"/>
      <c r="K272" s="319"/>
      <c r="L272" s="133"/>
      <c r="M272" s="321"/>
      <c r="N272" s="322"/>
      <c r="O272" s="150"/>
      <c r="P272" s="135"/>
      <c r="Q272" s="135"/>
      <c r="R272" s="321"/>
      <c r="S272" s="322"/>
      <c r="T272" s="319"/>
      <c r="U272" s="322"/>
      <c r="V272" s="322"/>
      <c r="W272" s="322"/>
      <c r="X272" s="322"/>
      <c r="Y272" s="319"/>
      <c r="Z272" s="136" t="str">
        <f t="shared" si="16"/>
        <v/>
      </c>
      <c r="AA272" s="137" t="str">
        <f t="shared" si="17"/>
        <v/>
      </c>
      <c r="AB272" s="154" t="str">
        <f t="shared" si="18"/>
        <v/>
      </c>
      <c r="AC272" s="155"/>
      <c r="AD272" s="319"/>
      <c r="AE272" s="320"/>
    </row>
    <row r="273" ht="18.0" customHeight="1">
      <c r="A273" s="118" t="str">
        <f t="shared" si="15"/>
        <v/>
      </c>
      <c r="B273" s="109"/>
      <c r="C273" s="119"/>
      <c r="D273" s="119"/>
      <c r="E273" s="330"/>
      <c r="F273" s="121"/>
      <c r="G273" s="153"/>
      <c r="H273" s="153"/>
      <c r="I273" s="153"/>
      <c r="J273" s="112"/>
      <c r="K273" s="153"/>
      <c r="L273" s="122"/>
      <c r="M273" s="151"/>
      <c r="N273" s="152"/>
      <c r="O273" s="150"/>
      <c r="P273" s="114"/>
      <c r="Q273" s="114"/>
      <c r="R273" s="151"/>
      <c r="S273" s="152"/>
      <c r="T273" s="153"/>
      <c r="U273" s="152"/>
      <c r="V273" s="152"/>
      <c r="W273" s="152"/>
      <c r="X273" s="152"/>
      <c r="Y273" s="153"/>
      <c r="Z273" s="125" t="str">
        <f t="shared" si="16"/>
        <v/>
      </c>
      <c r="AA273" s="126" t="str">
        <f t="shared" si="17"/>
        <v/>
      </c>
      <c r="AB273" s="154" t="str">
        <f t="shared" si="18"/>
        <v/>
      </c>
      <c r="AC273" s="155"/>
      <c r="AD273" s="153"/>
      <c r="AE273" s="156"/>
    </row>
    <row r="274" ht="18.0" customHeight="1">
      <c r="A274" s="127" t="str">
        <f t="shared" si="15"/>
        <v/>
      </c>
      <c r="B274" s="128"/>
      <c r="C274" s="129"/>
      <c r="D274" s="129"/>
      <c r="E274" s="325"/>
      <c r="F274" s="131"/>
      <c r="G274" s="319"/>
      <c r="H274" s="319"/>
      <c r="I274" s="319"/>
      <c r="J274" s="132"/>
      <c r="K274" s="319"/>
      <c r="L274" s="133"/>
      <c r="M274" s="321"/>
      <c r="N274" s="322"/>
      <c r="O274" s="150"/>
      <c r="P274" s="135"/>
      <c r="Q274" s="135"/>
      <c r="R274" s="321"/>
      <c r="S274" s="322"/>
      <c r="T274" s="319"/>
      <c r="U274" s="322"/>
      <c r="V274" s="322"/>
      <c r="W274" s="322"/>
      <c r="X274" s="322"/>
      <c r="Y274" s="319"/>
      <c r="Z274" s="136" t="str">
        <f t="shared" si="16"/>
        <v/>
      </c>
      <c r="AA274" s="137" t="str">
        <f t="shared" si="17"/>
        <v/>
      </c>
      <c r="AB274" s="154" t="str">
        <f t="shared" si="18"/>
        <v/>
      </c>
      <c r="AC274" s="155"/>
      <c r="AD274" s="319"/>
      <c r="AE274" s="320"/>
    </row>
    <row r="275" ht="18.0" customHeight="1">
      <c r="A275" s="118" t="str">
        <f t="shared" si="15"/>
        <v/>
      </c>
      <c r="B275" s="109"/>
      <c r="C275" s="119"/>
      <c r="D275" s="119"/>
      <c r="E275" s="330"/>
      <c r="F275" s="121"/>
      <c r="G275" s="153"/>
      <c r="H275" s="153"/>
      <c r="I275" s="153"/>
      <c r="J275" s="112"/>
      <c r="K275" s="153"/>
      <c r="L275" s="122"/>
      <c r="M275" s="151"/>
      <c r="N275" s="152"/>
      <c r="O275" s="150"/>
      <c r="P275" s="114"/>
      <c r="Q275" s="114"/>
      <c r="R275" s="151"/>
      <c r="S275" s="152"/>
      <c r="T275" s="153"/>
      <c r="U275" s="152"/>
      <c r="V275" s="152"/>
      <c r="W275" s="152"/>
      <c r="X275" s="152"/>
      <c r="Y275" s="153"/>
      <c r="Z275" s="125" t="str">
        <f t="shared" si="16"/>
        <v/>
      </c>
      <c r="AA275" s="126" t="str">
        <f t="shared" si="17"/>
        <v/>
      </c>
      <c r="AB275" s="154" t="str">
        <f t="shared" si="18"/>
        <v/>
      </c>
      <c r="AC275" s="155"/>
      <c r="AD275" s="153"/>
      <c r="AE275" s="156"/>
    </row>
    <row r="276" ht="18.0" customHeight="1">
      <c r="A276" s="127" t="str">
        <f t="shared" si="15"/>
        <v/>
      </c>
      <c r="B276" s="128"/>
      <c r="C276" s="129"/>
      <c r="D276" s="129"/>
      <c r="E276" s="325"/>
      <c r="F276" s="131"/>
      <c r="G276" s="319"/>
      <c r="H276" s="319"/>
      <c r="I276" s="319"/>
      <c r="J276" s="132"/>
      <c r="K276" s="319"/>
      <c r="L276" s="133"/>
      <c r="M276" s="321"/>
      <c r="N276" s="322"/>
      <c r="O276" s="150"/>
      <c r="P276" s="135"/>
      <c r="Q276" s="135"/>
      <c r="R276" s="321"/>
      <c r="S276" s="322"/>
      <c r="T276" s="319"/>
      <c r="U276" s="322"/>
      <c r="V276" s="322"/>
      <c r="W276" s="322"/>
      <c r="X276" s="322"/>
      <c r="Y276" s="319"/>
      <c r="Z276" s="136" t="str">
        <f t="shared" si="16"/>
        <v/>
      </c>
      <c r="AA276" s="137" t="str">
        <f t="shared" si="17"/>
        <v/>
      </c>
      <c r="AB276" s="154" t="str">
        <f t="shared" si="18"/>
        <v/>
      </c>
      <c r="AC276" s="155"/>
      <c r="AD276" s="319"/>
      <c r="AE276" s="320"/>
    </row>
    <row r="277" ht="18.0" customHeight="1">
      <c r="A277" s="118" t="str">
        <f t="shared" si="15"/>
        <v/>
      </c>
      <c r="B277" s="109"/>
      <c r="C277" s="119"/>
      <c r="D277" s="119"/>
      <c r="E277" s="330"/>
      <c r="F277" s="121"/>
      <c r="G277" s="153"/>
      <c r="H277" s="153"/>
      <c r="I277" s="153"/>
      <c r="J277" s="112"/>
      <c r="K277" s="153"/>
      <c r="L277" s="122"/>
      <c r="M277" s="151"/>
      <c r="N277" s="152"/>
      <c r="O277" s="150"/>
      <c r="P277" s="114"/>
      <c r="Q277" s="114"/>
      <c r="R277" s="151"/>
      <c r="S277" s="152"/>
      <c r="T277" s="153"/>
      <c r="U277" s="152"/>
      <c r="V277" s="152"/>
      <c r="W277" s="152"/>
      <c r="X277" s="152"/>
      <c r="Y277" s="153"/>
      <c r="Z277" s="125" t="str">
        <f t="shared" si="16"/>
        <v/>
      </c>
      <c r="AA277" s="126" t="str">
        <f t="shared" si="17"/>
        <v/>
      </c>
      <c r="AB277" s="154" t="str">
        <f t="shared" si="18"/>
        <v/>
      </c>
      <c r="AC277" s="155"/>
      <c r="AD277" s="153"/>
      <c r="AE277" s="156"/>
    </row>
    <row r="278" ht="18.0" customHeight="1">
      <c r="A278" s="127" t="str">
        <f t="shared" si="15"/>
        <v/>
      </c>
      <c r="B278" s="128"/>
      <c r="C278" s="129"/>
      <c r="D278" s="129"/>
      <c r="E278" s="325"/>
      <c r="F278" s="131"/>
      <c r="G278" s="319"/>
      <c r="H278" s="319"/>
      <c r="I278" s="319"/>
      <c r="J278" s="132"/>
      <c r="K278" s="319"/>
      <c r="L278" s="133"/>
      <c r="M278" s="321"/>
      <c r="N278" s="322"/>
      <c r="O278" s="150"/>
      <c r="P278" s="135"/>
      <c r="Q278" s="135"/>
      <c r="R278" s="321"/>
      <c r="S278" s="322"/>
      <c r="T278" s="319"/>
      <c r="U278" s="322"/>
      <c r="V278" s="322"/>
      <c r="W278" s="322"/>
      <c r="X278" s="322"/>
      <c r="Y278" s="319"/>
      <c r="Z278" s="136" t="str">
        <f t="shared" si="16"/>
        <v/>
      </c>
      <c r="AA278" s="137" t="str">
        <f t="shared" si="17"/>
        <v/>
      </c>
      <c r="AB278" s="154" t="str">
        <f t="shared" si="18"/>
        <v/>
      </c>
      <c r="AC278" s="155"/>
      <c r="AD278" s="319"/>
      <c r="AE278" s="320"/>
    </row>
    <row r="279" ht="18.0" customHeight="1">
      <c r="A279" s="118" t="str">
        <f t="shared" si="15"/>
        <v/>
      </c>
      <c r="B279" s="109"/>
      <c r="C279" s="119"/>
      <c r="D279" s="119"/>
      <c r="E279" s="330"/>
      <c r="F279" s="121"/>
      <c r="G279" s="153"/>
      <c r="H279" s="153"/>
      <c r="I279" s="153"/>
      <c r="J279" s="112"/>
      <c r="K279" s="153"/>
      <c r="L279" s="122"/>
      <c r="M279" s="151"/>
      <c r="N279" s="152"/>
      <c r="O279" s="150"/>
      <c r="P279" s="114"/>
      <c r="Q279" s="114"/>
      <c r="R279" s="151"/>
      <c r="S279" s="152"/>
      <c r="T279" s="153"/>
      <c r="U279" s="152"/>
      <c r="V279" s="152"/>
      <c r="W279" s="152"/>
      <c r="X279" s="152"/>
      <c r="Y279" s="153"/>
      <c r="Z279" s="125" t="str">
        <f t="shared" si="16"/>
        <v/>
      </c>
      <c r="AA279" s="126" t="str">
        <f t="shared" si="17"/>
        <v/>
      </c>
      <c r="AB279" s="154" t="str">
        <f t="shared" si="18"/>
        <v/>
      </c>
      <c r="AC279" s="155"/>
      <c r="AD279" s="153"/>
      <c r="AE279" s="156"/>
    </row>
    <row r="280" ht="18.0" customHeight="1">
      <c r="A280" s="127" t="str">
        <f t="shared" si="15"/>
        <v/>
      </c>
      <c r="B280" s="128"/>
      <c r="C280" s="129"/>
      <c r="D280" s="129"/>
      <c r="E280" s="325"/>
      <c r="F280" s="131"/>
      <c r="G280" s="319"/>
      <c r="H280" s="319"/>
      <c r="I280" s="319"/>
      <c r="J280" s="132"/>
      <c r="K280" s="319"/>
      <c r="L280" s="133"/>
      <c r="M280" s="321"/>
      <c r="N280" s="322"/>
      <c r="O280" s="150"/>
      <c r="P280" s="135"/>
      <c r="Q280" s="135"/>
      <c r="R280" s="321"/>
      <c r="S280" s="322"/>
      <c r="T280" s="319"/>
      <c r="U280" s="322"/>
      <c r="V280" s="322"/>
      <c r="W280" s="322"/>
      <c r="X280" s="322"/>
      <c r="Y280" s="319"/>
      <c r="Z280" s="136" t="str">
        <f t="shared" si="16"/>
        <v/>
      </c>
      <c r="AA280" s="137" t="str">
        <f t="shared" si="17"/>
        <v/>
      </c>
      <c r="AB280" s="154" t="str">
        <f t="shared" si="18"/>
        <v/>
      </c>
      <c r="AC280" s="155"/>
      <c r="AD280" s="319"/>
      <c r="AE280" s="320"/>
    </row>
    <row r="281" ht="18.0" customHeight="1">
      <c r="A281" s="118" t="str">
        <f t="shared" si="15"/>
        <v/>
      </c>
      <c r="B281" s="109"/>
      <c r="C281" s="119"/>
      <c r="D281" s="119"/>
      <c r="E281" s="330"/>
      <c r="F281" s="121"/>
      <c r="G281" s="153"/>
      <c r="H281" s="153"/>
      <c r="I281" s="153"/>
      <c r="J281" s="112"/>
      <c r="K281" s="153"/>
      <c r="L281" s="122"/>
      <c r="M281" s="151"/>
      <c r="N281" s="152"/>
      <c r="O281" s="150"/>
      <c r="P281" s="114"/>
      <c r="Q281" s="114"/>
      <c r="R281" s="151"/>
      <c r="S281" s="152"/>
      <c r="T281" s="153"/>
      <c r="U281" s="152"/>
      <c r="V281" s="152"/>
      <c r="W281" s="152"/>
      <c r="X281" s="152"/>
      <c r="Y281" s="153"/>
      <c r="Z281" s="125" t="str">
        <f t="shared" si="16"/>
        <v/>
      </c>
      <c r="AA281" s="126" t="str">
        <f t="shared" si="17"/>
        <v/>
      </c>
      <c r="AB281" s="154" t="str">
        <f t="shared" si="18"/>
        <v/>
      </c>
      <c r="AC281" s="155"/>
      <c r="AD281" s="153"/>
      <c r="AE281" s="156"/>
    </row>
    <row r="282" ht="18.0" customHeight="1">
      <c r="A282" s="127" t="str">
        <f t="shared" si="15"/>
        <v/>
      </c>
      <c r="B282" s="128"/>
      <c r="C282" s="129"/>
      <c r="D282" s="129"/>
      <c r="E282" s="325"/>
      <c r="F282" s="131"/>
      <c r="G282" s="319"/>
      <c r="H282" s="319"/>
      <c r="I282" s="319"/>
      <c r="J282" s="132"/>
      <c r="K282" s="319"/>
      <c r="L282" s="133"/>
      <c r="M282" s="321"/>
      <c r="N282" s="322"/>
      <c r="O282" s="150"/>
      <c r="P282" s="135"/>
      <c r="Q282" s="135"/>
      <c r="R282" s="321"/>
      <c r="S282" s="322"/>
      <c r="T282" s="319"/>
      <c r="U282" s="322"/>
      <c r="V282" s="322"/>
      <c r="W282" s="322"/>
      <c r="X282" s="322"/>
      <c r="Y282" s="319"/>
      <c r="Z282" s="136" t="str">
        <f t="shared" si="16"/>
        <v/>
      </c>
      <c r="AA282" s="137" t="str">
        <f t="shared" si="17"/>
        <v/>
      </c>
      <c r="AB282" s="154" t="str">
        <f t="shared" si="18"/>
        <v/>
      </c>
      <c r="AC282" s="155"/>
      <c r="AD282" s="319"/>
      <c r="AE282" s="320"/>
    </row>
    <row r="283" ht="18.0" customHeight="1">
      <c r="A283" s="118" t="str">
        <f t="shared" si="15"/>
        <v/>
      </c>
      <c r="B283" s="109"/>
      <c r="C283" s="119"/>
      <c r="D283" s="119"/>
      <c r="E283" s="330"/>
      <c r="F283" s="121"/>
      <c r="G283" s="153"/>
      <c r="H283" s="153"/>
      <c r="I283" s="153"/>
      <c r="J283" s="112"/>
      <c r="K283" s="153"/>
      <c r="L283" s="122"/>
      <c r="M283" s="151"/>
      <c r="N283" s="152"/>
      <c r="O283" s="150"/>
      <c r="P283" s="114"/>
      <c r="Q283" s="114"/>
      <c r="R283" s="151"/>
      <c r="S283" s="152"/>
      <c r="T283" s="153"/>
      <c r="U283" s="152"/>
      <c r="V283" s="152"/>
      <c r="W283" s="152"/>
      <c r="X283" s="152"/>
      <c r="Y283" s="153"/>
      <c r="Z283" s="125" t="str">
        <f t="shared" si="16"/>
        <v/>
      </c>
      <c r="AA283" s="126" t="str">
        <f t="shared" si="17"/>
        <v/>
      </c>
      <c r="AB283" s="154" t="str">
        <f t="shared" si="18"/>
        <v/>
      </c>
      <c r="AC283" s="155"/>
      <c r="AD283" s="153"/>
      <c r="AE283" s="156"/>
    </row>
    <row r="284" ht="18.0" customHeight="1">
      <c r="A284" s="127" t="str">
        <f t="shared" si="15"/>
        <v/>
      </c>
      <c r="B284" s="128"/>
      <c r="C284" s="129"/>
      <c r="D284" s="129"/>
      <c r="E284" s="325"/>
      <c r="F284" s="131"/>
      <c r="G284" s="319"/>
      <c r="H284" s="319"/>
      <c r="I284" s="319"/>
      <c r="J284" s="132"/>
      <c r="K284" s="319"/>
      <c r="L284" s="133"/>
      <c r="M284" s="321"/>
      <c r="N284" s="322"/>
      <c r="O284" s="150"/>
      <c r="P284" s="135"/>
      <c r="Q284" s="135"/>
      <c r="R284" s="321"/>
      <c r="S284" s="322"/>
      <c r="T284" s="319"/>
      <c r="U284" s="322"/>
      <c r="V284" s="322"/>
      <c r="W284" s="322"/>
      <c r="X284" s="322"/>
      <c r="Y284" s="319"/>
      <c r="Z284" s="136" t="str">
        <f t="shared" si="16"/>
        <v/>
      </c>
      <c r="AA284" s="137" t="str">
        <f t="shared" si="17"/>
        <v/>
      </c>
      <c r="AB284" s="154" t="str">
        <f t="shared" si="18"/>
        <v/>
      </c>
      <c r="AC284" s="155"/>
      <c r="AD284" s="319"/>
      <c r="AE284" s="320"/>
    </row>
    <row r="285" ht="18.0" customHeight="1">
      <c r="A285" s="118" t="str">
        <f t="shared" si="15"/>
        <v/>
      </c>
      <c r="B285" s="109"/>
      <c r="C285" s="119"/>
      <c r="D285" s="119"/>
      <c r="E285" s="330"/>
      <c r="F285" s="121"/>
      <c r="G285" s="153"/>
      <c r="H285" s="153"/>
      <c r="I285" s="153"/>
      <c r="J285" s="112"/>
      <c r="K285" s="153"/>
      <c r="L285" s="122"/>
      <c r="M285" s="151"/>
      <c r="N285" s="152"/>
      <c r="O285" s="150"/>
      <c r="P285" s="114"/>
      <c r="Q285" s="114"/>
      <c r="R285" s="151"/>
      <c r="S285" s="152"/>
      <c r="T285" s="153"/>
      <c r="U285" s="152"/>
      <c r="V285" s="152"/>
      <c r="W285" s="152"/>
      <c r="X285" s="152"/>
      <c r="Y285" s="153"/>
      <c r="Z285" s="125" t="str">
        <f t="shared" si="16"/>
        <v/>
      </c>
      <c r="AA285" s="126" t="str">
        <f t="shared" si="17"/>
        <v/>
      </c>
      <c r="AB285" s="154" t="str">
        <f t="shared" si="18"/>
        <v/>
      </c>
      <c r="AC285" s="155"/>
      <c r="AD285" s="153"/>
      <c r="AE285" s="156"/>
    </row>
    <row r="286" ht="18.0" customHeight="1">
      <c r="A286" s="127" t="str">
        <f t="shared" si="15"/>
        <v/>
      </c>
      <c r="B286" s="128"/>
      <c r="C286" s="129"/>
      <c r="D286" s="129"/>
      <c r="E286" s="325"/>
      <c r="F286" s="131"/>
      <c r="G286" s="319"/>
      <c r="H286" s="319"/>
      <c r="I286" s="319"/>
      <c r="J286" s="132"/>
      <c r="K286" s="319"/>
      <c r="L286" s="133"/>
      <c r="M286" s="321"/>
      <c r="N286" s="322"/>
      <c r="O286" s="150"/>
      <c r="P286" s="135"/>
      <c r="Q286" s="135"/>
      <c r="R286" s="321"/>
      <c r="S286" s="322"/>
      <c r="T286" s="319"/>
      <c r="U286" s="322"/>
      <c r="V286" s="322"/>
      <c r="W286" s="322"/>
      <c r="X286" s="322"/>
      <c r="Y286" s="319"/>
      <c r="Z286" s="136" t="str">
        <f t="shared" si="16"/>
        <v/>
      </c>
      <c r="AA286" s="137" t="str">
        <f t="shared" si="17"/>
        <v/>
      </c>
      <c r="AB286" s="154" t="str">
        <f t="shared" si="18"/>
        <v/>
      </c>
      <c r="AC286" s="155"/>
      <c r="AD286" s="319"/>
      <c r="AE286" s="320"/>
    </row>
    <row r="287" ht="18.0" customHeight="1">
      <c r="A287" s="118" t="str">
        <f t="shared" si="15"/>
        <v/>
      </c>
      <c r="B287" s="109"/>
      <c r="C287" s="119"/>
      <c r="D287" s="119"/>
      <c r="E287" s="330"/>
      <c r="F287" s="121"/>
      <c r="G287" s="153"/>
      <c r="H287" s="153"/>
      <c r="I287" s="153"/>
      <c r="J287" s="112"/>
      <c r="K287" s="153"/>
      <c r="L287" s="122"/>
      <c r="M287" s="151"/>
      <c r="N287" s="152"/>
      <c r="O287" s="150"/>
      <c r="P287" s="114"/>
      <c r="Q287" s="114"/>
      <c r="R287" s="151"/>
      <c r="S287" s="152"/>
      <c r="T287" s="153"/>
      <c r="U287" s="152"/>
      <c r="V287" s="152"/>
      <c r="W287" s="152"/>
      <c r="X287" s="152"/>
      <c r="Y287" s="153"/>
      <c r="Z287" s="125" t="str">
        <f t="shared" si="16"/>
        <v/>
      </c>
      <c r="AA287" s="126" t="str">
        <f t="shared" si="17"/>
        <v/>
      </c>
      <c r="AB287" s="154" t="str">
        <f t="shared" si="18"/>
        <v/>
      </c>
      <c r="AC287" s="155"/>
      <c r="AD287" s="153"/>
      <c r="AE287" s="156"/>
    </row>
    <row r="288" ht="18.0" customHeight="1">
      <c r="A288" s="127" t="str">
        <f t="shared" si="15"/>
        <v/>
      </c>
      <c r="B288" s="128"/>
      <c r="C288" s="129"/>
      <c r="D288" s="129"/>
      <c r="E288" s="325"/>
      <c r="F288" s="131"/>
      <c r="G288" s="319"/>
      <c r="H288" s="319"/>
      <c r="I288" s="319"/>
      <c r="J288" s="132"/>
      <c r="K288" s="319"/>
      <c r="L288" s="133"/>
      <c r="M288" s="321"/>
      <c r="N288" s="322"/>
      <c r="O288" s="150"/>
      <c r="P288" s="135"/>
      <c r="Q288" s="135"/>
      <c r="R288" s="321"/>
      <c r="S288" s="322"/>
      <c r="T288" s="319"/>
      <c r="U288" s="322"/>
      <c r="V288" s="322"/>
      <c r="W288" s="322"/>
      <c r="X288" s="322"/>
      <c r="Y288" s="319"/>
      <c r="Z288" s="136" t="str">
        <f t="shared" si="16"/>
        <v/>
      </c>
      <c r="AA288" s="137" t="str">
        <f t="shared" si="17"/>
        <v/>
      </c>
      <c r="AB288" s="154" t="str">
        <f t="shared" si="18"/>
        <v/>
      </c>
      <c r="AC288" s="155"/>
      <c r="AD288" s="319"/>
      <c r="AE288" s="320"/>
    </row>
    <row r="289" ht="18.0" customHeight="1">
      <c r="A289" s="118" t="str">
        <f t="shared" si="15"/>
        <v/>
      </c>
      <c r="B289" s="109"/>
      <c r="C289" s="119"/>
      <c r="D289" s="119"/>
      <c r="E289" s="330"/>
      <c r="F289" s="121"/>
      <c r="G289" s="153"/>
      <c r="H289" s="153"/>
      <c r="I289" s="153"/>
      <c r="J289" s="112"/>
      <c r="K289" s="153"/>
      <c r="L289" s="122"/>
      <c r="M289" s="151"/>
      <c r="N289" s="152"/>
      <c r="O289" s="150"/>
      <c r="P289" s="114"/>
      <c r="Q289" s="114"/>
      <c r="R289" s="151"/>
      <c r="S289" s="152"/>
      <c r="T289" s="153"/>
      <c r="U289" s="152"/>
      <c r="V289" s="152"/>
      <c r="W289" s="152"/>
      <c r="X289" s="152"/>
      <c r="Y289" s="153"/>
      <c r="Z289" s="125" t="str">
        <f t="shared" si="16"/>
        <v/>
      </c>
      <c r="AA289" s="126" t="str">
        <f t="shared" si="17"/>
        <v/>
      </c>
      <c r="AB289" s="154" t="str">
        <f t="shared" si="18"/>
        <v/>
      </c>
      <c r="AC289" s="155"/>
      <c r="AD289" s="153"/>
      <c r="AE289" s="156"/>
    </row>
    <row r="290" ht="18.0" customHeight="1">
      <c r="A290" s="127" t="str">
        <f t="shared" si="15"/>
        <v/>
      </c>
      <c r="B290" s="128"/>
      <c r="C290" s="129"/>
      <c r="D290" s="129"/>
      <c r="E290" s="325"/>
      <c r="F290" s="131"/>
      <c r="G290" s="319"/>
      <c r="H290" s="319"/>
      <c r="I290" s="319"/>
      <c r="J290" s="132"/>
      <c r="K290" s="319"/>
      <c r="L290" s="133"/>
      <c r="M290" s="321"/>
      <c r="N290" s="322"/>
      <c r="O290" s="150"/>
      <c r="P290" s="135"/>
      <c r="Q290" s="135"/>
      <c r="R290" s="321"/>
      <c r="S290" s="322"/>
      <c r="T290" s="319"/>
      <c r="U290" s="322"/>
      <c r="V290" s="322"/>
      <c r="W290" s="322"/>
      <c r="X290" s="322"/>
      <c r="Y290" s="319"/>
      <c r="Z290" s="136" t="str">
        <f t="shared" si="16"/>
        <v/>
      </c>
      <c r="AA290" s="137" t="str">
        <f t="shared" si="17"/>
        <v/>
      </c>
      <c r="AB290" s="154" t="str">
        <f t="shared" si="18"/>
        <v/>
      </c>
      <c r="AC290" s="155"/>
      <c r="AD290" s="319"/>
      <c r="AE290" s="320"/>
    </row>
    <row r="291" ht="18.0" customHeight="1">
      <c r="A291" s="118" t="str">
        <f t="shared" si="15"/>
        <v/>
      </c>
      <c r="B291" s="109"/>
      <c r="C291" s="119"/>
      <c r="D291" s="119"/>
      <c r="E291" s="330"/>
      <c r="F291" s="121"/>
      <c r="G291" s="153"/>
      <c r="H291" s="153"/>
      <c r="I291" s="153"/>
      <c r="J291" s="112"/>
      <c r="K291" s="153"/>
      <c r="L291" s="122"/>
      <c r="M291" s="151"/>
      <c r="N291" s="152"/>
      <c r="O291" s="150"/>
      <c r="P291" s="114"/>
      <c r="Q291" s="114"/>
      <c r="R291" s="151"/>
      <c r="S291" s="152"/>
      <c r="T291" s="153"/>
      <c r="U291" s="152"/>
      <c r="V291" s="152"/>
      <c r="W291" s="152"/>
      <c r="X291" s="152"/>
      <c r="Y291" s="153"/>
      <c r="Z291" s="125" t="str">
        <f t="shared" si="16"/>
        <v/>
      </c>
      <c r="AA291" s="126" t="str">
        <f t="shared" si="17"/>
        <v/>
      </c>
      <c r="AB291" s="154" t="str">
        <f t="shared" si="18"/>
        <v/>
      </c>
      <c r="AC291" s="155"/>
      <c r="AD291" s="153"/>
      <c r="AE291" s="156"/>
    </row>
    <row r="292" ht="18.0" customHeight="1">
      <c r="A292" s="127" t="str">
        <f t="shared" si="15"/>
        <v/>
      </c>
      <c r="B292" s="128"/>
      <c r="C292" s="129"/>
      <c r="D292" s="129"/>
      <c r="E292" s="325"/>
      <c r="F292" s="131"/>
      <c r="G292" s="319"/>
      <c r="H292" s="319"/>
      <c r="I292" s="319"/>
      <c r="J292" s="132"/>
      <c r="K292" s="319"/>
      <c r="L292" s="133"/>
      <c r="M292" s="321"/>
      <c r="N292" s="322"/>
      <c r="O292" s="150"/>
      <c r="P292" s="135"/>
      <c r="Q292" s="135"/>
      <c r="R292" s="321"/>
      <c r="S292" s="322"/>
      <c r="T292" s="319"/>
      <c r="U292" s="322"/>
      <c r="V292" s="322"/>
      <c r="W292" s="322"/>
      <c r="X292" s="322"/>
      <c r="Y292" s="319"/>
      <c r="Z292" s="136" t="str">
        <f t="shared" si="16"/>
        <v/>
      </c>
      <c r="AA292" s="137" t="str">
        <f t="shared" si="17"/>
        <v/>
      </c>
      <c r="AB292" s="154" t="str">
        <f t="shared" si="18"/>
        <v/>
      </c>
      <c r="AC292" s="155"/>
      <c r="AD292" s="319"/>
      <c r="AE292" s="320"/>
    </row>
    <row r="293" ht="18.0" customHeight="1">
      <c r="A293" s="118" t="str">
        <f t="shared" si="15"/>
        <v/>
      </c>
      <c r="B293" s="109"/>
      <c r="C293" s="119"/>
      <c r="D293" s="119"/>
      <c r="E293" s="330"/>
      <c r="F293" s="121"/>
      <c r="G293" s="153"/>
      <c r="H293" s="153"/>
      <c r="I293" s="153"/>
      <c r="J293" s="112"/>
      <c r="K293" s="153"/>
      <c r="L293" s="122"/>
      <c r="M293" s="151"/>
      <c r="N293" s="152"/>
      <c r="O293" s="150"/>
      <c r="P293" s="114"/>
      <c r="Q293" s="114"/>
      <c r="R293" s="151"/>
      <c r="S293" s="152"/>
      <c r="T293" s="153"/>
      <c r="U293" s="152"/>
      <c r="V293" s="152"/>
      <c r="W293" s="152"/>
      <c r="X293" s="152"/>
      <c r="Y293" s="153"/>
      <c r="Z293" s="125" t="str">
        <f t="shared" si="16"/>
        <v/>
      </c>
      <c r="AA293" s="126" t="str">
        <f t="shared" si="17"/>
        <v/>
      </c>
      <c r="AB293" s="154" t="str">
        <f t="shared" si="18"/>
        <v/>
      </c>
      <c r="AC293" s="155"/>
      <c r="AD293" s="153"/>
      <c r="AE293" s="156"/>
    </row>
    <row r="294" ht="18.0" customHeight="1">
      <c r="A294" s="127" t="str">
        <f t="shared" si="15"/>
        <v/>
      </c>
      <c r="B294" s="128"/>
      <c r="C294" s="129"/>
      <c r="D294" s="129"/>
      <c r="E294" s="325"/>
      <c r="F294" s="131"/>
      <c r="G294" s="319"/>
      <c r="H294" s="319"/>
      <c r="I294" s="319"/>
      <c r="J294" s="132"/>
      <c r="K294" s="319"/>
      <c r="L294" s="133"/>
      <c r="M294" s="321"/>
      <c r="N294" s="322"/>
      <c r="O294" s="150"/>
      <c r="P294" s="135"/>
      <c r="Q294" s="135"/>
      <c r="R294" s="321"/>
      <c r="S294" s="322"/>
      <c r="T294" s="319"/>
      <c r="U294" s="322"/>
      <c r="V294" s="322"/>
      <c r="W294" s="322"/>
      <c r="X294" s="322"/>
      <c r="Y294" s="319"/>
      <c r="Z294" s="136" t="str">
        <f t="shared" si="16"/>
        <v/>
      </c>
      <c r="AA294" s="137" t="str">
        <f t="shared" si="17"/>
        <v/>
      </c>
      <c r="AB294" s="154" t="str">
        <f t="shared" si="18"/>
        <v/>
      </c>
      <c r="AC294" s="155"/>
      <c r="AD294" s="319"/>
      <c r="AE294" s="320"/>
    </row>
    <row r="295" ht="18.0" customHeight="1">
      <c r="A295" s="118" t="str">
        <f t="shared" si="15"/>
        <v/>
      </c>
      <c r="B295" s="109"/>
      <c r="C295" s="119"/>
      <c r="D295" s="119"/>
      <c r="E295" s="330"/>
      <c r="F295" s="121"/>
      <c r="G295" s="153"/>
      <c r="H295" s="153"/>
      <c r="I295" s="153"/>
      <c r="J295" s="112"/>
      <c r="K295" s="153"/>
      <c r="L295" s="122"/>
      <c r="M295" s="151"/>
      <c r="N295" s="152"/>
      <c r="O295" s="150"/>
      <c r="P295" s="114"/>
      <c r="Q295" s="114"/>
      <c r="R295" s="151"/>
      <c r="S295" s="152"/>
      <c r="T295" s="153"/>
      <c r="U295" s="152"/>
      <c r="V295" s="152"/>
      <c r="W295" s="152"/>
      <c r="X295" s="152"/>
      <c r="Y295" s="153"/>
      <c r="Z295" s="125" t="str">
        <f t="shared" si="16"/>
        <v/>
      </c>
      <c r="AA295" s="126" t="str">
        <f t="shared" si="17"/>
        <v/>
      </c>
      <c r="AB295" s="154" t="str">
        <f t="shared" si="18"/>
        <v/>
      </c>
      <c r="AC295" s="155"/>
      <c r="AD295" s="153"/>
      <c r="AE295" s="156"/>
    </row>
    <row r="296" ht="18.0" customHeight="1">
      <c r="A296" s="127" t="str">
        <f t="shared" si="15"/>
        <v/>
      </c>
      <c r="B296" s="128"/>
      <c r="C296" s="129"/>
      <c r="D296" s="129"/>
      <c r="E296" s="325"/>
      <c r="F296" s="131"/>
      <c r="G296" s="319"/>
      <c r="H296" s="319"/>
      <c r="I296" s="319"/>
      <c r="J296" s="132"/>
      <c r="K296" s="319"/>
      <c r="L296" s="133"/>
      <c r="M296" s="321"/>
      <c r="N296" s="322"/>
      <c r="O296" s="150"/>
      <c r="P296" s="135"/>
      <c r="Q296" s="135"/>
      <c r="R296" s="321"/>
      <c r="S296" s="322"/>
      <c r="T296" s="319"/>
      <c r="U296" s="322"/>
      <c r="V296" s="322"/>
      <c r="W296" s="322"/>
      <c r="X296" s="322"/>
      <c r="Y296" s="319"/>
      <c r="Z296" s="136" t="str">
        <f t="shared" si="16"/>
        <v/>
      </c>
      <c r="AA296" s="137" t="str">
        <f t="shared" si="17"/>
        <v/>
      </c>
      <c r="AB296" s="154" t="str">
        <f t="shared" si="18"/>
        <v/>
      </c>
      <c r="AC296" s="155"/>
      <c r="AD296" s="319"/>
      <c r="AE296" s="320"/>
    </row>
    <row r="297" ht="18.0" customHeight="1">
      <c r="A297" s="118" t="str">
        <f t="shared" si="15"/>
        <v/>
      </c>
      <c r="B297" s="109"/>
      <c r="C297" s="119"/>
      <c r="D297" s="119"/>
      <c r="E297" s="330"/>
      <c r="F297" s="121"/>
      <c r="G297" s="153"/>
      <c r="H297" s="153"/>
      <c r="I297" s="153"/>
      <c r="J297" s="112"/>
      <c r="K297" s="153"/>
      <c r="L297" s="122"/>
      <c r="M297" s="151"/>
      <c r="N297" s="152"/>
      <c r="O297" s="150"/>
      <c r="P297" s="114"/>
      <c r="Q297" s="114"/>
      <c r="R297" s="151"/>
      <c r="S297" s="152"/>
      <c r="T297" s="153"/>
      <c r="U297" s="152"/>
      <c r="V297" s="152"/>
      <c r="W297" s="152"/>
      <c r="X297" s="152"/>
      <c r="Y297" s="153"/>
      <c r="Z297" s="125" t="str">
        <f t="shared" si="16"/>
        <v/>
      </c>
      <c r="AA297" s="126" t="str">
        <f t="shared" si="17"/>
        <v/>
      </c>
      <c r="AB297" s="154" t="str">
        <f t="shared" si="18"/>
        <v/>
      </c>
      <c r="AC297" s="155"/>
      <c r="AD297" s="153"/>
      <c r="AE297" s="156"/>
    </row>
    <row r="298" ht="18.0" customHeight="1">
      <c r="A298" s="127" t="str">
        <f t="shared" si="15"/>
        <v/>
      </c>
      <c r="B298" s="128"/>
      <c r="C298" s="129"/>
      <c r="D298" s="129"/>
      <c r="E298" s="325"/>
      <c r="F298" s="131"/>
      <c r="G298" s="319"/>
      <c r="H298" s="319"/>
      <c r="I298" s="319"/>
      <c r="J298" s="132"/>
      <c r="K298" s="319"/>
      <c r="L298" s="133"/>
      <c r="M298" s="321"/>
      <c r="N298" s="322"/>
      <c r="O298" s="150"/>
      <c r="P298" s="135"/>
      <c r="Q298" s="135"/>
      <c r="R298" s="321"/>
      <c r="S298" s="322"/>
      <c r="T298" s="319"/>
      <c r="U298" s="322"/>
      <c r="V298" s="322"/>
      <c r="W298" s="322"/>
      <c r="X298" s="322"/>
      <c r="Y298" s="319"/>
      <c r="Z298" s="136" t="str">
        <f t="shared" si="16"/>
        <v/>
      </c>
      <c r="AA298" s="137" t="str">
        <f t="shared" si="17"/>
        <v/>
      </c>
      <c r="AB298" s="154" t="str">
        <f t="shared" si="18"/>
        <v/>
      </c>
      <c r="AC298" s="155"/>
      <c r="AD298" s="319"/>
      <c r="AE298" s="320"/>
    </row>
    <row r="299" ht="18.0" customHeight="1">
      <c r="A299" s="118" t="str">
        <f t="shared" si="15"/>
        <v/>
      </c>
      <c r="B299" s="109"/>
      <c r="C299" s="119"/>
      <c r="D299" s="119"/>
      <c r="E299" s="330"/>
      <c r="F299" s="121"/>
      <c r="G299" s="153"/>
      <c r="H299" s="153"/>
      <c r="I299" s="153"/>
      <c r="J299" s="112"/>
      <c r="K299" s="153"/>
      <c r="L299" s="122"/>
      <c r="M299" s="151"/>
      <c r="N299" s="152"/>
      <c r="O299" s="150"/>
      <c r="P299" s="114"/>
      <c r="Q299" s="114"/>
      <c r="R299" s="151"/>
      <c r="S299" s="152"/>
      <c r="T299" s="153"/>
      <c r="U299" s="152"/>
      <c r="V299" s="152"/>
      <c r="W299" s="152"/>
      <c r="X299" s="152"/>
      <c r="Y299" s="153"/>
      <c r="Z299" s="125" t="str">
        <f t="shared" si="16"/>
        <v/>
      </c>
      <c r="AA299" s="126" t="str">
        <f t="shared" si="17"/>
        <v/>
      </c>
      <c r="AB299" s="154" t="str">
        <f t="shared" si="18"/>
        <v/>
      </c>
      <c r="AC299" s="155"/>
      <c r="AD299" s="153"/>
      <c r="AE299" s="156"/>
    </row>
    <row r="300" ht="18.0" customHeight="1">
      <c r="A300" s="127" t="str">
        <f t="shared" si="15"/>
        <v/>
      </c>
      <c r="B300" s="128"/>
      <c r="C300" s="129"/>
      <c r="D300" s="129"/>
      <c r="E300" s="325"/>
      <c r="F300" s="131"/>
      <c r="G300" s="319"/>
      <c r="H300" s="319"/>
      <c r="I300" s="319"/>
      <c r="J300" s="132"/>
      <c r="K300" s="319"/>
      <c r="L300" s="133"/>
      <c r="M300" s="321"/>
      <c r="N300" s="322"/>
      <c r="O300" s="150"/>
      <c r="P300" s="135"/>
      <c r="Q300" s="135"/>
      <c r="R300" s="321"/>
      <c r="S300" s="322"/>
      <c r="T300" s="319"/>
      <c r="U300" s="322"/>
      <c r="V300" s="322"/>
      <c r="W300" s="322"/>
      <c r="X300" s="322"/>
      <c r="Y300" s="319"/>
      <c r="Z300" s="136" t="str">
        <f t="shared" si="16"/>
        <v/>
      </c>
      <c r="AA300" s="137" t="str">
        <f t="shared" si="17"/>
        <v/>
      </c>
      <c r="AB300" s="154" t="str">
        <f t="shared" si="18"/>
        <v/>
      </c>
      <c r="AC300" s="155"/>
      <c r="AD300" s="319"/>
      <c r="AE300" s="320"/>
    </row>
    <row r="301" ht="18.0" customHeight="1">
      <c r="A301" s="118" t="str">
        <f t="shared" si="15"/>
        <v/>
      </c>
      <c r="B301" s="109"/>
      <c r="C301" s="119"/>
      <c r="D301" s="119"/>
      <c r="E301" s="330"/>
      <c r="F301" s="121"/>
      <c r="G301" s="153"/>
      <c r="H301" s="153"/>
      <c r="I301" s="153"/>
      <c r="J301" s="112"/>
      <c r="K301" s="153"/>
      <c r="L301" s="122"/>
      <c r="M301" s="151"/>
      <c r="N301" s="152"/>
      <c r="O301" s="150"/>
      <c r="P301" s="114"/>
      <c r="Q301" s="114"/>
      <c r="R301" s="151"/>
      <c r="S301" s="152"/>
      <c r="T301" s="153"/>
      <c r="U301" s="152"/>
      <c r="V301" s="152"/>
      <c r="W301" s="152"/>
      <c r="X301" s="152"/>
      <c r="Y301" s="153"/>
      <c r="Z301" s="125" t="str">
        <f t="shared" si="16"/>
        <v/>
      </c>
      <c r="AA301" s="126" t="str">
        <f t="shared" si="17"/>
        <v/>
      </c>
      <c r="AB301" s="154" t="str">
        <f t="shared" si="18"/>
        <v/>
      </c>
      <c r="AC301" s="155"/>
      <c r="AD301" s="153"/>
      <c r="AE301" s="156"/>
    </row>
    <row r="302" ht="18.0" customHeight="1">
      <c r="A302" s="127" t="str">
        <f t="shared" si="15"/>
        <v/>
      </c>
      <c r="B302" s="128"/>
      <c r="C302" s="129"/>
      <c r="D302" s="129"/>
      <c r="E302" s="325"/>
      <c r="F302" s="131"/>
      <c r="G302" s="319"/>
      <c r="H302" s="319"/>
      <c r="I302" s="319"/>
      <c r="J302" s="132"/>
      <c r="K302" s="319"/>
      <c r="L302" s="133"/>
      <c r="M302" s="321"/>
      <c r="N302" s="322"/>
      <c r="O302" s="150"/>
      <c r="P302" s="135"/>
      <c r="Q302" s="135"/>
      <c r="R302" s="321"/>
      <c r="S302" s="322"/>
      <c r="T302" s="319"/>
      <c r="U302" s="322"/>
      <c r="V302" s="322"/>
      <c r="W302" s="322"/>
      <c r="X302" s="322"/>
      <c r="Y302" s="319"/>
      <c r="Z302" s="136" t="str">
        <f t="shared" si="16"/>
        <v/>
      </c>
      <c r="AA302" s="137" t="str">
        <f t="shared" si="17"/>
        <v/>
      </c>
      <c r="AB302" s="154" t="str">
        <f t="shared" si="18"/>
        <v/>
      </c>
      <c r="AC302" s="155"/>
      <c r="AD302" s="319"/>
      <c r="AE302" s="320"/>
    </row>
    <row r="303" ht="18.0" customHeight="1">
      <c r="A303" s="118" t="str">
        <f t="shared" si="15"/>
        <v/>
      </c>
      <c r="B303" s="109"/>
      <c r="C303" s="119"/>
      <c r="D303" s="119"/>
      <c r="E303" s="330"/>
      <c r="F303" s="121"/>
      <c r="G303" s="153"/>
      <c r="H303" s="153"/>
      <c r="I303" s="153"/>
      <c r="J303" s="112"/>
      <c r="K303" s="153"/>
      <c r="L303" s="122"/>
      <c r="M303" s="151"/>
      <c r="N303" s="152"/>
      <c r="O303" s="150"/>
      <c r="P303" s="114"/>
      <c r="Q303" s="114"/>
      <c r="R303" s="151"/>
      <c r="S303" s="152"/>
      <c r="T303" s="153"/>
      <c r="U303" s="152"/>
      <c r="V303" s="152"/>
      <c r="W303" s="152"/>
      <c r="X303" s="152"/>
      <c r="Y303" s="153"/>
      <c r="Z303" s="125" t="str">
        <f t="shared" si="16"/>
        <v/>
      </c>
      <c r="AA303" s="126" t="str">
        <f t="shared" si="17"/>
        <v/>
      </c>
      <c r="AB303" s="154" t="str">
        <f t="shared" si="18"/>
        <v/>
      </c>
      <c r="AC303" s="155"/>
      <c r="AD303" s="153"/>
      <c r="AE303" s="156"/>
    </row>
    <row r="304" ht="18.0" customHeight="1">
      <c r="A304" s="127" t="str">
        <f t="shared" si="15"/>
        <v/>
      </c>
      <c r="B304" s="128"/>
      <c r="C304" s="129"/>
      <c r="D304" s="129"/>
      <c r="E304" s="325"/>
      <c r="F304" s="131"/>
      <c r="G304" s="319"/>
      <c r="H304" s="319"/>
      <c r="I304" s="319"/>
      <c r="J304" s="132"/>
      <c r="K304" s="319"/>
      <c r="L304" s="133"/>
      <c r="M304" s="321"/>
      <c r="N304" s="322"/>
      <c r="O304" s="150"/>
      <c r="P304" s="135"/>
      <c r="Q304" s="135"/>
      <c r="R304" s="321"/>
      <c r="S304" s="322"/>
      <c r="T304" s="319"/>
      <c r="U304" s="322"/>
      <c r="V304" s="322"/>
      <c r="W304" s="322"/>
      <c r="X304" s="322"/>
      <c r="Y304" s="319"/>
      <c r="Z304" s="136" t="str">
        <f t="shared" si="16"/>
        <v/>
      </c>
      <c r="AA304" s="137" t="str">
        <f t="shared" si="17"/>
        <v/>
      </c>
      <c r="AB304" s="154" t="str">
        <f t="shared" si="18"/>
        <v/>
      </c>
      <c r="AC304" s="155"/>
      <c r="AD304" s="319"/>
      <c r="AE304" s="320"/>
    </row>
    <row r="305" ht="18.0" customHeight="1">
      <c r="A305" s="118" t="str">
        <f t="shared" si="15"/>
        <v/>
      </c>
      <c r="B305" s="109"/>
      <c r="C305" s="119"/>
      <c r="D305" s="119"/>
      <c r="E305" s="330"/>
      <c r="F305" s="121"/>
      <c r="G305" s="153"/>
      <c r="H305" s="153"/>
      <c r="I305" s="153"/>
      <c r="J305" s="112"/>
      <c r="K305" s="153"/>
      <c r="L305" s="122"/>
      <c r="M305" s="151"/>
      <c r="N305" s="152"/>
      <c r="O305" s="150"/>
      <c r="P305" s="114"/>
      <c r="Q305" s="114"/>
      <c r="R305" s="151"/>
      <c r="S305" s="152"/>
      <c r="T305" s="153"/>
      <c r="U305" s="152"/>
      <c r="V305" s="152"/>
      <c r="W305" s="152"/>
      <c r="X305" s="152"/>
      <c r="Y305" s="153"/>
      <c r="Z305" s="125" t="str">
        <f t="shared" si="16"/>
        <v/>
      </c>
      <c r="AA305" s="126" t="str">
        <f t="shared" si="17"/>
        <v/>
      </c>
      <c r="AB305" s="154" t="str">
        <f t="shared" si="18"/>
        <v/>
      </c>
      <c r="AC305" s="155"/>
      <c r="AD305" s="153"/>
      <c r="AE305" s="156"/>
    </row>
    <row r="306" ht="18.0" customHeight="1">
      <c r="A306" s="127" t="str">
        <f t="shared" si="15"/>
        <v/>
      </c>
      <c r="B306" s="128"/>
      <c r="C306" s="129"/>
      <c r="D306" s="129"/>
      <c r="E306" s="325"/>
      <c r="F306" s="131"/>
      <c r="G306" s="319"/>
      <c r="H306" s="319"/>
      <c r="I306" s="319"/>
      <c r="J306" s="132"/>
      <c r="K306" s="319"/>
      <c r="L306" s="133"/>
      <c r="M306" s="321"/>
      <c r="N306" s="322"/>
      <c r="O306" s="150"/>
      <c r="P306" s="135"/>
      <c r="Q306" s="135"/>
      <c r="R306" s="321"/>
      <c r="S306" s="322"/>
      <c r="T306" s="319"/>
      <c r="U306" s="322"/>
      <c r="V306" s="322"/>
      <c r="W306" s="322"/>
      <c r="X306" s="322"/>
      <c r="Y306" s="319"/>
      <c r="Z306" s="136" t="str">
        <f t="shared" si="16"/>
        <v/>
      </c>
      <c r="AA306" s="137" t="str">
        <f t="shared" si="17"/>
        <v/>
      </c>
      <c r="AB306" s="154" t="str">
        <f t="shared" si="18"/>
        <v/>
      </c>
      <c r="AC306" s="155"/>
      <c r="AD306" s="319"/>
      <c r="AE306" s="320"/>
    </row>
    <row r="307" ht="18.0" customHeight="1">
      <c r="A307" s="118" t="str">
        <f t="shared" si="15"/>
        <v/>
      </c>
      <c r="B307" s="109"/>
      <c r="C307" s="119"/>
      <c r="D307" s="119"/>
      <c r="E307" s="330"/>
      <c r="F307" s="121"/>
      <c r="G307" s="153"/>
      <c r="H307" s="153"/>
      <c r="I307" s="153"/>
      <c r="J307" s="112"/>
      <c r="K307" s="153"/>
      <c r="L307" s="122"/>
      <c r="M307" s="151"/>
      <c r="N307" s="152"/>
      <c r="O307" s="150"/>
      <c r="P307" s="114"/>
      <c r="Q307" s="114"/>
      <c r="R307" s="151"/>
      <c r="S307" s="152"/>
      <c r="T307" s="153"/>
      <c r="U307" s="152"/>
      <c r="V307" s="152"/>
      <c r="W307" s="152"/>
      <c r="X307" s="152"/>
      <c r="Y307" s="153"/>
      <c r="Z307" s="125" t="str">
        <f t="shared" si="16"/>
        <v/>
      </c>
      <c r="AA307" s="126" t="str">
        <f t="shared" si="17"/>
        <v/>
      </c>
      <c r="AB307" s="154" t="str">
        <f t="shared" si="18"/>
        <v/>
      </c>
      <c r="AC307" s="155"/>
      <c r="AD307" s="153"/>
      <c r="AE307" s="156"/>
    </row>
    <row r="308" ht="18.0" customHeight="1">
      <c r="A308" s="127" t="str">
        <f t="shared" si="15"/>
        <v/>
      </c>
      <c r="B308" s="128"/>
      <c r="C308" s="129"/>
      <c r="D308" s="129"/>
      <c r="E308" s="325"/>
      <c r="F308" s="131"/>
      <c r="G308" s="319"/>
      <c r="H308" s="319"/>
      <c r="I308" s="319"/>
      <c r="J308" s="132"/>
      <c r="K308" s="319"/>
      <c r="L308" s="133"/>
      <c r="M308" s="321"/>
      <c r="N308" s="322"/>
      <c r="O308" s="150"/>
      <c r="P308" s="135"/>
      <c r="Q308" s="135"/>
      <c r="R308" s="321"/>
      <c r="S308" s="322"/>
      <c r="T308" s="319"/>
      <c r="U308" s="322"/>
      <c r="V308" s="322"/>
      <c r="W308" s="322"/>
      <c r="X308" s="322"/>
      <c r="Y308" s="319"/>
      <c r="Z308" s="136" t="str">
        <f t="shared" si="16"/>
        <v/>
      </c>
      <c r="AA308" s="137" t="str">
        <f t="shared" si="17"/>
        <v/>
      </c>
      <c r="AB308" s="154" t="str">
        <f t="shared" si="18"/>
        <v/>
      </c>
      <c r="AC308" s="155"/>
      <c r="AD308" s="319"/>
      <c r="AE308" s="320"/>
    </row>
    <row r="309" ht="18.0" customHeight="1">
      <c r="A309" s="118" t="str">
        <f t="shared" si="15"/>
        <v/>
      </c>
      <c r="B309" s="109"/>
      <c r="C309" s="119"/>
      <c r="D309" s="119"/>
      <c r="E309" s="330"/>
      <c r="F309" s="121"/>
      <c r="G309" s="153"/>
      <c r="H309" s="153"/>
      <c r="I309" s="153"/>
      <c r="J309" s="112"/>
      <c r="K309" s="153"/>
      <c r="L309" s="122"/>
      <c r="M309" s="151"/>
      <c r="N309" s="152"/>
      <c r="O309" s="150"/>
      <c r="P309" s="114"/>
      <c r="Q309" s="114"/>
      <c r="R309" s="151"/>
      <c r="S309" s="152"/>
      <c r="T309" s="153"/>
      <c r="U309" s="152"/>
      <c r="V309" s="152"/>
      <c r="W309" s="152"/>
      <c r="X309" s="152"/>
      <c r="Y309" s="153"/>
      <c r="Z309" s="125" t="str">
        <f t="shared" si="16"/>
        <v/>
      </c>
      <c r="AA309" s="126" t="str">
        <f t="shared" si="17"/>
        <v/>
      </c>
      <c r="AB309" s="154" t="str">
        <f t="shared" si="18"/>
        <v/>
      </c>
      <c r="AC309" s="155"/>
      <c r="AD309" s="153"/>
      <c r="AE309" s="156"/>
    </row>
    <row r="310" ht="18.0" customHeight="1">
      <c r="A310" s="127" t="str">
        <f t="shared" si="15"/>
        <v/>
      </c>
      <c r="B310" s="128"/>
      <c r="C310" s="129"/>
      <c r="D310" s="129"/>
      <c r="E310" s="325"/>
      <c r="F310" s="131"/>
      <c r="G310" s="319"/>
      <c r="H310" s="319"/>
      <c r="I310" s="319"/>
      <c r="J310" s="132"/>
      <c r="K310" s="319"/>
      <c r="L310" s="133"/>
      <c r="M310" s="321"/>
      <c r="N310" s="322"/>
      <c r="O310" s="150"/>
      <c r="P310" s="135"/>
      <c r="Q310" s="135"/>
      <c r="R310" s="321"/>
      <c r="S310" s="322"/>
      <c r="T310" s="319"/>
      <c r="U310" s="322"/>
      <c r="V310" s="322"/>
      <c r="W310" s="322"/>
      <c r="X310" s="322"/>
      <c r="Y310" s="319"/>
      <c r="Z310" s="136" t="str">
        <f t="shared" si="16"/>
        <v/>
      </c>
      <c r="AA310" s="137" t="str">
        <f t="shared" si="17"/>
        <v/>
      </c>
      <c r="AB310" s="154" t="str">
        <f t="shared" si="18"/>
        <v/>
      </c>
      <c r="AC310" s="155"/>
      <c r="AD310" s="319"/>
      <c r="AE310" s="320"/>
    </row>
    <row r="311" ht="18.0" customHeight="1">
      <c r="A311" s="118" t="str">
        <f t="shared" si="15"/>
        <v/>
      </c>
      <c r="B311" s="109"/>
      <c r="C311" s="119"/>
      <c r="D311" s="119"/>
      <c r="E311" s="330"/>
      <c r="F311" s="121"/>
      <c r="G311" s="153"/>
      <c r="H311" s="153"/>
      <c r="I311" s="153"/>
      <c r="J311" s="112"/>
      <c r="K311" s="153"/>
      <c r="L311" s="122"/>
      <c r="M311" s="151"/>
      <c r="N311" s="152"/>
      <c r="O311" s="150"/>
      <c r="P311" s="114"/>
      <c r="Q311" s="114"/>
      <c r="R311" s="151"/>
      <c r="S311" s="152"/>
      <c r="T311" s="153"/>
      <c r="U311" s="152"/>
      <c r="V311" s="152"/>
      <c r="W311" s="152"/>
      <c r="X311" s="152"/>
      <c r="Y311" s="153"/>
      <c r="Z311" s="125" t="str">
        <f t="shared" si="16"/>
        <v/>
      </c>
      <c r="AA311" s="126" t="str">
        <f t="shared" si="17"/>
        <v/>
      </c>
      <c r="AB311" s="154" t="str">
        <f t="shared" si="18"/>
        <v/>
      </c>
      <c r="AC311" s="155"/>
      <c r="AD311" s="153"/>
      <c r="AE311" s="156"/>
    </row>
    <row r="312" ht="18.0" customHeight="1">
      <c r="A312" s="127" t="str">
        <f t="shared" si="15"/>
        <v/>
      </c>
      <c r="B312" s="128"/>
      <c r="C312" s="129"/>
      <c r="D312" s="129"/>
      <c r="E312" s="325"/>
      <c r="F312" s="131"/>
      <c r="G312" s="319"/>
      <c r="H312" s="319"/>
      <c r="I312" s="319"/>
      <c r="J312" s="132"/>
      <c r="K312" s="319"/>
      <c r="L312" s="133"/>
      <c r="M312" s="321"/>
      <c r="N312" s="322"/>
      <c r="O312" s="150"/>
      <c r="P312" s="135"/>
      <c r="Q312" s="135"/>
      <c r="R312" s="321"/>
      <c r="S312" s="322"/>
      <c r="T312" s="319"/>
      <c r="U312" s="322"/>
      <c r="V312" s="322"/>
      <c r="W312" s="322"/>
      <c r="X312" s="322"/>
      <c r="Y312" s="319"/>
      <c r="Z312" s="136" t="str">
        <f t="shared" si="16"/>
        <v/>
      </c>
      <c r="AA312" s="137" t="str">
        <f t="shared" si="17"/>
        <v/>
      </c>
      <c r="AB312" s="154" t="str">
        <f t="shared" si="18"/>
        <v/>
      </c>
      <c r="AC312" s="155"/>
      <c r="AD312" s="319"/>
      <c r="AE312" s="320"/>
    </row>
    <row r="313" ht="18.0" customHeight="1">
      <c r="A313" s="118" t="str">
        <f t="shared" si="15"/>
        <v/>
      </c>
      <c r="B313" s="109"/>
      <c r="C313" s="119"/>
      <c r="D313" s="119"/>
      <c r="E313" s="330"/>
      <c r="F313" s="121"/>
      <c r="G313" s="153"/>
      <c r="H313" s="153"/>
      <c r="I313" s="153"/>
      <c r="J313" s="112"/>
      <c r="K313" s="153"/>
      <c r="L313" s="122"/>
      <c r="M313" s="151"/>
      <c r="N313" s="152"/>
      <c r="O313" s="150"/>
      <c r="P313" s="114"/>
      <c r="Q313" s="114"/>
      <c r="R313" s="151"/>
      <c r="S313" s="152"/>
      <c r="T313" s="153"/>
      <c r="U313" s="152"/>
      <c r="V313" s="152"/>
      <c r="W313" s="152"/>
      <c r="X313" s="152"/>
      <c r="Y313" s="153"/>
      <c r="Z313" s="125" t="str">
        <f t="shared" si="16"/>
        <v/>
      </c>
      <c r="AA313" s="126" t="str">
        <f t="shared" si="17"/>
        <v/>
      </c>
      <c r="AB313" s="154" t="str">
        <f t="shared" si="18"/>
        <v/>
      </c>
      <c r="AC313" s="155"/>
      <c r="AD313" s="153"/>
      <c r="AE313" s="156"/>
    </row>
    <row r="314" ht="18.0" customHeight="1">
      <c r="A314" s="127" t="str">
        <f t="shared" si="15"/>
        <v/>
      </c>
      <c r="B314" s="128"/>
      <c r="C314" s="129"/>
      <c r="D314" s="129"/>
      <c r="E314" s="325"/>
      <c r="F314" s="131"/>
      <c r="G314" s="319"/>
      <c r="H314" s="319"/>
      <c r="I314" s="319"/>
      <c r="J314" s="132"/>
      <c r="K314" s="319"/>
      <c r="L314" s="133"/>
      <c r="M314" s="321"/>
      <c r="N314" s="322"/>
      <c r="O314" s="150"/>
      <c r="P314" s="135"/>
      <c r="Q314" s="135"/>
      <c r="R314" s="321"/>
      <c r="S314" s="322"/>
      <c r="T314" s="319"/>
      <c r="U314" s="322"/>
      <c r="V314" s="322"/>
      <c r="W314" s="322"/>
      <c r="X314" s="322"/>
      <c r="Y314" s="319"/>
      <c r="Z314" s="136" t="str">
        <f t="shared" si="16"/>
        <v/>
      </c>
      <c r="AA314" s="137" t="str">
        <f t="shared" si="17"/>
        <v/>
      </c>
      <c r="AB314" s="154" t="str">
        <f t="shared" si="18"/>
        <v/>
      </c>
      <c r="AC314" s="155"/>
      <c r="AD314" s="319"/>
      <c r="AE314" s="320"/>
    </row>
    <row r="315" ht="18.0" customHeight="1">
      <c r="A315" s="118" t="str">
        <f t="shared" si="15"/>
        <v/>
      </c>
      <c r="B315" s="109"/>
      <c r="C315" s="119"/>
      <c r="D315" s="119"/>
      <c r="E315" s="330"/>
      <c r="F315" s="121"/>
      <c r="G315" s="153"/>
      <c r="H315" s="153"/>
      <c r="I315" s="153"/>
      <c r="J315" s="112"/>
      <c r="K315" s="153"/>
      <c r="L315" s="122"/>
      <c r="M315" s="151"/>
      <c r="N315" s="152"/>
      <c r="O315" s="150"/>
      <c r="P315" s="114"/>
      <c r="Q315" s="114"/>
      <c r="R315" s="151"/>
      <c r="S315" s="152"/>
      <c r="T315" s="153"/>
      <c r="U315" s="152"/>
      <c r="V315" s="152"/>
      <c r="W315" s="152"/>
      <c r="X315" s="152"/>
      <c r="Y315" s="153"/>
      <c r="Z315" s="125" t="str">
        <f t="shared" si="16"/>
        <v/>
      </c>
      <c r="AA315" s="126" t="str">
        <f t="shared" si="17"/>
        <v/>
      </c>
      <c r="AB315" s="154" t="str">
        <f t="shared" si="18"/>
        <v/>
      </c>
      <c r="AC315" s="155"/>
      <c r="AD315" s="153"/>
      <c r="AE315" s="156"/>
    </row>
    <row r="316" ht="18.0" customHeight="1">
      <c r="A316" s="127" t="str">
        <f t="shared" si="15"/>
        <v/>
      </c>
      <c r="B316" s="128"/>
      <c r="C316" s="129"/>
      <c r="D316" s="129"/>
      <c r="E316" s="325"/>
      <c r="F316" s="131"/>
      <c r="G316" s="319"/>
      <c r="H316" s="319"/>
      <c r="I316" s="319"/>
      <c r="J316" s="132"/>
      <c r="K316" s="319"/>
      <c r="L316" s="133"/>
      <c r="M316" s="321"/>
      <c r="N316" s="322"/>
      <c r="O316" s="150"/>
      <c r="P316" s="135"/>
      <c r="Q316" s="135"/>
      <c r="R316" s="321"/>
      <c r="S316" s="322"/>
      <c r="T316" s="319"/>
      <c r="U316" s="322"/>
      <c r="V316" s="322"/>
      <c r="W316" s="322"/>
      <c r="X316" s="322"/>
      <c r="Y316" s="319"/>
      <c r="Z316" s="136" t="str">
        <f t="shared" si="16"/>
        <v/>
      </c>
      <c r="AA316" s="137" t="str">
        <f t="shared" si="17"/>
        <v/>
      </c>
      <c r="AB316" s="154" t="str">
        <f t="shared" si="18"/>
        <v/>
      </c>
      <c r="AC316" s="155"/>
      <c r="AD316" s="319"/>
      <c r="AE316" s="320"/>
    </row>
    <row r="317" ht="18.0" customHeight="1">
      <c r="A317" s="118" t="str">
        <f t="shared" si="15"/>
        <v/>
      </c>
      <c r="B317" s="109"/>
      <c r="C317" s="119"/>
      <c r="D317" s="119"/>
      <c r="E317" s="330"/>
      <c r="F317" s="121"/>
      <c r="G317" s="153"/>
      <c r="H317" s="153"/>
      <c r="I317" s="153"/>
      <c r="J317" s="112"/>
      <c r="K317" s="153"/>
      <c r="L317" s="122"/>
      <c r="M317" s="151"/>
      <c r="N317" s="152"/>
      <c r="O317" s="150"/>
      <c r="P317" s="114"/>
      <c r="Q317" s="114"/>
      <c r="R317" s="151"/>
      <c r="S317" s="152"/>
      <c r="T317" s="153"/>
      <c r="U317" s="152"/>
      <c r="V317" s="152"/>
      <c r="W317" s="152"/>
      <c r="X317" s="152"/>
      <c r="Y317" s="153"/>
      <c r="Z317" s="125" t="str">
        <f t="shared" si="16"/>
        <v/>
      </c>
      <c r="AA317" s="126" t="str">
        <f t="shared" si="17"/>
        <v/>
      </c>
      <c r="AB317" s="154" t="str">
        <f t="shared" si="18"/>
        <v/>
      </c>
      <c r="AC317" s="155"/>
      <c r="AD317" s="153"/>
      <c r="AE317" s="156"/>
    </row>
    <row r="318" ht="18.0" customHeight="1">
      <c r="A318" s="127" t="str">
        <f t="shared" si="15"/>
        <v/>
      </c>
      <c r="B318" s="128"/>
      <c r="C318" s="129"/>
      <c r="D318" s="129"/>
      <c r="E318" s="325"/>
      <c r="F318" s="131"/>
      <c r="G318" s="319"/>
      <c r="H318" s="319"/>
      <c r="I318" s="319"/>
      <c r="J318" s="132"/>
      <c r="K318" s="319"/>
      <c r="L318" s="133"/>
      <c r="M318" s="321"/>
      <c r="N318" s="322"/>
      <c r="O318" s="150"/>
      <c r="P318" s="135"/>
      <c r="Q318" s="135"/>
      <c r="R318" s="321"/>
      <c r="S318" s="322"/>
      <c r="T318" s="319"/>
      <c r="U318" s="322"/>
      <c r="V318" s="322"/>
      <c r="W318" s="322"/>
      <c r="X318" s="322"/>
      <c r="Y318" s="319"/>
      <c r="Z318" s="136" t="str">
        <f t="shared" si="16"/>
        <v/>
      </c>
      <c r="AA318" s="137" t="str">
        <f t="shared" si="17"/>
        <v/>
      </c>
      <c r="AB318" s="154" t="str">
        <f t="shared" si="18"/>
        <v/>
      </c>
      <c r="AC318" s="155"/>
      <c r="AD318" s="319"/>
      <c r="AE318" s="320"/>
    </row>
    <row r="319" ht="18.0" customHeight="1">
      <c r="A319" s="118" t="str">
        <f t="shared" si="15"/>
        <v/>
      </c>
      <c r="B319" s="109"/>
      <c r="C319" s="119"/>
      <c r="D319" s="119"/>
      <c r="E319" s="330"/>
      <c r="F319" s="121"/>
      <c r="G319" s="153"/>
      <c r="H319" s="153"/>
      <c r="I319" s="153"/>
      <c r="J319" s="112"/>
      <c r="K319" s="153"/>
      <c r="L319" s="122"/>
      <c r="M319" s="151"/>
      <c r="N319" s="152"/>
      <c r="O319" s="150"/>
      <c r="P319" s="114"/>
      <c r="Q319" s="114"/>
      <c r="R319" s="151"/>
      <c r="S319" s="152"/>
      <c r="T319" s="153"/>
      <c r="U319" s="152"/>
      <c r="V319" s="152"/>
      <c r="W319" s="152"/>
      <c r="X319" s="152"/>
      <c r="Y319" s="153"/>
      <c r="Z319" s="125" t="str">
        <f t="shared" si="16"/>
        <v/>
      </c>
      <c r="AA319" s="126" t="str">
        <f t="shared" si="17"/>
        <v/>
      </c>
      <c r="AB319" s="154" t="str">
        <f t="shared" si="18"/>
        <v/>
      </c>
      <c r="AC319" s="155"/>
      <c r="AD319" s="153"/>
      <c r="AE319" s="156"/>
    </row>
    <row r="320" ht="18.0" customHeight="1">
      <c r="A320" s="127" t="str">
        <f t="shared" si="15"/>
        <v/>
      </c>
      <c r="B320" s="128"/>
      <c r="C320" s="129"/>
      <c r="D320" s="129"/>
      <c r="E320" s="325"/>
      <c r="F320" s="131"/>
      <c r="G320" s="319"/>
      <c r="H320" s="319"/>
      <c r="I320" s="319"/>
      <c r="J320" s="132"/>
      <c r="K320" s="319"/>
      <c r="L320" s="133"/>
      <c r="M320" s="321"/>
      <c r="N320" s="322"/>
      <c r="O320" s="150"/>
      <c r="P320" s="135"/>
      <c r="Q320" s="135"/>
      <c r="R320" s="321"/>
      <c r="S320" s="322"/>
      <c r="T320" s="319"/>
      <c r="U320" s="322"/>
      <c r="V320" s="322"/>
      <c r="W320" s="322"/>
      <c r="X320" s="322"/>
      <c r="Y320" s="319"/>
      <c r="Z320" s="136" t="str">
        <f t="shared" si="16"/>
        <v/>
      </c>
      <c r="AA320" s="137" t="str">
        <f t="shared" si="17"/>
        <v/>
      </c>
      <c r="AB320" s="154" t="str">
        <f t="shared" si="18"/>
        <v/>
      </c>
      <c r="AC320" s="155"/>
      <c r="AD320" s="319"/>
      <c r="AE320" s="320"/>
    </row>
    <row r="321" ht="18.0" customHeight="1">
      <c r="A321" s="118" t="str">
        <f t="shared" si="15"/>
        <v/>
      </c>
      <c r="B321" s="109"/>
      <c r="C321" s="119"/>
      <c r="D321" s="119"/>
      <c r="E321" s="330"/>
      <c r="F321" s="121"/>
      <c r="G321" s="153"/>
      <c r="H321" s="153"/>
      <c r="I321" s="153"/>
      <c r="J321" s="112"/>
      <c r="K321" s="153"/>
      <c r="L321" s="122"/>
      <c r="M321" s="151"/>
      <c r="N321" s="152"/>
      <c r="O321" s="150"/>
      <c r="P321" s="114"/>
      <c r="Q321" s="114"/>
      <c r="R321" s="151"/>
      <c r="S321" s="152"/>
      <c r="T321" s="153"/>
      <c r="U321" s="152"/>
      <c r="V321" s="152"/>
      <c r="W321" s="152"/>
      <c r="X321" s="152"/>
      <c r="Y321" s="153"/>
      <c r="Z321" s="125" t="str">
        <f t="shared" si="16"/>
        <v/>
      </c>
      <c r="AA321" s="126" t="str">
        <f t="shared" si="17"/>
        <v/>
      </c>
      <c r="AB321" s="154" t="str">
        <f t="shared" si="18"/>
        <v/>
      </c>
      <c r="AC321" s="155"/>
      <c r="AD321" s="153"/>
      <c r="AE321" s="156"/>
    </row>
    <row r="322" ht="18.0" customHeight="1">
      <c r="A322" s="127" t="str">
        <f t="shared" si="15"/>
        <v/>
      </c>
      <c r="B322" s="128"/>
      <c r="C322" s="129"/>
      <c r="D322" s="129"/>
      <c r="E322" s="325"/>
      <c r="F322" s="131"/>
      <c r="G322" s="319"/>
      <c r="H322" s="319"/>
      <c r="I322" s="319"/>
      <c r="J322" s="132"/>
      <c r="K322" s="319"/>
      <c r="L322" s="133"/>
      <c r="M322" s="321"/>
      <c r="N322" s="322"/>
      <c r="O322" s="150"/>
      <c r="P322" s="135"/>
      <c r="Q322" s="135"/>
      <c r="R322" s="321"/>
      <c r="S322" s="322"/>
      <c r="T322" s="319"/>
      <c r="U322" s="322"/>
      <c r="V322" s="322"/>
      <c r="W322" s="322"/>
      <c r="X322" s="322"/>
      <c r="Y322" s="319"/>
      <c r="Z322" s="136" t="str">
        <f t="shared" si="16"/>
        <v/>
      </c>
      <c r="AA322" s="137" t="str">
        <f t="shared" si="17"/>
        <v/>
      </c>
      <c r="AB322" s="154" t="str">
        <f t="shared" si="18"/>
        <v/>
      </c>
      <c r="AC322" s="155"/>
      <c r="AD322" s="319"/>
      <c r="AE322" s="320"/>
    </row>
    <row r="323" ht="18.0" customHeight="1">
      <c r="A323" s="118" t="str">
        <f t="shared" si="15"/>
        <v/>
      </c>
      <c r="B323" s="109"/>
      <c r="C323" s="119"/>
      <c r="D323" s="119"/>
      <c r="E323" s="330"/>
      <c r="F323" s="121"/>
      <c r="G323" s="153"/>
      <c r="H323" s="153"/>
      <c r="I323" s="153"/>
      <c r="J323" s="112"/>
      <c r="K323" s="153"/>
      <c r="L323" s="122"/>
      <c r="M323" s="151"/>
      <c r="N323" s="152"/>
      <c r="O323" s="150"/>
      <c r="P323" s="114"/>
      <c r="Q323" s="114"/>
      <c r="R323" s="151"/>
      <c r="S323" s="152"/>
      <c r="T323" s="153"/>
      <c r="U323" s="152"/>
      <c r="V323" s="152"/>
      <c r="W323" s="152"/>
      <c r="X323" s="152"/>
      <c r="Y323" s="153"/>
      <c r="Z323" s="125" t="str">
        <f t="shared" si="16"/>
        <v/>
      </c>
      <c r="AA323" s="126" t="str">
        <f t="shared" si="17"/>
        <v/>
      </c>
      <c r="AB323" s="154" t="str">
        <f t="shared" si="18"/>
        <v/>
      </c>
      <c r="AC323" s="155"/>
      <c r="AD323" s="153"/>
      <c r="AE323" s="156"/>
    </row>
    <row r="324" ht="18.0" customHeight="1">
      <c r="A324" s="127" t="str">
        <f t="shared" si="15"/>
        <v/>
      </c>
      <c r="B324" s="128"/>
      <c r="C324" s="129"/>
      <c r="D324" s="129"/>
      <c r="E324" s="325"/>
      <c r="F324" s="131"/>
      <c r="G324" s="319"/>
      <c r="H324" s="319"/>
      <c r="I324" s="319"/>
      <c r="J324" s="132"/>
      <c r="K324" s="319"/>
      <c r="L324" s="133"/>
      <c r="M324" s="321"/>
      <c r="N324" s="322"/>
      <c r="O324" s="150"/>
      <c r="P324" s="135"/>
      <c r="Q324" s="135"/>
      <c r="R324" s="321"/>
      <c r="S324" s="322"/>
      <c r="T324" s="319"/>
      <c r="U324" s="322"/>
      <c r="V324" s="322"/>
      <c r="W324" s="322"/>
      <c r="X324" s="322"/>
      <c r="Y324" s="319"/>
      <c r="Z324" s="136" t="str">
        <f t="shared" si="16"/>
        <v/>
      </c>
      <c r="AA324" s="137" t="str">
        <f t="shared" si="17"/>
        <v/>
      </c>
      <c r="AB324" s="154" t="str">
        <f t="shared" si="18"/>
        <v/>
      </c>
      <c r="AC324" s="155"/>
      <c r="AD324" s="319"/>
      <c r="AE324" s="320"/>
    </row>
    <row r="325" ht="18.0" customHeight="1">
      <c r="A325" s="118" t="str">
        <f t="shared" si="15"/>
        <v/>
      </c>
      <c r="B325" s="109"/>
      <c r="C325" s="119"/>
      <c r="D325" s="119"/>
      <c r="E325" s="330"/>
      <c r="F325" s="121"/>
      <c r="G325" s="153"/>
      <c r="H325" s="153"/>
      <c r="I325" s="153"/>
      <c r="J325" s="112"/>
      <c r="K325" s="153"/>
      <c r="L325" s="122"/>
      <c r="M325" s="151"/>
      <c r="N325" s="152"/>
      <c r="O325" s="150"/>
      <c r="P325" s="114"/>
      <c r="Q325" s="114"/>
      <c r="R325" s="151"/>
      <c r="S325" s="152"/>
      <c r="T325" s="153"/>
      <c r="U325" s="152"/>
      <c r="V325" s="152"/>
      <c r="W325" s="152"/>
      <c r="X325" s="152"/>
      <c r="Y325" s="153"/>
      <c r="Z325" s="125" t="str">
        <f t="shared" si="16"/>
        <v/>
      </c>
      <c r="AA325" s="126" t="str">
        <f t="shared" si="17"/>
        <v/>
      </c>
      <c r="AB325" s="154" t="str">
        <f t="shared" si="18"/>
        <v/>
      </c>
      <c r="AC325" s="155"/>
      <c r="AD325" s="153"/>
      <c r="AE325" s="156"/>
    </row>
    <row r="326" ht="18.0" customHeight="1">
      <c r="A326" s="127" t="str">
        <f t="shared" si="15"/>
        <v/>
      </c>
      <c r="B326" s="128"/>
      <c r="C326" s="129"/>
      <c r="D326" s="129"/>
      <c r="E326" s="325"/>
      <c r="F326" s="131"/>
      <c r="G326" s="319"/>
      <c r="H326" s="319"/>
      <c r="I326" s="319"/>
      <c r="J326" s="132"/>
      <c r="K326" s="319"/>
      <c r="L326" s="133"/>
      <c r="M326" s="321"/>
      <c r="N326" s="322"/>
      <c r="O326" s="150"/>
      <c r="P326" s="135"/>
      <c r="Q326" s="135"/>
      <c r="R326" s="321"/>
      <c r="S326" s="322"/>
      <c r="T326" s="319"/>
      <c r="U326" s="322"/>
      <c r="V326" s="322"/>
      <c r="W326" s="322"/>
      <c r="X326" s="322"/>
      <c r="Y326" s="319"/>
      <c r="Z326" s="136" t="str">
        <f t="shared" si="16"/>
        <v/>
      </c>
      <c r="AA326" s="137" t="str">
        <f t="shared" si="17"/>
        <v/>
      </c>
      <c r="AB326" s="154" t="str">
        <f t="shared" si="18"/>
        <v/>
      </c>
      <c r="AC326" s="155"/>
      <c r="AD326" s="319"/>
      <c r="AE326" s="320"/>
    </row>
    <row r="327" ht="18.0" customHeight="1">
      <c r="A327" s="118" t="str">
        <f t="shared" si="15"/>
        <v/>
      </c>
      <c r="B327" s="109"/>
      <c r="C327" s="119"/>
      <c r="D327" s="119"/>
      <c r="E327" s="330"/>
      <c r="F327" s="121"/>
      <c r="G327" s="153"/>
      <c r="H327" s="153"/>
      <c r="I327" s="153"/>
      <c r="J327" s="112"/>
      <c r="K327" s="153"/>
      <c r="L327" s="122"/>
      <c r="M327" s="151"/>
      <c r="N327" s="152"/>
      <c r="O327" s="150"/>
      <c r="P327" s="114"/>
      <c r="Q327" s="114"/>
      <c r="R327" s="151"/>
      <c r="S327" s="152"/>
      <c r="T327" s="153"/>
      <c r="U327" s="152"/>
      <c r="V327" s="152"/>
      <c r="W327" s="152"/>
      <c r="X327" s="152"/>
      <c r="Y327" s="153"/>
      <c r="Z327" s="125" t="str">
        <f t="shared" si="16"/>
        <v/>
      </c>
      <c r="AA327" s="126" t="str">
        <f t="shared" si="17"/>
        <v/>
      </c>
      <c r="AB327" s="154" t="str">
        <f t="shared" si="18"/>
        <v/>
      </c>
      <c r="AC327" s="155"/>
      <c r="AD327" s="153"/>
      <c r="AE327" s="156"/>
    </row>
    <row r="328" ht="18.0" customHeight="1">
      <c r="A328" s="127" t="str">
        <f t="shared" si="15"/>
        <v/>
      </c>
      <c r="B328" s="128"/>
      <c r="C328" s="129"/>
      <c r="D328" s="129"/>
      <c r="E328" s="325"/>
      <c r="F328" s="131"/>
      <c r="G328" s="319"/>
      <c r="H328" s="319"/>
      <c r="I328" s="319"/>
      <c r="J328" s="132"/>
      <c r="K328" s="319"/>
      <c r="L328" s="133"/>
      <c r="M328" s="321"/>
      <c r="N328" s="322"/>
      <c r="O328" s="150"/>
      <c r="P328" s="135"/>
      <c r="Q328" s="135"/>
      <c r="R328" s="321"/>
      <c r="S328" s="322"/>
      <c r="T328" s="319"/>
      <c r="U328" s="322"/>
      <c r="V328" s="322"/>
      <c r="W328" s="322"/>
      <c r="X328" s="322"/>
      <c r="Y328" s="319"/>
      <c r="Z328" s="136" t="str">
        <f t="shared" si="16"/>
        <v/>
      </c>
      <c r="AA328" s="137" t="str">
        <f t="shared" si="17"/>
        <v/>
      </c>
      <c r="AB328" s="154" t="str">
        <f t="shared" si="18"/>
        <v/>
      </c>
      <c r="AC328" s="155"/>
      <c r="AD328" s="319"/>
      <c r="AE328" s="320"/>
    </row>
    <row r="329" ht="18.0" customHeight="1">
      <c r="A329" s="118" t="str">
        <f t="shared" si="15"/>
        <v/>
      </c>
      <c r="B329" s="109"/>
      <c r="C329" s="119"/>
      <c r="D329" s="119"/>
      <c r="E329" s="330"/>
      <c r="F329" s="121"/>
      <c r="G329" s="153"/>
      <c r="H329" s="153"/>
      <c r="I329" s="153"/>
      <c r="J329" s="112"/>
      <c r="K329" s="153"/>
      <c r="L329" s="122"/>
      <c r="M329" s="151"/>
      <c r="N329" s="152"/>
      <c r="O329" s="150"/>
      <c r="P329" s="114"/>
      <c r="Q329" s="114"/>
      <c r="R329" s="151"/>
      <c r="S329" s="152"/>
      <c r="T329" s="153"/>
      <c r="U329" s="152"/>
      <c r="V329" s="152"/>
      <c r="W329" s="152"/>
      <c r="X329" s="152"/>
      <c r="Y329" s="153"/>
      <c r="Z329" s="125" t="str">
        <f t="shared" si="16"/>
        <v/>
      </c>
      <c r="AA329" s="126" t="str">
        <f t="shared" si="17"/>
        <v/>
      </c>
      <c r="AB329" s="154" t="str">
        <f t="shared" si="18"/>
        <v/>
      </c>
      <c r="AC329" s="155"/>
      <c r="AD329" s="153"/>
      <c r="AE329" s="156"/>
    </row>
    <row r="330" ht="18.0" customHeight="1">
      <c r="A330" s="127" t="str">
        <f t="shared" si="15"/>
        <v/>
      </c>
      <c r="B330" s="128"/>
      <c r="C330" s="129"/>
      <c r="D330" s="129"/>
      <c r="E330" s="325"/>
      <c r="F330" s="131"/>
      <c r="G330" s="319"/>
      <c r="H330" s="319"/>
      <c r="I330" s="319"/>
      <c r="J330" s="132"/>
      <c r="K330" s="319"/>
      <c r="L330" s="133"/>
      <c r="M330" s="321"/>
      <c r="N330" s="322"/>
      <c r="O330" s="150"/>
      <c r="P330" s="135"/>
      <c r="Q330" s="135"/>
      <c r="R330" s="321"/>
      <c r="S330" s="322"/>
      <c r="T330" s="319"/>
      <c r="U330" s="322"/>
      <c r="V330" s="322"/>
      <c r="W330" s="322"/>
      <c r="X330" s="322"/>
      <c r="Y330" s="319"/>
      <c r="Z330" s="136" t="str">
        <f t="shared" si="16"/>
        <v/>
      </c>
      <c r="AA330" s="137" t="str">
        <f t="shared" si="17"/>
        <v/>
      </c>
      <c r="AB330" s="154" t="str">
        <f t="shared" si="18"/>
        <v/>
      </c>
      <c r="AC330" s="155"/>
      <c r="AD330" s="319"/>
      <c r="AE330" s="320"/>
    </row>
    <row r="331" ht="18.0" customHeight="1">
      <c r="A331" s="118" t="str">
        <f t="shared" si="15"/>
        <v/>
      </c>
      <c r="B331" s="109"/>
      <c r="C331" s="119"/>
      <c r="D331" s="119"/>
      <c r="E331" s="330"/>
      <c r="F331" s="121"/>
      <c r="G331" s="153"/>
      <c r="H331" s="153"/>
      <c r="I331" s="153"/>
      <c r="J331" s="112"/>
      <c r="K331" s="153"/>
      <c r="L331" s="122"/>
      <c r="M331" s="151"/>
      <c r="N331" s="152"/>
      <c r="O331" s="150"/>
      <c r="P331" s="114"/>
      <c r="Q331" s="114"/>
      <c r="R331" s="151"/>
      <c r="S331" s="152"/>
      <c r="T331" s="153"/>
      <c r="U331" s="152"/>
      <c r="V331" s="152"/>
      <c r="W331" s="152"/>
      <c r="X331" s="152"/>
      <c r="Y331" s="153"/>
      <c r="Z331" s="125" t="str">
        <f t="shared" si="16"/>
        <v/>
      </c>
      <c r="AA331" s="126" t="str">
        <f t="shared" si="17"/>
        <v/>
      </c>
      <c r="AB331" s="154" t="str">
        <f t="shared" si="18"/>
        <v/>
      </c>
      <c r="AC331" s="155"/>
      <c r="AD331" s="153"/>
      <c r="AE331" s="156"/>
    </row>
    <row r="332" ht="18.0" customHeight="1">
      <c r="A332" s="127" t="str">
        <f t="shared" si="15"/>
        <v/>
      </c>
      <c r="B332" s="128"/>
      <c r="C332" s="129"/>
      <c r="D332" s="129"/>
      <c r="E332" s="325"/>
      <c r="F332" s="131"/>
      <c r="G332" s="319"/>
      <c r="H332" s="319"/>
      <c r="I332" s="319"/>
      <c r="J332" s="132"/>
      <c r="K332" s="319"/>
      <c r="L332" s="133"/>
      <c r="M332" s="321"/>
      <c r="N332" s="322"/>
      <c r="O332" s="150"/>
      <c r="P332" s="135"/>
      <c r="Q332" s="135"/>
      <c r="R332" s="321"/>
      <c r="S332" s="322"/>
      <c r="T332" s="319"/>
      <c r="U332" s="322"/>
      <c r="V332" s="322"/>
      <c r="W332" s="322"/>
      <c r="X332" s="322"/>
      <c r="Y332" s="319"/>
      <c r="Z332" s="136" t="str">
        <f t="shared" si="16"/>
        <v/>
      </c>
      <c r="AA332" s="137" t="str">
        <f t="shared" si="17"/>
        <v/>
      </c>
      <c r="AB332" s="154" t="str">
        <f t="shared" si="18"/>
        <v/>
      </c>
      <c r="AC332" s="155"/>
      <c r="AD332" s="319"/>
      <c r="AE332" s="320"/>
    </row>
    <row r="333" ht="18.0" customHeight="1">
      <c r="A333" s="118" t="str">
        <f t="shared" si="15"/>
        <v/>
      </c>
      <c r="B333" s="109"/>
      <c r="C333" s="119"/>
      <c r="D333" s="119"/>
      <c r="E333" s="330"/>
      <c r="F333" s="121"/>
      <c r="G333" s="153"/>
      <c r="H333" s="153"/>
      <c r="I333" s="153"/>
      <c r="J333" s="112"/>
      <c r="K333" s="153"/>
      <c r="L333" s="122"/>
      <c r="M333" s="151"/>
      <c r="N333" s="152"/>
      <c r="O333" s="150"/>
      <c r="P333" s="114"/>
      <c r="Q333" s="114"/>
      <c r="R333" s="151"/>
      <c r="S333" s="152"/>
      <c r="T333" s="153"/>
      <c r="U333" s="152"/>
      <c r="V333" s="152"/>
      <c r="W333" s="152"/>
      <c r="X333" s="152"/>
      <c r="Y333" s="153"/>
      <c r="Z333" s="125" t="str">
        <f t="shared" si="16"/>
        <v/>
      </c>
      <c r="AA333" s="126" t="str">
        <f t="shared" si="17"/>
        <v/>
      </c>
      <c r="AB333" s="154" t="str">
        <f t="shared" si="18"/>
        <v/>
      </c>
      <c r="AC333" s="155"/>
      <c r="AD333" s="153"/>
      <c r="AE333" s="156"/>
    </row>
    <row r="334" ht="18.0" customHeight="1">
      <c r="A334" s="127" t="str">
        <f t="shared" si="15"/>
        <v/>
      </c>
      <c r="B334" s="128"/>
      <c r="C334" s="129"/>
      <c r="D334" s="129"/>
      <c r="E334" s="325"/>
      <c r="F334" s="131"/>
      <c r="G334" s="319"/>
      <c r="H334" s="319"/>
      <c r="I334" s="319"/>
      <c r="J334" s="132"/>
      <c r="K334" s="319"/>
      <c r="L334" s="133"/>
      <c r="M334" s="321"/>
      <c r="N334" s="322"/>
      <c r="O334" s="150"/>
      <c r="P334" s="135"/>
      <c r="Q334" s="135"/>
      <c r="R334" s="321"/>
      <c r="S334" s="322"/>
      <c r="T334" s="319"/>
      <c r="U334" s="322"/>
      <c r="V334" s="322"/>
      <c r="W334" s="322"/>
      <c r="X334" s="322"/>
      <c r="Y334" s="319"/>
      <c r="Z334" s="136" t="str">
        <f t="shared" si="16"/>
        <v/>
      </c>
      <c r="AA334" s="137" t="str">
        <f t="shared" si="17"/>
        <v/>
      </c>
      <c r="AB334" s="154" t="str">
        <f t="shared" si="18"/>
        <v/>
      </c>
      <c r="AC334" s="155"/>
      <c r="AD334" s="319"/>
      <c r="AE334" s="320"/>
    </row>
    <row r="335" ht="18.0" customHeight="1">
      <c r="A335" s="118" t="str">
        <f t="shared" si="15"/>
        <v/>
      </c>
      <c r="B335" s="109"/>
      <c r="C335" s="119"/>
      <c r="D335" s="119"/>
      <c r="E335" s="330"/>
      <c r="F335" s="121"/>
      <c r="G335" s="153"/>
      <c r="H335" s="153"/>
      <c r="I335" s="153"/>
      <c r="J335" s="112"/>
      <c r="K335" s="153"/>
      <c r="L335" s="122"/>
      <c r="M335" s="151"/>
      <c r="N335" s="152"/>
      <c r="O335" s="150"/>
      <c r="P335" s="114"/>
      <c r="Q335" s="114"/>
      <c r="R335" s="151"/>
      <c r="S335" s="152"/>
      <c r="T335" s="153"/>
      <c r="U335" s="152"/>
      <c r="V335" s="152"/>
      <c r="W335" s="152"/>
      <c r="X335" s="152"/>
      <c r="Y335" s="153"/>
      <c r="Z335" s="125" t="str">
        <f t="shared" si="16"/>
        <v/>
      </c>
      <c r="AA335" s="126" t="str">
        <f t="shared" si="17"/>
        <v/>
      </c>
      <c r="AB335" s="154" t="str">
        <f t="shared" si="18"/>
        <v/>
      </c>
      <c r="AC335" s="155"/>
      <c r="AD335" s="153"/>
      <c r="AE335" s="156"/>
    </row>
    <row r="336" ht="18.0" customHeight="1">
      <c r="A336" s="127" t="str">
        <f t="shared" si="15"/>
        <v/>
      </c>
      <c r="B336" s="128"/>
      <c r="C336" s="129"/>
      <c r="D336" s="129"/>
      <c r="E336" s="325"/>
      <c r="F336" s="131"/>
      <c r="G336" s="319"/>
      <c r="H336" s="319"/>
      <c r="I336" s="319"/>
      <c r="J336" s="132"/>
      <c r="K336" s="319"/>
      <c r="L336" s="133"/>
      <c r="M336" s="321"/>
      <c r="N336" s="322"/>
      <c r="O336" s="150"/>
      <c r="P336" s="135"/>
      <c r="Q336" s="135"/>
      <c r="R336" s="321"/>
      <c r="S336" s="322"/>
      <c r="T336" s="319"/>
      <c r="U336" s="322"/>
      <c r="V336" s="322"/>
      <c r="W336" s="322"/>
      <c r="X336" s="322"/>
      <c r="Y336" s="319"/>
      <c r="Z336" s="136" t="str">
        <f t="shared" si="16"/>
        <v/>
      </c>
      <c r="AA336" s="137" t="str">
        <f t="shared" si="17"/>
        <v/>
      </c>
      <c r="AB336" s="154" t="str">
        <f t="shared" si="18"/>
        <v/>
      </c>
      <c r="AC336" s="155"/>
      <c r="AD336" s="319"/>
      <c r="AE336" s="320"/>
    </row>
    <row r="337" ht="18.0" customHeight="1">
      <c r="A337" s="118" t="str">
        <f t="shared" si="15"/>
        <v/>
      </c>
      <c r="B337" s="109"/>
      <c r="C337" s="119"/>
      <c r="D337" s="119"/>
      <c r="E337" s="330"/>
      <c r="F337" s="121"/>
      <c r="G337" s="153"/>
      <c r="H337" s="153"/>
      <c r="I337" s="153"/>
      <c r="J337" s="112"/>
      <c r="K337" s="153"/>
      <c r="L337" s="122"/>
      <c r="M337" s="151"/>
      <c r="N337" s="152"/>
      <c r="O337" s="150"/>
      <c r="P337" s="114"/>
      <c r="Q337" s="114"/>
      <c r="R337" s="151"/>
      <c r="S337" s="152"/>
      <c r="T337" s="153"/>
      <c r="U337" s="152"/>
      <c r="V337" s="152"/>
      <c r="W337" s="152"/>
      <c r="X337" s="152"/>
      <c r="Y337" s="153"/>
      <c r="Z337" s="125" t="str">
        <f t="shared" si="16"/>
        <v/>
      </c>
      <c r="AA337" s="126" t="str">
        <f t="shared" si="17"/>
        <v/>
      </c>
      <c r="AB337" s="154" t="str">
        <f t="shared" si="18"/>
        <v/>
      </c>
      <c r="AC337" s="155"/>
      <c r="AD337" s="153"/>
      <c r="AE337" s="156"/>
    </row>
    <row r="338" ht="18.0" customHeight="1">
      <c r="A338" s="127" t="str">
        <f t="shared" si="15"/>
        <v/>
      </c>
      <c r="B338" s="128"/>
      <c r="C338" s="129"/>
      <c r="D338" s="129"/>
      <c r="E338" s="325"/>
      <c r="F338" s="131"/>
      <c r="G338" s="319"/>
      <c r="H338" s="319"/>
      <c r="I338" s="319"/>
      <c r="J338" s="132"/>
      <c r="K338" s="319"/>
      <c r="L338" s="133"/>
      <c r="M338" s="321"/>
      <c r="N338" s="322"/>
      <c r="O338" s="150"/>
      <c r="P338" s="135"/>
      <c r="Q338" s="135"/>
      <c r="R338" s="321"/>
      <c r="S338" s="322"/>
      <c r="T338" s="319"/>
      <c r="U338" s="322"/>
      <c r="V338" s="322"/>
      <c r="W338" s="322"/>
      <c r="X338" s="322"/>
      <c r="Y338" s="319"/>
      <c r="Z338" s="136" t="str">
        <f t="shared" si="16"/>
        <v/>
      </c>
      <c r="AA338" s="137" t="str">
        <f t="shared" si="17"/>
        <v/>
      </c>
      <c r="AB338" s="154" t="str">
        <f t="shared" si="18"/>
        <v/>
      </c>
      <c r="AC338" s="155"/>
      <c r="AD338" s="319"/>
      <c r="AE338" s="320"/>
    </row>
    <row r="339" ht="18.0" customHeight="1">
      <c r="A339" s="118" t="str">
        <f t="shared" si="15"/>
        <v/>
      </c>
      <c r="B339" s="109"/>
      <c r="C339" s="119"/>
      <c r="D339" s="119"/>
      <c r="E339" s="330"/>
      <c r="F339" s="121"/>
      <c r="G339" s="153"/>
      <c r="H339" s="153"/>
      <c r="I339" s="153"/>
      <c r="J339" s="112"/>
      <c r="K339" s="153"/>
      <c r="L339" s="122"/>
      <c r="M339" s="151"/>
      <c r="N339" s="152"/>
      <c r="O339" s="150"/>
      <c r="P339" s="114"/>
      <c r="Q339" s="114"/>
      <c r="R339" s="151"/>
      <c r="S339" s="152"/>
      <c r="T339" s="153"/>
      <c r="U339" s="152"/>
      <c r="V339" s="152"/>
      <c r="W339" s="152"/>
      <c r="X339" s="152"/>
      <c r="Y339" s="153"/>
      <c r="Z339" s="125" t="str">
        <f t="shared" si="16"/>
        <v/>
      </c>
      <c r="AA339" s="126" t="str">
        <f t="shared" si="17"/>
        <v/>
      </c>
      <c r="AB339" s="154" t="str">
        <f t="shared" si="18"/>
        <v/>
      </c>
      <c r="AC339" s="155"/>
      <c r="AD339" s="153"/>
      <c r="AE339" s="156"/>
    </row>
    <row r="340" ht="18.0" customHeight="1">
      <c r="A340" s="127" t="str">
        <f t="shared" si="15"/>
        <v/>
      </c>
      <c r="B340" s="128"/>
      <c r="C340" s="129"/>
      <c r="D340" s="129"/>
      <c r="E340" s="325"/>
      <c r="F340" s="131"/>
      <c r="G340" s="319"/>
      <c r="H340" s="319"/>
      <c r="I340" s="319"/>
      <c r="J340" s="132"/>
      <c r="K340" s="319"/>
      <c r="L340" s="133"/>
      <c r="M340" s="321"/>
      <c r="N340" s="322"/>
      <c r="O340" s="150"/>
      <c r="P340" s="135"/>
      <c r="Q340" s="135"/>
      <c r="R340" s="321"/>
      <c r="S340" s="322"/>
      <c r="T340" s="319"/>
      <c r="U340" s="322"/>
      <c r="V340" s="322"/>
      <c r="W340" s="322"/>
      <c r="X340" s="322"/>
      <c r="Y340" s="319"/>
      <c r="Z340" s="136" t="str">
        <f t="shared" si="16"/>
        <v/>
      </c>
      <c r="AA340" s="137" t="str">
        <f t="shared" si="17"/>
        <v/>
      </c>
      <c r="AB340" s="154" t="str">
        <f t="shared" si="18"/>
        <v/>
      </c>
      <c r="AC340" s="155"/>
      <c r="AD340" s="319"/>
      <c r="AE340" s="320"/>
    </row>
    <row r="341" ht="18.0" customHeight="1">
      <c r="A341" s="118" t="str">
        <f t="shared" si="15"/>
        <v/>
      </c>
      <c r="B341" s="109"/>
      <c r="C341" s="119"/>
      <c r="D341" s="119"/>
      <c r="E341" s="330"/>
      <c r="F341" s="121"/>
      <c r="G341" s="153"/>
      <c r="H341" s="153"/>
      <c r="I341" s="153"/>
      <c r="J341" s="112"/>
      <c r="K341" s="153"/>
      <c r="L341" s="122"/>
      <c r="M341" s="151"/>
      <c r="N341" s="152"/>
      <c r="O341" s="150"/>
      <c r="P341" s="114"/>
      <c r="Q341" s="114"/>
      <c r="R341" s="151"/>
      <c r="S341" s="152"/>
      <c r="T341" s="153"/>
      <c r="U341" s="152"/>
      <c r="V341" s="152"/>
      <c r="W341" s="152"/>
      <c r="X341" s="152"/>
      <c r="Y341" s="153"/>
      <c r="Z341" s="125" t="str">
        <f t="shared" si="16"/>
        <v/>
      </c>
      <c r="AA341" s="126" t="str">
        <f t="shared" si="17"/>
        <v/>
      </c>
      <c r="AB341" s="154" t="str">
        <f t="shared" si="18"/>
        <v/>
      </c>
      <c r="AC341" s="155"/>
      <c r="AD341" s="153"/>
      <c r="AE341" s="156"/>
    </row>
    <row r="342" ht="18.0" customHeight="1">
      <c r="A342" s="127" t="str">
        <f t="shared" si="15"/>
        <v/>
      </c>
      <c r="B342" s="128"/>
      <c r="C342" s="129"/>
      <c r="D342" s="129"/>
      <c r="E342" s="325"/>
      <c r="F342" s="131"/>
      <c r="G342" s="319"/>
      <c r="H342" s="319"/>
      <c r="I342" s="319"/>
      <c r="J342" s="132"/>
      <c r="K342" s="319"/>
      <c r="L342" s="133"/>
      <c r="M342" s="321"/>
      <c r="N342" s="322"/>
      <c r="O342" s="150"/>
      <c r="P342" s="135"/>
      <c r="Q342" s="135"/>
      <c r="R342" s="321"/>
      <c r="S342" s="322"/>
      <c r="T342" s="319"/>
      <c r="U342" s="322"/>
      <c r="V342" s="322"/>
      <c r="W342" s="322"/>
      <c r="X342" s="322"/>
      <c r="Y342" s="319"/>
      <c r="Z342" s="136" t="str">
        <f t="shared" si="16"/>
        <v/>
      </c>
      <c r="AA342" s="137" t="str">
        <f t="shared" si="17"/>
        <v/>
      </c>
      <c r="AB342" s="154" t="str">
        <f t="shared" si="18"/>
        <v/>
      </c>
      <c r="AC342" s="155"/>
      <c r="AD342" s="319"/>
      <c r="AE342" s="320"/>
    </row>
    <row r="343" ht="18.0" customHeight="1">
      <c r="A343" s="118" t="str">
        <f t="shared" si="15"/>
        <v/>
      </c>
      <c r="B343" s="109"/>
      <c r="C343" s="119"/>
      <c r="D343" s="119"/>
      <c r="E343" s="330"/>
      <c r="F343" s="121"/>
      <c r="G343" s="153"/>
      <c r="H343" s="153"/>
      <c r="I343" s="153"/>
      <c r="J343" s="112"/>
      <c r="K343" s="153"/>
      <c r="L343" s="122"/>
      <c r="M343" s="151"/>
      <c r="N343" s="152"/>
      <c r="O343" s="150"/>
      <c r="P343" s="114"/>
      <c r="Q343" s="114"/>
      <c r="R343" s="151"/>
      <c r="S343" s="152"/>
      <c r="T343" s="153"/>
      <c r="U343" s="152"/>
      <c r="V343" s="152"/>
      <c r="W343" s="152"/>
      <c r="X343" s="152"/>
      <c r="Y343" s="153"/>
      <c r="Z343" s="125" t="str">
        <f t="shared" si="16"/>
        <v/>
      </c>
      <c r="AA343" s="126" t="str">
        <f t="shared" si="17"/>
        <v/>
      </c>
      <c r="AB343" s="154" t="str">
        <f t="shared" si="18"/>
        <v/>
      </c>
      <c r="AC343" s="155"/>
      <c r="AD343" s="153"/>
      <c r="AE343" s="156"/>
    </row>
    <row r="344" ht="18.0" customHeight="1">
      <c r="A344" s="127" t="str">
        <f t="shared" si="15"/>
        <v/>
      </c>
      <c r="B344" s="128"/>
      <c r="C344" s="129"/>
      <c r="D344" s="129"/>
      <c r="E344" s="325"/>
      <c r="F344" s="131"/>
      <c r="G344" s="319"/>
      <c r="H344" s="319"/>
      <c r="I344" s="319"/>
      <c r="J344" s="132"/>
      <c r="K344" s="319"/>
      <c r="L344" s="133"/>
      <c r="M344" s="321"/>
      <c r="N344" s="322"/>
      <c r="O344" s="150"/>
      <c r="P344" s="135"/>
      <c r="Q344" s="135"/>
      <c r="R344" s="321"/>
      <c r="S344" s="322"/>
      <c r="T344" s="319"/>
      <c r="U344" s="322"/>
      <c r="V344" s="322"/>
      <c r="W344" s="322"/>
      <c r="X344" s="322"/>
      <c r="Y344" s="319"/>
      <c r="Z344" s="136" t="str">
        <f t="shared" si="16"/>
        <v/>
      </c>
      <c r="AA344" s="137" t="str">
        <f t="shared" si="17"/>
        <v/>
      </c>
      <c r="AB344" s="154" t="str">
        <f t="shared" si="18"/>
        <v/>
      </c>
      <c r="AC344" s="155"/>
      <c r="AD344" s="319"/>
      <c r="AE344" s="320"/>
    </row>
    <row r="345" ht="18.0" customHeight="1">
      <c r="A345" s="118" t="str">
        <f t="shared" si="15"/>
        <v/>
      </c>
      <c r="B345" s="109"/>
      <c r="C345" s="119"/>
      <c r="D345" s="119"/>
      <c r="E345" s="330"/>
      <c r="F345" s="121"/>
      <c r="G345" s="153"/>
      <c r="H345" s="153"/>
      <c r="I345" s="153"/>
      <c r="J345" s="112"/>
      <c r="K345" s="153"/>
      <c r="L345" s="122"/>
      <c r="M345" s="151"/>
      <c r="N345" s="152"/>
      <c r="O345" s="150"/>
      <c r="P345" s="114"/>
      <c r="Q345" s="114"/>
      <c r="R345" s="151"/>
      <c r="S345" s="152"/>
      <c r="T345" s="153"/>
      <c r="U345" s="152"/>
      <c r="V345" s="152"/>
      <c r="W345" s="152"/>
      <c r="X345" s="152"/>
      <c r="Y345" s="153"/>
      <c r="Z345" s="125" t="str">
        <f t="shared" si="16"/>
        <v/>
      </c>
      <c r="AA345" s="126" t="str">
        <f t="shared" si="17"/>
        <v/>
      </c>
      <c r="AB345" s="154" t="str">
        <f t="shared" si="18"/>
        <v/>
      </c>
      <c r="AC345" s="155"/>
      <c r="AD345" s="153"/>
      <c r="AE345" s="156"/>
    </row>
    <row r="346" ht="18.0" customHeight="1">
      <c r="A346" s="127" t="str">
        <f t="shared" si="15"/>
        <v/>
      </c>
      <c r="B346" s="128"/>
      <c r="C346" s="129"/>
      <c r="D346" s="129"/>
      <c r="E346" s="325"/>
      <c r="F346" s="131"/>
      <c r="G346" s="319"/>
      <c r="H346" s="319"/>
      <c r="I346" s="319"/>
      <c r="J346" s="132"/>
      <c r="K346" s="319"/>
      <c r="L346" s="133"/>
      <c r="M346" s="321"/>
      <c r="N346" s="322"/>
      <c r="O346" s="150"/>
      <c r="P346" s="135"/>
      <c r="Q346" s="135"/>
      <c r="R346" s="321"/>
      <c r="S346" s="322"/>
      <c r="T346" s="319"/>
      <c r="U346" s="322"/>
      <c r="V346" s="322"/>
      <c r="W346" s="322"/>
      <c r="X346" s="322"/>
      <c r="Y346" s="319"/>
      <c r="Z346" s="136" t="str">
        <f t="shared" si="16"/>
        <v/>
      </c>
      <c r="AA346" s="137" t="str">
        <f t="shared" si="17"/>
        <v/>
      </c>
      <c r="AB346" s="154" t="str">
        <f t="shared" si="18"/>
        <v/>
      </c>
      <c r="AC346" s="155"/>
      <c r="AD346" s="319"/>
      <c r="AE346" s="320"/>
    </row>
    <row r="347" ht="18.0" customHeight="1">
      <c r="A347" s="118" t="str">
        <f t="shared" si="15"/>
        <v/>
      </c>
      <c r="B347" s="109"/>
      <c r="C347" s="119"/>
      <c r="D347" s="119"/>
      <c r="E347" s="330"/>
      <c r="F347" s="121"/>
      <c r="G347" s="153"/>
      <c r="H347" s="153"/>
      <c r="I347" s="153"/>
      <c r="J347" s="112"/>
      <c r="K347" s="153"/>
      <c r="L347" s="122"/>
      <c r="M347" s="151"/>
      <c r="N347" s="152"/>
      <c r="O347" s="150"/>
      <c r="P347" s="114"/>
      <c r="Q347" s="114"/>
      <c r="R347" s="151"/>
      <c r="S347" s="152"/>
      <c r="T347" s="153"/>
      <c r="U347" s="152"/>
      <c r="V347" s="152"/>
      <c r="W347" s="152"/>
      <c r="X347" s="152"/>
      <c r="Y347" s="153"/>
      <c r="Z347" s="125" t="str">
        <f t="shared" si="16"/>
        <v/>
      </c>
      <c r="AA347" s="126" t="str">
        <f t="shared" si="17"/>
        <v/>
      </c>
      <c r="AB347" s="154" t="str">
        <f t="shared" si="18"/>
        <v/>
      </c>
      <c r="AC347" s="155"/>
      <c r="AD347" s="153"/>
      <c r="AE347" s="156"/>
    </row>
    <row r="348" ht="18.0" customHeight="1">
      <c r="A348" s="127" t="str">
        <f t="shared" si="15"/>
        <v/>
      </c>
      <c r="B348" s="128"/>
      <c r="C348" s="129"/>
      <c r="D348" s="129"/>
      <c r="E348" s="325"/>
      <c r="F348" s="131"/>
      <c r="G348" s="319"/>
      <c r="H348" s="319"/>
      <c r="I348" s="319"/>
      <c r="J348" s="132"/>
      <c r="K348" s="319"/>
      <c r="L348" s="133"/>
      <c r="M348" s="321"/>
      <c r="N348" s="322"/>
      <c r="O348" s="150"/>
      <c r="P348" s="135"/>
      <c r="Q348" s="135"/>
      <c r="R348" s="321"/>
      <c r="S348" s="322"/>
      <c r="T348" s="319"/>
      <c r="U348" s="322"/>
      <c r="V348" s="322"/>
      <c r="W348" s="322"/>
      <c r="X348" s="322"/>
      <c r="Y348" s="319"/>
      <c r="Z348" s="136" t="str">
        <f t="shared" si="16"/>
        <v/>
      </c>
      <c r="AA348" s="137" t="str">
        <f t="shared" si="17"/>
        <v/>
      </c>
      <c r="AB348" s="154" t="str">
        <f t="shared" si="18"/>
        <v/>
      </c>
      <c r="AC348" s="322"/>
      <c r="AD348" s="319"/>
      <c r="AE348" s="320"/>
    </row>
    <row r="349" ht="18.0" customHeight="1">
      <c r="A349" s="118" t="str">
        <f t="shared" si="15"/>
        <v/>
      </c>
      <c r="B349" s="109"/>
      <c r="C349" s="119"/>
      <c r="D349" s="119"/>
      <c r="E349" s="330"/>
      <c r="F349" s="121"/>
      <c r="G349" s="153"/>
      <c r="H349" s="153"/>
      <c r="I349" s="153"/>
      <c r="J349" s="112"/>
      <c r="K349" s="153"/>
      <c r="L349" s="122"/>
      <c r="M349" s="151"/>
      <c r="N349" s="152"/>
      <c r="O349" s="150"/>
      <c r="P349" s="114"/>
      <c r="Q349" s="114"/>
      <c r="R349" s="151"/>
      <c r="S349" s="152"/>
      <c r="T349" s="153"/>
      <c r="U349" s="152"/>
      <c r="V349" s="152"/>
      <c r="W349" s="152"/>
      <c r="X349" s="152"/>
      <c r="Y349" s="153"/>
      <c r="Z349" s="125" t="str">
        <f t="shared" si="16"/>
        <v/>
      </c>
      <c r="AA349" s="126" t="str">
        <f t="shared" si="17"/>
        <v/>
      </c>
      <c r="AB349" s="154" t="str">
        <f t="shared" si="18"/>
        <v/>
      </c>
      <c r="AC349" s="152"/>
      <c r="AD349" s="153"/>
      <c r="AE349" s="156"/>
    </row>
    <row r="350" ht="18.0" customHeight="1">
      <c r="A350" s="127" t="str">
        <f t="shared" si="15"/>
        <v/>
      </c>
      <c r="B350" s="128"/>
      <c r="C350" s="129"/>
      <c r="D350" s="129"/>
      <c r="E350" s="325"/>
      <c r="F350" s="131"/>
      <c r="G350" s="319"/>
      <c r="H350" s="319"/>
      <c r="I350" s="319"/>
      <c r="J350" s="132"/>
      <c r="K350" s="319"/>
      <c r="L350" s="133"/>
      <c r="M350" s="321"/>
      <c r="N350" s="322"/>
      <c r="O350" s="150"/>
      <c r="P350" s="135"/>
      <c r="Q350" s="135"/>
      <c r="R350" s="321"/>
      <c r="S350" s="322"/>
      <c r="T350" s="319"/>
      <c r="U350" s="322"/>
      <c r="V350" s="322"/>
      <c r="W350" s="322"/>
      <c r="X350" s="322"/>
      <c r="Y350" s="319"/>
      <c r="Z350" s="136" t="str">
        <f t="shared" si="16"/>
        <v/>
      </c>
      <c r="AA350" s="137" t="str">
        <f t="shared" si="17"/>
        <v/>
      </c>
      <c r="AB350" s="154" t="str">
        <f t="shared" si="18"/>
        <v/>
      </c>
      <c r="AC350" s="322"/>
      <c r="AD350" s="319"/>
      <c r="AE350" s="320"/>
    </row>
    <row r="351" ht="18.0" customHeight="1">
      <c r="A351" s="118" t="str">
        <f t="shared" si="15"/>
        <v/>
      </c>
      <c r="B351" s="109"/>
      <c r="C351" s="119"/>
      <c r="D351" s="119"/>
      <c r="E351" s="330"/>
      <c r="F351" s="121"/>
      <c r="G351" s="153"/>
      <c r="H351" s="153"/>
      <c r="I351" s="153"/>
      <c r="J351" s="112"/>
      <c r="K351" s="153"/>
      <c r="L351" s="122"/>
      <c r="M351" s="151"/>
      <c r="N351" s="152"/>
      <c r="O351" s="150"/>
      <c r="P351" s="114"/>
      <c r="Q351" s="114"/>
      <c r="R351" s="151"/>
      <c r="S351" s="152"/>
      <c r="T351" s="153"/>
      <c r="U351" s="152"/>
      <c r="V351" s="152"/>
      <c r="W351" s="152"/>
      <c r="X351" s="152"/>
      <c r="Y351" s="153"/>
      <c r="Z351" s="125" t="str">
        <f t="shared" si="16"/>
        <v/>
      </c>
      <c r="AA351" s="126" t="str">
        <f t="shared" si="17"/>
        <v/>
      </c>
      <c r="AB351" s="154" t="str">
        <f t="shared" si="18"/>
        <v/>
      </c>
      <c r="AC351" s="152"/>
      <c r="AD351" s="153"/>
      <c r="AE351" s="156"/>
    </row>
    <row r="352" ht="18.0" customHeight="1">
      <c r="A352" s="127" t="str">
        <f t="shared" si="15"/>
        <v/>
      </c>
      <c r="B352" s="128"/>
      <c r="C352" s="129"/>
      <c r="D352" s="129"/>
      <c r="E352" s="325"/>
      <c r="F352" s="131"/>
      <c r="G352" s="319"/>
      <c r="H352" s="319"/>
      <c r="I352" s="319"/>
      <c r="J352" s="132"/>
      <c r="K352" s="319"/>
      <c r="L352" s="133"/>
      <c r="M352" s="321"/>
      <c r="N352" s="322"/>
      <c r="O352" s="150"/>
      <c r="P352" s="135"/>
      <c r="Q352" s="135"/>
      <c r="R352" s="321"/>
      <c r="S352" s="322"/>
      <c r="T352" s="319"/>
      <c r="U352" s="322"/>
      <c r="V352" s="322"/>
      <c r="W352" s="322"/>
      <c r="X352" s="322"/>
      <c r="Y352" s="319"/>
      <c r="Z352" s="136" t="str">
        <f t="shared" si="16"/>
        <v/>
      </c>
      <c r="AA352" s="137" t="str">
        <f t="shared" si="17"/>
        <v/>
      </c>
      <c r="AB352" s="154" t="str">
        <f t="shared" si="18"/>
        <v/>
      </c>
      <c r="AC352" s="322"/>
      <c r="AD352" s="319"/>
      <c r="AE352" s="320"/>
    </row>
    <row r="353" ht="18.0" customHeight="1">
      <c r="A353" s="118" t="str">
        <f t="shared" si="15"/>
        <v/>
      </c>
      <c r="B353" s="109"/>
      <c r="C353" s="119"/>
      <c r="D353" s="119"/>
      <c r="E353" s="330"/>
      <c r="F353" s="121"/>
      <c r="G353" s="153"/>
      <c r="H353" s="153"/>
      <c r="I353" s="153"/>
      <c r="J353" s="112"/>
      <c r="K353" s="153"/>
      <c r="L353" s="122"/>
      <c r="M353" s="151"/>
      <c r="N353" s="152"/>
      <c r="O353" s="150"/>
      <c r="P353" s="114"/>
      <c r="Q353" s="114"/>
      <c r="R353" s="151"/>
      <c r="S353" s="152"/>
      <c r="T353" s="153"/>
      <c r="U353" s="152"/>
      <c r="V353" s="152"/>
      <c r="W353" s="152"/>
      <c r="X353" s="152"/>
      <c r="Y353" s="153"/>
      <c r="Z353" s="125" t="str">
        <f t="shared" si="16"/>
        <v/>
      </c>
      <c r="AA353" s="126" t="str">
        <f t="shared" si="17"/>
        <v/>
      </c>
      <c r="AB353" s="154" t="str">
        <f t="shared" si="18"/>
        <v/>
      </c>
      <c r="AC353" s="152"/>
      <c r="AD353" s="153"/>
      <c r="AE353" s="156"/>
    </row>
    <row r="354" ht="18.0" customHeight="1">
      <c r="A354" s="127" t="str">
        <f t="shared" si="15"/>
        <v/>
      </c>
      <c r="B354" s="128"/>
      <c r="C354" s="129"/>
      <c r="D354" s="129"/>
      <c r="E354" s="325"/>
      <c r="F354" s="131"/>
      <c r="G354" s="319"/>
      <c r="H354" s="319"/>
      <c r="I354" s="319"/>
      <c r="J354" s="132"/>
      <c r="K354" s="319"/>
      <c r="L354" s="133"/>
      <c r="M354" s="321"/>
      <c r="N354" s="322"/>
      <c r="O354" s="150"/>
      <c r="P354" s="135"/>
      <c r="Q354" s="135"/>
      <c r="R354" s="321"/>
      <c r="S354" s="322"/>
      <c r="T354" s="319"/>
      <c r="U354" s="322"/>
      <c r="V354" s="322"/>
      <c r="W354" s="322"/>
      <c r="X354" s="322"/>
      <c r="Y354" s="319"/>
      <c r="Z354" s="136" t="str">
        <f t="shared" si="16"/>
        <v/>
      </c>
      <c r="AA354" s="137" t="str">
        <f t="shared" si="17"/>
        <v/>
      </c>
      <c r="AB354" s="154" t="str">
        <f t="shared" si="18"/>
        <v/>
      </c>
      <c r="AC354" s="322"/>
      <c r="AD354" s="319"/>
      <c r="AE354" s="320"/>
    </row>
    <row r="355" ht="18.0" customHeight="1">
      <c r="A355" s="118" t="str">
        <f t="shared" si="15"/>
        <v/>
      </c>
      <c r="B355" s="109"/>
      <c r="C355" s="119"/>
      <c r="D355" s="119"/>
      <c r="E355" s="330"/>
      <c r="F355" s="121"/>
      <c r="G355" s="153"/>
      <c r="H355" s="153"/>
      <c r="I355" s="153"/>
      <c r="J355" s="112"/>
      <c r="K355" s="153"/>
      <c r="L355" s="122"/>
      <c r="M355" s="151"/>
      <c r="N355" s="152"/>
      <c r="O355" s="150"/>
      <c r="P355" s="114"/>
      <c r="Q355" s="114"/>
      <c r="R355" s="151"/>
      <c r="S355" s="152"/>
      <c r="T355" s="153"/>
      <c r="U355" s="152"/>
      <c r="V355" s="152"/>
      <c r="W355" s="152"/>
      <c r="X355" s="152"/>
      <c r="Y355" s="153"/>
      <c r="Z355" s="125" t="str">
        <f t="shared" si="16"/>
        <v/>
      </c>
      <c r="AA355" s="126" t="str">
        <f t="shared" si="17"/>
        <v/>
      </c>
      <c r="AB355" s="154" t="str">
        <f t="shared" si="18"/>
        <v/>
      </c>
      <c r="AC355" s="152"/>
      <c r="AD355" s="153"/>
      <c r="AE355" s="156"/>
    </row>
    <row r="356" ht="18.0" customHeight="1">
      <c r="A356" s="127" t="str">
        <f t="shared" si="15"/>
        <v/>
      </c>
      <c r="B356" s="128"/>
      <c r="C356" s="129"/>
      <c r="D356" s="129"/>
      <c r="E356" s="325"/>
      <c r="F356" s="131"/>
      <c r="G356" s="319"/>
      <c r="H356" s="319"/>
      <c r="I356" s="319"/>
      <c r="J356" s="132"/>
      <c r="K356" s="319"/>
      <c r="L356" s="133"/>
      <c r="M356" s="321"/>
      <c r="N356" s="322"/>
      <c r="O356" s="150"/>
      <c r="P356" s="135"/>
      <c r="Q356" s="135"/>
      <c r="R356" s="321"/>
      <c r="S356" s="322"/>
      <c r="T356" s="319"/>
      <c r="U356" s="322"/>
      <c r="V356" s="322"/>
      <c r="W356" s="322"/>
      <c r="X356" s="322"/>
      <c r="Y356" s="319"/>
      <c r="Z356" s="136" t="str">
        <f t="shared" si="16"/>
        <v/>
      </c>
      <c r="AA356" s="137" t="str">
        <f t="shared" si="17"/>
        <v/>
      </c>
      <c r="AB356" s="154" t="str">
        <f t="shared" si="18"/>
        <v/>
      </c>
      <c r="AC356" s="322"/>
      <c r="AD356" s="319"/>
      <c r="AE356" s="320"/>
    </row>
    <row r="357" ht="18.0" customHeight="1">
      <c r="A357" s="118" t="str">
        <f t="shared" si="15"/>
        <v/>
      </c>
      <c r="B357" s="109"/>
      <c r="C357" s="119"/>
      <c r="D357" s="119"/>
      <c r="E357" s="330"/>
      <c r="F357" s="121"/>
      <c r="G357" s="153"/>
      <c r="H357" s="153"/>
      <c r="I357" s="153"/>
      <c r="J357" s="112"/>
      <c r="K357" s="153"/>
      <c r="L357" s="122"/>
      <c r="M357" s="151"/>
      <c r="N357" s="152"/>
      <c r="O357" s="150"/>
      <c r="P357" s="114"/>
      <c r="Q357" s="114"/>
      <c r="R357" s="151"/>
      <c r="S357" s="152"/>
      <c r="T357" s="153"/>
      <c r="U357" s="152"/>
      <c r="V357" s="152"/>
      <c r="W357" s="152"/>
      <c r="X357" s="152"/>
      <c r="Y357" s="153"/>
      <c r="Z357" s="125" t="str">
        <f t="shared" si="16"/>
        <v/>
      </c>
      <c r="AA357" s="126" t="str">
        <f t="shared" si="17"/>
        <v/>
      </c>
      <c r="AB357" s="154" t="str">
        <f t="shared" si="18"/>
        <v/>
      </c>
      <c r="AC357" s="152"/>
      <c r="AD357" s="153"/>
      <c r="AE357" s="156"/>
    </row>
    <row r="358" ht="18.0" customHeight="1">
      <c r="A358" s="127" t="str">
        <f t="shared" si="15"/>
        <v/>
      </c>
      <c r="B358" s="128"/>
      <c r="C358" s="129"/>
      <c r="D358" s="129"/>
      <c r="E358" s="325"/>
      <c r="F358" s="131"/>
      <c r="G358" s="319"/>
      <c r="H358" s="319"/>
      <c r="I358" s="319"/>
      <c r="J358" s="132"/>
      <c r="K358" s="319"/>
      <c r="L358" s="133"/>
      <c r="M358" s="321"/>
      <c r="N358" s="322"/>
      <c r="O358" s="150"/>
      <c r="P358" s="135"/>
      <c r="Q358" s="135"/>
      <c r="R358" s="321"/>
      <c r="S358" s="322"/>
      <c r="T358" s="319"/>
      <c r="U358" s="322"/>
      <c r="V358" s="322"/>
      <c r="W358" s="322"/>
      <c r="X358" s="322"/>
      <c r="Y358" s="319"/>
      <c r="Z358" s="136" t="str">
        <f t="shared" si="16"/>
        <v/>
      </c>
      <c r="AA358" s="137" t="str">
        <f t="shared" si="17"/>
        <v/>
      </c>
      <c r="AB358" s="154" t="str">
        <f t="shared" si="18"/>
        <v/>
      </c>
      <c r="AC358" s="322"/>
      <c r="AD358" s="319"/>
      <c r="AE358" s="320"/>
    </row>
    <row r="359" ht="18.0" customHeight="1">
      <c r="A359" s="118" t="str">
        <f t="shared" si="15"/>
        <v/>
      </c>
      <c r="B359" s="109"/>
      <c r="C359" s="119"/>
      <c r="D359" s="119"/>
      <c r="E359" s="330"/>
      <c r="F359" s="121"/>
      <c r="G359" s="153"/>
      <c r="H359" s="153"/>
      <c r="I359" s="153"/>
      <c r="J359" s="112"/>
      <c r="K359" s="153"/>
      <c r="L359" s="122"/>
      <c r="M359" s="151"/>
      <c r="N359" s="152"/>
      <c r="O359" s="150"/>
      <c r="P359" s="114"/>
      <c r="Q359" s="114"/>
      <c r="R359" s="151"/>
      <c r="S359" s="152"/>
      <c r="T359" s="153"/>
      <c r="U359" s="152"/>
      <c r="V359" s="152"/>
      <c r="W359" s="152"/>
      <c r="X359" s="152"/>
      <c r="Y359" s="153"/>
      <c r="Z359" s="125" t="str">
        <f t="shared" si="16"/>
        <v/>
      </c>
      <c r="AA359" s="126" t="str">
        <f t="shared" si="17"/>
        <v/>
      </c>
      <c r="AB359" s="154" t="str">
        <f t="shared" si="18"/>
        <v/>
      </c>
      <c r="AC359" s="152"/>
      <c r="AD359" s="153"/>
      <c r="AE359" s="156"/>
    </row>
    <row r="360" ht="18.0" customHeight="1">
      <c r="A360" s="127" t="str">
        <f t="shared" si="15"/>
        <v/>
      </c>
      <c r="B360" s="128"/>
      <c r="C360" s="129"/>
      <c r="D360" s="129"/>
      <c r="E360" s="325"/>
      <c r="F360" s="131"/>
      <c r="G360" s="319"/>
      <c r="H360" s="319"/>
      <c r="I360" s="319"/>
      <c r="J360" s="132"/>
      <c r="K360" s="319"/>
      <c r="L360" s="133"/>
      <c r="M360" s="321"/>
      <c r="N360" s="322"/>
      <c r="O360" s="150"/>
      <c r="P360" s="135"/>
      <c r="Q360" s="135"/>
      <c r="R360" s="321"/>
      <c r="S360" s="322"/>
      <c r="T360" s="319"/>
      <c r="U360" s="322"/>
      <c r="V360" s="322"/>
      <c r="W360" s="322"/>
      <c r="X360" s="322"/>
      <c r="Y360" s="319"/>
      <c r="Z360" s="136" t="str">
        <f t="shared" si="16"/>
        <v/>
      </c>
      <c r="AA360" s="137" t="str">
        <f t="shared" si="17"/>
        <v/>
      </c>
      <c r="AB360" s="154" t="str">
        <f t="shared" si="18"/>
        <v/>
      </c>
      <c r="AC360" s="322"/>
      <c r="AD360" s="319"/>
      <c r="AE360" s="320"/>
    </row>
    <row r="361" ht="18.0" customHeight="1">
      <c r="A361" s="118" t="str">
        <f t="shared" si="15"/>
        <v/>
      </c>
      <c r="B361" s="109"/>
      <c r="C361" s="119"/>
      <c r="D361" s="119"/>
      <c r="E361" s="330"/>
      <c r="F361" s="121"/>
      <c r="G361" s="153"/>
      <c r="H361" s="153"/>
      <c r="I361" s="153"/>
      <c r="J361" s="112"/>
      <c r="K361" s="153"/>
      <c r="L361" s="122"/>
      <c r="M361" s="151"/>
      <c r="N361" s="152"/>
      <c r="O361" s="150"/>
      <c r="P361" s="114"/>
      <c r="Q361" s="114"/>
      <c r="R361" s="151"/>
      <c r="S361" s="152"/>
      <c r="T361" s="153"/>
      <c r="U361" s="152"/>
      <c r="V361" s="152"/>
      <c r="W361" s="152"/>
      <c r="X361" s="152"/>
      <c r="Y361" s="153"/>
      <c r="Z361" s="125" t="str">
        <f t="shared" si="16"/>
        <v/>
      </c>
      <c r="AA361" s="126" t="str">
        <f t="shared" si="17"/>
        <v/>
      </c>
      <c r="AB361" s="154" t="str">
        <f t="shared" si="18"/>
        <v/>
      </c>
      <c r="AC361" s="152"/>
      <c r="AD361" s="153"/>
      <c r="AE361" s="156"/>
    </row>
    <row r="362" ht="18.0" customHeight="1">
      <c r="A362" s="127" t="str">
        <f t="shared" si="15"/>
        <v/>
      </c>
      <c r="B362" s="128"/>
      <c r="C362" s="129"/>
      <c r="D362" s="129"/>
      <c r="E362" s="325"/>
      <c r="F362" s="131"/>
      <c r="G362" s="319"/>
      <c r="H362" s="319"/>
      <c r="I362" s="319"/>
      <c r="J362" s="132"/>
      <c r="K362" s="319"/>
      <c r="L362" s="133"/>
      <c r="M362" s="321"/>
      <c r="N362" s="322"/>
      <c r="O362" s="150"/>
      <c r="P362" s="135"/>
      <c r="Q362" s="135"/>
      <c r="R362" s="321"/>
      <c r="S362" s="322"/>
      <c r="T362" s="319"/>
      <c r="U362" s="322"/>
      <c r="V362" s="322"/>
      <c r="W362" s="322"/>
      <c r="X362" s="322"/>
      <c r="Y362" s="319"/>
      <c r="Z362" s="136" t="str">
        <f t="shared" si="16"/>
        <v/>
      </c>
      <c r="AA362" s="137" t="str">
        <f t="shared" si="17"/>
        <v/>
      </c>
      <c r="AB362" s="154" t="str">
        <f t="shared" si="18"/>
        <v/>
      </c>
      <c r="AC362" s="322"/>
      <c r="AD362" s="319"/>
      <c r="AE362" s="320"/>
    </row>
    <row r="363" ht="18.0" customHeight="1">
      <c r="A363" s="118" t="str">
        <f t="shared" si="15"/>
        <v/>
      </c>
      <c r="B363" s="109"/>
      <c r="C363" s="119"/>
      <c r="D363" s="119"/>
      <c r="E363" s="330"/>
      <c r="F363" s="121"/>
      <c r="G363" s="153"/>
      <c r="H363" s="153"/>
      <c r="I363" s="153"/>
      <c r="J363" s="112"/>
      <c r="K363" s="153"/>
      <c r="L363" s="122"/>
      <c r="M363" s="151"/>
      <c r="N363" s="152"/>
      <c r="O363" s="150"/>
      <c r="P363" s="114"/>
      <c r="Q363" s="114"/>
      <c r="R363" s="151"/>
      <c r="S363" s="152"/>
      <c r="T363" s="153"/>
      <c r="U363" s="152"/>
      <c r="V363" s="152"/>
      <c r="W363" s="152"/>
      <c r="X363" s="152"/>
      <c r="Y363" s="153"/>
      <c r="Z363" s="125" t="str">
        <f t="shared" si="16"/>
        <v/>
      </c>
      <c r="AA363" s="126" t="str">
        <f t="shared" si="17"/>
        <v/>
      </c>
      <c r="AB363" s="154" t="str">
        <f t="shared" si="18"/>
        <v/>
      </c>
      <c r="AC363" s="152"/>
      <c r="AD363" s="153"/>
      <c r="AE363" s="156"/>
    </row>
    <row r="364" ht="18.0" customHeight="1">
      <c r="A364" s="127" t="str">
        <f t="shared" si="15"/>
        <v/>
      </c>
      <c r="B364" s="128"/>
      <c r="C364" s="129"/>
      <c r="D364" s="129"/>
      <c r="E364" s="325"/>
      <c r="F364" s="131"/>
      <c r="G364" s="319"/>
      <c r="H364" s="319"/>
      <c r="I364" s="319"/>
      <c r="J364" s="132"/>
      <c r="K364" s="319"/>
      <c r="L364" s="133"/>
      <c r="M364" s="321"/>
      <c r="N364" s="322"/>
      <c r="O364" s="150"/>
      <c r="P364" s="135"/>
      <c r="Q364" s="135"/>
      <c r="R364" s="321"/>
      <c r="S364" s="322"/>
      <c r="T364" s="319"/>
      <c r="U364" s="322"/>
      <c r="V364" s="322"/>
      <c r="W364" s="322"/>
      <c r="X364" s="322"/>
      <c r="Y364" s="319"/>
      <c r="Z364" s="136" t="str">
        <f t="shared" si="16"/>
        <v/>
      </c>
      <c r="AA364" s="137" t="str">
        <f t="shared" si="17"/>
        <v/>
      </c>
      <c r="AB364" s="154" t="str">
        <f t="shared" si="18"/>
        <v/>
      </c>
      <c r="AC364" s="322"/>
      <c r="AD364" s="319"/>
      <c r="AE364" s="320"/>
    </row>
    <row r="365" ht="18.0" customHeight="1">
      <c r="A365" s="118" t="str">
        <f t="shared" si="15"/>
        <v/>
      </c>
      <c r="B365" s="109"/>
      <c r="C365" s="119"/>
      <c r="D365" s="119"/>
      <c r="E365" s="330"/>
      <c r="F365" s="121"/>
      <c r="G365" s="153"/>
      <c r="H365" s="153"/>
      <c r="I365" s="153"/>
      <c r="J365" s="112"/>
      <c r="K365" s="153"/>
      <c r="L365" s="122"/>
      <c r="M365" s="151"/>
      <c r="N365" s="152"/>
      <c r="O365" s="150"/>
      <c r="P365" s="114"/>
      <c r="Q365" s="114"/>
      <c r="R365" s="151"/>
      <c r="S365" s="152"/>
      <c r="T365" s="153"/>
      <c r="U365" s="152"/>
      <c r="V365" s="152"/>
      <c r="W365" s="152"/>
      <c r="X365" s="152"/>
      <c r="Y365" s="153"/>
      <c r="Z365" s="125" t="str">
        <f t="shared" si="16"/>
        <v/>
      </c>
      <c r="AA365" s="126" t="str">
        <f t="shared" si="17"/>
        <v/>
      </c>
      <c r="AB365" s="154" t="str">
        <f t="shared" si="18"/>
        <v/>
      </c>
      <c r="AC365" s="152"/>
      <c r="AD365" s="153"/>
      <c r="AE365" s="156"/>
    </row>
    <row r="366" ht="18.0" customHeight="1">
      <c r="A366" s="127" t="str">
        <f t="shared" si="15"/>
        <v/>
      </c>
      <c r="B366" s="128"/>
      <c r="C366" s="129"/>
      <c r="D366" s="129"/>
      <c r="E366" s="325"/>
      <c r="F366" s="131"/>
      <c r="G366" s="319"/>
      <c r="H366" s="319"/>
      <c r="I366" s="319"/>
      <c r="J366" s="132"/>
      <c r="K366" s="319"/>
      <c r="L366" s="135"/>
      <c r="M366" s="321"/>
      <c r="N366" s="322"/>
      <c r="O366" s="150"/>
      <c r="P366" s="135"/>
      <c r="Q366" s="135"/>
      <c r="R366" s="321"/>
      <c r="S366" s="322"/>
      <c r="T366" s="319"/>
      <c r="U366" s="322"/>
      <c r="V366" s="322"/>
      <c r="W366" s="322"/>
      <c r="X366" s="322"/>
      <c r="Y366" s="319"/>
      <c r="Z366" s="136" t="str">
        <f t="shared" si="16"/>
        <v/>
      </c>
      <c r="AA366" s="137" t="str">
        <f t="shared" si="17"/>
        <v/>
      </c>
      <c r="AB366" s="154" t="str">
        <f t="shared" si="18"/>
        <v/>
      </c>
      <c r="AC366" s="322"/>
      <c r="AD366" s="319"/>
      <c r="AE366" s="320"/>
    </row>
    <row r="367" ht="18.0" customHeight="1">
      <c r="A367" s="118" t="str">
        <f t="shared" si="15"/>
        <v/>
      </c>
      <c r="B367" s="109"/>
      <c r="C367" s="119"/>
      <c r="D367" s="119"/>
      <c r="E367" s="330"/>
      <c r="F367" s="121"/>
      <c r="G367" s="153"/>
      <c r="H367" s="153"/>
      <c r="I367" s="153"/>
      <c r="J367" s="112"/>
      <c r="K367" s="153"/>
      <c r="L367" s="114"/>
      <c r="M367" s="151"/>
      <c r="N367" s="152"/>
      <c r="O367" s="150"/>
      <c r="P367" s="114"/>
      <c r="Q367" s="114"/>
      <c r="R367" s="151"/>
      <c r="S367" s="152"/>
      <c r="T367" s="153"/>
      <c r="U367" s="152"/>
      <c r="V367" s="152"/>
      <c r="W367" s="152"/>
      <c r="X367" s="152"/>
      <c r="Y367" s="153"/>
      <c r="Z367" s="125" t="str">
        <f t="shared" si="16"/>
        <v/>
      </c>
      <c r="AA367" s="126" t="str">
        <f t="shared" si="17"/>
        <v/>
      </c>
      <c r="AB367" s="154" t="str">
        <f t="shared" si="18"/>
        <v/>
      </c>
      <c r="AC367" s="152"/>
      <c r="AD367" s="153"/>
      <c r="AE367" s="156"/>
    </row>
    <row r="368" ht="18.0" customHeight="1">
      <c r="A368" s="127" t="str">
        <f t="shared" si="15"/>
        <v/>
      </c>
      <c r="B368" s="128"/>
      <c r="C368" s="129"/>
      <c r="D368" s="129"/>
      <c r="E368" s="325"/>
      <c r="F368" s="131"/>
      <c r="G368" s="319"/>
      <c r="H368" s="319"/>
      <c r="I368" s="319"/>
      <c r="J368" s="132"/>
      <c r="K368" s="319"/>
      <c r="L368" s="135"/>
      <c r="M368" s="321"/>
      <c r="N368" s="322"/>
      <c r="O368" s="150"/>
      <c r="P368" s="135"/>
      <c r="Q368" s="135"/>
      <c r="R368" s="321"/>
      <c r="S368" s="322"/>
      <c r="T368" s="319"/>
      <c r="U368" s="322"/>
      <c r="V368" s="322"/>
      <c r="W368" s="322"/>
      <c r="X368" s="322"/>
      <c r="Y368" s="319"/>
      <c r="Z368" s="136" t="str">
        <f t="shared" si="16"/>
        <v/>
      </c>
      <c r="AA368" s="137" t="str">
        <f t="shared" si="17"/>
        <v/>
      </c>
      <c r="AB368" s="154" t="str">
        <f t="shared" si="18"/>
        <v/>
      </c>
      <c r="AC368" s="322"/>
      <c r="AD368" s="319"/>
      <c r="AE368" s="320"/>
    </row>
    <row r="369" ht="18.0" customHeight="1">
      <c r="A369" s="118" t="str">
        <f t="shared" si="15"/>
        <v/>
      </c>
      <c r="B369" s="109"/>
      <c r="C369" s="119"/>
      <c r="D369" s="119"/>
      <c r="E369" s="330"/>
      <c r="F369" s="121"/>
      <c r="G369" s="153"/>
      <c r="H369" s="153"/>
      <c r="I369" s="153"/>
      <c r="J369" s="112"/>
      <c r="K369" s="153"/>
      <c r="L369" s="114"/>
      <c r="M369" s="151"/>
      <c r="N369" s="152"/>
      <c r="O369" s="150"/>
      <c r="P369" s="114"/>
      <c r="Q369" s="114"/>
      <c r="R369" s="151"/>
      <c r="S369" s="152"/>
      <c r="T369" s="153"/>
      <c r="U369" s="152"/>
      <c r="V369" s="152"/>
      <c r="W369" s="152"/>
      <c r="X369" s="152"/>
      <c r="Y369" s="153"/>
      <c r="Z369" s="125" t="str">
        <f t="shared" si="16"/>
        <v/>
      </c>
      <c r="AA369" s="126" t="str">
        <f t="shared" si="17"/>
        <v/>
      </c>
      <c r="AB369" s="154" t="str">
        <f t="shared" si="18"/>
        <v/>
      </c>
      <c r="AC369" s="152"/>
      <c r="AD369" s="153"/>
      <c r="AE369" s="156"/>
    </row>
    <row r="370" ht="18.0" customHeight="1">
      <c r="A370" s="127" t="str">
        <f t="shared" si="15"/>
        <v/>
      </c>
      <c r="B370" s="128"/>
      <c r="C370" s="129"/>
      <c r="D370" s="129"/>
      <c r="E370" s="325"/>
      <c r="F370" s="131"/>
      <c r="G370" s="319"/>
      <c r="H370" s="319"/>
      <c r="I370" s="319"/>
      <c r="J370" s="132"/>
      <c r="K370" s="319"/>
      <c r="L370" s="135"/>
      <c r="M370" s="321"/>
      <c r="N370" s="322"/>
      <c r="O370" s="150"/>
      <c r="P370" s="135"/>
      <c r="Q370" s="135"/>
      <c r="R370" s="321"/>
      <c r="S370" s="322"/>
      <c r="T370" s="319"/>
      <c r="U370" s="322"/>
      <c r="V370" s="322"/>
      <c r="W370" s="322"/>
      <c r="X370" s="322"/>
      <c r="Y370" s="319"/>
      <c r="Z370" s="136" t="str">
        <f t="shared" si="16"/>
        <v/>
      </c>
      <c r="AA370" s="137" t="str">
        <f t="shared" si="17"/>
        <v/>
      </c>
      <c r="AB370" s="154" t="str">
        <f t="shared" si="18"/>
        <v/>
      </c>
      <c r="AC370" s="322"/>
      <c r="AD370" s="319"/>
      <c r="AE370" s="320"/>
    </row>
    <row r="371" ht="18.0" customHeight="1">
      <c r="A371" s="118" t="str">
        <f t="shared" si="15"/>
        <v/>
      </c>
      <c r="B371" s="109"/>
      <c r="C371" s="119"/>
      <c r="D371" s="119"/>
      <c r="E371" s="330"/>
      <c r="F371" s="121"/>
      <c r="G371" s="153"/>
      <c r="H371" s="153"/>
      <c r="I371" s="153"/>
      <c r="J371" s="112"/>
      <c r="K371" s="153"/>
      <c r="L371" s="114"/>
      <c r="M371" s="151"/>
      <c r="N371" s="152"/>
      <c r="O371" s="150"/>
      <c r="P371" s="114"/>
      <c r="Q371" s="114"/>
      <c r="R371" s="151"/>
      <c r="S371" s="152"/>
      <c r="T371" s="153"/>
      <c r="U371" s="152"/>
      <c r="V371" s="152"/>
      <c r="W371" s="152"/>
      <c r="X371" s="152"/>
      <c r="Y371" s="153"/>
      <c r="Z371" s="125" t="str">
        <f t="shared" si="16"/>
        <v/>
      </c>
      <c r="AA371" s="126" t="str">
        <f t="shared" si="17"/>
        <v/>
      </c>
      <c r="AB371" s="154" t="str">
        <f t="shared" si="18"/>
        <v/>
      </c>
      <c r="AC371" s="152"/>
      <c r="AD371" s="153"/>
      <c r="AE371" s="156"/>
    </row>
    <row r="372" ht="18.0" customHeight="1">
      <c r="A372" s="127" t="str">
        <f t="shared" si="15"/>
        <v/>
      </c>
      <c r="B372" s="128"/>
      <c r="C372" s="129"/>
      <c r="D372" s="129"/>
      <c r="E372" s="325"/>
      <c r="F372" s="131"/>
      <c r="G372" s="319"/>
      <c r="H372" s="319"/>
      <c r="I372" s="319"/>
      <c r="J372" s="132"/>
      <c r="K372" s="319"/>
      <c r="L372" s="135"/>
      <c r="M372" s="321"/>
      <c r="N372" s="322"/>
      <c r="O372" s="150"/>
      <c r="P372" s="135"/>
      <c r="Q372" s="135"/>
      <c r="R372" s="321"/>
      <c r="S372" s="322"/>
      <c r="T372" s="319"/>
      <c r="U372" s="322"/>
      <c r="V372" s="322"/>
      <c r="W372" s="322"/>
      <c r="X372" s="322"/>
      <c r="Y372" s="319"/>
      <c r="Z372" s="136" t="str">
        <f t="shared" si="16"/>
        <v/>
      </c>
      <c r="AA372" s="137" t="str">
        <f t="shared" si="17"/>
        <v/>
      </c>
      <c r="AB372" s="154" t="str">
        <f t="shared" si="18"/>
        <v/>
      </c>
      <c r="AC372" s="322"/>
      <c r="AD372" s="319"/>
      <c r="AE372" s="320"/>
    </row>
    <row r="373" ht="18.0" customHeight="1">
      <c r="A373" s="118" t="str">
        <f t="shared" si="15"/>
        <v/>
      </c>
      <c r="B373" s="109"/>
      <c r="C373" s="119"/>
      <c r="D373" s="119"/>
      <c r="E373" s="330"/>
      <c r="F373" s="121"/>
      <c r="G373" s="153"/>
      <c r="H373" s="153"/>
      <c r="I373" s="153"/>
      <c r="J373" s="112"/>
      <c r="K373" s="153"/>
      <c r="L373" s="114"/>
      <c r="M373" s="151"/>
      <c r="N373" s="152"/>
      <c r="O373" s="150"/>
      <c r="P373" s="114"/>
      <c r="Q373" s="114"/>
      <c r="R373" s="151"/>
      <c r="S373" s="152"/>
      <c r="T373" s="153"/>
      <c r="U373" s="152"/>
      <c r="V373" s="152"/>
      <c r="W373" s="152"/>
      <c r="X373" s="152"/>
      <c r="Y373" s="153"/>
      <c r="Z373" s="125" t="str">
        <f t="shared" si="16"/>
        <v/>
      </c>
      <c r="AA373" s="126" t="str">
        <f t="shared" si="17"/>
        <v/>
      </c>
      <c r="AB373" s="154" t="str">
        <f t="shared" si="18"/>
        <v/>
      </c>
      <c r="AC373" s="152"/>
      <c r="AD373" s="153"/>
      <c r="AE373" s="156"/>
    </row>
    <row r="374" ht="18.0" customHeight="1">
      <c r="A374" s="127" t="str">
        <f t="shared" si="15"/>
        <v/>
      </c>
      <c r="B374" s="128"/>
      <c r="C374" s="129"/>
      <c r="D374" s="129"/>
      <c r="E374" s="325"/>
      <c r="F374" s="131"/>
      <c r="G374" s="319"/>
      <c r="H374" s="319"/>
      <c r="I374" s="319"/>
      <c r="J374" s="132"/>
      <c r="K374" s="319"/>
      <c r="L374" s="135"/>
      <c r="M374" s="321"/>
      <c r="N374" s="322"/>
      <c r="O374" s="150"/>
      <c r="P374" s="135"/>
      <c r="Q374" s="135"/>
      <c r="R374" s="321"/>
      <c r="S374" s="322"/>
      <c r="T374" s="319"/>
      <c r="U374" s="322"/>
      <c r="V374" s="322"/>
      <c r="W374" s="322"/>
      <c r="X374" s="322"/>
      <c r="Y374" s="319"/>
      <c r="Z374" s="136" t="str">
        <f t="shared" si="16"/>
        <v/>
      </c>
      <c r="AA374" s="137" t="str">
        <f t="shared" si="17"/>
        <v/>
      </c>
      <c r="AB374" s="154" t="str">
        <f t="shared" si="18"/>
        <v/>
      </c>
      <c r="AC374" s="322"/>
      <c r="AD374" s="319"/>
      <c r="AE374" s="320"/>
    </row>
    <row r="375" ht="18.0" customHeight="1">
      <c r="A375" s="118" t="str">
        <f t="shared" si="15"/>
        <v/>
      </c>
      <c r="B375" s="109"/>
      <c r="C375" s="119"/>
      <c r="D375" s="119"/>
      <c r="E375" s="330"/>
      <c r="F375" s="121"/>
      <c r="G375" s="153"/>
      <c r="H375" s="153"/>
      <c r="I375" s="153"/>
      <c r="J375" s="112"/>
      <c r="K375" s="153"/>
      <c r="L375" s="114"/>
      <c r="M375" s="151"/>
      <c r="N375" s="152"/>
      <c r="O375" s="150"/>
      <c r="P375" s="114"/>
      <c r="Q375" s="114"/>
      <c r="R375" s="151"/>
      <c r="S375" s="152"/>
      <c r="T375" s="153"/>
      <c r="U375" s="152"/>
      <c r="V375" s="152"/>
      <c r="W375" s="152"/>
      <c r="X375" s="152"/>
      <c r="Y375" s="153"/>
      <c r="Z375" s="125" t="str">
        <f t="shared" si="16"/>
        <v/>
      </c>
      <c r="AA375" s="126" t="str">
        <f t="shared" si="17"/>
        <v/>
      </c>
      <c r="AB375" s="154" t="str">
        <f t="shared" si="18"/>
        <v/>
      </c>
      <c r="AC375" s="152"/>
      <c r="AD375" s="153"/>
      <c r="AE375" s="156"/>
    </row>
    <row r="376" ht="18.0" customHeight="1">
      <c r="A376" s="127" t="str">
        <f t="shared" si="15"/>
        <v/>
      </c>
      <c r="B376" s="128"/>
      <c r="C376" s="129"/>
      <c r="D376" s="129"/>
      <c r="E376" s="325"/>
      <c r="F376" s="131"/>
      <c r="G376" s="319"/>
      <c r="H376" s="319"/>
      <c r="I376" s="319"/>
      <c r="J376" s="132"/>
      <c r="K376" s="319"/>
      <c r="L376" s="135"/>
      <c r="M376" s="321"/>
      <c r="N376" s="322"/>
      <c r="O376" s="150"/>
      <c r="P376" s="135"/>
      <c r="Q376" s="135"/>
      <c r="R376" s="321"/>
      <c r="S376" s="322"/>
      <c r="T376" s="319"/>
      <c r="U376" s="322"/>
      <c r="V376" s="322"/>
      <c r="W376" s="322"/>
      <c r="X376" s="322"/>
      <c r="Y376" s="319"/>
      <c r="Z376" s="136" t="str">
        <f t="shared" si="16"/>
        <v/>
      </c>
      <c r="AA376" s="137" t="str">
        <f t="shared" si="17"/>
        <v/>
      </c>
      <c r="AB376" s="154" t="str">
        <f t="shared" si="18"/>
        <v/>
      </c>
      <c r="AC376" s="322"/>
      <c r="AD376" s="319"/>
      <c r="AE376" s="320"/>
    </row>
    <row r="377" ht="18.0" customHeight="1">
      <c r="A377" s="118" t="str">
        <f t="shared" si="15"/>
        <v/>
      </c>
      <c r="B377" s="109"/>
      <c r="C377" s="119"/>
      <c r="D377" s="119"/>
      <c r="E377" s="330"/>
      <c r="F377" s="121"/>
      <c r="G377" s="153"/>
      <c r="H377" s="153"/>
      <c r="I377" s="153"/>
      <c r="J377" s="112"/>
      <c r="K377" s="153"/>
      <c r="L377" s="114"/>
      <c r="M377" s="151"/>
      <c r="N377" s="152"/>
      <c r="O377" s="150"/>
      <c r="P377" s="114"/>
      <c r="Q377" s="114"/>
      <c r="R377" s="151"/>
      <c r="S377" s="152"/>
      <c r="T377" s="153"/>
      <c r="U377" s="152"/>
      <c r="V377" s="152"/>
      <c r="W377" s="152"/>
      <c r="X377" s="152"/>
      <c r="Y377" s="153"/>
      <c r="Z377" s="125" t="str">
        <f t="shared" si="16"/>
        <v/>
      </c>
      <c r="AA377" s="126" t="str">
        <f t="shared" si="17"/>
        <v/>
      </c>
      <c r="AB377" s="154" t="str">
        <f t="shared" si="18"/>
        <v/>
      </c>
      <c r="AC377" s="152"/>
      <c r="AD377" s="153"/>
      <c r="AE377" s="156"/>
    </row>
    <row r="378" ht="18.0" customHeight="1">
      <c r="A378" s="127" t="str">
        <f t="shared" si="15"/>
        <v/>
      </c>
      <c r="B378" s="128"/>
      <c r="C378" s="129"/>
      <c r="D378" s="129"/>
      <c r="E378" s="325"/>
      <c r="F378" s="131"/>
      <c r="G378" s="319"/>
      <c r="H378" s="319"/>
      <c r="I378" s="319"/>
      <c r="J378" s="132"/>
      <c r="K378" s="319"/>
      <c r="L378" s="135"/>
      <c r="M378" s="321"/>
      <c r="N378" s="322"/>
      <c r="O378" s="150"/>
      <c r="P378" s="135"/>
      <c r="Q378" s="135"/>
      <c r="R378" s="321"/>
      <c r="S378" s="322"/>
      <c r="T378" s="319"/>
      <c r="U378" s="322"/>
      <c r="V378" s="322"/>
      <c r="W378" s="322"/>
      <c r="X378" s="322"/>
      <c r="Y378" s="319"/>
      <c r="Z378" s="136" t="str">
        <f t="shared" si="16"/>
        <v/>
      </c>
      <c r="AA378" s="137" t="str">
        <f t="shared" si="17"/>
        <v/>
      </c>
      <c r="AB378" s="154" t="str">
        <f t="shared" si="18"/>
        <v/>
      </c>
      <c r="AC378" s="322"/>
      <c r="AD378" s="319"/>
      <c r="AE378" s="320"/>
    </row>
    <row r="379" ht="18.0" customHeight="1">
      <c r="A379" s="118" t="str">
        <f t="shared" si="15"/>
        <v/>
      </c>
      <c r="B379" s="109"/>
      <c r="C379" s="119"/>
      <c r="D379" s="119"/>
      <c r="E379" s="330"/>
      <c r="F379" s="121"/>
      <c r="G379" s="153"/>
      <c r="H379" s="153"/>
      <c r="I379" s="153"/>
      <c r="J379" s="112"/>
      <c r="K379" s="153"/>
      <c r="L379" s="114"/>
      <c r="M379" s="151"/>
      <c r="N379" s="152"/>
      <c r="O379" s="150"/>
      <c r="P379" s="114"/>
      <c r="Q379" s="114"/>
      <c r="R379" s="151"/>
      <c r="S379" s="152"/>
      <c r="T379" s="153"/>
      <c r="U379" s="152"/>
      <c r="V379" s="152"/>
      <c r="W379" s="152"/>
      <c r="X379" s="152"/>
      <c r="Y379" s="153"/>
      <c r="Z379" s="125" t="str">
        <f t="shared" si="16"/>
        <v/>
      </c>
      <c r="AA379" s="126" t="str">
        <f t="shared" si="17"/>
        <v/>
      </c>
      <c r="AB379" s="154" t="str">
        <f t="shared" si="18"/>
        <v/>
      </c>
      <c r="AC379" s="152"/>
      <c r="AD379" s="153"/>
      <c r="AE379" s="156"/>
    </row>
    <row r="380" ht="18.0" customHeight="1">
      <c r="A380" s="127" t="str">
        <f t="shared" si="15"/>
        <v/>
      </c>
      <c r="B380" s="128"/>
      <c r="C380" s="129"/>
      <c r="D380" s="129"/>
      <c r="E380" s="325"/>
      <c r="F380" s="131"/>
      <c r="G380" s="319"/>
      <c r="H380" s="319"/>
      <c r="I380" s="319"/>
      <c r="J380" s="132"/>
      <c r="K380" s="319"/>
      <c r="L380" s="135"/>
      <c r="M380" s="321"/>
      <c r="N380" s="322"/>
      <c r="O380" s="150"/>
      <c r="P380" s="135"/>
      <c r="Q380" s="135"/>
      <c r="R380" s="321"/>
      <c r="S380" s="322"/>
      <c r="T380" s="319"/>
      <c r="U380" s="322"/>
      <c r="V380" s="322"/>
      <c r="W380" s="322"/>
      <c r="X380" s="322"/>
      <c r="Y380" s="319"/>
      <c r="Z380" s="136" t="str">
        <f t="shared" si="16"/>
        <v/>
      </c>
      <c r="AA380" s="137" t="str">
        <f t="shared" si="17"/>
        <v/>
      </c>
      <c r="AB380" s="154" t="str">
        <f t="shared" si="18"/>
        <v/>
      </c>
      <c r="AC380" s="322"/>
      <c r="AD380" s="319"/>
      <c r="AE380" s="320"/>
    </row>
    <row r="381" ht="18.0" customHeight="1">
      <c r="A381" s="118" t="str">
        <f t="shared" si="15"/>
        <v/>
      </c>
      <c r="B381" s="109"/>
      <c r="C381" s="119"/>
      <c r="D381" s="119"/>
      <c r="E381" s="330"/>
      <c r="F381" s="121"/>
      <c r="G381" s="153"/>
      <c r="H381" s="153"/>
      <c r="I381" s="153"/>
      <c r="J381" s="112"/>
      <c r="K381" s="153"/>
      <c r="L381" s="114"/>
      <c r="M381" s="151"/>
      <c r="N381" s="152"/>
      <c r="O381" s="150"/>
      <c r="P381" s="114"/>
      <c r="Q381" s="114"/>
      <c r="R381" s="151"/>
      <c r="S381" s="152"/>
      <c r="T381" s="153"/>
      <c r="U381" s="152"/>
      <c r="V381" s="152"/>
      <c r="W381" s="152"/>
      <c r="X381" s="152"/>
      <c r="Y381" s="153"/>
      <c r="Z381" s="125" t="str">
        <f t="shared" si="16"/>
        <v/>
      </c>
      <c r="AA381" s="126" t="str">
        <f t="shared" si="17"/>
        <v/>
      </c>
      <c r="AB381" s="154" t="str">
        <f t="shared" si="18"/>
        <v/>
      </c>
      <c r="AC381" s="152"/>
      <c r="AD381" s="153"/>
      <c r="AE381" s="156"/>
    </row>
    <row r="382" ht="18.0" customHeight="1">
      <c r="A382" s="127" t="str">
        <f t="shared" si="15"/>
        <v/>
      </c>
      <c r="B382" s="128"/>
      <c r="C382" s="129"/>
      <c r="D382" s="129"/>
      <c r="E382" s="325"/>
      <c r="F382" s="131"/>
      <c r="G382" s="319"/>
      <c r="H382" s="319"/>
      <c r="I382" s="319"/>
      <c r="J382" s="132"/>
      <c r="K382" s="319"/>
      <c r="L382" s="135"/>
      <c r="M382" s="321"/>
      <c r="N382" s="322"/>
      <c r="O382" s="150"/>
      <c r="P382" s="135"/>
      <c r="Q382" s="135"/>
      <c r="R382" s="321"/>
      <c r="S382" s="322"/>
      <c r="T382" s="319"/>
      <c r="U382" s="322"/>
      <c r="V382" s="322"/>
      <c r="W382" s="322"/>
      <c r="X382" s="322"/>
      <c r="Y382" s="319"/>
      <c r="Z382" s="136" t="str">
        <f t="shared" si="16"/>
        <v/>
      </c>
      <c r="AA382" s="137" t="str">
        <f t="shared" si="17"/>
        <v/>
      </c>
      <c r="AB382" s="154" t="str">
        <f t="shared" si="18"/>
        <v/>
      </c>
      <c r="AC382" s="322"/>
      <c r="AD382" s="319"/>
      <c r="AE382" s="320"/>
    </row>
    <row r="383" ht="18.0" customHeight="1">
      <c r="A383" s="118" t="str">
        <f t="shared" si="15"/>
        <v/>
      </c>
      <c r="B383" s="109"/>
      <c r="C383" s="119"/>
      <c r="D383" s="119"/>
      <c r="E383" s="330"/>
      <c r="F383" s="121"/>
      <c r="G383" s="153"/>
      <c r="H383" s="153"/>
      <c r="I383" s="153"/>
      <c r="J383" s="112"/>
      <c r="K383" s="153"/>
      <c r="L383" s="114"/>
      <c r="M383" s="151"/>
      <c r="N383" s="152"/>
      <c r="O383" s="150"/>
      <c r="P383" s="114"/>
      <c r="Q383" s="114"/>
      <c r="R383" s="151"/>
      <c r="S383" s="152"/>
      <c r="T383" s="153"/>
      <c r="U383" s="152"/>
      <c r="V383" s="152"/>
      <c r="W383" s="152"/>
      <c r="X383" s="152"/>
      <c r="Y383" s="153"/>
      <c r="Z383" s="125" t="str">
        <f t="shared" si="16"/>
        <v/>
      </c>
      <c r="AA383" s="126" t="str">
        <f t="shared" si="17"/>
        <v/>
      </c>
      <c r="AB383" s="154" t="str">
        <f t="shared" si="18"/>
        <v/>
      </c>
      <c r="AC383" s="152"/>
      <c r="AD383" s="153"/>
      <c r="AE383" s="156"/>
    </row>
    <row r="384" ht="18.0" customHeight="1">
      <c r="A384" s="127" t="str">
        <f t="shared" si="15"/>
        <v/>
      </c>
      <c r="B384" s="128"/>
      <c r="C384" s="129"/>
      <c r="D384" s="129"/>
      <c r="E384" s="325"/>
      <c r="F384" s="131"/>
      <c r="G384" s="319"/>
      <c r="H384" s="319"/>
      <c r="I384" s="319"/>
      <c r="J384" s="132"/>
      <c r="K384" s="319"/>
      <c r="L384" s="135"/>
      <c r="M384" s="321"/>
      <c r="N384" s="322"/>
      <c r="O384" s="150"/>
      <c r="P384" s="135"/>
      <c r="Q384" s="135"/>
      <c r="R384" s="321"/>
      <c r="S384" s="322"/>
      <c r="T384" s="319"/>
      <c r="U384" s="322"/>
      <c r="V384" s="322"/>
      <c r="W384" s="322"/>
      <c r="X384" s="322"/>
      <c r="Y384" s="319"/>
      <c r="Z384" s="136" t="str">
        <f t="shared" si="16"/>
        <v/>
      </c>
      <c r="AA384" s="137" t="str">
        <f t="shared" si="17"/>
        <v/>
      </c>
      <c r="AB384" s="154" t="str">
        <f t="shared" si="18"/>
        <v/>
      </c>
      <c r="AC384" s="322"/>
      <c r="AD384" s="319"/>
      <c r="AE384" s="320"/>
    </row>
    <row r="385" ht="18.0" customHeight="1">
      <c r="A385" s="118" t="str">
        <f t="shared" si="15"/>
        <v/>
      </c>
      <c r="B385" s="109"/>
      <c r="C385" s="119"/>
      <c r="D385" s="119"/>
      <c r="E385" s="330"/>
      <c r="F385" s="121"/>
      <c r="G385" s="153"/>
      <c r="H385" s="153"/>
      <c r="I385" s="153"/>
      <c r="J385" s="112"/>
      <c r="K385" s="153"/>
      <c r="L385" s="114"/>
      <c r="M385" s="151"/>
      <c r="N385" s="152"/>
      <c r="O385" s="150"/>
      <c r="P385" s="114"/>
      <c r="Q385" s="114"/>
      <c r="R385" s="151"/>
      <c r="S385" s="152"/>
      <c r="T385" s="153"/>
      <c r="U385" s="152"/>
      <c r="V385" s="152"/>
      <c r="W385" s="152"/>
      <c r="X385" s="152"/>
      <c r="Y385" s="153"/>
      <c r="Z385" s="125" t="str">
        <f t="shared" si="16"/>
        <v/>
      </c>
      <c r="AA385" s="126" t="str">
        <f t="shared" si="17"/>
        <v/>
      </c>
      <c r="AB385" s="154" t="str">
        <f t="shared" si="18"/>
        <v/>
      </c>
      <c r="AC385" s="152"/>
      <c r="AD385" s="153"/>
      <c r="AE385" s="156"/>
    </row>
    <row r="386" ht="18.0" customHeight="1">
      <c r="A386" s="127" t="str">
        <f t="shared" si="15"/>
        <v/>
      </c>
      <c r="B386" s="128"/>
      <c r="C386" s="129"/>
      <c r="D386" s="129"/>
      <c r="E386" s="325"/>
      <c r="F386" s="131"/>
      <c r="G386" s="319"/>
      <c r="H386" s="319"/>
      <c r="I386" s="319"/>
      <c r="J386" s="132"/>
      <c r="K386" s="319"/>
      <c r="L386" s="135"/>
      <c r="M386" s="321"/>
      <c r="N386" s="322"/>
      <c r="O386" s="150"/>
      <c r="P386" s="135"/>
      <c r="Q386" s="135"/>
      <c r="R386" s="321"/>
      <c r="S386" s="322"/>
      <c r="T386" s="319"/>
      <c r="U386" s="322"/>
      <c r="V386" s="322"/>
      <c r="W386" s="322"/>
      <c r="X386" s="322"/>
      <c r="Y386" s="319"/>
      <c r="Z386" s="136" t="str">
        <f t="shared" si="16"/>
        <v/>
      </c>
      <c r="AA386" s="137" t="str">
        <f t="shared" si="17"/>
        <v/>
      </c>
      <c r="AB386" s="154" t="str">
        <f t="shared" si="18"/>
        <v/>
      </c>
      <c r="AC386" s="322"/>
      <c r="AD386" s="319"/>
      <c r="AE386" s="320"/>
    </row>
    <row r="387" ht="18.0" customHeight="1">
      <c r="A387" s="118" t="str">
        <f t="shared" si="15"/>
        <v/>
      </c>
      <c r="B387" s="109"/>
      <c r="C387" s="119"/>
      <c r="D387" s="119"/>
      <c r="E387" s="330"/>
      <c r="F387" s="121"/>
      <c r="G387" s="153"/>
      <c r="H387" s="153"/>
      <c r="I387" s="153"/>
      <c r="J387" s="112"/>
      <c r="K387" s="153"/>
      <c r="L387" s="114"/>
      <c r="M387" s="151"/>
      <c r="N387" s="152"/>
      <c r="O387" s="150"/>
      <c r="P387" s="114"/>
      <c r="Q387" s="114"/>
      <c r="R387" s="151"/>
      <c r="S387" s="152"/>
      <c r="T387" s="153"/>
      <c r="U387" s="152"/>
      <c r="V387" s="152"/>
      <c r="W387" s="152"/>
      <c r="X387" s="152"/>
      <c r="Y387" s="153"/>
      <c r="Z387" s="125" t="str">
        <f t="shared" si="16"/>
        <v/>
      </c>
      <c r="AA387" s="126" t="str">
        <f t="shared" si="17"/>
        <v/>
      </c>
      <c r="AB387" s="154" t="str">
        <f t="shared" si="18"/>
        <v/>
      </c>
      <c r="AC387" s="152"/>
      <c r="AD387" s="153"/>
      <c r="AE387" s="156"/>
    </row>
    <row r="388" ht="18.0" customHeight="1">
      <c r="A388" s="127" t="str">
        <f t="shared" si="15"/>
        <v/>
      </c>
      <c r="B388" s="128"/>
      <c r="C388" s="129"/>
      <c r="D388" s="129"/>
      <c r="E388" s="325"/>
      <c r="F388" s="131"/>
      <c r="G388" s="319"/>
      <c r="H388" s="319"/>
      <c r="I388" s="319"/>
      <c r="J388" s="132"/>
      <c r="K388" s="319"/>
      <c r="L388" s="135"/>
      <c r="M388" s="321"/>
      <c r="N388" s="322"/>
      <c r="O388" s="150"/>
      <c r="P388" s="135"/>
      <c r="Q388" s="135"/>
      <c r="R388" s="321"/>
      <c r="S388" s="322"/>
      <c r="T388" s="319"/>
      <c r="U388" s="322"/>
      <c r="V388" s="322"/>
      <c r="W388" s="322"/>
      <c r="X388" s="322"/>
      <c r="Y388" s="319"/>
      <c r="Z388" s="136" t="str">
        <f t="shared" si="16"/>
        <v/>
      </c>
      <c r="AA388" s="137" t="str">
        <f t="shared" si="17"/>
        <v/>
      </c>
      <c r="AB388" s="154" t="str">
        <f t="shared" si="18"/>
        <v/>
      </c>
      <c r="AC388" s="322"/>
      <c r="AD388" s="319"/>
      <c r="AE388" s="320"/>
    </row>
    <row r="389" ht="18.0" customHeight="1">
      <c r="A389" s="118" t="str">
        <f t="shared" si="15"/>
        <v/>
      </c>
      <c r="B389" s="109"/>
      <c r="C389" s="119"/>
      <c r="D389" s="119"/>
      <c r="E389" s="330"/>
      <c r="F389" s="121"/>
      <c r="G389" s="153"/>
      <c r="H389" s="153"/>
      <c r="I389" s="153"/>
      <c r="J389" s="112"/>
      <c r="K389" s="153"/>
      <c r="L389" s="114"/>
      <c r="M389" s="151"/>
      <c r="N389" s="152"/>
      <c r="O389" s="150"/>
      <c r="P389" s="114"/>
      <c r="Q389" s="114"/>
      <c r="R389" s="151"/>
      <c r="S389" s="152"/>
      <c r="T389" s="153"/>
      <c r="U389" s="152"/>
      <c r="V389" s="152"/>
      <c r="W389" s="152"/>
      <c r="X389" s="152"/>
      <c r="Y389" s="153"/>
      <c r="Z389" s="125" t="str">
        <f t="shared" si="16"/>
        <v/>
      </c>
      <c r="AA389" s="126" t="str">
        <f t="shared" si="17"/>
        <v/>
      </c>
      <c r="AB389" s="154" t="str">
        <f t="shared" si="18"/>
        <v/>
      </c>
      <c r="AC389" s="152"/>
      <c r="AD389" s="153"/>
      <c r="AE389" s="156"/>
    </row>
    <row r="390" ht="18.0" customHeight="1">
      <c r="A390" s="127" t="str">
        <f t="shared" si="15"/>
        <v/>
      </c>
      <c r="B390" s="128"/>
      <c r="C390" s="129"/>
      <c r="D390" s="129"/>
      <c r="E390" s="325"/>
      <c r="F390" s="131"/>
      <c r="G390" s="319"/>
      <c r="H390" s="319"/>
      <c r="I390" s="319"/>
      <c r="J390" s="132"/>
      <c r="K390" s="319"/>
      <c r="L390" s="135"/>
      <c r="M390" s="321"/>
      <c r="N390" s="322"/>
      <c r="O390" s="150"/>
      <c r="P390" s="135"/>
      <c r="Q390" s="135"/>
      <c r="R390" s="321"/>
      <c r="S390" s="322"/>
      <c r="T390" s="319"/>
      <c r="U390" s="322"/>
      <c r="V390" s="322"/>
      <c r="W390" s="322"/>
      <c r="X390" s="322"/>
      <c r="Y390" s="319"/>
      <c r="Z390" s="136" t="str">
        <f t="shared" si="16"/>
        <v/>
      </c>
      <c r="AA390" s="137" t="str">
        <f t="shared" si="17"/>
        <v/>
      </c>
      <c r="AB390" s="154" t="str">
        <f t="shared" si="18"/>
        <v/>
      </c>
      <c r="AC390" s="322"/>
      <c r="AD390" s="319"/>
      <c r="AE390" s="320"/>
    </row>
    <row r="391" ht="18.0" customHeight="1">
      <c r="A391" s="118" t="str">
        <f t="shared" si="15"/>
        <v/>
      </c>
      <c r="B391" s="109"/>
      <c r="C391" s="119"/>
      <c r="D391" s="119"/>
      <c r="E391" s="330"/>
      <c r="F391" s="121"/>
      <c r="G391" s="153"/>
      <c r="H391" s="153"/>
      <c r="I391" s="153"/>
      <c r="J391" s="112"/>
      <c r="K391" s="153"/>
      <c r="L391" s="114"/>
      <c r="M391" s="151"/>
      <c r="N391" s="152"/>
      <c r="O391" s="150"/>
      <c r="P391" s="114"/>
      <c r="Q391" s="114"/>
      <c r="R391" s="151"/>
      <c r="S391" s="152"/>
      <c r="T391" s="153"/>
      <c r="U391" s="152"/>
      <c r="V391" s="152"/>
      <c r="W391" s="152"/>
      <c r="X391" s="152"/>
      <c r="Y391" s="153"/>
      <c r="Z391" s="125" t="str">
        <f t="shared" si="16"/>
        <v/>
      </c>
      <c r="AA391" s="126" t="str">
        <f t="shared" si="17"/>
        <v/>
      </c>
      <c r="AB391" s="154" t="str">
        <f t="shared" si="18"/>
        <v/>
      </c>
      <c r="AC391" s="152"/>
      <c r="AD391" s="153"/>
      <c r="AE391" s="156"/>
    </row>
    <row r="392" ht="18.0" customHeight="1">
      <c r="A392" s="127" t="str">
        <f t="shared" si="15"/>
        <v/>
      </c>
      <c r="B392" s="128"/>
      <c r="C392" s="129"/>
      <c r="D392" s="129"/>
      <c r="E392" s="325"/>
      <c r="F392" s="131"/>
      <c r="G392" s="319"/>
      <c r="H392" s="319"/>
      <c r="I392" s="319"/>
      <c r="J392" s="132"/>
      <c r="K392" s="319"/>
      <c r="L392" s="135"/>
      <c r="M392" s="321"/>
      <c r="N392" s="322"/>
      <c r="O392" s="150"/>
      <c r="P392" s="135"/>
      <c r="Q392" s="135"/>
      <c r="R392" s="321"/>
      <c r="S392" s="322"/>
      <c r="T392" s="319"/>
      <c r="U392" s="322"/>
      <c r="V392" s="322"/>
      <c r="W392" s="322"/>
      <c r="X392" s="322"/>
      <c r="Y392" s="319"/>
      <c r="Z392" s="136" t="str">
        <f t="shared" si="16"/>
        <v/>
      </c>
      <c r="AA392" s="137" t="str">
        <f t="shared" si="17"/>
        <v/>
      </c>
      <c r="AB392" s="154" t="str">
        <f t="shared" si="18"/>
        <v/>
      </c>
      <c r="AC392" s="322"/>
      <c r="AD392" s="319"/>
      <c r="AE392" s="320"/>
    </row>
    <row r="393" ht="18.0" customHeight="1">
      <c r="A393" s="118" t="str">
        <f t="shared" si="15"/>
        <v/>
      </c>
      <c r="B393" s="109"/>
      <c r="C393" s="119"/>
      <c r="D393" s="119"/>
      <c r="E393" s="330"/>
      <c r="F393" s="121"/>
      <c r="G393" s="153"/>
      <c r="H393" s="153"/>
      <c r="I393" s="153"/>
      <c r="J393" s="112"/>
      <c r="K393" s="153"/>
      <c r="L393" s="114"/>
      <c r="M393" s="151"/>
      <c r="N393" s="152"/>
      <c r="O393" s="150"/>
      <c r="P393" s="114"/>
      <c r="Q393" s="114"/>
      <c r="R393" s="151"/>
      <c r="S393" s="152"/>
      <c r="T393" s="153"/>
      <c r="U393" s="152"/>
      <c r="V393" s="152"/>
      <c r="W393" s="152"/>
      <c r="X393" s="152"/>
      <c r="Y393" s="153"/>
      <c r="Z393" s="125" t="str">
        <f t="shared" si="16"/>
        <v/>
      </c>
      <c r="AA393" s="126" t="str">
        <f t="shared" si="17"/>
        <v/>
      </c>
      <c r="AB393" s="154" t="str">
        <f t="shared" si="18"/>
        <v/>
      </c>
      <c r="AC393" s="152"/>
      <c r="AD393" s="153"/>
      <c r="AE393" s="156"/>
    </row>
    <row r="394" ht="18.0" customHeight="1">
      <c r="A394" s="127" t="str">
        <f t="shared" si="15"/>
        <v/>
      </c>
      <c r="B394" s="128"/>
      <c r="C394" s="129"/>
      <c r="D394" s="129"/>
      <c r="E394" s="325"/>
      <c r="F394" s="131"/>
      <c r="G394" s="319"/>
      <c r="H394" s="319"/>
      <c r="I394" s="319"/>
      <c r="J394" s="132"/>
      <c r="K394" s="319"/>
      <c r="L394" s="135"/>
      <c r="M394" s="321"/>
      <c r="N394" s="322"/>
      <c r="O394" s="150"/>
      <c r="P394" s="135"/>
      <c r="Q394" s="135"/>
      <c r="R394" s="321"/>
      <c r="S394" s="322"/>
      <c r="T394" s="319"/>
      <c r="U394" s="322"/>
      <c r="V394" s="322"/>
      <c r="W394" s="322"/>
      <c r="X394" s="322"/>
      <c r="Y394" s="319"/>
      <c r="Z394" s="136" t="str">
        <f t="shared" si="16"/>
        <v/>
      </c>
      <c r="AA394" s="137" t="str">
        <f t="shared" si="17"/>
        <v/>
      </c>
      <c r="AB394" s="154" t="str">
        <f t="shared" si="18"/>
        <v/>
      </c>
      <c r="AC394" s="322"/>
      <c r="AD394" s="319"/>
      <c r="AE394" s="320"/>
    </row>
    <row r="395" ht="18.0" customHeight="1">
      <c r="A395" s="118" t="str">
        <f t="shared" si="15"/>
        <v/>
      </c>
      <c r="B395" s="109"/>
      <c r="C395" s="119"/>
      <c r="D395" s="119"/>
      <c r="E395" s="330"/>
      <c r="F395" s="121"/>
      <c r="G395" s="153"/>
      <c r="H395" s="153"/>
      <c r="I395" s="153"/>
      <c r="J395" s="112"/>
      <c r="K395" s="153"/>
      <c r="L395" s="114"/>
      <c r="M395" s="151"/>
      <c r="N395" s="152"/>
      <c r="O395" s="150"/>
      <c r="P395" s="114"/>
      <c r="Q395" s="114"/>
      <c r="R395" s="151"/>
      <c r="S395" s="152"/>
      <c r="T395" s="153"/>
      <c r="U395" s="152"/>
      <c r="V395" s="152"/>
      <c r="W395" s="152"/>
      <c r="X395" s="152"/>
      <c r="Y395" s="153"/>
      <c r="Z395" s="125" t="str">
        <f t="shared" si="16"/>
        <v/>
      </c>
      <c r="AA395" s="126" t="str">
        <f t="shared" si="17"/>
        <v/>
      </c>
      <c r="AB395" s="154" t="str">
        <f t="shared" si="18"/>
        <v/>
      </c>
      <c r="AC395" s="152"/>
      <c r="AD395" s="153"/>
      <c r="AE395" s="156"/>
    </row>
    <row r="396" ht="18.0" customHeight="1">
      <c r="A396" s="127" t="str">
        <f t="shared" si="15"/>
        <v/>
      </c>
      <c r="B396" s="128"/>
      <c r="C396" s="129"/>
      <c r="D396" s="129"/>
      <c r="E396" s="325"/>
      <c r="F396" s="131"/>
      <c r="G396" s="319"/>
      <c r="H396" s="319"/>
      <c r="I396" s="319"/>
      <c r="J396" s="132"/>
      <c r="K396" s="319"/>
      <c r="L396" s="135"/>
      <c r="M396" s="321"/>
      <c r="N396" s="322"/>
      <c r="O396" s="150"/>
      <c r="P396" s="135"/>
      <c r="Q396" s="135"/>
      <c r="R396" s="321"/>
      <c r="S396" s="322"/>
      <c r="T396" s="319"/>
      <c r="U396" s="322"/>
      <c r="V396" s="322"/>
      <c r="W396" s="322"/>
      <c r="X396" s="322"/>
      <c r="Y396" s="319"/>
      <c r="Z396" s="136" t="str">
        <f t="shared" si="16"/>
        <v/>
      </c>
      <c r="AA396" s="137" t="str">
        <f t="shared" si="17"/>
        <v/>
      </c>
      <c r="AB396" s="154" t="str">
        <f t="shared" si="18"/>
        <v/>
      </c>
      <c r="AC396" s="322"/>
      <c r="AD396" s="319"/>
      <c r="AE396" s="320"/>
    </row>
    <row r="397" ht="18.0" customHeight="1">
      <c r="A397" s="118" t="str">
        <f t="shared" si="15"/>
        <v/>
      </c>
      <c r="B397" s="109"/>
      <c r="C397" s="119"/>
      <c r="D397" s="119"/>
      <c r="E397" s="330"/>
      <c r="F397" s="121"/>
      <c r="G397" s="153"/>
      <c r="H397" s="153"/>
      <c r="I397" s="153"/>
      <c r="J397" s="112"/>
      <c r="K397" s="153"/>
      <c r="L397" s="114"/>
      <c r="M397" s="151"/>
      <c r="N397" s="152"/>
      <c r="O397" s="150"/>
      <c r="P397" s="114"/>
      <c r="Q397" s="114"/>
      <c r="R397" s="151"/>
      <c r="S397" s="152"/>
      <c r="T397" s="153"/>
      <c r="U397" s="152"/>
      <c r="V397" s="152"/>
      <c r="W397" s="152"/>
      <c r="X397" s="152"/>
      <c r="Y397" s="153"/>
      <c r="Z397" s="125" t="str">
        <f t="shared" si="16"/>
        <v/>
      </c>
      <c r="AA397" s="126" t="str">
        <f t="shared" si="17"/>
        <v/>
      </c>
      <c r="AB397" s="154" t="str">
        <f t="shared" si="18"/>
        <v/>
      </c>
      <c r="AC397" s="152"/>
      <c r="AD397" s="153"/>
      <c r="AE397" s="156"/>
    </row>
    <row r="398" ht="18.0" customHeight="1">
      <c r="A398" s="127" t="str">
        <f t="shared" si="15"/>
        <v/>
      </c>
      <c r="B398" s="128"/>
      <c r="C398" s="129"/>
      <c r="D398" s="129"/>
      <c r="E398" s="325"/>
      <c r="F398" s="131"/>
      <c r="G398" s="319"/>
      <c r="H398" s="319"/>
      <c r="I398" s="319"/>
      <c r="J398" s="132"/>
      <c r="K398" s="319"/>
      <c r="L398" s="135"/>
      <c r="M398" s="321"/>
      <c r="N398" s="322"/>
      <c r="O398" s="150"/>
      <c r="P398" s="135"/>
      <c r="Q398" s="135"/>
      <c r="R398" s="321"/>
      <c r="S398" s="322"/>
      <c r="T398" s="319"/>
      <c r="U398" s="322"/>
      <c r="V398" s="322"/>
      <c r="W398" s="322"/>
      <c r="X398" s="322"/>
      <c r="Y398" s="319"/>
      <c r="Z398" s="136" t="str">
        <f t="shared" si="16"/>
        <v/>
      </c>
      <c r="AA398" s="137" t="str">
        <f t="shared" si="17"/>
        <v/>
      </c>
      <c r="AB398" s="154" t="str">
        <f t="shared" si="18"/>
        <v/>
      </c>
      <c r="AC398" s="322"/>
      <c r="AD398" s="319"/>
      <c r="AE398" s="320"/>
    </row>
    <row r="399" ht="18.0" customHeight="1">
      <c r="A399" s="118" t="str">
        <f t="shared" si="15"/>
        <v/>
      </c>
      <c r="B399" s="109"/>
      <c r="C399" s="119"/>
      <c r="D399" s="119"/>
      <c r="E399" s="330"/>
      <c r="F399" s="121"/>
      <c r="G399" s="153"/>
      <c r="H399" s="153"/>
      <c r="I399" s="153"/>
      <c r="J399" s="112"/>
      <c r="K399" s="153"/>
      <c r="L399" s="114"/>
      <c r="M399" s="151"/>
      <c r="N399" s="152"/>
      <c r="O399" s="150"/>
      <c r="P399" s="114"/>
      <c r="Q399" s="114"/>
      <c r="R399" s="151"/>
      <c r="S399" s="152"/>
      <c r="T399" s="153"/>
      <c r="U399" s="152"/>
      <c r="V399" s="152"/>
      <c r="W399" s="152"/>
      <c r="X399" s="152"/>
      <c r="Y399" s="153"/>
      <c r="Z399" s="125" t="str">
        <f t="shared" si="16"/>
        <v/>
      </c>
      <c r="AA399" s="126" t="str">
        <f t="shared" si="17"/>
        <v/>
      </c>
      <c r="AB399" s="154" t="str">
        <f t="shared" si="18"/>
        <v/>
      </c>
      <c r="AC399" s="152"/>
      <c r="AD399" s="153"/>
      <c r="AE399" s="156"/>
    </row>
    <row r="400" ht="18.0" customHeight="1">
      <c r="A400" s="127" t="str">
        <f t="shared" si="15"/>
        <v/>
      </c>
      <c r="B400" s="128"/>
      <c r="C400" s="129"/>
      <c r="D400" s="129"/>
      <c r="E400" s="325"/>
      <c r="F400" s="131"/>
      <c r="G400" s="319"/>
      <c r="H400" s="319"/>
      <c r="I400" s="319"/>
      <c r="J400" s="132"/>
      <c r="K400" s="319"/>
      <c r="L400" s="135"/>
      <c r="M400" s="321"/>
      <c r="N400" s="322"/>
      <c r="O400" s="150"/>
      <c r="P400" s="135"/>
      <c r="Q400" s="135"/>
      <c r="R400" s="321"/>
      <c r="S400" s="322"/>
      <c r="T400" s="319"/>
      <c r="U400" s="322"/>
      <c r="V400" s="322"/>
      <c r="W400" s="322"/>
      <c r="X400" s="322"/>
      <c r="Y400" s="319"/>
      <c r="Z400" s="136" t="str">
        <f t="shared" si="16"/>
        <v/>
      </c>
      <c r="AA400" s="137" t="str">
        <f t="shared" si="17"/>
        <v/>
      </c>
      <c r="AB400" s="154" t="str">
        <f t="shared" si="18"/>
        <v/>
      </c>
      <c r="AC400" s="322"/>
      <c r="AD400" s="319"/>
      <c r="AE400" s="320"/>
    </row>
    <row r="401" ht="18.0" customHeight="1">
      <c r="A401" s="118" t="str">
        <f t="shared" si="15"/>
        <v/>
      </c>
      <c r="B401" s="109"/>
      <c r="C401" s="119"/>
      <c r="D401" s="119"/>
      <c r="E401" s="330"/>
      <c r="F401" s="121"/>
      <c r="G401" s="153"/>
      <c r="H401" s="153"/>
      <c r="I401" s="153"/>
      <c r="J401" s="112"/>
      <c r="K401" s="153"/>
      <c r="L401" s="114"/>
      <c r="M401" s="151"/>
      <c r="N401" s="152"/>
      <c r="O401" s="150"/>
      <c r="P401" s="114"/>
      <c r="Q401" s="114"/>
      <c r="R401" s="151"/>
      <c r="S401" s="152"/>
      <c r="T401" s="153"/>
      <c r="U401" s="152"/>
      <c r="V401" s="152"/>
      <c r="W401" s="152"/>
      <c r="X401" s="152"/>
      <c r="Y401" s="153"/>
      <c r="Z401" s="125" t="str">
        <f t="shared" si="16"/>
        <v/>
      </c>
      <c r="AA401" s="126" t="str">
        <f t="shared" si="17"/>
        <v/>
      </c>
      <c r="AB401" s="154" t="str">
        <f t="shared" si="18"/>
        <v/>
      </c>
      <c r="AC401" s="152"/>
      <c r="AD401" s="153"/>
      <c r="AE401" s="156"/>
    </row>
    <row r="402" ht="18.0" customHeight="1">
      <c r="A402" s="127" t="str">
        <f t="shared" si="15"/>
        <v/>
      </c>
      <c r="B402" s="128"/>
      <c r="C402" s="129"/>
      <c r="D402" s="129"/>
      <c r="E402" s="325"/>
      <c r="F402" s="131"/>
      <c r="G402" s="319"/>
      <c r="H402" s="319"/>
      <c r="I402" s="319"/>
      <c r="J402" s="132"/>
      <c r="K402" s="319"/>
      <c r="L402" s="135"/>
      <c r="M402" s="321"/>
      <c r="N402" s="322"/>
      <c r="O402" s="150"/>
      <c r="P402" s="135"/>
      <c r="Q402" s="135"/>
      <c r="R402" s="321"/>
      <c r="S402" s="322"/>
      <c r="T402" s="319"/>
      <c r="U402" s="322"/>
      <c r="V402" s="322"/>
      <c r="W402" s="322"/>
      <c r="X402" s="322"/>
      <c r="Y402" s="319"/>
      <c r="Z402" s="136" t="str">
        <f t="shared" si="16"/>
        <v/>
      </c>
      <c r="AA402" s="137" t="str">
        <f t="shared" si="17"/>
        <v/>
      </c>
      <c r="AB402" s="154" t="str">
        <f t="shared" si="18"/>
        <v/>
      </c>
      <c r="AC402" s="322"/>
      <c r="AD402" s="319"/>
      <c r="AE402" s="320"/>
    </row>
    <row r="403" ht="18.0" customHeight="1">
      <c r="A403" s="118" t="str">
        <f t="shared" si="15"/>
        <v/>
      </c>
      <c r="B403" s="109"/>
      <c r="C403" s="119"/>
      <c r="D403" s="119"/>
      <c r="E403" s="330"/>
      <c r="F403" s="121"/>
      <c r="G403" s="153"/>
      <c r="H403" s="153"/>
      <c r="I403" s="153"/>
      <c r="J403" s="112"/>
      <c r="K403" s="153"/>
      <c r="L403" s="114"/>
      <c r="M403" s="151"/>
      <c r="N403" s="152"/>
      <c r="O403" s="150"/>
      <c r="P403" s="114"/>
      <c r="Q403" s="114"/>
      <c r="R403" s="151"/>
      <c r="S403" s="152"/>
      <c r="T403" s="153"/>
      <c r="U403" s="152"/>
      <c r="V403" s="152"/>
      <c r="W403" s="152"/>
      <c r="X403" s="152"/>
      <c r="Y403" s="153"/>
      <c r="Z403" s="125" t="str">
        <f t="shared" si="16"/>
        <v/>
      </c>
      <c r="AA403" s="126" t="str">
        <f t="shared" si="17"/>
        <v/>
      </c>
      <c r="AB403" s="154" t="str">
        <f t="shared" si="18"/>
        <v/>
      </c>
      <c r="AC403" s="152"/>
      <c r="AD403" s="153"/>
      <c r="AE403" s="156"/>
    </row>
    <row r="404" ht="18.0" customHeight="1">
      <c r="A404" s="127" t="str">
        <f t="shared" si="15"/>
        <v/>
      </c>
      <c r="B404" s="128"/>
      <c r="C404" s="129"/>
      <c r="D404" s="129"/>
      <c r="E404" s="325"/>
      <c r="F404" s="131"/>
      <c r="G404" s="319"/>
      <c r="H404" s="319"/>
      <c r="I404" s="319"/>
      <c r="J404" s="132"/>
      <c r="K404" s="319"/>
      <c r="L404" s="135"/>
      <c r="M404" s="321"/>
      <c r="N404" s="322"/>
      <c r="O404" s="150"/>
      <c r="P404" s="135"/>
      <c r="Q404" s="135"/>
      <c r="R404" s="321"/>
      <c r="S404" s="322"/>
      <c r="T404" s="319"/>
      <c r="U404" s="322"/>
      <c r="V404" s="322"/>
      <c r="W404" s="322"/>
      <c r="X404" s="322"/>
      <c r="Y404" s="319"/>
      <c r="Z404" s="136" t="str">
        <f t="shared" si="16"/>
        <v/>
      </c>
      <c r="AA404" s="137" t="str">
        <f t="shared" si="17"/>
        <v/>
      </c>
      <c r="AB404" s="154" t="str">
        <f t="shared" si="18"/>
        <v/>
      </c>
      <c r="AC404" s="322"/>
      <c r="AD404" s="319"/>
      <c r="AE404" s="320"/>
    </row>
    <row r="405" ht="18.0" customHeight="1">
      <c r="A405" s="118" t="str">
        <f t="shared" si="15"/>
        <v/>
      </c>
      <c r="B405" s="109"/>
      <c r="C405" s="119"/>
      <c r="D405" s="119"/>
      <c r="E405" s="330"/>
      <c r="F405" s="121"/>
      <c r="G405" s="153"/>
      <c r="H405" s="153"/>
      <c r="I405" s="153"/>
      <c r="J405" s="112"/>
      <c r="K405" s="153"/>
      <c r="L405" s="114"/>
      <c r="M405" s="151"/>
      <c r="N405" s="152"/>
      <c r="O405" s="150"/>
      <c r="P405" s="114"/>
      <c r="Q405" s="114"/>
      <c r="R405" s="151"/>
      <c r="S405" s="152"/>
      <c r="T405" s="153"/>
      <c r="U405" s="152"/>
      <c r="V405" s="152"/>
      <c r="W405" s="152"/>
      <c r="X405" s="152"/>
      <c r="Y405" s="153"/>
      <c r="Z405" s="125" t="str">
        <f t="shared" si="16"/>
        <v/>
      </c>
      <c r="AA405" s="126" t="str">
        <f t="shared" si="17"/>
        <v/>
      </c>
      <c r="AB405" s="154" t="str">
        <f t="shared" si="18"/>
        <v/>
      </c>
      <c r="AC405" s="152"/>
      <c r="AD405" s="153"/>
      <c r="AE405" s="156"/>
    </row>
    <row r="406" ht="18.0" customHeight="1">
      <c r="A406" s="127" t="str">
        <f t="shared" si="15"/>
        <v/>
      </c>
      <c r="B406" s="128"/>
      <c r="C406" s="129"/>
      <c r="D406" s="129"/>
      <c r="E406" s="325"/>
      <c r="F406" s="131"/>
      <c r="G406" s="319"/>
      <c r="H406" s="319"/>
      <c r="I406" s="319"/>
      <c r="J406" s="132"/>
      <c r="K406" s="319"/>
      <c r="L406" s="135"/>
      <c r="M406" s="321"/>
      <c r="N406" s="322"/>
      <c r="O406" s="150"/>
      <c r="P406" s="135"/>
      <c r="Q406" s="135"/>
      <c r="R406" s="321"/>
      <c r="S406" s="322"/>
      <c r="T406" s="319"/>
      <c r="U406" s="322"/>
      <c r="V406" s="322"/>
      <c r="W406" s="322"/>
      <c r="X406" s="322"/>
      <c r="Y406" s="319"/>
      <c r="Z406" s="136" t="str">
        <f t="shared" si="16"/>
        <v/>
      </c>
      <c r="AA406" s="137" t="str">
        <f t="shared" si="17"/>
        <v/>
      </c>
      <c r="AB406" s="154" t="str">
        <f t="shared" si="18"/>
        <v/>
      </c>
      <c r="AC406" s="322"/>
      <c r="AD406" s="319"/>
      <c r="AE406" s="320"/>
    </row>
    <row r="407" ht="18.0" customHeight="1">
      <c r="A407" s="118" t="str">
        <f t="shared" si="15"/>
        <v/>
      </c>
      <c r="B407" s="109"/>
      <c r="C407" s="119"/>
      <c r="D407" s="119"/>
      <c r="E407" s="330"/>
      <c r="F407" s="121"/>
      <c r="G407" s="153"/>
      <c r="H407" s="153"/>
      <c r="I407" s="153"/>
      <c r="J407" s="112"/>
      <c r="K407" s="153"/>
      <c r="L407" s="114"/>
      <c r="M407" s="151"/>
      <c r="N407" s="152"/>
      <c r="O407" s="150"/>
      <c r="P407" s="114"/>
      <c r="Q407" s="114"/>
      <c r="R407" s="151"/>
      <c r="S407" s="152"/>
      <c r="T407" s="153"/>
      <c r="U407" s="152"/>
      <c r="V407" s="152"/>
      <c r="W407" s="152"/>
      <c r="X407" s="152"/>
      <c r="Y407" s="153"/>
      <c r="Z407" s="125" t="str">
        <f t="shared" si="16"/>
        <v/>
      </c>
      <c r="AA407" s="126" t="str">
        <f t="shared" si="17"/>
        <v/>
      </c>
      <c r="AB407" s="154" t="str">
        <f t="shared" si="18"/>
        <v/>
      </c>
      <c r="AC407" s="152"/>
      <c r="AD407" s="153"/>
      <c r="AE407" s="156"/>
    </row>
    <row r="408" ht="18.0" customHeight="1">
      <c r="A408" s="127" t="str">
        <f t="shared" si="15"/>
        <v/>
      </c>
      <c r="B408" s="128"/>
      <c r="C408" s="129"/>
      <c r="D408" s="129"/>
      <c r="E408" s="325"/>
      <c r="F408" s="131"/>
      <c r="G408" s="319"/>
      <c r="H408" s="319"/>
      <c r="I408" s="319"/>
      <c r="J408" s="132"/>
      <c r="K408" s="319"/>
      <c r="L408" s="135"/>
      <c r="M408" s="321"/>
      <c r="N408" s="322"/>
      <c r="O408" s="150"/>
      <c r="P408" s="135"/>
      <c r="Q408" s="135"/>
      <c r="R408" s="321"/>
      <c r="S408" s="322"/>
      <c r="T408" s="319"/>
      <c r="U408" s="322"/>
      <c r="V408" s="322"/>
      <c r="W408" s="322"/>
      <c r="X408" s="322"/>
      <c r="Y408" s="319"/>
      <c r="Z408" s="136" t="str">
        <f t="shared" si="16"/>
        <v/>
      </c>
      <c r="AA408" s="137" t="str">
        <f t="shared" si="17"/>
        <v/>
      </c>
      <c r="AB408" s="154" t="str">
        <f t="shared" si="18"/>
        <v/>
      </c>
      <c r="AC408" s="322"/>
      <c r="AD408" s="319"/>
      <c r="AE408" s="320"/>
    </row>
    <row r="409" ht="18.0" customHeight="1">
      <c r="A409" s="118" t="str">
        <f t="shared" si="15"/>
        <v/>
      </c>
      <c r="B409" s="109"/>
      <c r="C409" s="119"/>
      <c r="D409" s="119"/>
      <c r="E409" s="330"/>
      <c r="F409" s="121"/>
      <c r="G409" s="153"/>
      <c r="H409" s="153"/>
      <c r="I409" s="153"/>
      <c r="J409" s="112"/>
      <c r="K409" s="153"/>
      <c r="L409" s="114"/>
      <c r="M409" s="151"/>
      <c r="N409" s="152"/>
      <c r="O409" s="150"/>
      <c r="P409" s="114"/>
      <c r="Q409" s="114"/>
      <c r="R409" s="151"/>
      <c r="S409" s="152"/>
      <c r="T409" s="153"/>
      <c r="U409" s="152"/>
      <c r="V409" s="152"/>
      <c r="W409" s="152"/>
      <c r="X409" s="152"/>
      <c r="Y409" s="153"/>
      <c r="Z409" s="125" t="str">
        <f t="shared" si="16"/>
        <v/>
      </c>
      <c r="AA409" s="126" t="str">
        <f t="shared" si="17"/>
        <v/>
      </c>
      <c r="AB409" s="154" t="str">
        <f t="shared" si="18"/>
        <v/>
      </c>
      <c r="AC409" s="152"/>
      <c r="AD409" s="153"/>
      <c r="AE409" s="156"/>
    </row>
    <row r="410" ht="18.0" customHeight="1">
      <c r="A410" s="127" t="str">
        <f t="shared" si="15"/>
        <v/>
      </c>
      <c r="B410" s="128"/>
      <c r="C410" s="129"/>
      <c r="D410" s="129"/>
      <c r="E410" s="325"/>
      <c r="F410" s="131"/>
      <c r="G410" s="319"/>
      <c r="H410" s="319"/>
      <c r="I410" s="319"/>
      <c r="J410" s="132"/>
      <c r="K410" s="319"/>
      <c r="L410" s="135"/>
      <c r="M410" s="321"/>
      <c r="N410" s="322"/>
      <c r="O410" s="150"/>
      <c r="P410" s="135"/>
      <c r="Q410" s="135"/>
      <c r="R410" s="321"/>
      <c r="S410" s="322"/>
      <c r="T410" s="319"/>
      <c r="U410" s="322"/>
      <c r="V410" s="322"/>
      <c r="W410" s="322"/>
      <c r="X410" s="322"/>
      <c r="Y410" s="319"/>
      <c r="Z410" s="136" t="str">
        <f t="shared" si="16"/>
        <v/>
      </c>
      <c r="AA410" s="137" t="str">
        <f t="shared" si="17"/>
        <v/>
      </c>
      <c r="AB410" s="154" t="str">
        <f t="shared" si="18"/>
        <v/>
      </c>
      <c r="AC410" s="322"/>
      <c r="AD410" s="319"/>
      <c r="AE410" s="320"/>
    </row>
    <row r="411" ht="18.0" customHeight="1">
      <c r="A411" s="118" t="str">
        <f t="shared" si="15"/>
        <v/>
      </c>
      <c r="B411" s="109"/>
      <c r="C411" s="119"/>
      <c r="D411" s="119"/>
      <c r="E411" s="330"/>
      <c r="F411" s="121"/>
      <c r="G411" s="153"/>
      <c r="H411" s="153"/>
      <c r="I411" s="153"/>
      <c r="J411" s="112"/>
      <c r="K411" s="153"/>
      <c r="L411" s="114"/>
      <c r="M411" s="151"/>
      <c r="N411" s="152"/>
      <c r="O411" s="150"/>
      <c r="P411" s="114"/>
      <c r="Q411" s="114"/>
      <c r="R411" s="151"/>
      <c r="S411" s="152"/>
      <c r="T411" s="153"/>
      <c r="U411" s="152"/>
      <c r="V411" s="152"/>
      <c r="W411" s="152"/>
      <c r="X411" s="152"/>
      <c r="Y411" s="153"/>
      <c r="Z411" s="125" t="str">
        <f t="shared" si="16"/>
        <v/>
      </c>
      <c r="AA411" s="126" t="str">
        <f t="shared" si="17"/>
        <v/>
      </c>
      <c r="AB411" s="154" t="str">
        <f t="shared" si="18"/>
        <v/>
      </c>
      <c r="AC411" s="152"/>
      <c r="AD411" s="153"/>
      <c r="AE411" s="156"/>
    </row>
    <row r="412" ht="18.0" customHeight="1">
      <c r="A412" s="127" t="str">
        <f t="shared" si="15"/>
        <v/>
      </c>
      <c r="B412" s="128"/>
      <c r="C412" s="129"/>
      <c r="D412" s="129"/>
      <c r="E412" s="325"/>
      <c r="F412" s="131"/>
      <c r="G412" s="319"/>
      <c r="H412" s="319"/>
      <c r="I412" s="319"/>
      <c r="J412" s="132"/>
      <c r="K412" s="319"/>
      <c r="L412" s="135"/>
      <c r="M412" s="321"/>
      <c r="N412" s="322"/>
      <c r="O412" s="150"/>
      <c r="P412" s="135"/>
      <c r="Q412" s="135"/>
      <c r="R412" s="321"/>
      <c r="S412" s="322"/>
      <c r="T412" s="319"/>
      <c r="U412" s="322"/>
      <c r="V412" s="322"/>
      <c r="W412" s="322"/>
      <c r="X412" s="322"/>
      <c r="Y412" s="319"/>
      <c r="Z412" s="136" t="str">
        <f t="shared" si="16"/>
        <v/>
      </c>
      <c r="AA412" s="137" t="str">
        <f t="shared" si="17"/>
        <v/>
      </c>
      <c r="AB412" s="154" t="str">
        <f t="shared" si="18"/>
        <v/>
      </c>
      <c r="AC412" s="322"/>
      <c r="AD412" s="319"/>
      <c r="AE412" s="320"/>
    </row>
    <row r="413" ht="18.0" customHeight="1">
      <c r="A413" s="118" t="str">
        <f t="shared" si="15"/>
        <v/>
      </c>
      <c r="B413" s="109"/>
      <c r="C413" s="119"/>
      <c r="D413" s="119"/>
      <c r="E413" s="330"/>
      <c r="F413" s="121"/>
      <c r="G413" s="153"/>
      <c r="H413" s="153"/>
      <c r="I413" s="153"/>
      <c r="J413" s="112"/>
      <c r="K413" s="153"/>
      <c r="L413" s="114"/>
      <c r="M413" s="151"/>
      <c r="N413" s="152"/>
      <c r="O413" s="150"/>
      <c r="P413" s="114"/>
      <c r="Q413" s="114"/>
      <c r="R413" s="151"/>
      <c r="S413" s="152"/>
      <c r="T413" s="153"/>
      <c r="U413" s="152"/>
      <c r="V413" s="152"/>
      <c r="W413" s="152"/>
      <c r="X413" s="152"/>
      <c r="Y413" s="153"/>
      <c r="Z413" s="125" t="str">
        <f t="shared" si="16"/>
        <v/>
      </c>
      <c r="AA413" s="126" t="str">
        <f t="shared" si="17"/>
        <v/>
      </c>
      <c r="AB413" s="154" t="str">
        <f t="shared" si="18"/>
        <v/>
      </c>
      <c r="AC413" s="152"/>
      <c r="AD413" s="153"/>
      <c r="AE413" s="156"/>
    </row>
    <row r="414" ht="18.0" customHeight="1">
      <c r="A414" s="127" t="str">
        <f t="shared" si="15"/>
        <v/>
      </c>
      <c r="B414" s="128"/>
      <c r="C414" s="129"/>
      <c r="D414" s="129"/>
      <c r="E414" s="325"/>
      <c r="F414" s="131"/>
      <c r="G414" s="319"/>
      <c r="H414" s="319"/>
      <c r="I414" s="319"/>
      <c r="J414" s="132"/>
      <c r="K414" s="319"/>
      <c r="L414" s="135"/>
      <c r="M414" s="321"/>
      <c r="N414" s="322"/>
      <c r="O414" s="150"/>
      <c r="P414" s="135"/>
      <c r="Q414" s="135"/>
      <c r="R414" s="321"/>
      <c r="S414" s="322"/>
      <c r="T414" s="319"/>
      <c r="U414" s="322"/>
      <c r="V414" s="322"/>
      <c r="W414" s="322"/>
      <c r="X414" s="322"/>
      <c r="Y414" s="319"/>
      <c r="Z414" s="136" t="str">
        <f t="shared" si="16"/>
        <v/>
      </c>
      <c r="AA414" s="137" t="str">
        <f t="shared" si="17"/>
        <v/>
      </c>
      <c r="AB414" s="154" t="str">
        <f t="shared" si="18"/>
        <v/>
      </c>
      <c r="AC414" s="322"/>
      <c r="AD414" s="319"/>
      <c r="AE414" s="320"/>
    </row>
    <row r="415" ht="18.0" customHeight="1">
      <c r="A415" s="118" t="str">
        <f t="shared" si="15"/>
        <v/>
      </c>
      <c r="B415" s="109"/>
      <c r="C415" s="119"/>
      <c r="D415" s="119"/>
      <c r="E415" s="330"/>
      <c r="F415" s="121"/>
      <c r="G415" s="153"/>
      <c r="H415" s="153"/>
      <c r="I415" s="153"/>
      <c r="J415" s="112"/>
      <c r="K415" s="153"/>
      <c r="L415" s="114"/>
      <c r="M415" s="151"/>
      <c r="N415" s="152"/>
      <c r="O415" s="150"/>
      <c r="P415" s="114"/>
      <c r="Q415" s="114"/>
      <c r="R415" s="151"/>
      <c r="S415" s="152"/>
      <c r="T415" s="153"/>
      <c r="U415" s="152"/>
      <c r="V415" s="152"/>
      <c r="W415" s="152"/>
      <c r="X415" s="152"/>
      <c r="Y415" s="153"/>
      <c r="Z415" s="125" t="str">
        <f t="shared" si="16"/>
        <v/>
      </c>
      <c r="AA415" s="126" t="str">
        <f t="shared" si="17"/>
        <v/>
      </c>
      <c r="AB415" s="154" t="str">
        <f t="shared" si="18"/>
        <v/>
      </c>
      <c r="AC415" s="152"/>
      <c r="AD415" s="153"/>
      <c r="AE415" s="156"/>
    </row>
    <row r="416" ht="18.0" customHeight="1">
      <c r="A416" s="127" t="str">
        <f t="shared" si="15"/>
        <v/>
      </c>
      <c r="B416" s="128"/>
      <c r="C416" s="129"/>
      <c r="D416" s="129"/>
      <c r="E416" s="325"/>
      <c r="F416" s="131"/>
      <c r="G416" s="319"/>
      <c r="H416" s="319"/>
      <c r="I416" s="319"/>
      <c r="J416" s="132"/>
      <c r="K416" s="319"/>
      <c r="L416" s="135"/>
      <c r="M416" s="321"/>
      <c r="N416" s="322"/>
      <c r="O416" s="150"/>
      <c r="P416" s="135"/>
      <c r="Q416" s="135"/>
      <c r="R416" s="321"/>
      <c r="S416" s="322"/>
      <c r="T416" s="319"/>
      <c r="U416" s="322"/>
      <c r="V416" s="322"/>
      <c r="W416" s="322"/>
      <c r="X416" s="322"/>
      <c r="Y416" s="319"/>
      <c r="Z416" s="136" t="str">
        <f t="shared" si="16"/>
        <v/>
      </c>
      <c r="AA416" s="137" t="str">
        <f t="shared" si="17"/>
        <v/>
      </c>
      <c r="AB416" s="154" t="str">
        <f t="shared" si="18"/>
        <v/>
      </c>
      <c r="AC416" s="322"/>
      <c r="AD416" s="319"/>
      <c r="AE416" s="320"/>
    </row>
    <row r="417" ht="18.0" customHeight="1">
      <c r="A417" s="118" t="str">
        <f t="shared" si="15"/>
        <v/>
      </c>
      <c r="B417" s="109"/>
      <c r="C417" s="119"/>
      <c r="D417" s="119"/>
      <c r="E417" s="330"/>
      <c r="F417" s="121"/>
      <c r="G417" s="153"/>
      <c r="H417" s="153"/>
      <c r="I417" s="153"/>
      <c r="J417" s="112"/>
      <c r="K417" s="153"/>
      <c r="L417" s="114"/>
      <c r="M417" s="151"/>
      <c r="N417" s="152"/>
      <c r="O417" s="150"/>
      <c r="P417" s="114"/>
      <c r="Q417" s="114"/>
      <c r="R417" s="151"/>
      <c r="S417" s="152"/>
      <c r="T417" s="153"/>
      <c r="U417" s="152"/>
      <c r="V417" s="152"/>
      <c r="W417" s="152"/>
      <c r="X417" s="152"/>
      <c r="Y417" s="153"/>
      <c r="Z417" s="125" t="str">
        <f t="shared" si="16"/>
        <v/>
      </c>
      <c r="AA417" s="126" t="str">
        <f t="shared" si="17"/>
        <v/>
      </c>
      <c r="AB417" s="154" t="str">
        <f t="shared" si="18"/>
        <v/>
      </c>
      <c r="AC417" s="152"/>
      <c r="AD417" s="153"/>
      <c r="AE417" s="156"/>
    </row>
    <row r="418" ht="18.0" customHeight="1">
      <c r="A418" s="127" t="str">
        <f t="shared" si="15"/>
        <v/>
      </c>
      <c r="B418" s="128"/>
      <c r="C418" s="129"/>
      <c r="D418" s="129"/>
      <c r="E418" s="325"/>
      <c r="F418" s="131"/>
      <c r="G418" s="319"/>
      <c r="H418" s="319"/>
      <c r="I418" s="319"/>
      <c r="J418" s="132"/>
      <c r="K418" s="319"/>
      <c r="L418" s="135"/>
      <c r="M418" s="321"/>
      <c r="N418" s="322"/>
      <c r="O418" s="150"/>
      <c r="P418" s="135"/>
      <c r="Q418" s="135"/>
      <c r="R418" s="321"/>
      <c r="S418" s="322"/>
      <c r="T418" s="319"/>
      <c r="U418" s="322"/>
      <c r="V418" s="322"/>
      <c r="W418" s="322"/>
      <c r="X418" s="322"/>
      <c r="Y418" s="319"/>
      <c r="Z418" s="136" t="str">
        <f t="shared" si="16"/>
        <v/>
      </c>
      <c r="AA418" s="137" t="str">
        <f t="shared" si="17"/>
        <v/>
      </c>
      <c r="AB418" s="154" t="str">
        <f t="shared" si="18"/>
        <v/>
      </c>
      <c r="AC418" s="322"/>
      <c r="AD418" s="319"/>
      <c r="AE418" s="320"/>
    </row>
    <row r="419" ht="18.0" customHeight="1">
      <c r="A419" s="118" t="str">
        <f t="shared" si="15"/>
        <v/>
      </c>
      <c r="B419" s="109"/>
      <c r="C419" s="119"/>
      <c r="D419" s="119"/>
      <c r="E419" s="330"/>
      <c r="F419" s="121"/>
      <c r="G419" s="153"/>
      <c r="H419" s="153"/>
      <c r="I419" s="153"/>
      <c r="J419" s="112"/>
      <c r="K419" s="153"/>
      <c r="L419" s="114"/>
      <c r="M419" s="151"/>
      <c r="N419" s="152"/>
      <c r="O419" s="150"/>
      <c r="P419" s="114"/>
      <c r="Q419" s="114"/>
      <c r="R419" s="151"/>
      <c r="S419" s="152"/>
      <c r="T419" s="153"/>
      <c r="U419" s="152"/>
      <c r="V419" s="152"/>
      <c r="W419" s="152"/>
      <c r="X419" s="152"/>
      <c r="Y419" s="153"/>
      <c r="Z419" s="125" t="str">
        <f t="shared" si="16"/>
        <v/>
      </c>
      <c r="AA419" s="126" t="str">
        <f t="shared" si="17"/>
        <v/>
      </c>
      <c r="AB419" s="154" t="str">
        <f t="shared" si="18"/>
        <v/>
      </c>
      <c r="AC419" s="152"/>
      <c r="AD419" s="153"/>
      <c r="AE419" s="156"/>
    </row>
    <row r="420" ht="18.0" customHeight="1">
      <c r="A420" s="127" t="str">
        <f t="shared" si="15"/>
        <v/>
      </c>
      <c r="B420" s="128"/>
      <c r="C420" s="129"/>
      <c r="D420" s="129"/>
      <c r="E420" s="325"/>
      <c r="F420" s="131"/>
      <c r="G420" s="319"/>
      <c r="H420" s="319"/>
      <c r="I420" s="319"/>
      <c r="J420" s="132"/>
      <c r="K420" s="319"/>
      <c r="L420" s="135"/>
      <c r="M420" s="321"/>
      <c r="N420" s="322"/>
      <c r="O420" s="150"/>
      <c r="P420" s="135"/>
      <c r="Q420" s="135"/>
      <c r="R420" s="321"/>
      <c r="S420" s="322"/>
      <c r="T420" s="319"/>
      <c r="U420" s="322"/>
      <c r="V420" s="322"/>
      <c r="W420" s="322"/>
      <c r="X420" s="322"/>
      <c r="Y420" s="319"/>
      <c r="Z420" s="136" t="str">
        <f t="shared" si="16"/>
        <v/>
      </c>
      <c r="AA420" s="137" t="str">
        <f t="shared" si="17"/>
        <v/>
      </c>
      <c r="AB420" s="154" t="str">
        <f t="shared" si="18"/>
        <v/>
      </c>
      <c r="AC420" s="322"/>
      <c r="AD420" s="319"/>
      <c r="AE420" s="320"/>
    </row>
    <row r="421" ht="18.0" customHeight="1">
      <c r="A421" s="118" t="str">
        <f t="shared" si="15"/>
        <v/>
      </c>
      <c r="B421" s="109"/>
      <c r="C421" s="119"/>
      <c r="D421" s="119"/>
      <c r="E421" s="330"/>
      <c r="F421" s="121"/>
      <c r="G421" s="153"/>
      <c r="H421" s="153"/>
      <c r="I421" s="153"/>
      <c r="J421" s="112"/>
      <c r="K421" s="153"/>
      <c r="L421" s="114"/>
      <c r="M421" s="151"/>
      <c r="N421" s="152"/>
      <c r="O421" s="150"/>
      <c r="P421" s="114"/>
      <c r="Q421" s="114"/>
      <c r="R421" s="151"/>
      <c r="S421" s="152"/>
      <c r="T421" s="153"/>
      <c r="U421" s="152"/>
      <c r="V421" s="152"/>
      <c r="W421" s="152"/>
      <c r="X421" s="152"/>
      <c r="Y421" s="153"/>
      <c r="Z421" s="125" t="str">
        <f t="shared" si="16"/>
        <v/>
      </c>
      <c r="AA421" s="126" t="str">
        <f t="shared" si="17"/>
        <v/>
      </c>
      <c r="AB421" s="154" t="str">
        <f t="shared" si="18"/>
        <v/>
      </c>
      <c r="AC421" s="152"/>
      <c r="AD421" s="153"/>
      <c r="AE421" s="156"/>
    </row>
    <row r="422" ht="18.0" customHeight="1">
      <c r="A422" s="127" t="str">
        <f t="shared" si="15"/>
        <v/>
      </c>
      <c r="B422" s="128"/>
      <c r="C422" s="129"/>
      <c r="D422" s="129"/>
      <c r="E422" s="325"/>
      <c r="F422" s="131"/>
      <c r="G422" s="319"/>
      <c r="H422" s="319"/>
      <c r="I422" s="319"/>
      <c r="J422" s="132"/>
      <c r="K422" s="319"/>
      <c r="L422" s="135"/>
      <c r="M422" s="321"/>
      <c r="N422" s="322"/>
      <c r="O422" s="150"/>
      <c r="P422" s="135"/>
      <c r="Q422" s="135"/>
      <c r="R422" s="321"/>
      <c r="S422" s="322"/>
      <c r="T422" s="319"/>
      <c r="U422" s="322"/>
      <c r="V422" s="322"/>
      <c r="W422" s="322"/>
      <c r="X422" s="322"/>
      <c r="Y422" s="319"/>
      <c r="Z422" s="136" t="str">
        <f t="shared" si="16"/>
        <v/>
      </c>
      <c r="AA422" s="137" t="str">
        <f t="shared" si="17"/>
        <v/>
      </c>
      <c r="AB422" s="154" t="str">
        <f t="shared" si="18"/>
        <v/>
      </c>
      <c r="AC422" s="322"/>
      <c r="AD422" s="319"/>
      <c r="AE422" s="320"/>
    </row>
    <row r="423" ht="18.0" customHeight="1">
      <c r="A423" s="118" t="str">
        <f t="shared" si="15"/>
        <v/>
      </c>
      <c r="B423" s="109"/>
      <c r="C423" s="119"/>
      <c r="D423" s="119"/>
      <c r="E423" s="330"/>
      <c r="F423" s="121"/>
      <c r="G423" s="153"/>
      <c r="H423" s="153"/>
      <c r="I423" s="153"/>
      <c r="J423" s="112"/>
      <c r="K423" s="153"/>
      <c r="L423" s="114"/>
      <c r="M423" s="151"/>
      <c r="N423" s="152"/>
      <c r="O423" s="150"/>
      <c r="P423" s="114"/>
      <c r="Q423" s="114"/>
      <c r="R423" s="151"/>
      <c r="S423" s="152"/>
      <c r="T423" s="153"/>
      <c r="U423" s="152"/>
      <c r="V423" s="152"/>
      <c r="W423" s="152"/>
      <c r="X423" s="152"/>
      <c r="Y423" s="153"/>
      <c r="Z423" s="125" t="str">
        <f t="shared" si="16"/>
        <v/>
      </c>
      <c r="AA423" s="126" t="str">
        <f t="shared" si="17"/>
        <v/>
      </c>
      <c r="AB423" s="154" t="str">
        <f t="shared" si="18"/>
        <v/>
      </c>
      <c r="AC423" s="152"/>
      <c r="AD423" s="153"/>
      <c r="AE423" s="156"/>
    </row>
    <row r="424" ht="18.0" customHeight="1">
      <c r="A424" s="127" t="str">
        <f t="shared" si="15"/>
        <v/>
      </c>
      <c r="B424" s="128"/>
      <c r="C424" s="129"/>
      <c r="D424" s="129"/>
      <c r="E424" s="325"/>
      <c r="F424" s="131"/>
      <c r="G424" s="319"/>
      <c r="H424" s="319"/>
      <c r="I424" s="319"/>
      <c r="J424" s="132"/>
      <c r="K424" s="319"/>
      <c r="L424" s="135"/>
      <c r="M424" s="321"/>
      <c r="N424" s="322"/>
      <c r="O424" s="150"/>
      <c r="P424" s="135"/>
      <c r="Q424" s="135"/>
      <c r="R424" s="321"/>
      <c r="S424" s="322"/>
      <c r="T424" s="319"/>
      <c r="U424" s="322"/>
      <c r="V424" s="322"/>
      <c r="W424" s="322"/>
      <c r="X424" s="322"/>
      <c r="Y424" s="319"/>
      <c r="Z424" s="136" t="str">
        <f t="shared" si="16"/>
        <v/>
      </c>
      <c r="AA424" s="137" t="str">
        <f t="shared" si="17"/>
        <v/>
      </c>
      <c r="AB424" s="154" t="str">
        <f t="shared" si="18"/>
        <v/>
      </c>
      <c r="AC424" s="322"/>
      <c r="AD424" s="319"/>
      <c r="AE424" s="320"/>
    </row>
    <row r="425" ht="18.0" customHeight="1">
      <c r="A425" s="118" t="str">
        <f t="shared" si="15"/>
        <v/>
      </c>
      <c r="B425" s="109"/>
      <c r="C425" s="119"/>
      <c r="D425" s="119"/>
      <c r="E425" s="330"/>
      <c r="F425" s="121"/>
      <c r="G425" s="153"/>
      <c r="H425" s="153"/>
      <c r="I425" s="153"/>
      <c r="J425" s="112"/>
      <c r="K425" s="153"/>
      <c r="L425" s="114"/>
      <c r="M425" s="151"/>
      <c r="N425" s="152"/>
      <c r="O425" s="150"/>
      <c r="P425" s="114"/>
      <c r="Q425" s="114"/>
      <c r="R425" s="151"/>
      <c r="S425" s="152"/>
      <c r="T425" s="153"/>
      <c r="U425" s="152"/>
      <c r="V425" s="152"/>
      <c r="W425" s="152"/>
      <c r="X425" s="152"/>
      <c r="Y425" s="153"/>
      <c r="Z425" s="125" t="str">
        <f t="shared" si="16"/>
        <v/>
      </c>
      <c r="AA425" s="126" t="str">
        <f t="shared" si="17"/>
        <v/>
      </c>
      <c r="AB425" s="154" t="str">
        <f t="shared" si="18"/>
        <v/>
      </c>
      <c r="AC425" s="152"/>
      <c r="AD425" s="153"/>
      <c r="AE425" s="156"/>
    </row>
    <row r="426" ht="18.0" customHeight="1">
      <c r="A426" s="127" t="str">
        <f t="shared" si="15"/>
        <v/>
      </c>
      <c r="B426" s="128"/>
      <c r="C426" s="129"/>
      <c r="D426" s="129"/>
      <c r="E426" s="325"/>
      <c r="F426" s="131"/>
      <c r="G426" s="319"/>
      <c r="H426" s="319"/>
      <c r="I426" s="319"/>
      <c r="J426" s="132"/>
      <c r="K426" s="319"/>
      <c r="L426" s="135"/>
      <c r="M426" s="321"/>
      <c r="N426" s="322"/>
      <c r="O426" s="150"/>
      <c r="P426" s="135"/>
      <c r="Q426" s="135"/>
      <c r="R426" s="321"/>
      <c r="S426" s="322"/>
      <c r="T426" s="319"/>
      <c r="U426" s="322"/>
      <c r="V426" s="322"/>
      <c r="W426" s="322"/>
      <c r="X426" s="322"/>
      <c r="Y426" s="319"/>
      <c r="Z426" s="136" t="str">
        <f t="shared" si="16"/>
        <v/>
      </c>
      <c r="AA426" s="137" t="str">
        <f t="shared" si="17"/>
        <v/>
      </c>
      <c r="AB426" s="154" t="str">
        <f t="shared" si="18"/>
        <v/>
      </c>
      <c r="AC426" s="322"/>
      <c r="AD426" s="319"/>
      <c r="AE426" s="320"/>
    </row>
    <row r="427" ht="18.0" customHeight="1">
      <c r="A427" s="118" t="str">
        <f t="shared" si="15"/>
        <v/>
      </c>
      <c r="B427" s="109"/>
      <c r="C427" s="119"/>
      <c r="D427" s="119"/>
      <c r="E427" s="330"/>
      <c r="F427" s="121"/>
      <c r="G427" s="153"/>
      <c r="H427" s="153"/>
      <c r="I427" s="153"/>
      <c r="J427" s="112"/>
      <c r="K427" s="153"/>
      <c r="L427" s="114"/>
      <c r="M427" s="151"/>
      <c r="N427" s="152"/>
      <c r="O427" s="150"/>
      <c r="P427" s="114"/>
      <c r="Q427" s="114"/>
      <c r="R427" s="151"/>
      <c r="S427" s="152"/>
      <c r="T427" s="153"/>
      <c r="U427" s="152"/>
      <c r="V427" s="152"/>
      <c r="W427" s="152"/>
      <c r="X427" s="152"/>
      <c r="Y427" s="153"/>
      <c r="Z427" s="125" t="str">
        <f t="shared" si="16"/>
        <v/>
      </c>
      <c r="AA427" s="126" t="str">
        <f t="shared" si="17"/>
        <v/>
      </c>
      <c r="AB427" s="154" t="str">
        <f t="shared" si="18"/>
        <v/>
      </c>
      <c r="AC427" s="152"/>
      <c r="AD427" s="153"/>
      <c r="AE427" s="156"/>
    </row>
    <row r="428" ht="18.0" customHeight="1">
      <c r="A428" s="127" t="str">
        <f t="shared" si="15"/>
        <v/>
      </c>
      <c r="B428" s="128"/>
      <c r="C428" s="129"/>
      <c r="D428" s="129"/>
      <c r="E428" s="325"/>
      <c r="F428" s="131"/>
      <c r="G428" s="319"/>
      <c r="H428" s="319"/>
      <c r="I428" s="319"/>
      <c r="J428" s="132"/>
      <c r="K428" s="319"/>
      <c r="L428" s="135"/>
      <c r="M428" s="321"/>
      <c r="N428" s="322"/>
      <c r="O428" s="150"/>
      <c r="P428" s="135"/>
      <c r="Q428" s="135"/>
      <c r="R428" s="321"/>
      <c r="S428" s="322"/>
      <c r="T428" s="319"/>
      <c r="U428" s="322"/>
      <c r="V428" s="322"/>
      <c r="W428" s="322"/>
      <c r="X428" s="322"/>
      <c r="Y428" s="319"/>
      <c r="Z428" s="136" t="str">
        <f t="shared" si="16"/>
        <v/>
      </c>
      <c r="AA428" s="137" t="str">
        <f t="shared" si="17"/>
        <v/>
      </c>
      <c r="AB428" s="154" t="str">
        <f t="shared" si="18"/>
        <v/>
      </c>
      <c r="AC428" s="322"/>
      <c r="AD428" s="319"/>
      <c r="AE428" s="320"/>
    </row>
    <row r="429" ht="18.0" customHeight="1">
      <c r="A429" s="118" t="str">
        <f t="shared" si="15"/>
        <v/>
      </c>
      <c r="B429" s="109"/>
      <c r="C429" s="119"/>
      <c r="D429" s="119"/>
      <c r="E429" s="330"/>
      <c r="F429" s="121"/>
      <c r="G429" s="153"/>
      <c r="H429" s="153"/>
      <c r="I429" s="153"/>
      <c r="J429" s="112"/>
      <c r="K429" s="153"/>
      <c r="L429" s="114"/>
      <c r="M429" s="151"/>
      <c r="N429" s="152"/>
      <c r="O429" s="150"/>
      <c r="P429" s="114"/>
      <c r="Q429" s="114"/>
      <c r="R429" s="151"/>
      <c r="S429" s="152"/>
      <c r="T429" s="153"/>
      <c r="U429" s="152"/>
      <c r="V429" s="152"/>
      <c r="W429" s="152"/>
      <c r="X429" s="152"/>
      <c r="Y429" s="153"/>
      <c r="Z429" s="125" t="str">
        <f t="shared" si="16"/>
        <v/>
      </c>
      <c r="AA429" s="126" t="str">
        <f t="shared" si="17"/>
        <v/>
      </c>
      <c r="AB429" s="154" t="str">
        <f t="shared" si="18"/>
        <v/>
      </c>
      <c r="AC429" s="152"/>
      <c r="AD429" s="153"/>
      <c r="AE429" s="156"/>
    </row>
    <row r="430" ht="18.0" customHeight="1">
      <c r="A430" s="127" t="str">
        <f t="shared" si="15"/>
        <v/>
      </c>
      <c r="B430" s="128"/>
      <c r="C430" s="129"/>
      <c r="D430" s="129"/>
      <c r="E430" s="325"/>
      <c r="F430" s="131"/>
      <c r="G430" s="319"/>
      <c r="H430" s="319"/>
      <c r="I430" s="319"/>
      <c r="J430" s="132"/>
      <c r="K430" s="319"/>
      <c r="L430" s="135"/>
      <c r="M430" s="321"/>
      <c r="N430" s="322"/>
      <c r="O430" s="150"/>
      <c r="P430" s="135"/>
      <c r="Q430" s="135"/>
      <c r="R430" s="321"/>
      <c r="S430" s="322"/>
      <c r="T430" s="319"/>
      <c r="U430" s="322"/>
      <c r="V430" s="322"/>
      <c r="W430" s="322"/>
      <c r="X430" s="322"/>
      <c r="Y430" s="319"/>
      <c r="Z430" s="136" t="str">
        <f t="shared" si="16"/>
        <v/>
      </c>
      <c r="AA430" s="137" t="str">
        <f t="shared" si="17"/>
        <v/>
      </c>
      <c r="AB430" s="154" t="str">
        <f t="shared" si="18"/>
        <v/>
      </c>
      <c r="AC430" s="322"/>
      <c r="AD430" s="319"/>
      <c r="AE430" s="320"/>
    </row>
    <row r="431" ht="18.0" customHeight="1">
      <c r="A431" s="118" t="str">
        <f t="shared" si="15"/>
        <v/>
      </c>
      <c r="B431" s="109"/>
      <c r="C431" s="119"/>
      <c r="D431" s="119"/>
      <c r="E431" s="330"/>
      <c r="F431" s="121"/>
      <c r="G431" s="153"/>
      <c r="H431" s="153"/>
      <c r="I431" s="153"/>
      <c r="J431" s="112"/>
      <c r="K431" s="153"/>
      <c r="L431" s="114"/>
      <c r="M431" s="151"/>
      <c r="N431" s="152"/>
      <c r="O431" s="150"/>
      <c r="P431" s="114"/>
      <c r="Q431" s="114"/>
      <c r="R431" s="151"/>
      <c r="S431" s="152"/>
      <c r="T431" s="153"/>
      <c r="U431" s="152"/>
      <c r="V431" s="152"/>
      <c r="W431" s="152"/>
      <c r="X431" s="152"/>
      <c r="Y431" s="153"/>
      <c r="Z431" s="125" t="str">
        <f t="shared" si="16"/>
        <v/>
      </c>
      <c r="AA431" s="126" t="str">
        <f t="shared" si="17"/>
        <v/>
      </c>
      <c r="AB431" s="154" t="str">
        <f t="shared" si="18"/>
        <v/>
      </c>
      <c r="AC431" s="152"/>
      <c r="AD431" s="153"/>
      <c r="AE431" s="156"/>
    </row>
    <row r="432" ht="18.0" customHeight="1">
      <c r="A432" s="127" t="str">
        <f t="shared" si="15"/>
        <v/>
      </c>
      <c r="B432" s="128"/>
      <c r="C432" s="129"/>
      <c r="D432" s="129"/>
      <c r="E432" s="325"/>
      <c r="F432" s="131"/>
      <c r="G432" s="319"/>
      <c r="H432" s="319"/>
      <c r="I432" s="319"/>
      <c r="J432" s="132"/>
      <c r="K432" s="319"/>
      <c r="L432" s="135"/>
      <c r="M432" s="321"/>
      <c r="N432" s="322"/>
      <c r="O432" s="150"/>
      <c r="P432" s="135"/>
      <c r="Q432" s="135"/>
      <c r="R432" s="321"/>
      <c r="S432" s="322"/>
      <c r="T432" s="319"/>
      <c r="U432" s="322"/>
      <c r="V432" s="322"/>
      <c r="W432" s="322"/>
      <c r="X432" s="322"/>
      <c r="Y432" s="319"/>
      <c r="Z432" s="136" t="str">
        <f t="shared" si="16"/>
        <v/>
      </c>
      <c r="AA432" s="137" t="str">
        <f t="shared" si="17"/>
        <v/>
      </c>
      <c r="AB432" s="154" t="str">
        <f t="shared" si="18"/>
        <v/>
      </c>
      <c r="AC432" s="322"/>
      <c r="AD432" s="319"/>
      <c r="AE432" s="320"/>
    </row>
    <row r="433" ht="18.0" customHeight="1">
      <c r="A433" s="118" t="str">
        <f t="shared" si="15"/>
        <v/>
      </c>
      <c r="B433" s="109"/>
      <c r="C433" s="119"/>
      <c r="D433" s="119"/>
      <c r="E433" s="330"/>
      <c r="F433" s="121"/>
      <c r="G433" s="153"/>
      <c r="H433" s="153"/>
      <c r="I433" s="153"/>
      <c r="J433" s="112"/>
      <c r="K433" s="153"/>
      <c r="L433" s="114"/>
      <c r="M433" s="151"/>
      <c r="N433" s="152"/>
      <c r="O433" s="150"/>
      <c r="P433" s="114"/>
      <c r="Q433" s="114"/>
      <c r="R433" s="151"/>
      <c r="S433" s="152"/>
      <c r="T433" s="153"/>
      <c r="U433" s="152"/>
      <c r="V433" s="152"/>
      <c r="W433" s="152"/>
      <c r="X433" s="152"/>
      <c r="Y433" s="153"/>
      <c r="Z433" s="125" t="str">
        <f t="shared" si="16"/>
        <v/>
      </c>
      <c r="AA433" s="126" t="str">
        <f t="shared" si="17"/>
        <v/>
      </c>
      <c r="AB433" s="154" t="str">
        <f t="shared" si="18"/>
        <v/>
      </c>
      <c r="AC433" s="152"/>
      <c r="AD433" s="153"/>
      <c r="AE433" s="156"/>
    </row>
    <row r="434" ht="18.0" customHeight="1">
      <c r="A434" s="127" t="str">
        <f t="shared" si="15"/>
        <v/>
      </c>
      <c r="B434" s="128"/>
      <c r="C434" s="129"/>
      <c r="D434" s="129"/>
      <c r="E434" s="325"/>
      <c r="F434" s="131"/>
      <c r="G434" s="319"/>
      <c r="H434" s="319"/>
      <c r="I434" s="319"/>
      <c r="J434" s="132"/>
      <c r="K434" s="319"/>
      <c r="L434" s="135"/>
      <c r="M434" s="321"/>
      <c r="N434" s="322"/>
      <c r="O434" s="150"/>
      <c r="P434" s="135"/>
      <c r="Q434" s="135"/>
      <c r="R434" s="321"/>
      <c r="S434" s="322"/>
      <c r="T434" s="319"/>
      <c r="U434" s="322"/>
      <c r="V434" s="322"/>
      <c r="W434" s="322"/>
      <c r="X434" s="322"/>
      <c r="Y434" s="319"/>
      <c r="Z434" s="136" t="str">
        <f t="shared" si="16"/>
        <v/>
      </c>
      <c r="AA434" s="137" t="str">
        <f t="shared" si="17"/>
        <v/>
      </c>
      <c r="AB434" s="154" t="str">
        <f t="shared" si="18"/>
        <v/>
      </c>
      <c r="AC434" s="322"/>
      <c r="AD434" s="319"/>
      <c r="AE434" s="320"/>
    </row>
    <row r="435" ht="18.0" customHeight="1">
      <c r="A435" s="118" t="str">
        <f t="shared" si="15"/>
        <v/>
      </c>
      <c r="B435" s="109"/>
      <c r="C435" s="119"/>
      <c r="D435" s="119"/>
      <c r="E435" s="330"/>
      <c r="F435" s="121"/>
      <c r="G435" s="153"/>
      <c r="H435" s="153"/>
      <c r="I435" s="153"/>
      <c r="J435" s="112"/>
      <c r="K435" s="153"/>
      <c r="L435" s="114"/>
      <c r="M435" s="151"/>
      <c r="N435" s="152"/>
      <c r="O435" s="150"/>
      <c r="P435" s="114"/>
      <c r="Q435" s="114"/>
      <c r="R435" s="151"/>
      <c r="S435" s="152"/>
      <c r="T435" s="153"/>
      <c r="U435" s="152"/>
      <c r="V435" s="152"/>
      <c r="W435" s="152"/>
      <c r="X435" s="152"/>
      <c r="Y435" s="153"/>
      <c r="Z435" s="125" t="str">
        <f t="shared" si="16"/>
        <v/>
      </c>
      <c r="AA435" s="126" t="str">
        <f t="shared" si="17"/>
        <v/>
      </c>
      <c r="AB435" s="154" t="str">
        <f t="shared" si="18"/>
        <v/>
      </c>
      <c r="AC435" s="152"/>
      <c r="AD435" s="153"/>
      <c r="AE435" s="156"/>
    </row>
    <row r="436" ht="18.0" customHeight="1">
      <c r="A436" s="127" t="str">
        <f t="shared" si="15"/>
        <v/>
      </c>
      <c r="B436" s="128"/>
      <c r="C436" s="129"/>
      <c r="D436" s="129"/>
      <c r="E436" s="325"/>
      <c r="F436" s="131"/>
      <c r="G436" s="319"/>
      <c r="H436" s="319"/>
      <c r="I436" s="319"/>
      <c r="J436" s="132"/>
      <c r="K436" s="319"/>
      <c r="L436" s="135"/>
      <c r="M436" s="321"/>
      <c r="N436" s="322"/>
      <c r="O436" s="150"/>
      <c r="P436" s="135"/>
      <c r="Q436" s="135"/>
      <c r="R436" s="321"/>
      <c r="S436" s="322"/>
      <c r="T436" s="319"/>
      <c r="U436" s="322"/>
      <c r="V436" s="322"/>
      <c r="W436" s="322"/>
      <c r="X436" s="322"/>
      <c r="Y436" s="319"/>
      <c r="Z436" s="136" t="str">
        <f t="shared" si="16"/>
        <v/>
      </c>
      <c r="AA436" s="137" t="str">
        <f t="shared" si="17"/>
        <v/>
      </c>
      <c r="AB436" s="154" t="str">
        <f t="shared" si="18"/>
        <v/>
      </c>
      <c r="AC436" s="322"/>
      <c r="AD436" s="319"/>
      <c r="AE436" s="320"/>
    </row>
    <row r="437" ht="18.0" customHeight="1">
      <c r="A437" s="118" t="str">
        <f t="shared" si="15"/>
        <v/>
      </c>
      <c r="B437" s="109"/>
      <c r="C437" s="119"/>
      <c r="D437" s="119"/>
      <c r="E437" s="330"/>
      <c r="F437" s="121"/>
      <c r="G437" s="153"/>
      <c r="H437" s="153"/>
      <c r="I437" s="153"/>
      <c r="J437" s="112"/>
      <c r="K437" s="153"/>
      <c r="L437" s="114"/>
      <c r="M437" s="151"/>
      <c r="N437" s="152"/>
      <c r="O437" s="150"/>
      <c r="P437" s="114"/>
      <c r="Q437" s="114"/>
      <c r="R437" s="151"/>
      <c r="S437" s="152"/>
      <c r="T437" s="153"/>
      <c r="U437" s="152"/>
      <c r="V437" s="152"/>
      <c r="W437" s="152"/>
      <c r="X437" s="152"/>
      <c r="Y437" s="153"/>
      <c r="Z437" s="125" t="str">
        <f t="shared" si="16"/>
        <v/>
      </c>
      <c r="AA437" s="126" t="str">
        <f t="shared" si="17"/>
        <v/>
      </c>
      <c r="AB437" s="154" t="str">
        <f t="shared" si="18"/>
        <v/>
      </c>
      <c r="AC437" s="152"/>
      <c r="AD437" s="153"/>
      <c r="AE437" s="156"/>
    </row>
    <row r="438" ht="18.0" customHeight="1">
      <c r="A438" s="127" t="str">
        <f t="shared" si="15"/>
        <v/>
      </c>
      <c r="B438" s="128"/>
      <c r="C438" s="129"/>
      <c r="D438" s="129"/>
      <c r="E438" s="325"/>
      <c r="F438" s="131"/>
      <c r="G438" s="319"/>
      <c r="H438" s="319"/>
      <c r="I438" s="319"/>
      <c r="J438" s="132"/>
      <c r="K438" s="319"/>
      <c r="L438" s="135"/>
      <c r="M438" s="321"/>
      <c r="N438" s="322"/>
      <c r="O438" s="150"/>
      <c r="P438" s="135"/>
      <c r="Q438" s="135"/>
      <c r="R438" s="321"/>
      <c r="S438" s="322"/>
      <c r="T438" s="319"/>
      <c r="U438" s="322"/>
      <c r="V438" s="322"/>
      <c r="W438" s="322"/>
      <c r="X438" s="322"/>
      <c r="Y438" s="319"/>
      <c r="Z438" s="136" t="str">
        <f t="shared" si="16"/>
        <v/>
      </c>
      <c r="AA438" s="137" t="str">
        <f t="shared" si="17"/>
        <v/>
      </c>
      <c r="AB438" s="154" t="str">
        <f t="shared" si="18"/>
        <v/>
      </c>
      <c r="AC438" s="322"/>
      <c r="AD438" s="319"/>
      <c r="AE438" s="320"/>
    </row>
    <row r="439" ht="18.0" customHeight="1">
      <c r="A439" s="118" t="str">
        <f t="shared" si="15"/>
        <v/>
      </c>
      <c r="B439" s="109"/>
      <c r="C439" s="119"/>
      <c r="D439" s="119"/>
      <c r="E439" s="330"/>
      <c r="F439" s="121"/>
      <c r="G439" s="153"/>
      <c r="H439" s="153"/>
      <c r="I439" s="153"/>
      <c r="J439" s="112"/>
      <c r="K439" s="153"/>
      <c r="L439" s="114"/>
      <c r="M439" s="151"/>
      <c r="N439" s="152"/>
      <c r="O439" s="150"/>
      <c r="P439" s="114"/>
      <c r="Q439" s="114"/>
      <c r="R439" s="151"/>
      <c r="S439" s="152"/>
      <c r="T439" s="153"/>
      <c r="U439" s="152"/>
      <c r="V439" s="152"/>
      <c r="W439" s="152"/>
      <c r="X439" s="152"/>
      <c r="Y439" s="153"/>
      <c r="Z439" s="125" t="str">
        <f t="shared" si="16"/>
        <v/>
      </c>
      <c r="AA439" s="126" t="str">
        <f t="shared" si="17"/>
        <v/>
      </c>
      <c r="AB439" s="154" t="str">
        <f t="shared" si="18"/>
        <v/>
      </c>
      <c r="AC439" s="152"/>
      <c r="AD439" s="153"/>
      <c r="AE439" s="156"/>
    </row>
    <row r="440" ht="18.0" customHeight="1">
      <c r="A440" s="127" t="str">
        <f t="shared" si="15"/>
        <v/>
      </c>
      <c r="B440" s="128"/>
      <c r="C440" s="129"/>
      <c r="D440" s="129"/>
      <c r="E440" s="325"/>
      <c r="F440" s="131"/>
      <c r="G440" s="319"/>
      <c r="H440" s="319"/>
      <c r="I440" s="319"/>
      <c r="J440" s="132"/>
      <c r="K440" s="319"/>
      <c r="L440" s="135"/>
      <c r="M440" s="321"/>
      <c r="N440" s="322"/>
      <c r="O440" s="150"/>
      <c r="P440" s="135"/>
      <c r="Q440" s="135"/>
      <c r="R440" s="321"/>
      <c r="S440" s="322"/>
      <c r="T440" s="319"/>
      <c r="U440" s="322"/>
      <c r="V440" s="322"/>
      <c r="W440" s="322"/>
      <c r="X440" s="322"/>
      <c r="Y440" s="319"/>
      <c r="Z440" s="136" t="str">
        <f t="shared" si="16"/>
        <v/>
      </c>
      <c r="AA440" s="137" t="str">
        <f t="shared" si="17"/>
        <v/>
      </c>
      <c r="AB440" s="154" t="str">
        <f t="shared" si="18"/>
        <v/>
      </c>
      <c r="AC440" s="322"/>
      <c r="AD440" s="319"/>
      <c r="AE440" s="320"/>
    </row>
    <row r="441" ht="18.0" customHeight="1">
      <c r="A441" s="118" t="str">
        <f t="shared" si="15"/>
        <v/>
      </c>
      <c r="B441" s="109"/>
      <c r="C441" s="119"/>
      <c r="D441" s="119"/>
      <c r="E441" s="330"/>
      <c r="F441" s="121"/>
      <c r="G441" s="153"/>
      <c r="H441" s="153"/>
      <c r="I441" s="153"/>
      <c r="J441" s="112"/>
      <c r="K441" s="153"/>
      <c r="L441" s="114"/>
      <c r="M441" s="151"/>
      <c r="N441" s="152"/>
      <c r="O441" s="150"/>
      <c r="P441" s="114"/>
      <c r="Q441" s="114"/>
      <c r="R441" s="151"/>
      <c r="S441" s="152"/>
      <c r="T441" s="153"/>
      <c r="U441" s="152"/>
      <c r="V441" s="152"/>
      <c r="W441" s="152"/>
      <c r="X441" s="152"/>
      <c r="Y441" s="153"/>
      <c r="Z441" s="125" t="str">
        <f t="shared" si="16"/>
        <v/>
      </c>
      <c r="AA441" s="126" t="str">
        <f t="shared" si="17"/>
        <v/>
      </c>
      <c r="AB441" s="154" t="str">
        <f t="shared" si="18"/>
        <v/>
      </c>
      <c r="AC441" s="152"/>
      <c r="AD441" s="153"/>
      <c r="AE441" s="156"/>
    </row>
    <row r="442" ht="18.0" customHeight="1">
      <c r="A442" s="127" t="str">
        <f t="shared" si="15"/>
        <v/>
      </c>
      <c r="B442" s="128"/>
      <c r="C442" s="129"/>
      <c r="D442" s="129"/>
      <c r="E442" s="325"/>
      <c r="F442" s="131"/>
      <c r="G442" s="319"/>
      <c r="H442" s="319"/>
      <c r="I442" s="319"/>
      <c r="J442" s="132"/>
      <c r="K442" s="319"/>
      <c r="L442" s="135"/>
      <c r="M442" s="321"/>
      <c r="N442" s="322"/>
      <c r="O442" s="150"/>
      <c r="P442" s="135"/>
      <c r="Q442" s="135"/>
      <c r="R442" s="321"/>
      <c r="S442" s="322"/>
      <c r="T442" s="319"/>
      <c r="U442" s="322"/>
      <c r="V442" s="322"/>
      <c r="W442" s="322"/>
      <c r="X442" s="322"/>
      <c r="Y442" s="319"/>
      <c r="Z442" s="136" t="str">
        <f t="shared" si="16"/>
        <v/>
      </c>
      <c r="AA442" s="137" t="str">
        <f t="shared" si="17"/>
        <v/>
      </c>
      <c r="AB442" s="154" t="str">
        <f t="shared" si="18"/>
        <v/>
      </c>
      <c r="AC442" s="322"/>
      <c r="AD442" s="319"/>
      <c r="AE442" s="320"/>
    </row>
    <row r="443" ht="18.0" customHeight="1">
      <c r="A443" s="118" t="str">
        <f t="shared" si="15"/>
        <v/>
      </c>
      <c r="B443" s="109"/>
      <c r="C443" s="119"/>
      <c r="D443" s="119"/>
      <c r="E443" s="330"/>
      <c r="F443" s="121"/>
      <c r="G443" s="153"/>
      <c r="H443" s="153"/>
      <c r="I443" s="153"/>
      <c r="J443" s="112"/>
      <c r="K443" s="153"/>
      <c r="L443" s="114"/>
      <c r="M443" s="151"/>
      <c r="N443" s="152"/>
      <c r="O443" s="150"/>
      <c r="P443" s="114"/>
      <c r="Q443" s="114"/>
      <c r="R443" s="151"/>
      <c r="S443" s="152"/>
      <c r="T443" s="153"/>
      <c r="U443" s="152"/>
      <c r="V443" s="152"/>
      <c r="W443" s="152"/>
      <c r="X443" s="152"/>
      <c r="Y443" s="153"/>
      <c r="Z443" s="125" t="str">
        <f t="shared" si="16"/>
        <v/>
      </c>
      <c r="AA443" s="126" t="str">
        <f t="shared" si="17"/>
        <v/>
      </c>
      <c r="AB443" s="154" t="str">
        <f t="shared" si="18"/>
        <v/>
      </c>
      <c r="AC443" s="152"/>
      <c r="AD443" s="153"/>
      <c r="AE443" s="156"/>
    </row>
    <row r="444" ht="18.0" customHeight="1">
      <c r="A444" s="127" t="str">
        <f t="shared" si="15"/>
        <v/>
      </c>
      <c r="B444" s="128"/>
      <c r="C444" s="129"/>
      <c r="D444" s="129"/>
      <c r="E444" s="325"/>
      <c r="F444" s="131"/>
      <c r="G444" s="319"/>
      <c r="H444" s="319"/>
      <c r="I444" s="319"/>
      <c r="J444" s="132"/>
      <c r="K444" s="319"/>
      <c r="L444" s="135"/>
      <c r="M444" s="321"/>
      <c r="N444" s="322"/>
      <c r="O444" s="150"/>
      <c r="P444" s="135"/>
      <c r="Q444" s="135"/>
      <c r="R444" s="321"/>
      <c r="S444" s="322"/>
      <c r="T444" s="319"/>
      <c r="U444" s="322"/>
      <c r="V444" s="322"/>
      <c r="W444" s="322"/>
      <c r="X444" s="322"/>
      <c r="Y444" s="319"/>
      <c r="Z444" s="136" t="str">
        <f t="shared" si="16"/>
        <v/>
      </c>
      <c r="AA444" s="137" t="str">
        <f t="shared" si="17"/>
        <v/>
      </c>
      <c r="AB444" s="154" t="str">
        <f t="shared" si="18"/>
        <v/>
      </c>
      <c r="AC444" s="322"/>
      <c r="AD444" s="319"/>
      <c r="AE444" s="320"/>
    </row>
    <row r="445" ht="18.0" customHeight="1">
      <c r="A445" s="118" t="str">
        <f t="shared" si="15"/>
        <v/>
      </c>
      <c r="B445" s="109"/>
      <c r="C445" s="119"/>
      <c r="D445" s="119"/>
      <c r="E445" s="330"/>
      <c r="F445" s="121"/>
      <c r="G445" s="153"/>
      <c r="H445" s="153"/>
      <c r="I445" s="153"/>
      <c r="J445" s="112"/>
      <c r="K445" s="153"/>
      <c r="L445" s="114"/>
      <c r="M445" s="151"/>
      <c r="N445" s="152"/>
      <c r="O445" s="150"/>
      <c r="P445" s="114"/>
      <c r="Q445" s="114"/>
      <c r="R445" s="151"/>
      <c r="S445" s="152"/>
      <c r="T445" s="153"/>
      <c r="U445" s="152"/>
      <c r="V445" s="152"/>
      <c r="W445" s="152"/>
      <c r="X445" s="152"/>
      <c r="Y445" s="153"/>
      <c r="Z445" s="125" t="str">
        <f t="shared" si="16"/>
        <v/>
      </c>
      <c r="AA445" s="126" t="str">
        <f t="shared" si="17"/>
        <v/>
      </c>
      <c r="AB445" s="154" t="str">
        <f t="shared" si="18"/>
        <v/>
      </c>
      <c r="AC445" s="152"/>
      <c r="AD445" s="153"/>
      <c r="AE445" s="156"/>
    </row>
    <row r="446" ht="18.0" customHeight="1">
      <c r="A446" s="127" t="str">
        <f t="shared" si="15"/>
        <v/>
      </c>
      <c r="B446" s="128"/>
      <c r="C446" s="129"/>
      <c r="D446" s="129"/>
      <c r="E446" s="325"/>
      <c r="F446" s="131"/>
      <c r="G446" s="319"/>
      <c r="H446" s="319"/>
      <c r="I446" s="319"/>
      <c r="J446" s="132"/>
      <c r="K446" s="319"/>
      <c r="L446" s="135"/>
      <c r="M446" s="321"/>
      <c r="N446" s="322"/>
      <c r="O446" s="150"/>
      <c r="P446" s="135"/>
      <c r="Q446" s="135"/>
      <c r="R446" s="321"/>
      <c r="S446" s="322"/>
      <c r="T446" s="319"/>
      <c r="U446" s="322"/>
      <c r="V446" s="322"/>
      <c r="W446" s="322"/>
      <c r="X446" s="322"/>
      <c r="Y446" s="319"/>
      <c r="Z446" s="136" t="str">
        <f t="shared" si="16"/>
        <v/>
      </c>
      <c r="AA446" s="137" t="str">
        <f t="shared" si="17"/>
        <v/>
      </c>
      <c r="AB446" s="154" t="str">
        <f t="shared" si="18"/>
        <v/>
      </c>
      <c r="AC446" s="322"/>
      <c r="AD446" s="319"/>
      <c r="AE446" s="320"/>
    </row>
    <row r="447" ht="18.0" customHeight="1">
      <c r="A447" s="118" t="str">
        <f t="shared" si="15"/>
        <v/>
      </c>
      <c r="B447" s="109"/>
      <c r="C447" s="119"/>
      <c r="D447" s="119"/>
      <c r="E447" s="330"/>
      <c r="F447" s="121"/>
      <c r="G447" s="153"/>
      <c r="H447" s="153"/>
      <c r="I447" s="153"/>
      <c r="J447" s="112"/>
      <c r="K447" s="153"/>
      <c r="L447" s="114"/>
      <c r="M447" s="151"/>
      <c r="N447" s="152"/>
      <c r="O447" s="150"/>
      <c r="P447" s="114"/>
      <c r="Q447" s="114"/>
      <c r="R447" s="151"/>
      <c r="S447" s="152"/>
      <c r="T447" s="153"/>
      <c r="U447" s="152"/>
      <c r="V447" s="152"/>
      <c r="W447" s="152"/>
      <c r="X447" s="152"/>
      <c r="Y447" s="153"/>
      <c r="Z447" s="125" t="str">
        <f t="shared" si="16"/>
        <v/>
      </c>
      <c r="AA447" s="126" t="str">
        <f t="shared" si="17"/>
        <v/>
      </c>
      <c r="AB447" s="154" t="str">
        <f t="shared" si="18"/>
        <v/>
      </c>
      <c r="AC447" s="152"/>
      <c r="AD447" s="153"/>
      <c r="AE447" s="156"/>
    </row>
    <row r="448" ht="18.0" customHeight="1">
      <c r="A448" s="127" t="str">
        <f t="shared" si="15"/>
        <v/>
      </c>
      <c r="B448" s="128"/>
      <c r="C448" s="129"/>
      <c r="D448" s="129"/>
      <c r="E448" s="325"/>
      <c r="F448" s="131"/>
      <c r="G448" s="319"/>
      <c r="H448" s="319"/>
      <c r="I448" s="319"/>
      <c r="J448" s="132"/>
      <c r="K448" s="319"/>
      <c r="L448" s="135"/>
      <c r="M448" s="321"/>
      <c r="N448" s="322"/>
      <c r="O448" s="150"/>
      <c r="P448" s="135"/>
      <c r="Q448" s="135"/>
      <c r="R448" s="321"/>
      <c r="S448" s="322"/>
      <c r="T448" s="319"/>
      <c r="U448" s="322"/>
      <c r="V448" s="322"/>
      <c r="W448" s="322"/>
      <c r="X448" s="322"/>
      <c r="Y448" s="319"/>
      <c r="Z448" s="136" t="str">
        <f t="shared" si="16"/>
        <v/>
      </c>
      <c r="AA448" s="137" t="str">
        <f t="shared" si="17"/>
        <v/>
      </c>
      <c r="AB448" s="154" t="str">
        <f t="shared" si="18"/>
        <v/>
      </c>
      <c r="AC448" s="322"/>
      <c r="AD448" s="319"/>
      <c r="AE448" s="320"/>
    </row>
    <row r="449" ht="18.0" customHeight="1">
      <c r="A449" s="118" t="str">
        <f t="shared" si="15"/>
        <v/>
      </c>
      <c r="B449" s="109"/>
      <c r="C449" s="119"/>
      <c r="D449" s="119"/>
      <c r="E449" s="330"/>
      <c r="F449" s="121"/>
      <c r="G449" s="153"/>
      <c r="H449" s="153"/>
      <c r="I449" s="153"/>
      <c r="J449" s="112"/>
      <c r="K449" s="153"/>
      <c r="L449" s="114"/>
      <c r="M449" s="151"/>
      <c r="N449" s="152"/>
      <c r="O449" s="150"/>
      <c r="P449" s="114"/>
      <c r="Q449" s="114"/>
      <c r="R449" s="151"/>
      <c r="S449" s="152"/>
      <c r="T449" s="153"/>
      <c r="U449" s="152"/>
      <c r="V449" s="152"/>
      <c r="W449" s="152"/>
      <c r="X449" s="152"/>
      <c r="Y449" s="153"/>
      <c r="Z449" s="125" t="str">
        <f t="shared" si="16"/>
        <v/>
      </c>
      <c r="AA449" s="126" t="str">
        <f t="shared" si="17"/>
        <v/>
      </c>
      <c r="AB449" s="154" t="str">
        <f t="shared" si="18"/>
        <v/>
      </c>
      <c r="AC449" s="152"/>
      <c r="AD449" s="153"/>
      <c r="AE449" s="156"/>
    </row>
    <row r="450" ht="18.0" customHeight="1">
      <c r="A450" s="127" t="str">
        <f t="shared" si="15"/>
        <v/>
      </c>
      <c r="B450" s="128"/>
      <c r="C450" s="129"/>
      <c r="D450" s="129"/>
      <c r="E450" s="325"/>
      <c r="F450" s="131"/>
      <c r="G450" s="319"/>
      <c r="H450" s="319"/>
      <c r="I450" s="319"/>
      <c r="J450" s="132"/>
      <c r="K450" s="319"/>
      <c r="L450" s="135"/>
      <c r="M450" s="321"/>
      <c r="N450" s="322"/>
      <c r="O450" s="150"/>
      <c r="P450" s="135"/>
      <c r="Q450" s="135"/>
      <c r="R450" s="321"/>
      <c r="S450" s="322"/>
      <c r="T450" s="319"/>
      <c r="U450" s="322"/>
      <c r="V450" s="322"/>
      <c r="W450" s="322"/>
      <c r="X450" s="322"/>
      <c r="Y450" s="319"/>
      <c r="Z450" s="136" t="str">
        <f t="shared" si="16"/>
        <v/>
      </c>
      <c r="AA450" s="137" t="str">
        <f t="shared" si="17"/>
        <v/>
      </c>
      <c r="AB450" s="154" t="str">
        <f t="shared" si="18"/>
        <v/>
      </c>
      <c r="AC450" s="322"/>
      <c r="AD450" s="319"/>
      <c r="AE450" s="320"/>
    </row>
    <row r="451" ht="18.0" customHeight="1">
      <c r="A451" s="118" t="str">
        <f t="shared" si="15"/>
        <v/>
      </c>
      <c r="B451" s="109"/>
      <c r="C451" s="119"/>
      <c r="D451" s="119"/>
      <c r="E451" s="330"/>
      <c r="F451" s="121"/>
      <c r="G451" s="153"/>
      <c r="H451" s="153"/>
      <c r="I451" s="153"/>
      <c r="J451" s="112"/>
      <c r="K451" s="153"/>
      <c r="L451" s="114"/>
      <c r="M451" s="151"/>
      <c r="N451" s="152"/>
      <c r="O451" s="150"/>
      <c r="P451" s="114"/>
      <c r="Q451" s="114"/>
      <c r="R451" s="151"/>
      <c r="S451" s="152"/>
      <c r="T451" s="153"/>
      <c r="U451" s="152"/>
      <c r="V451" s="152"/>
      <c r="W451" s="152"/>
      <c r="X451" s="152"/>
      <c r="Y451" s="153"/>
      <c r="Z451" s="125" t="str">
        <f t="shared" si="16"/>
        <v/>
      </c>
      <c r="AA451" s="126" t="str">
        <f t="shared" si="17"/>
        <v/>
      </c>
      <c r="AB451" s="154" t="str">
        <f t="shared" si="18"/>
        <v/>
      </c>
      <c r="AC451" s="152"/>
      <c r="AD451" s="153"/>
      <c r="AE451" s="156"/>
    </row>
    <row r="452" ht="18.0" customHeight="1">
      <c r="A452" s="127" t="str">
        <f t="shared" si="15"/>
        <v/>
      </c>
      <c r="B452" s="128"/>
      <c r="C452" s="129"/>
      <c r="D452" s="129"/>
      <c r="E452" s="325"/>
      <c r="F452" s="131"/>
      <c r="G452" s="319"/>
      <c r="H452" s="319"/>
      <c r="I452" s="319"/>
      <c r="J452" s="132"/>
      <c r="K452" s="319"/>
      <c r="L452" s="135"/>
      <c r="M452" s="321"/>
      <c r="N452" s="322"/>
      <c r="O452" s="150"/>
      <c r="P452" s="135"/>
      <c r="Q452" s="135"/>
      <c r="R452" s="321"/>
      <c r="S452" s="322"/>
      <c r="T452" s="319"/>
      <c r="U452" s="322"/>
      <c r="V452" s="322"/>
      <c r="W452" s="322"/>
      <c r="X452" s="322"/>
      <c r="Y452" s="319"/>
      <c r="Z452" s="136" t="str">
        <f t="shared" si="16"/>
        <v/>
      </c>
      <c r="AA452" s="137" t="str">
        <f t="shared" si="17"/>
        <v/>
      </c>
      <c r="AB452" s="154" t="str">
        <f t="shared" si="18"/>
        <v/>
      </c>
      <c r="AC452" s="322"/>
      <c r="AD452" s="319"/>
      <c r="AE452" s="320"/>
    </row>
    <row r="453" ht="18.0" customHeight="1">
      <c r="A453" s="118" t="str">
        <f t="shared" si="15"/>
        <v/>
      </c>
      <c r="B453" s="109"/>
      <c r="C453" s="119"/>
      <c r="D453" s="119"/>
      <c r="E453" s="330"/>
      <c r="F453" s="121"/>
      <c r="G453" s="153"/>
      <c r="H453" s="153"/>
      <c r="I453" s="153"/>
      <c r="J453" s="112"/>
      <c r="K453" s="153"/>
      <c r="L453" s="114"/>
      <c r="M453" s="151"/>
      <c r="N453" s="152"/>
      <c r="O453" s="150"/>
      <c r="P453" s="114"/>
      <c r="Q453" s="114"/>
      <c r="R453" s="151"/>
      <c r="S453" s="152"/>
      <c r="T453" s="153"/>
      <c r="U453" s="152"/>
      <c r="V453" s="152"/>
      <c r="W453" s="152"/>
      <c r="X453" s="152"/>
      <c r="Y453" s="153"/>
      <c r="Z453" s="125" t="str">
        <f t="shared" si="16"/>
        <v/>
      </c>
      <c r="AA453" s="126" t="str">
        <f t="shared" si="17"/>
        <v/>
      </c>
      <c r="AB453" s="154" t="str">
        <f t="shared" si="18"/>
        <v/>
      </c>
      <c r="AC453" s="152"/>
      <c r="AD453" s="153"/>
      <c r="AE453" s="156"/>
    </row>
    <row r="454" ht="18.0" customHeight="1">
      <c r="A454" s="127" t="str">
        <f t="shared" si="15"/>
        <v/>
      </c>
      <c r="B454" s="128"/>
      <c r="C454" s="129"/>
      <c r="D454" s="129"/>
      <c r="E454" s="325"/>
      <c r="F454" s="131"/>
      <c r="G454" s="319"/>
      <c r="H454" s="319"/>
      <c r="I454" s="319"/>
      <c r="J454" s="132"/>
      <c r="K454" s="319"/>
      <c r="L454" s="135"/>
      <c r="M454" s="321"/>
      <c r="N454" s="322"/>
      <c r="O454" s="150"/>
      <c r="P454" s="135"/>
      <c r="Q454" s="135"/>
      <c r="R454" s="321"/>
      <c r="S454" s="322"/>
      <c r="T454" s="319"/>
      <c r="U454" s="322"/>
      <c r="V454" s="322"/>
      <c r="W454" s="322"/>
      <c r="X454" s="322"/>
      <c r="Y454" s="319"/>
      <c r="Z454" s="136" t="str">
        <f t="shared" si="16"/>
        <v/>
      </c>
      <c r="AA454" s="137" t="str">
        <f t="shared" si="17"/>
        <v/>
      </c>
      <c r="AB454" s="154" t="str">
        <f t="shared" si="18"/>
        <v/>
      </c>
      <c r="AC454" s="322"/>
      <c r="AD454" s="319"/>
      <c r="AE454" s="320"/>
    </row>
    <row r="455" ht="18.0" customHeight="1">
      <c r="A455" s="118" t="str">
        <f t="shared" si="15"/>
        <v/>
      </c>
      <c r="B455" s="109"/>
      <c r="C455" s="119"/>
      <c r="D455" s="119"/>
      <c r="E455" s="330"/>
      <c r="F455" s="121"/>
      <c r="G455" s="153"/>
      <c r="H455" s="153"/>
      <c r="I455" s="153"/>
      <c r="J455" s="112"/>
      <c r="K455" s="153"/>
      <c r="L455" s="114"/>
      <c r="M455" s="151"/>
      <c r="N455" s="152"/>
      <c r="O455" s="150"/>
      <c r="P455" s="114"/>
      <c r="Q455" s="114"/>
      <c r="R455" s="151"/>
      <c r="S455" s="152"/>
      <c r="T455" s="153"/>
      <c r="U455" s="152"/>
      <c r="V455" s="152"/>
      <c r="W455" s="152"/>
      <c r="X455" s="152"/>
      <c r="Y455" s="153"/>
      <c r="Z455" s="125" t="str">
        <f t="shared" si="16"/>
        <v/>
      </c>
      <c r="AA455" s="126" t="str">
        <f t="shared" si="17"/>
        <v/>
      </c>
      <c r="AB455" s="154" t="str">
        <f t="shared" si="18"/>
        <v/>
      </c>
      <c r="AC455" s="152"/>
      <c r="AD455" s="153"/>
      <c r="AE455" s="156"/>
    </row>
    <row r="456" ht="18.0" customHeight="1">
      <c r="A456" s="127" t="str">
        <f t="shared" si="15"/>
        <v/>
      </c>
      <c r="B456" s="128"/>
      <c r="C456" s="129"/>
      <c r="D456" s="129"/>
      <c r="E456" s="325"/>
      <c r="F456" s="131"/>
      <c r="G456" s="319"/>
      <c r="H456" s="319"/>
      <c r="I456" s="319"/>
      <c r="J456" s="132"/>
      <c r="K456" s="319"/>
      <c r="L456" s="135"/>
      <c r="M456" s="321"/>
      <c r="N456" s="322"/>
      <c r="O456" s="150"/>
      <c r="P456" s="135"/>
      <c r="Q456" s="135"/>
      <c r="R456" s="321"/>
      <c r="S456" s="322"/>
      <c r="T456" s="319"/>
      <c r="U456" s="322"/>
      <c r="V456" s="322"/>
      <c r="W456" s="322"/>
      <c r="X456" s="322"/>
      <c r="Y456" s="319"/>
      <c r="Z456" s="136" t="str">
        <f t="shared" si="16"/>
        <v/>
      </c>
      <c r="AA456" s="137" t="str">
        <f t="shared" si="17"/>
        <v/>
      </c>
      <c r="AB456" s="154" t="str">
        <f t="shared" si="18"/>
        <v/>
      </c>
      <c r="AC456" s="322"/>
      <c r="AD456" s="319"/>
      <c r="AE456" s="320"/>
    </row>
    <row r="457" ht="18.0" customHeight="1">
      <c r="A457" s="118" t="str">
        <f t="shared" si="15"/>
        <v/>
      </c>
      <c r="B457" s="109"/>
      <c r="C457" s="119"/>
      <c r="D457" s="119"/>
      <c r="E457" s="330"/>
      <c r="F457" s="121"/>
      <c r="G457" s="153"/>
      <c r="H457" s="153"/>
      <c r="I457" s="153"/>
      <c r="J457" s="112"/>
      <c r="K457" s="153"/>
      <c r="L457" s="114"/>
      <c r="M457" s="151"/>
      <c r="N457" s="152"/>
      <c r="O457" s="150"/>
      <c r="P457" s="114"/>
      <c r="Q457" s="114"/>
      <c r="R457" s="151"/>
      <c r="S457" s="152"/>
      <c r="T457" s="153"/>
      <c r="U457" s="152"/>
      <c r="V457" s="152"/>
      <c r="W457" s="152"/>
      <c r="X457" s="152"/>
      <c r="Y457" s="153"/>
      <c r="Z457" s="125" t="str">
        <f t="shared" si="16"/>
        <v/>
      </c>
      <c r="AA457" s="126" t="str">
        <f t="shared" si="17"/>
        <v/>
      </c>
      <c r="AB457" s="154" t="str">
        <f t="shared" si="18"/>
        <v/>
      </c>
      <c r="AC457" s="152"/>
      <c r="AD457" s="153"/>
      <c r="AE457" s="156"/>
    </row>
    <row r="458" ht="18.0" customHeight="1">
      <c r="A458" s="127" t="str">
        <f t="shared" si="15"/>
        <v/>
      </c>
      <c r="B458" s="128"/>
      <c r="C458" s="129"/>
      <c r="D458" s="129"/>
      <c r="E458" s="325"/>
      <c r="F458" s="131"/>
      <c r="G458" s="319"/>
      <c r="H458" s="319"/>
      <c r="I458" s="319"/>
      <c r="J458" s="132"/>
      <c r="K458" s="319"/>
      <c r="L458" s="135"/>
      <c r="M458" s="321"/>
      <c r="N458" s="322"/>
      <c r="O458" s="150"/>
      <c r="P458" s="135"/>
      <c r="Q458" s="135"/>
      <c r="R458" s="321"/>
      <c r="S458" s="322"/>
      <c r="T458" s="319"/>
      <c r="U458" s="322"/>
      <c r="V458" s="322"/>
      <c r="W458" s="322"/>
      <c r="X458" s="322"/>
      <c r="Y458" s="319"/>
      <c r="Z458" s="136" t="str">
        <f t="shared" si="16"/>
        <v/>
      </c>
      <c r="AA458" s="137" t="str">
        <f t="shared" si="17"/>
        <v/>
      </c>
      <c r="AB458" s="154" t="str">
        <f t="shared" si="18"/>
        <v/>
      </c>
      <c r="AC458" s="322"/>
      <c r="AD458" s="319"/>
      <c r="AE458" s="320"/>
    </row>
    <row r="459" ht="18.0" customHeight="1">
      <c r="A459" s="118" t="str">
        <f t="shared" si="15"/>
        <v/>
      </c>
      <c r="B459" s="109"/>
      <c r="C459" s="119"/>
      <c r="D459" s="119"/>
      <c r="E459" s="330"/>
      <c r="F459" s="121"/>
      <c r="G459" s="153"/>
      <c r="H459" s="153"/>
      <c r="I459" s="153"/>
      <c r="J459" s="112"/>
      <c r="K459" s="153"/>
      <c r="L459" s="114"/>
      <c r="M459" s="151"/>
      <c r="N459" s="152"/>
      <c r="O459" s="150"/>
      <c r="P459" s="114"/>
      <c r="Q459" s="114"/>
      <c r="R459" s="151"/>
      <c r="S459" s="152"/>
      <c r="T459" s="153"/>
      <c r="U459" s="152"/>
      <c r="V459" s="152"/>
      <c r="W459" s="152"/>
      <c r="X459" s="152"/>
      <c r="Y459" s="153"/>
      <c r="Z459" s="125" t="str">
        <f t="shared" si="16"/>
        <v/>
      </c>
      <c r="AA459" s="126" t="str">
        <f t="shared" si="17"/>
        <v/>
      </c>
      <c r="AB459" s="154" t="str">
        <f t="shared" si="18"/>
        <v/>
      </c>
      <c r="AC459" s="152"/>
      <c r="AD459" s="153"/>
      <c r="AE459" s="156"/>
    </row>
    <row r="460" ht="18.0" customHeight="1">
      <c r="A460" s="127" t="str">
        <f t="shared" si="15"/>
        <v/>
      </c>
      <c r="B460" s="128"/>
      <c r="C460" s="129"/>
      <c r="D460" s="129"/>
      <c r="E460" s="325"/>
      <c r="F460" s="131"/>
      <c r="G460" s="319"/>
      <c r="H460" s="319"/>
      <c r="I460" s="319"/>
      <c r="J460" s="132"/>
      <c r="K460" s="319"/>
      <c r="L460" s="135"/>
      <c r="M460" s="321"/>
      <c r="N460" s="322"/>
      <c r="O460" s="150"/>
      <c r="P460" s="135"/>
      <c r="Q460" s="135"/>
      <c r="R460" s="321"/>
      <c r="S460" s="322"/>
      <c r="T460" s="319"/>
      <c r="U460" s="322"/>
      <c r="V460" s="322"/>
      <c r="W460" s="322"/>
      <c r="X460" s="322"/>
      <c r="Y460" s="319"/>
      <c r="Z460" s="136" t="str">
        <f t="shared" si="16"/>
        <v/>
      </c>
      <c r="AA460" s="137" t="str">
        <f t="shared" si="17"/>
        <v/>
      </c>
      <c r="AB460" s="154" t="str">
        <f t="shared" si="18"/>
        <v/>
      </c>
      <c r="AC460" s="322"/>
      <c r="AD460" s="319"/>
      <c r="AE460" s="320"/>
    </row>
    <row r="461" ht="18.0" customHeight="1">
      <c r="A461" s="118" t="str">
        <f t="shared" si="15"/>
        <v/>
      </c>
      <c r="B461" s="109"/>
      <c r="C461" s="119"/>
      <c r="D461" s="119"/>
      <c r="E461" s="330"/>
      <c r="F461" s="121"/>
      <c r="G461" s="153"/>
      <c r="H461" s="153"/>
      <c r="I461" s="153"/>
      <c r="J461" s="112"/>
      <c r="K461" s="153"/>
      <c r="L461" s="114"/>
      <c r="M461" s="151"/>
      <c r="N461" s="152"/>
      <c r="O461" s="150"/>
      <c r="P461" s="114"/>
      <c r="Q461" s="114"/>
      <c r="R461" s="151"/>
      <c r="S461" s="152"/>
      <c r="T461" s="153"/>
      <c r="U461" s="152"/>
      <c r="V461" s="152"/>
      <c r="W461" s="152"/>
      <c r="X461" s="152"/>
      <c r="Y461" s="153"/>
      <c r="Z461" s="125" t="str">
        <f t="shared" si="16"/>
        <v/>
      </c>
      <c r="AA461" s="126" t="str">
        <f t="shared" si="17"/>
        <v/>
      </c>
      <c r="AB461" s="154" t="str">
        <f t="shared" si="18"/>
        <v/>
      </c>
      <c r="AC461" s="152"/>
      <c r="AD461" s="153"/>
      <c r="AE461" s="156"/>
    </row>
    <row r="462" ht="18.0" customHeight="1">
      <c r="A462" s="127" t="str">
        <f t="shared" si="15"/>
        <v/>
      </c>
      <c r="B462" s="128"/>
      <c r="C462" s="129"/>
      <c r="D462" s="129"/>
      <c r="E462" s="325"/>
      <c r="F462" s="131"/>
      <c r="G462" s="319"/>
      <c r="H462" s="319"/>
      <c r="I462" s="319"/>
      <c r="J462" s="132"/>
      <c r="K462" s="319"/>
      <c r="L462" s="135"/>
      <c r="M462" s="321"/>
      <c r="N462" s="322"/>
      <c r="O462" s="150"/>
      <c r="P462" s="135"/>
      <c r="Q462" s="135"/>
      <c r="R462" s="321"/>
      <c r="S462" s="322"/>
      <c r="T462" s="319"/>
      <c r="U462" s="322"/>
      <c r="V462" s="322"/>
      <c r="W462" s="322"/>
      <c r="X462" s="322"/>
      <c r="Y462" s="319"/>
      <c r="Z462" s="136" t="str">
        <f t="shared" si="16"/>
        <v/>
      </c>
      <c r="AA462" s="137" t="str">
        <f t="shared" si="17"/>
        <v/>
      </c>
      <c r="AB462" s="154" t="str">
        <f t="shared" si="18"/>
        <v/>
      </c>
      <c r="AC462" s="322"/>
      <c r="AD462" s="319"/>
      <c r="AE462" s="320"/>
    </row>
    <row r="463" ht="18.0" customHeight="1">
      <c r="A463" s="118" t="str">
        <f t="shared" si="15"/>
        <v/>
      </c>
      <c r="B463" s="109"/>
      <c r="C463" s="119"/>
      <c r="D463" s="119"/>
      <c r="E463" s="330"/>
      <c r="F463" s="121"/>
      <c r="G463" s="153"/>
      <c r="H463" s="153"/>
      <c r="I463" s="153"/>
      <c r="J463" s="112"/>
      <c r="K463" s="153"/>
      <c r="L463" s="114"/>
      <c r="M463" s="151"/>
      <c r="N463" s="152"/>
      <c r="O463" s="150"/>
      <c r="P463" s="114"/>
      <c r="Q463" s="114"/>
      <c r="R463" s="151"/>
      <c r="S463" s="152"/>
      <c r="T463" s="153"/>
      <c r="U463" s="152"/>
      <c r="V463" s="152"/>
      <c r="W463" s="152"/>
      <c r="X463" s="152"/>
      <c r="Y463" s="153"/>
      <c r="Z463" s="125" t="str">
        <f t="shared" si="16"/>
        <v/>
      </c>
      <c r="AA463" s="126" t="str">
        <f t="shared" si="17"/>
        <v/>
      </c>
      <c r="AB463" s="154" t="str">
        <f t="shared" si="18"/>
        <v/>
      </c>
      <c r="AC463" s="152"/>
      <c r="AD463" s="153"/>
      <c r="AE463" s="156"/>
    </row>
    <row r="464" ht="18.0" customHeight="1">
      <c r="A464" s="127" t="str">
        <f t="shared" si="15"/>
        <v/>
      </c>
      <c r="B464" s="128"/>
      <c r="C464" s="129"/>
      <c r="D464" s="129"/>
      <c r="E464" s="325"/>
      <c r="F464" s="131"/>
      <c r="G464" s="319"/>
      <c r="H464" s="319"/>
      <c r="I464" s="319"/>
      <c r="J464" s="132"/>
      <c r="K464" s="319"/>
      <c r="L464" s="135"/>
      <c r="M464" s="321"/>
      <c r="N464" s="322"/>
      <c r="O464" s="150"/>
      <c r="P464" s="135"/>
      <c r="Q464" s="135"/>
      <c r="R464" s="321"/>
      <c r="S464" s="322"/>
      <c r="T464" s="319"/>
      <c r="U464" s="322"/>
      <c r="V464" s="322"/>
      <c r="W464" s="322"/>
      <c r="X464" s="322"/>
      <c r="Y464" s="319"/>
      <c r="Z464" s="136" t="str">
        <f t="shared" si="16"/>
        <v/>
      </c>
      <c r="AA464" s="137" t="str">
        <f t="shared" si="17"/>
        <v/>
      </c>
      <c r="AB464" s="154" t="str">
        <f t="shared" si="18"/>
        <v/>
      </c>
      <c r="AC464" s="322"/>
      <c r="AD464" s="319"/>
      <c r="AE464" s="320"/>
    </row>
    <row r="465" ht="18.0" customHeight="1">
      <c r="A465" s="118" t="str">
        <f t="shared" si="15"/>
        <v/>
      </c>
      <c r="B465" s="109"/>
      <c r="C465" s="119"/>
      <c r="D465" s="119"/>
      <c r="E465" s="330"/>
      <c r="F465" s="121"/>
      <c r="G465" s="153"/>
      <c r="H465" s="153"/>
      <c r="I465" s="153"/>
      <c r="J465" s="112"/>
      <c r="K465" s="153"/>
      <c r="L465" s="114"/>
      <c r="M465" s="151"/>
      <c r="N465" s="152"/>
      <c r="O465" s="150"/>
      <c r="P465" s="114"/>
      <c r="Q465" s="114"/>
      <c r="R465" s="151"/>
      <c r="S465" s="152"/>
      <c r="T465" s="153"/>
      <c r="U465" s="152"/>
      <c r="V465" s="152"/>
      <c r="W465" s="152"/>
      <c r="X465" s="152"/>
      <c r="Y465" s="153"/>
      <c r="Z465" s="125" t="str">
        <f t="shared" si="16"/>
        <v/>
      </c>
      <c r="AA465" s="126" t="str">
        <f t="shared" si="17"/>
        <v/>
      </c>
      <c r="AB465" s="154" t="str">
        <f t="shared" si="18"/>
        <v/>
      </c>
      <c r="AC465" s="152"/>
      <c r="AD465" s="153"/>
      <c r="AE465" s="156"/>
    </row>
    <row r="466" ht="18.0" customHeight="1">
      <c r="A466" s="127" t="str">
        <f t="shared" si="15"/>
        <v/>
      </c>
      <c r="B466" s="128"/>
      <c r="C466" s="129"/>
      <c r="D466" s="129"/>
      <c r="E466" s="325"/>
      <c r="F466" s="131"/>
      <c r="G466" s="319"/>
      <c r="H466" s="319"/>
      <c r="I466" s="319"/>
      <c r="J466" s="132"/>
      <c r="K466" s="319"/>
      <c r="L466" s="135"/>
      <c r="M466" s="321"/>
      <c r="N466" s="322"/>
      <c r="O466" s="150"/>
      <c r="P466" s="135"/>
      <c r="Q466" s="135"/>
      <c r="R466" s="321"/>
      <c r="S466" s="322"/>
      <c r="T466" s="319"/>
      <c r="U466" s="322"/>
      <c r="V466" s="322"/>
      <c r="W466" s="322"/>
      <c r="X466" s="322"/>
      <c r="Y466" s="319"/>
      <c r="Z466" s="136" t="str">
        <f t="shared" si="16"/>
        <v/>
      </c>
      <c r="AA466" s="137" t="str">
        <f t="shared" si="17"/>
        <v/>
      </c>
      <c r="AB466" s="154" t="str">
        <f t="shared" si="18"/>
        <v/>
      </c>
      <c r="AC466" s="322"/>
      <c r="AD466" s="319"/>
      <c r="AE466" s="320"/>
    </row>
    <row r="467" ht="18.0" customHeight="1">
      <c r="A467" s="118" t="str">
        <f t="shared" si="15"/>
        <v/>
      </c>
      <c r="B467" s="109"/>
      <c r="C467" s="119"/>
      <c r="D467" s="119"/>
      <c r="E467" s="330"/>
      <c r="F467" s="121"/>
      <c r="G467" s="153"/>
      <c r="H467" s="153"/>
      <c r="I467" s="153"/>
      <c r="J467" s="112"/>
      <c r="K467" s="153"/>
      <c r="L467" s="114"/>
      <c r="M467" s="151"/>
      <c r="N467" s="152"/>
      <c r="O467" s="150"/>
      <c r="P467" s="114"/>
      <c r="Q467" s="114"/>
      <c r="R467" s="151"/>
      <c r="S467" s="152"/>
      <c r="T467" s="153"/>
      <c r="U467" s="152"/>
      <c r="V467" s="152"/>
      <c r="W467" s="152"/>
      <c r="X467" s="152"/>
      <c r="Y467" s="153"/>
      <c r="Z467" s="125" t="str">
        <f t="shared" si="16"/>
        <v/>
      </c>
      <c r="AA467" s="126" t="str">
        <f t="shared" si="17"/>
        <v/>
      </c>
      <c r="AB467" s="154" t="str">
        <f t="shared" si="18"/>
        <v/>
      </c>
      <c r="AC467" s="152"/>
      <c r="AD467" s="153"/>
      <c r="AE467" s="156"/>
    </row>
    <row r="468" ht="18.0" customHeight="1">
      <c r="A468" s="127" t="str">
        <f t="shared" si="15"/>
        <v/>
      </c>
      <c r="B468" s="128"/>
      <c r="C468" s="129"/>
      <c r="D468" s="129"/>
      <c r="E468" s="325"/>
      <c r="F468" s="131"/>
      <c r="G468" s="319"/>
      <c r="H468" s="319"/>
      <c r="I468" s="319"/>
      <c r="J468" s="132"/>
      <c r="K468" s="319"/>
      <c r="L468" s="135"/>
      <c r="M468" s="321"/>
      <c r="N468" s="322"/>
      <c r="O468" s="150"/>
      <c r="P468" s="135"/>
      <c r="Q468" s="135"/>
      <c r="R468" s="321"/>
      <c r="S468" s="322"/>
      <c r="T468" s="319"/>
      <c r="U468" s="322"/>
      <c r="V468" s="322"/>
      <c r="W468" s="322"/>
      <c r="X468" s="322"/>
      <c r="Y468" s="319"/>
      <c r="Z468" s="136" t="str">
        <f t="shared" si="16"/>
        <v/>
      </c>
      <c r="AA468" s="137" t="str">
        <f t="shared" si="17"/>
        <v/>
      </c>
      <c r="AB468" s="154" t="str">
        <f t="shared" si="18"/>
        <v/>
      </c>
      <c r="AC468" s="322"/>
      <c r="AD468" s="319"/>
      <c r="AE468" s="320"/>
    </row>
    <row r="469" ht="18.0" customHeight="1">
      <c r="A469" s="118" t="str">
        <f t="shared" si="15"/>
        <v/>
      </c>
      <c r="B469" s="109"/>
      <c r="C469" s="119"/>
      <c r="D469" s="119"/>
      <c r="E469" s="330"/>
      <c r="F469" s="121"/>
      <c r="G469" s="153"/>
      <c r="H469" s="153"/>
      <c r="I469" s="153"/>
      <c r="J469" s="112"/>
      <c r="K469" s="153"/>
      <c r="L469" s="114"/>
      <c r="M469" s="151"/>
      <c r="N469" s="152"/>
      <c r="O469" s="150"/>
      <c r="P469" s="114"/>
      <c r="Q469" s="114"/>
      <c r="R469" s="151"/>
      <c r="S469" s="152"/>
      <c r="T469" s="153"/>
      <c r="U469" s="152"/>
      <c r="V469" s="152"/>
      <c r="W469" s="152"/>
      <c r="X469" s="152"/>
      <c r="Y469" s="153"/>
      <c r="Z469" s="125" t="str">
        <f t="shared" si="16"/>
        <v/>
      </c>
      <c r="AA469" s="126" t="str">
        <f t="shared" si="17"/>
        <v/>
      </c>
      <c r="AB469" s="154" t="str">
        <f t="shared" si="18"/>
        <v/>
      </c>
      <c r="AC469" s="152"/>
      <c r="AD469" s="153"/>
      <c r="AE469" s="156"/>
    </row>
    <row r="470" ht="18.0" customHeight="1">
      <c r="A470" s="127" t="str">
        <f t="shared" si="15"/>
        <v/>
      </c>
      <c r="B470" s="128"/>
      <c r="C470" s="129"/>
      <c r="D470" s="129"/>
      <c r="E470" s="325"/>
      <c r="F470" s="131"/>
      <c r="G470" s="319"/>
      <c r="H470" s="319"/>
      <c r="I470" s="319"/>
      <c r="J470" s="132"/>
      <c r="K470" s="319"/>
      <c r="L470" s="135"/>
      <c r="M470" s="321"/>
      <c r="N470" s="322"/>
      <c r="O470" s="150"/>
      <c r="P470" s="135"/>
      <c r="Q470" s="135"/>
      <c r="R470" s="321"/>
      <c r="S470" s="322"/>
      <c r="T470" s="319"/>
      <c r="U470" s="322"/>
      <c r="V470" s="322"/>
      <c r="W470" s="322"/>
      <c r="X470" s="322"/>
      <c r="Y470" s="319"/>
      <c r="Z470" s="136" t="str">
        <f t="shared" si="16"/>
        <v/>
      </c>
      <c r="AA470" s="137" t="str">
        <f t="shared" si="17"/>
        <v/>
      </c>
      <c r="AB470" s="154" t="str">
        <f t="shared" si="18"/>
        <v/>
      </c>
      <c r="AC470" s="322"/>
      <c r="AD470" s="319"/>
      <c r="AE470" s="320"/>
    </row>
    <row r="471" ht="18.0" customHeight="1">
      <c r="A471" s="118" t="str">
        <f t="shared" si="15"/>
        <v/>
      </c>
      <c r="B471" s="109"/>
      <c r="C471" s="119"/>
      <c r="D471" s="119"/>
      <c r="E471" s="330"/>
      <c r="F471" s="121"/>
      <c r="G471" s="153"/>
      <c r="H471" s="153"/>
      <c r="I471" s="153"/>
      <c r="J471" s="112"/>
      <c r="K471" s="153"/>
      <c r="L471" s="114"/>
      <c r="M471" s="151"/>
      <c r="N471" s="152"/>
      <c r="O471" s="150"/>
      <c r="P471" s="114"/>
      <c r="Q471" s="114"/>
      <c r="R471" s="151"/>
      <c r="S471" s="152"/>
      <c r="T471" s="153"/>
      <c r="U471" s="152"/>
      <c r="V471" s="152"/>
      <c r="W471" s="152"/>
      <c r="X471" s="152"/>
      <c r="Y471" s="153"/>
      <c r="Z471" s="125" t="str">
        <f t="shared" si="16"/>
        <v/>
      </c>
      <c r="AA471" s="126" t="str">
        <f t="shared" si="17"/>
        <v/>
      </c>
      <c r="AB471" s="154" t="str">
        <f t="shared" si="18"/>
        <v/>
      </c>
      <c r="AC471" s="152"/>
      <c r="AD471" s="153"/>
      <c r="AE471" s="156"/>
    </row>
    <row r="472" ht="18.0" customHeight="1">
      <c r="A472" s="127" t="str">
        <f t="shared" si="15"/>
        <v/>
      </c>
      <c r="B472" s="128"/>
      <c r="C472" s="129"/>
      <c r="D472" s="129"/>
      <c r="E472" s="325"/>
      <c r="F472" s="131"/>
      <c r="G472" s="319"/>
      <c r="H472" s="319"/>
      <c r="I472" s="319"/>
      <c r="J472" s="132"/>
      <c r="K472" s="319"/>
      <c r="L472" s="135"/>
      <c r="M472" s="321"/>
      <c r="N472" s="322"/>
      <c r="O472" s="150"/>
      <c r="P472" s="135"/>
      <c r="Q472" s="135"/>
      <c r="R472" s="321"/>
      <c r="S472" s="322"/>
      <c r="T472" s="319"/>
      <c r="U472" s="322"/>
      <c r="V472" s="322"/>
      <c r="W472" s="322"/>
      <c r="X472" s="322"/>
      <c r="Y472" s="319"/>
      <c r="Z472" s="136" t="str">
        <f t="shared" si="16"/>
        <v/>
      </c>
      <c r="AA472" s="137" t="str">
        <f t="shared" si="17"/>
        <v/>
      </c>
      <c r="AB472" s="154" t="str">
        <f t="shared" si="18"/>
        <v/>
      </c>
      <c r="AC472" s="322"/>
      <c r="AD472" s="319"/>
      <c r="AE472" s="320"/>
    </row>
    <row r="473" ht="18.0" customHeight="1">
      <c r="A473" s="118" t="str">
        <f t="shared" si="15"/>
        <v/>
      </c>
      <c r="B473" s="109"/>
      <c r="C473" s="119"/>
      <c r="D473" s="119"/>
      <c r="E473" s="330"/>
      <c r="F473" s="121"/>
      <c r="G473" s="153"/>
      <c r="H473" s="153"/>
      <c r="I473" s="153"/>
      <c r="J473" s="112"/>
      <c r="K473" s="153"/>
      <c r="L473" s="114"/>
      <c r="M473" s="151"/>
      <c r="N473" s="152"/>
      <c r="O473" s="150"/>
      <c r="P473" s="114"/>
      <c r="Q473" s="114"/>
      <c r="R473" s="151"/>
      <c r="S473" s="152"/>
      <c r="T473" s="153"/>
      <c r="U473" s="152"/>
      <c r="V473" s="152"/>
      <c r="W473" s="152"/>
      <c r="X473" s="152"/>
      <c r="Y473" s="153"/>
      <c r="Z473" s="125" t="str">
        <f t="shared" si="16"/>
        <v/>
      </c>
      <c r="AA473" s="126" t="str">
        <f t="shared" si="17"/>
        <v/>
      </c>
      <c r="AB473" s="154" t="str">
        <f t="shared" si="18"/>
        <v/>
      </c>
      <c r="AC473" s="152"/>
      <c r="AD473" s="153"/>
      <c r="AE473" s="156"/>
    </row>
    <row r="474" ht="18.0" customHeight="1">
      <c r="A474" s="127" t="str">
        <f t="shared" si="15"/>
        <v/>
      </c>
      <c r="B474" s="128"/>
      <c r="C474" s="129"/>
      <c r="D474" s="129"/>
      <c r="E474" s="325"/>
      <c r="F474" s="131"/>
      <c r="G474" s="319"/>
      <c r="H474" s="319"/>
      <c r="I474" s="319"/>
      <c r="J474" s="132"/>
      <c r="K474" s="319"/>
      <c r="L474" s="135"/>
      <c r="M474" s="321"/>
      <c r="N474" s="322"/>
      <c r="O474" s="150"/>
      <c r="P474" s="135"/>
      <c r="Q474" s="135"/>
      <c r="R474" s="321"/>
      <c r="S474" s="322"/>
      <c r="T474" s="319"/>
      <c r="U474" s="322"/>
      <c r="V474" s="322"/>
      <c r="W474" s="322"/>
      <c r="X474" s="322"/>
      <c r="Y474" s="319"/>
      <c r="Z474" s="136" t="str">
        <f t="shared" si="16"/>
        <v/>
      </c>
      <c r="AA474" s="137" t="str">
        <f t="shared" si="17"/>
        <v/>
      </c>
      <c r="AB474" s="154" t="str">
        <f t="shared" si="18"/>
        <v/>
      </c>
      <c r="AC474" s="322"/>
      <c r="AD474" s="319"/>
      <c r="AE474" s="320"/>
    </row>
    <row r="475" ht="18.0" customHeight="1">
      <c r="A475" s="118" t="str">
        <f t="shared" si="15"/>
        <v/>
      </c>
      <c r="B475" s="109"/>
      <c r="C475" s="119"/>
      <c r="D475" s="119"/>
      <c r="E475" s="330"/>
      <c r="F475" s="121"/>
      <c r="G475" s="153"/>
      <c r="H475" s="153"/>
      <c r="I475" s="153"/>
      <c r="J475" s="112"/>
      <c r="K475" s="153"/>
      <c r="L475" s="114"/>
      <c r="M475" s="151"/>
      <c r="N475" s="152"/>
      <c r="O475" s="150"/>
      <c r="P475" s="114"/>
      <c r="Q475" s="114"/>
      <c r="R475" s="151"/>
      <c r="S475" s="152"/>
      <c r="T475" s="153"/>
      <c r="U475" s="152"/>
      <c r="V475" s="152"/>
      <c r="W475" s="152"/>
      <c r="X475" s="152"/>
      <c r="Y475" s="153"/>
      <c r="Z475" s="125" t="str">
        <f t="shared" si="16"/>
        <v/>
      </c>
      <c r="AA475" s="126" t="str">
        <f t="shared" si="17"/>
        <v/>
      </c>
      <c r="AB475" s="154" t="str">
        <f t="shared" si="18"/>
        <v/>
      </c>
      <c r="AC475" s="152"/>
      <c r="AD475" s="153"/>
      <c r="AE475" s="156"/>
    </row>
    <row r="476" ht="18.0" customHeight="1">
      <c r="A476" s="127" t="str">
        <f t="shared" si="15"/>
        <v/>
      </c>
      <c r="B476" s="128"/>
      <c r="C476" s="129"/>
      <c r="D476" s="129"/>
      <c r="E476" s="325"/>
      <c r="F476" s="131"/>
      <c r="G476" s="319"/>
      <c r="H476" s="319"/>
      <c r="I476" s="319"/>
      <c r="J476" s="132"/>
      <c r="K476" s="319"/>
      <c r="L476" s="135"/>
      <c r="M476" s="321"/>
      <c r="N476" s="322"/>
      <c r="O476" s="150"/>
      <c r="P476" s="135"/>
      <c r="Q476" s="135"/>
      <c r="R476" s="321"/>
      <c r="S476" s="322"/>
      <c r="T476" s="319"/>
      <c r="U476" s="322"/>
      <c r="V476" s="322"/>
      <c r="W476" s="322"/>
      <c r="X476" s="322"/>
      <c r="Y476" s="319"/>
      <c r="Z476" s="136" t="str">
        <f t="shared" si="16"/>
        <v/>
      </c>
      <c r="AA476" s="137" t="str">
        <f t="shared" si="17"/>
        <v/>
      </c>
      <c r="AB476" s="154" t="str">
        <f t="shared" si="18"/>
        <v/>
      </c>
      <c r="AC476" s="322"/>
      <c r="AD476" s="319"/>
      <c r="AE476" s="320"/>
    </row>
    <row r="477" ht="18.0" customHeight="1">
      <c r="A477" s="118" t="str">
        <f t="shared" si="15"/>
        <v/>
      </c>
      <c r="B477" s="109"/>
      <c r="C477" s="119"/>
      <c r="D477" s="119"/>
      <c r="E477" s="330"/>
      <c r="F477" s="121"/>
      <c r="G477" s="153"/>
      <c r="H477" s="153"/>
      <c r="I477" s="153"/>
      <c r="J477" s="112"/>
      <c r="K477" s="153"/>
      <c r="L477" s="114"/>
      <c r="M477" s="151"/>
      <c r="N477" s="152"/>
      <c r="O477" s="150"/>
      <c r="P477" s="114"/>
      <c r="Q477" s="114"/>
      <c r="R477" s="151"/>
      <c r="S477" s="152"/>
      <c r="T477" s="153"/>
      <c r="U477" s="152"/>
      <c r="V477" s="152"/>
      <c r="W477" s="152"/>
      <c r="X477" s="152"/>
      <c r="Y477" s="153"/>
      <c r="Z477" s="125" t="str">
        <f t="shared" si="16"/>
        <v/>
      </c>
      <c r="AA477" s="126" t="str">
        <f t="shared" si="17"/>
        <v/>
      </c>
      <c r="AB477" s="154" t="str">
        <f t="shared" si="18"/>
        <v/>
      </c>
      <c r="AC477" s="152"/>
      <c r="AD477" s="153"/>
      <c r="AE477" s="156"/>
    </row>
    <row r="478" ht="18.0" customHeight="1">
      <c r="A478" s="127" t="str">
        <f t="shared" si="15"/>
        <v/>
      </c>
      <c r="B478" s="128"/>
      <c r="C478" s="129"/>
      <c r="D478" s="129"/>
      <c r="E478" s="325"/>
      <c r="F478" s="131"/>
      <c r="G478" s="319"/>
      <c r="H478" s="319"/>
      <c r="I478" s="319"/>
      <c r="J478" s="132"/>
      <c r="K478" s="319"/>
      <c r="L478" s="135"/>
      <c r="M478" s="321"/>
      <c r="N478" s="322"/>
      <c r="O478" s="150"/>
      <c r="P478" s="135"/>
      <c r="Q478" s="135"/>
      <c r="R478" s="321"/>
      <c r="S478" s="322"/>
      <c r="T478" s="319"/>
      <c r="U478" s="322"/>
      <c r="V478" s="322"/>
      <c r="W478" s="322"/>
      <c r="X478" s="322"/>
      <c r="Y478" s="319"/>
      <c r="Z478" s="136" t="str">
        <f t="shared" si="16"/>
        <v/>
      </c>
      <c r="AA478" s="137" t="str">
        <f t="shared" si="17"/>
        <v/>
      </c>
      <c r="AB478" s="154" t="str">
        <f t="shared" si="18"/>
        <v/>
      </c>
      <c r="AC478" s="322"/>
      <c r="AD478" s="319"/>
      <c r="AE478" s="320"/>
    </row>
    <row r="479" ht="18.0" customHeight="1">
      <c r="A479" s="118" t="str">
        <f t="shared" si="15"/>
        <v/>
      </c>
      <c r="B479" s="109"/>
      <c r="C479" s="119"/>
      <c r="D479" s="119"/>
      <c r="E479" s="330"/>
      <c r="F479" s="121"/>
      <c r="G479" s="153"/>
      <c r="H479" s="153"/>
      <c r="I479" s="153"/>
      <c r="J479" s="112"/>
      <c r="K479" s="153"/>
      <c r="L479" s="114"/>
      <c r="M479" s="151"/>
      <c r="N479" s="152"/>
      <c r="O479" s="150"/>
      <c r="P479" s="114"/>
      <c r="Q479" s="114"/>
      <c r="R479" s="151"/>
      <c r="S479" s="152"/>
      <c r="T479" s="153"/>
      <c r="U479" s="152"/>
      <c r="V479" s="152"/>
      <c r="W479" s="152"/>
      <c r="X479" s="152"/>
      <c r="Y479" s="153"/>
      <c r="Z479" s="125" t="str">
        <f t="shared" si="16"/>
        <v/>
      </c>
      <c r="AA479" s="126" t="str">
        <f t="shared" si="17"/>
        <v/>
      </c>
      <c r="AB479" s="154" t="str">
        <f t="shared" si="18"/>
        <v/>
      </c>
      <c r="AC479" s="152"/>
      <c r="AD479" s="153"/>
      <c r="AE479" s="156"/>
    </row>
    <row r="480" ht="18.0" customHeight="1">
      <c r="A480" s="127" t="str">
        <f t="shared" si="15"/>
        <v/>
      </c>
      <c r="B480" s="128"/>
      <c r="C480" s="129"/>
      <c r="D480" s="129"/>
      <c r="E480" s="325"/>
      <c r="F480" s="131"/>
      <c r="G480" s="319"/>
      <c r="H480" s="319"/>
      <c r="I480" s="319"/>
      <c r="J480" s="132"/>
      <c r="K480" s="319"/>
      <c r="L480" s="135"/>
      <c r="M480" s="321"/>
      <c r="N480" s="322"/>
      <c r="O480" s="150"/>
      <c r="P480" s="135"/>
      <c r="Q480" s="135"/>
      <c r="R480" s="321"/>
      <c r="S480" s="322"/>
      <c r="T480" s="319"/>
      <c r="U480" s="322"/>
      <c r="V480" s="322"/>
      <c r="W480" s="322"/>
      <c r="X480" s="322"/>
      <c r="Y480" s="319"/>
      <c r="Z480" s="136" t="str">
        <f t="shared" si="16"/>
        <v/>
      </c>
      <c r="AA480" s="137" t="str">
        <f t="shared" si="17"/>
        <v/>
      </c>
      <c r="AB480" s="154" t="str">
        <f t="shared" si="18"/>
        <v/>
      </c>
      <c r="AC480" s="322"/>
      <c r="AD480" s="319"/>
      <c r="AE480" s="320"/>
    </row>
    <row r="481" ht="18.0" customHeight="1">
      <c r="A481" s="118" t="str">
        <f t="shared" si="15"/>
        <v/>
      </c>
      <c r="B481" s="109"/>
      <c r="C481" s="119"/>
      <c r="D481" s="119"/>
      <c r="E481" s="330"/>
      <c r="F481" s="121"/>
      <c r="G481" s="153"/>
      <c r="H481" s="153"/>
      <c r="I481" s="153"/>
      <c r="J481" s="112"/>
      <c r="K481" s="153"/>
      <c r="L481" s="114"/>
      <c r="M481" s="151"/>
      <c r="N481" s="152"/>
      <c r="O481" s="150"/>
      <c r="P481" s="114"/>
      <c r="Q481" s="114"/>
      <c r="R481" s="151"/>
      <c r="S481" s="152"/>
      <c r="T481" s="153"/>
      <c r="U481" s="152"/>
      <c r="V481" s="152"/>
      <c r="W481" s="152"/>
      <c r="X481" s="152"/>
      <c r="Y481" s="153"/>
      <c r="Z481" s="125" t="str">
        <f t="shared" si="16"/>
        <v/>
      </c>
      <c r="AA481" s="126" t="str">
        <f t="shared" si="17"/>
        <v/>
      </c>
      <c r="AB481" s="154" t="str">
        <f t="shared" si="18"/>
        <v/>
      </c>
      <c r="AC481" s="152"/>
      <c r="AD481" s="153"/>
      <c r="AE481" s="156"/>
    </row>
    <row r="482" ht="18.0" customHeight="1">
      <c r="A482" s="127" t="str">
        <f t="shared" si="15"/>
        <v/>
      </c>
      <c r="B482" s="128"/>
      <c r="C482" s="129"/>
      <c r="D482" s="129"/>
      <c r="E482" s="325"/>
      <c r="F482" s="131"/>
      <c r="G482" s="319"/>
      <c r="H482" s="319"/>
      <c r="I482" s="319"/>
      <c r="J482" s="132"/>
      <c r="K482" s="319"/>
      <c r="L482" s="135"/>
      <c r="M482" s="321"/>
      <c r="N482" s="322"/>
      <c r="O482" s="150"/>
      <c r="P482" s="135"/>
      <c r="Q482" s="135"/>
      <c r="R482" s="321"/>
      <c r="S482" s="322"/>
      <c r="T482" s="319"/>
      <c r="U482" s="322"/>
      <c r="V482" s="322"/>
      <c r="W482" s="322"/>
      <c r="X482" s="322"/>
      <c r="Y482" s="319"/>
      <c r="Z482" s="136" t="str">
        <f t="shared" si="16"/>
        <v/>
      </c>
      <c r="AA482" s="137" t="str">
        <f t="shared" si="17"/>
        <v/>
      </c>
      <c r="AB482" s="154" t="str">
        <f t="shared" si="18"/>
        <v/>
      </c>
      <c r="AC482" s="322"/>
      <c r="AD482" s="319"/>
      <c r="AE482" s="320"/>
    </row>
    <row r="483" ht="18.0" customHeight="1">
      <c r="A483" s="118" t="str">
        <f t="shared" si="15"/>
        <v/>
      </c>
      <c r="B483" s="109"/>
      <c r="C483" s="119"/>
      <c r="D483" s="119"/>
      <c r="E483" s="330"/>
      <c r="F483" s="121"/>
      <c r="G483" s="153"/>
      <c r="H483" s="153"/>
      <c r="I483" s="153"/>
      <c r="J483" s="112"/>
      <c r="K483" s="153"/>
      <c r="L483" s="114"/>
      <c r="M483" s="151"/>
      <c r="N483" s="152"/>
      <c r="O483" s="150"/>
      <c r="P483" s="114"/>
      <c r="Q483" s="114"/>
      <c r="R483" s="151"/>
      <c r="S483" s="152"/>
      <c r="T483" s="153"/>
      <c r="U483" s="152"/>
      <c r="V483" s="152"/>
      <c r="W483" s="152"/>
      <c r="X483" s="152"/>
      <c r="Y483" s="153"/>
      <c r="Z483" s="125" t="str">
        <f t="shared" si="16"/>
        <v/>
      </c>
      <c r="AA483" s="126" t="str">
        <f t="shared" si="17"/>
        <v/>
      </c>
      <c r="AB483" s="154" t="str">
        <f t="shared" si="18"/>
        <v/>
      </c>
      <c r="AC483" s="152"/>
      <c r="AD483" s="153"/>
      <c r="AE483" s="156"/>
    </row>
    <row r="484" ht="18.0" customHeight="1">
      <c r="A484" s="127" t="str">
        <f t="shared" si="15"/>
        <v/>
      </c>
      <c r="B484" s="128"/>
      <c r="C484" s="129"/>
      <c r="D484" s="129"/>
      <c r="E484" s="325"/>
      <c r="F484" s="131"/>
      <c r="G484" s="319"/>
      <c r="H484" s="319"/>
      <c r="I484" s="319"/>
      <c r="J484" s="132"/>
      <c r="K484" s="319"/>
      <c r="L484" s="135"/>
      <c r="M484" s="321"/>
      <c r="N484" s="322"/>
      <c r="O484" s="150"/>
      <c r="P484" s="135"/>
      <c r="Q484" s="135"/>
      <c r="R484" s="321"/>
      <c r="S484" s="322"/>
      <c r="T484" s="319"/>
      <c r="U484" s="322"/>
      <c r="V484" s="322"/>
      <c r="W484" s="322"/>
      <c r="X484" s="322"/>
      <c r="Y484" s="319"/>
      <c r="Z484" s="136" t="str">
        <f t="shared" si="16"/>
        <v/>
      </c>
      <c r="AA484" s="137" t="str">
        <f t="shared" si="17"/>
        <v/>
      </c>
      <c r="AB484" s="154" t="str">
        <f t="shared" si="18"/>
        <v/>
      </c>
      <c r="AC484" s="322"/>
      <c r="AD484" s="319"/>
      <c r="AE484" s="320"/>
    </row>
    <row r="485" ht="18.0" customHeight="1">
      <c r="A485" s="118" t="str">
        <f t="shared" si="15"/>
        <v/>
      </c>
      <c r="B485" s="109"/>
      <c r="C485" s="119"/>
      <c r="D485" s="119"/>
      <c r="E485" s="330"/>
      <c r="F485" s="121"/>
      <c r="G485" s="153"/>
      <c r="H485" s="153"/>
      <c r="I485" s="153"/>
      <c r="J485" s="112"/>
      <c r="K485" s="153"/>
      <c r="L485" s="114"/>
      <c r="M485" s="151"/>
      <c r="N485" s="152"/>
      <c r="O485" s="150"/>
      <c r="P485" s="114"/>
      <c r="Q485" s="114"/>
      <c r="R485" s="151"/>
      <c r="S485" s="152"/>
      <c r="T485" s="153"/>
      <c r="U485" s="152"/>
      <c r="V485" s="152"/>
      <c r="W485" s="152"/>
      <c r="X485" s="152"/>
      <c r="Y485" s="153"/>
      <c r="Z485" s="125" t="str">
        <f t="shared" si="16"/>
        <v/>
      </c>
      <c r="AA485" s="126" t="str">
        <f t="shared" si="17"/>
        <v/>
      </c>
      <c r="AB485" s="154" t="str">
        <f t="shared" si="18"/>
        <v/>
      </c>
      <c r="AC485" s="152"/>
      <c r="AD485" s="153"/>
      <c r="AE485" s="156"/>
    </row>
    <row r="486" ht="18.0" customHeight="1">
      <c r="A486" s="127" t="str">
        <f t="shared" si="15"/>
        <v/>
      </c>
      <c r="B486" s="128"/>
      <c r="C486" s="129"/>
      <c r="D486" s="129"/>
      <c r="E486" s="325"/>
      <c r="F486" s="131"/>
      <c r="G486" s="319"/>
      <c r="H486" s="319"/>
      <c r="I486" s="319"/>
      <c r="J486" s="132"/>
      <c r="K486" s="319"/>
      <c r="L486" s="135"/>
      <c r="M486" s="321"/>
      <c r="N486" s="322"/>
      <c r="O486" s="150"/>
      <c r="P486" s="135"/>
      <c r="Q486" s="135"/>
      <c r="R486" s="321"/>
      <c r="S486" s="322"/>
      <c r="T486" s="319"/>
      <c r="U486" s="322"/>
      <c r="V486" s="322"/>
      <c r="W486" s="322"/>
      <c r="X486" s="322"/>
      <c r="Y486" s="319"/>
      <c r="Z486" s="136" t="str">
        <f t="shared" si="16"/>
        <v/>
      </c>
      <c r="AA486" s="137" t="str">
        <f t="shared" si="17"/>
        <v/>
      </c>
      <c r="AB486" s="154" t="str">
        <f t="shared" si="18"/>
        <v/>
      </c>
      <c r="AC486" s="322"/>
      <c r="AD486" s="319"/>
      <c r="AE486" s="320"/>
    </row>
    <row r="487" ht="18.0" customHeight="1">
      <c r="A487" s="118" t="str">
        <f t="shared" si="15"/>
        <v/>
      </c>
      <c r="B487" s="109"/>
      <c r="C487" s="119"/>
      <c r="D487" s="119"/>
      <c r="E487" s="330"/>
      <c r="F487" s="121"/>
      <c r="G487" s="153"/>
      <c r="H487" s="153"/>
      <c r="I487" s="153"/>
      <c r="J487" s="112"/>
      <c r="K487" s="153"/>
      <c r="L487" s="114"/>
      <c r="M487" s="151"/>
      <c r="N487" s="152"/>
      <c r="O487" s="150"/>
      <c r="P487" s="114"/>
      <c r="Q487" s="114"/>
      <c r="R487" s="151"/>
      <c r="S487" s="152"/>
      <c r="T487" s="153"/>
      <c r="U487" s="152"/>
      <c r="V487" s="152"/>
      <c r="W487" s="152"/>
      <c r="X487" s="152"/>
      <c r="Y487" s="153"/>
      <c r="Z487" s="125" t="str">
        <f t="shared" si="16"/>
        <v/>
      </c>
      <c r="AA487" s="126" t="str">
        <f t="shared" si="17"/>
        <v/>
      </c>
      <c r="AB487" s="154" t="str">
        <f t="shared" si="18"/>
        <v/>
      </c>
      <c r="AC487" s="152"/>
      <c r="AD487" s="153"/>
      <c r="AE487" s="156"/>
    </row>
    <row r="488" ht="18.0" customHeight="1">
      <c r="A488" s="127" t="str">
        <f t="shared" si="15"/>
        <v/>
      </c>
      <c r="B488" s="128"/>
      <c r="C488" s="129"/>
      <c r="D488" s="129"/>
      <c r="E488" s="325"/>
      <c r="F488" s="131"/>
      <c r="G488" s="319"/>
      <c r="H488" s="319"/>
      <c r="I488" s="319"/>
      <c r="J488" s="132"/>
      <c r="K488" s="319"/>
      <c r="L488" s="135"/>
      <c r="M488" s="321"/>
      <c r="N488" s="322"/>
      <c r="O488" s="150"/>
      <c r="P488" s="135"/>
      <c r="Q488" s="135"/>
      <c r="R488" s="321"/>
      <c r="S488" s="322"/>
      <c r="T488" s="319"/>
      <c r="U488" s="322"/>
      <c r="V488" s="322"/>
      <c r="W488" s="322"/>
      <c r="X488" s="322"/>
      <c r="Y488" s="319"/>
      <c r="Z488" s="136" t="str">
        <f t="shared" si="16"/>
        <v/>
      </c>
      <c r="AA488" s="137" t="str">
        <f t="shared" si="17"/>
        <v/>
      </c>
      <c r="AB488" s="154" t="str">
        <f t="shared" si="18"/>
        <v/>
      </c>
      <c r="AC488" s="322"/>
      <c r="AD488" s="319"/>
      <c r="AE488" s="320"/>
    </row>
    <row r="489" ht="18.0" customHeight="1">
      <c r="A489" s="118" t="str">
        <f t="shared" si="15"/>
        <v/>
      </c>
      <c r="B489" s="109"/>
      <c r="C489" s="119"/>
      <c r="D489" s="119"/>
      <c r="E489" s="330"/>
      <c r="F489" s="121"/>
      <c r="G489" s="153"/>
      <c r="H489" s="153"/>
      <c r="I489" s="153"/>
      <c r="J489" s="112"/>
      <c r="K489" s="153"/>
      <c r="L489" s="114"/>
      <c r="M489" s="151"/>
      <c r="N489" s="152"/>
      <c r="O489" s="150"/>
      <c r="P489" s="114"/>
      <c r="Q489" s="114"/>
      <c r="R489" s="151"/>
      <c r="S489" s="152"/>
      <c r="T489" s="153"/>
      <c r="U489" s="152"/>
      <c r="V489" s="152"/>
      <c r="W489" s="152"/>
      <c r="X489" s="152"/>
      <c r="Y489" s="153"/>
      <c r="Z489" s="125" t="str">
        <f t="shared" si="16"/>
        <v/>
      </c>
      <c r="AA489" s="126" t="str">
        <f t="shared" si="17"/>
        <v/>
      </c>
      <c r="AB489" s="154" t="str">
        <f t="shared" si="18"/>
        <v/>
      </c>
      <c r="AC489" s="152"/>
      <c r="AD489" s="153"/>
      <c r="AE489" s="156"/>
    </row>
    <row r="490" ht="18.0" customHeight="1">
      <c r="A490" s="127" t="str">
        <f t="shared" si="15"/>
        <v/>
      </c>
      <c r="B490" s="128"/>
      <c r="C490" s="129"/>
      <c r="D490" s="129"/>
      <c r="E490" s="325"/>
      <c r="F490" s="131"/>
      <c r="G490" s="319"/>
      <c r="H490" s="319"/>
      <c r="I490" s="319"/>
      <c r="J490" s="132"/>
      <c r="K490" s="319"/>
      <c r="L490" s="135"/>
      <c r="M490" s="321"/>
      <c r="N490" s="322"/>
      <c r="O490" s="150"/>
      <c r="P490" s="135"/>
      <c r="Q490" s="135"/>
      <c r="R490" s="321"/>
      <c r="S490" s="322"/>
      <c r="T490" s="319"/>
      <c r="U490" s="322"/>
      <c r="V490" s="322"/>
      <c r="W490" s="322"/>
      <c r="X490" s="322"/>
      <c r="Y490" s="319"/>
      <c r="Z490" s="136" t="str">
        <f t="shared" si="16"/>
        <v/>
      </c>
      <c r="AA490" s="137" t="str">
        <f t="shared" si="17"/>
        <v/>
      </c>
      <c r="AB490" s="154" t="str">
        <f t="shared" si="18"/>
        <v/>
      </c>
      <c r="AC490" s="322"/>
      <c r="AD490" s="319"/>
      <c r="AE490" s="320"/>
    </row>
    <row r="491" ht="18.0" customHeight="1">
      <c r="A491" s="118" t="str">
        <f t="shared" si="15"/>
        <v/>
      </c>
      <c r="B491" s="109"/>
      <c r="C491" s="119"/>
      <c r="D491" s="119"/>
      <c r="E491" s="330"/>
      <c r="F491" s="121"/>
      <c r="G491" s="153"/>
      <c r="H491" s="153"/>
      <c r="I491" s="153"/>
      <c r="J491" s="112"/>
      <c r="K491" s="153"/>
      <c r="L491" s="114"/>
      <c r="M491" s="151"/>
      <c r="N491" s="152"/>
      <c r="O491" s="150"/>
      <c r="P491" s="114"/>
      <c r="Q491" s="114"/>
      <c r="R491" s="151"/>
      <c r="S491" s="152"/>
      <c r="T491" s="153"/>
      <c r="U491" s="152"/>
      <c r="V491" s="152"/>
      <c r="W491" s="152"/>
      <c r="X491" s="152"/>
      <c r="Y491" s="153"/>
      <c r="Z491" s="125" t="str">
        <f t="shared" si="16"/>
        <v/>
      </c>
      <c r="AA491" s="126" t="str">
        <f t="shared" si="17"/>
        <v/>
      </c>
      <c r="AB491" s="154" t="str">
        <f t="shared" si="18"/>
        <v/>
      </c>
      <c r="AC491" s="152"/>
      <c r="AD491" s="153"/>
      <c r="AE491" s="156"/>
    </row>
    <row r="492" ht="18.0" customHeight="1">
      <c r="A492" s="127" t="str">
        <f t="shared" si="15"/>
        <v/>
      </c>
      <c r="B492" s="128"/>
      <c r="C492" s="129"/>
      <c r="D492" s="129"/>
      <c r="E492" s="325"/>
      <c r="F492" s="131"/>
      <c r="G492" s="319"/>
      <c r="H492" s="319"/>
      <c r="I492" s="319"/>
      <c r="J492" s="132"/>
      <c r="K492" s="319"/>
      <c r="L492" s="135"/>
      <c r="M492" s="321"/>
      <c r="N492" s="322"/>
      <c r="O492" s="150"/>
      <c r="P492" s="135"/>
      <c r="Q492" s="135"/>
      <c r="R492" s="321"/>
      <c r="S492" s="322"/>
      <c r="T492" s="319"/>
      <c r="U492" s="322"/>
      <c r="V492" s="322"/>
      <c r="W492" s="322"/>
      <c r="X492" s="322"/>
      <c r="Y492" s="319"/>
      <c r="Z492" s="136" t="str">
        <f t="shared" si="16"/>
        <v/>
      </c>
      <c r="AA492" s="137" t="str">
        <f t="shared" si="17"/>
        <v/>
      </c>
      <c r="AB492" s="154" t="str">
        <f t="shared" si="18"/>
        <v/>
      </c>
      <c r="AC492" s="322"/>
      <c r="AD492" s="319"/>
      <c r="AE492" s="320"/>
    </row>
    <row r="493" ht="18.0" customHeight="1">
      <c r="A493" s="118" t="str">
        <f t="shared" si="15"/>
        <v/>
      </c>
      <c r="B493" s="109"/>
      <c r="C493" s="119"/>
      <c r="D493" s="119"/>
      <c r="E493" s="330"/>
      <c r="F493" s="121"/>
      <c r="G493" s="153"/>
      <c r="H493" s="153"/>
      <c r="I493" s="153"/>
      <c r="J493" s="112"/>
      <c r="K493" s="153"/>
      <c r="L493" s="114"/>
      <c r="M493" s="151"/>
      <c r="N493" s="152"/>
      <c r="O493" s="150"/>
      <c r="P493" s="114"/>
      <c r="Q493" s="114"/>
      <c r="R493" s="151"/>
      <c r="S493" s="152"/>
      <c r="T493" s="153"/>
      <c r="U493" s="152"/>
      <c r="V493" s="152"/>
      <c r="W493" s="152"/>
      <c r="X493" s="152"/>
      <c r="Y493" s="153"/>
      <c r="Z493" s="125" t="str">
        <f t="shared" si="16"/>
        <v/>
      </c>
      <c r="AA493" s="126" t="str">
        <f t="shared" si="17"/>
        <v/>
      </c>
      <c r="AB493" s="154" t="str">
        <f t="shared" si="18"/>
        <v/>
      </c>
      <c r="AC493" s="152"/>
      <c r="AD493" s="153"/>
      <c r="AE493" s="156"/>
    </row>
    <row r="494" ht="18.0" customHeight="1">
      <c r="A494" s="127" t="str">
        <f t="shared" si="15"/>
        <v/>
      </c>
      <c r="B494" s="128"/>
      <c r="C494" s="129"/>
      <c r="D494" s="129"/>
      <c r="E494" s="325"/>
      <c r="F494" s="131"/>
      <c r="G494" s="319"/>
      <c r="H494" s="319"/>
      <c r="I494" s="319"/>
      <c r="J494" s="132"/>
      <c r="K494" s="319"/>
      <c r="L494" s="135"/>
      <c r="M494" s="321"/>
      <c r="N494" s="322"/>
      <c r="O494" s="150"/>
      <c r="P494" s="135"/>
      <c r="Q494" s="135"/>
      <c r="R494" s="321"/>
      <c r="S494" s="322"/>
      <c r="T494" s="319"/>
      <c r="U494" s="322"/>
      <c r="V494" s="322"/>
      <c r="W494" s="322"/>
      <c r="X494" s="322"/>
      <c r="Y494" s="319"/>
      <c r="Z494" s="136" t="str">
        <f t="shared" si="16"/>
        <v/>
      </c>
      <c r="AA494" s="137" t="str">
        <f t="shared" si="17"/>
        <v/>
      </c>
      <c r="AB494" s="154" t="str">
        <f t="shared" si="18"/>
        <v/>
      </c>
      <c r="AC494" s="322"/>
      <c r="AD494" s="319"/>
      <c r="AE494" s="320"/>
    </row>
    <row r="495" ht="18.0" customHeight="1">
      <c r="A495" s="118" t="str">
        <f t="shared" si="15"/>
        <v/>
      </c>
      <c r="B495" s="109"/>
      <c r="C495" s="119"/>
      <c r="D495" s="119"/>
      <c r="E495" s="330"/>
      <c r="F495" s="121"/>
      <c r="G495" s="153"/>
      <c r="H495" s="153"/>
      <c r="I495" s="153"/>
      <c r="J495" s="112"/>
      <c r="K495" s="153"/>
      <c r="L495" s="114"/>
      <c r="M495" s="151"/>
      <c r="N495" s="152"/>
      <c r="O495" s="150"/>
      <c r="P495" s="114"/>
      <c r="Q495" s="114"/>
      <c r="R495" s="151"/>
      <c r="S495" s="152"/>
      <c r="T495" s="153"/>
      <c r="U495" s="152"/>
      <c r="V495" s="152"/>
      <c r="W495" s="152"/>
      <c r="X495" s="152"/>
      <c r="Y495" s="153"/>
      <c r="Z495" s="125" t="str">
        <f t="shared" si="16"/>
        <v/>
      </c>
      <c r="AA495" s="126" t="str">
        <f t="shared" si="17"/>
        <v/>
      </c>
      <c r="AB495" s="154" t="str">
        <f t="shared" si="18"/>
        <v/>
      </c>
      <c r="AC495" s="152"/>
      <c r="AD495" s="153"/>
      <c r="AE495" s="156"/>
    </row>
    <row r="496" ht="18.0" customHeight="1">
      <c r="A496" s="127" t="str">
        <f t="shared" si="15"/>
        <v/>
      </c>
      <c r="B496" s="128"/>
      <c r="C496" s="129"/>
      <c r="D496" s="129"/>
      <c r="E496" s="325"/>
      <c r="F496" s="131"/>
      <c r="G496" s="319"/>
      <c r="H496" s="319"/>
      <c r="I496" s="319"/>
      <c r="J496" s="132"/>
      <c r="K496" s="319"/>
      <c r="L496" s="135"/>
      <c r="M496" s="321"/>
      <c r="N496" s="322"/>
      <c r="O496" s="150"/>
      <c r="P496" s="135"/>
      <c r="Q496" s="135"/>
      <c r="R496" s="321"/>
      <c r="S496" s="322"/>
      <c r="T496" s="319"/>
      <c r="U496" s="322"/>
      <c r="V496" s="322"/>
      <c r="W496" s="322"/>
      <c r="X496" s="322"/>
      <c r="Y496" s="319"/>
      <c r="Z496" s="136" t="str">
        <f t="shared" si="16"/>
        <v/>
      </c>
      <c r="AA496" s="137" t="str">
        <f t="shared" si="17"/>
        <v/>
      </c>
      <c r="AB496" s="154" t="str">
        <f t="shared" si="18"/>
        <v/>
      </c>
      <c r="AC496" s="322"/>
      <c r="AD496" s="319"/>
      <c r="AE496" s="320"/>
    </row>
    <row r="497" ht="18.0" customHeight="1">
      <c r="A497" s="118" t="str">
        <f t="shared" si="15"/>
        <v/>
      </c>
      <c r="B497" s="109"/>
      <c r="C497" s="119"/>
      <c r="D497" s="119"/>
      <c r="E497" s="330"/>
      <c r="F497" s="121"/>
      <c r="G497" s="153"/>
      <c r="H497" s="153"/>
      <c r="I497" s="153"/>
      <c r="J497" s="112"/>
      <c r="K497" s="153"/>
      <c r="L497" s="114"/>
      <c r="M497" s="151"/>
      <c r="N497" s="152"/>
      <c r="O497" s="150"/>
      <c r="P497" s="114"/>
      <c r="Q497" s="114"/>
      <c r="R497" s="151"/>
      <c r="S497" s="152"/>
      <c r="T497" s="153"/>
      <c r="U497" s="152"/>
      <c r="V497" s="152"/>
      <c r="W497" s="152"/>
      <c r="X497" s="152"/>
      <c r="Y497" s="153"/>
      <c r="Z497" s="125" t="str">
        <f t="shared" si="16"/>
        <v/>
      </c>
      <c r="AA497" s="126" t="str">
        <f t="shared" si="17"/>
        <v/>
      </c>
      <c r="AB497" s="154" t="str">
        <f t="shared" si="18"/>
        <v/>
      </c>
      <c r="AC497" s="152"/>
      <c r="AD497" s="153"/>
      <c r="AE497" s="156"/>
    </row>
    <row r="498" ht="18.0" customHeight="1">
      <c r="A498" s="127" t="str">
        <f t="shared" si="15"/>
        <v/>
      </c>
      <c r="B498" s="128"/>
      <c r="C498" s="129"/>
      <c r="D498" s="129"/>
      <c r="E498" s="325"/>
      <c r="F498" s="131"/>
      <c r="G498" s="319"/>
      <c r="H498" s="319"/>
      <c r="I498" s="319"/>
      <c r="J498" s="132"/>
      <c r="K498" s="319"/>
      <c r="L498" s="135"/>
      <c r="M498" s="321"/>
      <c r="N498" s="322"/>
      <c r="O498" s="150"/>
      <c r="P498" s="135"/>
      <c r="Q498" s="135"/>
      <c r="R498" s="321"/>
      <c r="S498" s="322"/>
      <c r="T498" s="319"/>
      <c r="U498" s="322"/>
      <c r="V498" s="322"/>
      <c r="W498" s="322"/>
      <c r="X498" s="322"/>
      <c r="Y498" s="319"/>
      <c r="Z498" s="136" t="str">
        <f t="shared" si="16"/>
        <v/>
      </c>
      <c r="AA498" s="137" t="str">
        <f t="shared" si="17"/>
        <v/>
      </c>
      <c r="AB498" s="154" t="str">
        <f t="shared" si="18"/>
        <v/>
      </c>
      <c r="AC498" s="322"/>
      <c r="AD498" s="319"/>
      <c r="AE498" s="320"/>
    </row>
    <row r="499" ht="18.0" customHeight="1">
      <c r="A499" s="118" t="str">
        <f t="shared" si="15"/>
        <v/>
      </c>
      <c r="B499" s="109"/>
      <c r="C499" s="119"/>
      <c r="D499" s="119"/>
      <c r="E499" s="330"/>
      <c r="F499" s="121"/>
      <c r="G499" s="153"/>
      <c r="H499" s="153"/>
      <c r="I499" s="153"/>
      <c r="J499" s="112"/>
      <c r="K499" s="153"/>
      <c r="L499" s="114"/>
      <c r="M499" s="151"/>
      <c r="N499" s="152"/>
      <c r="O499" s="150"/>
      <c r="P499" s="114"/>
      <c r="Q499" s="114"/>
      <c r="R499" s="151"/>
      <c r="S499" s="152"/>
      <c r="T499" s="153"/>
      <c r="U499" s="152"/>
      <c r="V499" s="152"/>
      <c r="W499" s="152"/>
      <c r="X499" s="152"/>
      <c r="Y499" s="153"/>
      <c r="Z499" s="125" t="str">
        <f t="shared" si="16"/>
        <v/>
      </c>
      <c r="AA499" s="126" t="str">
        <f t="shared" si="17"/>
        <v/>
      </c>
      <c r="AB499" s="154" t="str">
        <f t="shared" si="18"/>
        <v/>
      </c>
      <c r="AC499" s="152"/>
      <c r="AD499" s="153"/>
      <c r="AE499" s="156"/>
    </row>
    <row r="500" ht="18.0" customHeight="1">
      <c r="A500" s="127" t="str">
        <f t="shared" si="15"/>
        <v/>
      </c>
      <c r="B500" s="128"/>
      <c r="C500" s="129"/>
      <c r="D500" s="129"/>
      <c r="E500" s="325"/>
      <c r="F500" s="131"/>
      <c r="G500" s="319"/>
      <c r="H500" s="319"/>
      <c r="I500" s="319"/>
      <c r="J500" s="132"/>
      <c r="K500" s="319"/>
      <c r="L500" s="135"/>
      <c r="M500" s="321"/>
      <c r="N500" s="322"/>
      <c r="O500" s="150"/>
      <c r="P500" s="135"/>
      <c r="Q500" s="135"/>
      <c r="R500" s="321"/>
      <c r="S500" s="322"/>
      <c r="T500" s="319"/>
      <c r="U500" s="322"/>
      <c r="V500" s="322"/>
      <c r="W500" s="322"/>
      <c r="X500" s="322"/>
      <c r="Y500" s="319"/>
      <c r="Z500" s="136" t="str">
        <f t="shared" si="16"/>
        <v/>
      </c>
      <c r="AA500" s="137" t="str">
        <f t="shared" si="17"/>
        <v/>
      </c>
      <c r="AB500" s="154" t="str">
        <f t="shared" si="18"/>
        <v/>
      </c>
      <c r="AC500" s="322"/>
      <c r="AD500" s="319"/>
      <c r="AE500" s="320"/>
    </row>
    <row r="501" ht="18.0" customHeight="1">
      <c r="A501" s="118" t="str">
        <f t="shared" si="15"/>
        <v/>
      </c>
      <c r="B501" s="109"/>
      <c r="C501" s="119"/>
      <c r="D501" s="119"/>
      <c r="E501" s="330"/>
      <c r="F501" s="121"/>
      <c r="G501" s="153"/>
      <c r="H501" s="153"/>
      <c r="I501" s="153"/>
      <c r="J501" s="112"/>
      <c r="K501" s="153"/>
      <c r="L501" s="114"/>
      <c r="M501" s="151"/>
      <c r="N501" s="152"/>
      <c r="O501" s="150"/>
      <c r="P501" s="114"/>
      <c r="Q501" s="114"/>
      <c r="R501" s="151"/>
      <c r="S501" s="152"/>
      <c r="T501" s="153"/>
      <c r="U501" s="152"/>
      <c r="V501" s="152"/>
      <c r="W501" s="152"/>
      <c r="X501" s="152"/>
      <c r="Y501" s="153"/>
      <c r="Z501" s="125" t="str">
        <f t="shared" si="16"/>
        <v/>
      </c>
      <c r="AA501" s="126" t="str">
        <f t="shared" si="17"/>
        <v/>
      </c>
      <c r="AB501" s="154" t="str">
        <f t="shared" si="18"/>
        <v/>
      </c>
      <c r="AC501" s="152"/>
      <c r="AD501" s="153"/>
      <c r="AE501" s="156"/>
    </row>
    <row r="502" ht="18.0" customHeight="1">
      <c r="A502" s="127" t="str">
        <f t="shared" si="15"/>
        <v/>
      </c>
      <c r="B502" s="128"/>
      <c r="C502" s="129"/>
      <c r="D502" s="129"/>
      <c r="E502" s="325"/>
      <c r="F502" s="131"/>
      <c r="G502" s="319"/>
      <c r="H502" s="319"/>
      <c r="I502" s="319"/>
      <c r="J502" s="132"/>
      <c r="K502" s="319"/>
      <c r="L502" s="135"/>
      <c r="M502" s="321"/>
      <c r="N502" s="322"/>
      <c r="O502" s="150"/>
      <c r="P502" s="135"/>
      <c r="Q502" s="135"/>
      <c r="R502" s="321"/>
      <c r="S502" s="322"/>
      <c r="T502" s="319"/>
      <c r="U502" s="322"/>
      <c r="V502" s="322"/>
      <c r="W502" s="322"/>
      <c r="X502" s="322"/>
      <c r="Y502" s="319"/>
      <c r="Z502" s="136" t="str">
        <f t="shared" si="16"/>
        <v/>
      </c>
      <c r="AA502" s="137" t="str">
        <f t="shared" si="17"/>
        <v/>
      </c>
      <c r="AB502" s="154" t="str">
        <f t="shared" si="18"/>
        <v/>
      </c>
      <c r="AC502" s="322"/>
      <c r="AD502" s="319"/>
      <c r="AE502" s="320"/>
    </row>
    <row r="503" ht="18.0" customHeight="1">
      <c r="A503" s="118" t="str">
        <f t="shared" si="15"/>
        <v/>
      </c>
      <c r="B503" s="109"/>
      <c r="C503" s="119"/>
      <c r="D503" s="119"/>
      <c r="E503" s="330"/>
      <c r="F503" s="121"/>
      <c r="G503" s="153"/>
      <c r="H503" s="153"/>
      <c r="I503" s="153"/>
      <c r="J503" s="112"/>
      <c r="K503" s="153"/>
      <c r="L503" s="114"/>
      <c r="M503" s="151"/>
      <c r="N503" s="152"/>
      <c r="O503" s="150"/>
      <c r="P503" s="114"/>
      <c r="Q503" s="114"/>
      <c r="R503" s="151"/>
      <c r="S503" s="152"/>
      <c r="T503" s="153"/>
      <c r="U503" s="152"/>
      <c r="V503" s="152"/>
      <c r="W503" s="152"/>
      <c r="X503" s="152"/>
      <c r="Y503" s="153"/>
      <c r="Z503" s="125" t="str">
        <f t="shared" si="16"/>
        <v/>
      </c>
      <c r="AA503" s="126" t="str">
        <f t="shared" si="17"/>
        <v/>
      </c>
      <c r="AB503" s="154" t="str">
        <f t="shared" si="18"/>
        <v/>
      </c>
      <c r="AC503" s="152"/>
      <c r="AD503" s="153"/>
      <c r="AE503" s="156"/>
    </row>
    <row r="504" ht="18.0" customHeight="1">
      <c r="A504" s="127" t="str">
        <f t="shared" si="15"/>
        <v/>
      </c>
      <c r="B504" s="128"/>
      <c r="C504" s="129"/>
      <c r="D504" s="129"/>
      <c r="E504" s="325"/>
      <c r="F504" s="131"/>
      <c r="G504" s="319"/>
      <c r="H504" s="319"/>
      <c r="I504" s="319"/>
      <c r="J504" s="132"/>
      <c r="K504" s="319"/>
      <c r="L504" s="135"/>
      <c r="M504" s="321"/>
      <c r="N504" s="322"/>
      <c r="O504" s="150"/>
      <c r="P504" s="135"/>
      <c r="Q504" s="135"/>
      <c r="R504" s="321"/>
      <c r="S504" s="322"/>
      <c r="T504" s="319"/>
      <c r="U504" s="322"/>
      <c r="V504" s="322"/>
      <c r="W504" s="322"/>
      <c r="X504" s="322"/>
      <c r="Y504" s="319"/>
      <c r="Z504" s="136" t="str">
        <f t="shared" si="16"/>
        <v/>
      </c>
      <c r="AA504" s="137" t="str">
        <f t="shared" si="17"/>
        <v/>
      </c>
      <c r="AB504" s="154" t="str">
        <f t="shared" si="18"/>
        <v/>
      </c>
      <c r="AC504" s="322"/>
      <c r="AD504" s="319"/>
      <c r="AE504" s="320"/>
    </row>
    <row r="505" ht="18.0" customHeight="1">
      <c r="A505" s="118" t="str">
        <f t="shared" si="15"/>
        <v/>
      </c>
      <c r="B505" s="109"/>
      <c r="C505" s="119"/>
      <c r="D505" s="119"/>
      <c r="E505" s="330"/>
      <c r="F505" s="121"/>
      <c r="G505" s="153"/>
      <c r="H505" s="153"/>
      <c r="I505" s="153"/>
      <c r="J505" s="112"/>
      <c r="K505" s="153"/>
      <c r="L505" s="114"/>
      <c r="M505" s="151"/>
      <c r="N505" s="152"/>
      <c r="O505" s="150"/>
      <c r="P505" s="114"/>
      <c r="Q505" s="114"/>
      <c r="R505" s="151"/>
      <c r="S505" s="152"/>
      <c r="T505" s="153"/>
      <c r="U505" s="152"/>
      <c r="V505" s="152"/>
      <c r="W505" s="152"/>
      <c r="X505" s="152"/>
      <c r="Y505" s="153"/>
      <c r="Z505" s="125" t="str">
        <f t="shared" si="16"/>
        <v/>
      </c>
      <c r="AA505" s="126" t="str">
        <f t="shared" si="17"/>
        <v/>
      </c>
      <c r="AB505" s="154" t="str">
        <f t="shared" si="18"/>
        <v/>
      </c>
      <c r="AC505" s="152"/>
      <c r="AD505" s="153"/>
      <c r="AE505" s="156"/>
    </row>
    <row r="506" ht="18.0" customHeight="1">
      <c r="A506" s="127" t="str">
        <f t="shared" si="15"/>
        <v/>
      </c>
      <c r="B506" s="128"/>
      <c r="C506" s="129"/>
      <c r="D506" s="129"/>
      <c r="E506" s="325"/>
      <c r="F506" s="131"/>
      <c r="G506" s="319"/>
      <c r="H506" s="319"/>
      <c r="I506" s="319"/>
      <c r="J506" s="132"/>
      <c r="K506" s="319"/>
      <c r="L506" s="135"/>
      <c r="M506" s="321"/>
      <c r="N506" s="322"/>
      <c r="O506" s="150"/>
      <c r="P506" s="135"/>
      <c r="Q506" s="135"/>
      <c r="R506" s="321"/>
      <c r="S506" s="322"/>
      <c r="T506" s="319"/>
      <c r="U506" s="322"/>
      <c r="V506" s="322"/>
      <c r="W506" s="322"/>
      <c r="X506" s="322"/>
      <c r="Y506" s="319"/>
      <c r="Z506" s="136" t="str">
        <f t="shared" si="16"/>
        <v/>
      </c>
      <c r="AA506" s="137" t="str">
        <f t="shared" si="17"/>
        <v/>
      </c>
      <c r="AB506" s="154" t="str">
        <f t="shared" si="18"/>
        <v/>
      </c>
      <c r="AC506" s="322"/>
      <c r="AD506" s="319"/>
      <c r="AE506" s="320"/>
    </row>
    <row r="507" ht="18.0" customHeight="1">
      <c r="A507" s="118" t="str">
        <f t="shared" si="15"/>
        <v/>
      </c>
      <c r="B507" s="109"/>
      <c r="C507" s="119"/>
      <c r="D507" s="119"/>
      <c r="E507" s="330"/>
      <c r="F507" s="121"/>
      <c r="G507" s="153"/>
      <c r="H507" s="153"/>
      <c r="I507" s="153"/>
      <c r="J507" s="112"/>
      <c r="K507" s="153"/>
      <c r="L507" s="114"/>
      <c r="M507" s="151"/>
      <c r="N507" s="152"/>
      <c r="O507" s="150"/>
      <c r="P507" s="114"/>
      <c r="Q507" s="114"/>
      <c r="R507" s="151"/>
      <c r="S507" s="152"/>
      <c r="T507" s="153"/>
      <c r="U507" s="152"/>
      <c r="V507" s="152"/>
      <c r="W507" s="152"/>
      <c r="X507" s="152"/>
      <c r="Y507" s="153"/>
      <c r="Z507" s="125" t="str">
        <f t="shared" si="16"/>
        <v/>
      </c>
      <c r="AA507" s="126" t="str">
        <f t="shared" si="17"/>
        <v/>
      </c>
      <c r="AB507" s="154" t="str">
        <f t="shared" si="18"/>
        <v/>
      </c>
      <c r="AC507" s="152"/>
      <c r="AD507" s="153"/>
      <c r="AE507" s="156"/>
    </row>
    <row r="508" ht="18.0" customHeight="1">
      <c r="A508" s="127" t="str">
        <f t="shared" si="15"/>
        <v/>
      </c>
      <c r="B508" s="128"/>
      <c r="C508" s="129"/>
      <c r="D508" s="129"/>
      <c r="E508" s="325"/>
      <c r="F508" s="131"/>
      <c r="G508" s="319"/>
      <c r="H508" s="319"/>
      <c r="I508" s="319"/>
      <c r="J508" s="132"/>
      <c r="K508" s="319"/>
      <c r="L508" s="135"/>
      <c r="M508" s="321"/>
      <c r="N508" s="322"/>
      <c r="O508" s="150"/>
      <c r="P508" s="135"/>
      <c r="Q508" s="135"/>
      <c r="R508" s="321"/>
      <c r="S508" s="322"/>
      <c r="T508" s="319"/>
      <c r="U508" s="322"/>
      <c r="V508" s="322"/>
      <c r="W508" s="322"/>
      <c r="X508" s="322"/>
      <c r="Y508" s="319"/>
      <c r="Z508" s="136" t="str">
        <f t="shared" si="16"/>
        <v/>
      </c>
      <c r="AA508" s="137" t="str">
        <f t="shared" si="17"/>
        <v/>
      </c>
      <c r="AB508" s="154" t="str">
        <f t="shared" si="18"/>
        <v/>
      </c>
      <c r="AC508" s="322"/>
      <c r="AD508" s="319"/>
      <c r="AE508" s="320"/>
    </row>
    <row r="509" ht="18.0" customHeight="1">
      <c r="A509" s="118" t="str">
        <f t="shared" si="15"/>
        <v/>
      </c>
      <c r="B509" s="109"/>
      <c r="C509" s="119"/>
      <c r="D509" s="119"/>
      <c r="E509" s="330"/>
      <c r="F509" s="121"/>
      <c r="G509" s="153"/>
      <c r="H509" s="153"/>
      <c r="I509" s="153"/>
      <c r="J509" s="112"/>
      <c r="K509" s="153"/>
      <c r="L509" s="114"/>
      <c r="M509" s="151"/>
      <c r="N509" s="152"/>
      <c r="O509" s="150"/>
      <c r="P509" s="114"/>
      <c r="Q509" s="114"/>
      <c r="R509" s="151"/>
      <c r="S509" s="152"/>
      <c r="T509" s="153"/>
      <c r="U509" s="152"/>
      <c r="V509" s="152"/>
      <c r="W509" s="152"/>
      <c r="X509" s="152"/>
      <c r="Y509" s="153"/>
      <c r="Z509" s="125" t="str">
        <f t="shared" si="16"/>
        <v/>
      </c>
      <c r="AA509" s="126" t="str">
        <f t="shared" si="17"/>
        <v/>
      </c>
      <c r="AB509" s="154" t="str">
        <f t="shared" si="18"/>
        <v/>
      </c>
      <c r="AC509" s="152"/>
      <c r="AD509" s="153"/>
      <c r="AE509" s="156"/>
    </row>
    <row r="510" ht="18.0" customHeight="1">
      <c r="A510" s="127" t="str">
        <f t="shared" si="15"/>
        <v/>
      </c>
      <c r="B510" s="128"/>
      <c r="C510" s="129"/>
      <c r="D510" s="129"/>
      <c r="E510" s="325"/>
      <c r="F510" s="131"/>
      <c r="G510" s="319"/>
      <c r="H510" s="319"/>
      <c r="I510" s="319"/>
      <c r="J510" s="132"/>
      <c r="K510" s="319"/>
      <c r="L510" s="135"/>
      <c r="M510" s="321"/>
      <c r="N510" s="322"/>
      <c r="O510" s="150"/>
      <c r="P510" s="135"/>
      <c r="Q510" s="135"/>
      <c r="R510" s="321"/>
      <c r="S510" s="322"/>
      <c r="T510" s="319"/>
      <c r="U510" s="322"/>
      <c r="V510" s="322"/>
      <c r="W510" s="322"/>
      <c r="X510" s="322"/>
      <c r="Y510" s="319"/>
      <c r="Z510" s="136" t="str">
        <f t="shared" si="16"/>
        <v/>
      </c>
      <c r="AA510" s="137" t="str">
        <f t="shared" si="17"/>
        <v/>
      </c>
      <c r="AB510" s="154" t="str">
        <f t="shared" si="18"/>
        <v/>
      </c>
      <c r="AC510" s="322"/>
      <c r="AD510" s="319"/>
      <c r="AE510" s="320"/>
    </row>
    <row r="511" ht="18.0" customHeight="1">
      <c r="A511" s="118" t="str">
        <f t="shared" si="15"/>
        <v/>
      </c>
      <c r="B511" s="109"/>
      <c r="C511" s="119"/>
      <c r="D511" s="119"/>
      <c r="E511" s="330"/>
      <c r="F511" s="121"/>
      <c r="G511" s="153"/>
      <c r="H511" s="153"/>
      <c r="I511" s="153"/>
      <c r="J511" s="112"/>
      <c r="K511" s="153"/>
      <c r="L511" s="114"/>
      <c r="M511" s="151"/>
      <c r="N511" s="152"/>
      <c r="O511" s="150"/>
      <c r="P511" s="114"/>
      <c r="Q511" s="114"/>
      <c r="R511" s="151"/>
      <c r="S511" s="152"/>
      <c r="T511" s="153"/>
      <c r="U511" s="152"/>
      <c r="V511" s="152"/>
      <c r="W511" s="152"/>
      <c r="X511" s="152"/>
      <c r="Y511" s="153"/>
      <c r="Z511" s="125" t="str">
        <f t="shared" si="16"/>
        <v/>
      </c>
      <c r="AA511" s="126" t="str">
        <f t="shared" si="17"/>
        <v/>
      </c>
      <c r="AB511" s="154" t="str">
        <f t="shared" si="18"/>
        <v/>
      </c>
      <c r="AC511" s="152"/>
      <c r="AD511" s="153"/>
      <c r="AE511" s="156"/>
    </row>
    <row r="512" ht="18.0" customHeight="1">
      <c r="A512" s="127" t="str">
        <f t="shared" si="15"/>
        <v/>
      </c>
      <c r="B512" s="128"/>
      <c r="C512" s="129"/>
      <c r="D512" s="129"/>
      <c r="E512" s="325"/>
      <c r="F512" s="131"/>
      <c r="G512" s="319"/>
      <c r="H512" s="319"/>
      <c r="I512" s="319"/>
      <c r="J512" s="132"/>
      <c r="K512" s="319"/>
      <c r="L512" s="135"/>
      <c r="M512" s="321"/>
      <c r="N512" s="322"/>
      <c r="O512" s="150"/>
      <c r="P512" s="135"/>
      <c r="Q512" s="135"/>
      <c r="R512" s="321"/>
      <c r="S512" s="322"/>
      <c r="T512" s="319"/>
      <c r="U512" s="322"/>
      <c r="V512" s="322"/>
      <c r="W512" s="322"/>
      <c r="X512" s="322"/>
      <c r="Y512" s="319"/>
      <c r="Z512" s="136" t="str">
        <f t="shared" si="16"/>
        <v/>
      </c>
      <c r="AA512" s="137" t="str">
        <f t="shared" si="17"/>
        <v/>
      </c>
      <c r="AB512" s="154" t="str">
        <f t="shared" si="18"/>
        <v/>
      </c>
      <c r="AC512" s="322"/>
      <c r="AD512" s="319"/>
      <c r="AE512" s="320"/>
    </row>
    <row r="513" ht="18.0" customHeight="1">
      <c r="A513" s="118" t="str">
        <f t="shared" si="15"/>
        <v/>
      </c>
      <c r="B513" s="109"/>
      <c r="C513" s="119"/>
      <c r="D513" s="119"/>
      <c r="E513" s="330"/>
      <c r="F513" s="121"/>
      <c r="G513" s="153"/>
      <c r="H513" s="153"/>
      <c r="I513" s="153"/>
      <c r="J513" s="112"/>
      <c r="K513" s="153"/>
      <c r="L513" s="114"/>
      <c r="M513" s="151"/>
      <c r="N513" s="152"/>
      <c r="O513" s="150"/>
      <c r="P513" s="114"/>
      <c r="Q513" s="114"/>
      <c r="R513" s="151"/>
      <c r="S513" s="152"/>
      <c r="T513" s="153"/>
      <c r="U513" s="152"/>
      <c r="V513" s="152"/>
      <c r="W513" s="152"/>
      <c r="X513" s="152"/>
      <c r="Y513" s="153"/>
      <c r="Z513" s="125" t="str">
        <f t="shared" si="16"/>
        <v/>
      </c>
      <c r="AA513" s="126" t="str">
        <f t="shared" si="17"/>
        <v/>
      </c>
      <c r="AB513" s="154" t="str">
        <f t="shared" si="18"/>
        <v/>
      </c>
      <c r="AC513" s="152"/>
      <c r="AD513" s="153"/>
      <c r="AE513" s="156"/>
    </row>
    <row r="514" ht="18.0" customHeight="1">
      <c r="A514" s="127" t="str">
        <f t="shared" si="15"/>
        <v/>
      </c>
      <c r="B514" s="128"/>
      <c r="C514" s="129"/>
      <c r="D514" s="129"/>
      <c r="E514" s="325"/>
      <c r="F514" s="131"/>
      <c r="G514" s="319"/>
      <c r="H514" s="319"/>
      <c r="I514" s="319"/>
      <c r="J514" s="132"/>
      <c r="K514" s="319"/>
      <c r="L514" s="135"/>
      <c r="M514" s="321"/>
      <c r="N514" s="322"/>
      <c r="O514" s="150"/>
      <c r="P514" s="135"/>
      <c r="Q514" s="135"/>
      <c r="R514" s="321"/>
      <c r="S514" s="322"/>
      <c r="T514" s="319"/>
      <c r="U514" s="322"/>
      <c r="V514" s="322"/>
      <c r="W514" s="322"/>
      <c r="X514" s="322"/>
      <c r="Y514" s="319"/>
      <c r="Z514" s="136" t="str">
        <f t="shared" si="16"/>
        <v/>
      </c>
      <c r="AA514" s="137" t="str">
        <f t="shared" si="17"/>
        <v/>
      </c>
      <c r="AB514" s="154" t="str">
        <f t="shared" si="18"/>
        <v/>
      </c>
      <c r="AC514" s="322"/>
      <c r="AD514" s="319"/>
      <c r="AE514" s="320"/>
    </row>
    <row r="515" ht="18.0" customHeight="1">
      <c r="A515" s="118" t="str">
        <f t="shared" si="15"/>
        <v/>
      </c>
      <c r="B515" s="109"/>
      <c r="C515" s="119"/>
      <c r="D515" s="119"/>
      <c r="E515" s="330"/>
      <c r="F515" s="121"/>
      <c r="G515" s="153"/>
      <c r="H515" s="153"/>
      <c r="I515" s="153"/>
      <c r="J515" s="112"/>
      <c r="K515" s="153"/>
      <c r="L515" s="114"/>
      <c r="M515" s="151"/>
      <c r="N515" s="152"/>
      <c r="O515" s="150"/>
      <c r="P515" s="114"/>
      <c r="Q515" s="114"/>
      <c r="R515" s="151"/>
      <c r="S515" s="152"/>
      <c r="T515" s="153"/>
      <c r="U515" s="152"/>
      <c r="V515" s="152"/>
      <c r="W515" s="152"/>
      <c r="X515" s="152"/>
      <c r="Y515" s="153"/>
      <c r="Z515" s="125" t="str">
        <f t="shared" si="16"/>
        <v/>
      </c>
      <c r="AA515" s="126" t="str">
        <f t="shared" si="17"/>
        <v/>
      </c>
      <c r="AB515" s="154" t="str">
        <f t="shared" si="18"/>
        <v/>
      </c>
      <c r="AC515" s="152"/>
      <c r="AD515" s="153"/>
      <c r="AE515" s="156"/>
    </row>
    <row r="516" ht="18.0" customHeight="1">
      <c r="A516" s="127" t="str">
        <f t="shared" si="15"/>
        <v/>
      </c>
      <c r="B516" s="128"/>
      <c r="C516" s="129"/>
      <c r="D516" s="129"/>
      <c r="E516" s="325"/>
      <c r="F516" s="131"/>
      <c r="G516" s="319"/>
      <c r="H516" s="319"/>
      <c r="I516" s="319"/>
      <c r="J516" s="132"/>
      <c r="K516" s="319"/>
      <c r="L516" s="135"/>
      <c r="M516" s="321"/>
      <c r="N516" s="322"/>
      <c r="O516" s="150"/>
      <c r="P516" s="135"/>
      <c r="Q516" s="135"/>
      <c r="R516" s="321"/>
      <c r="S516" s="322"/>
      <c r="T516" s="319"/>
      <c r="U516" s="322"/>
      <c r="V516" s="322"/>
      <c r="W516" s="322"/>
      <c r="X516" s="322"/>
      <c r="Y516" s="319"/>
      <c r="Z516" s="136" t="str">
        <f t="shared" si="16"/>
        <v/>
      </c>
      <c r="AA516" s="137" t="str">
        <f t="shared" si="17"/>
        <v/>
      </c>
      <c r="AB516" s="154" t="str">
        <f t="shared" si="18"/>
        <v/>
      </c>
      <c r="AC516" s="322"/>
      <c r="AD516" s="319"/>
      <c r="AE516" s="320"/>
    </row>
    <row r="517" ht="18.0" customHeight="1">
      <c r="A517" s="118" t="str">
        <f t="shared" si="15"/>
        <v/>
      </c>
      <c r="B517" s="109"/>
      <c r="C517" s="119"/>
      <c r="D517" s="119"/>
      <c r="E517" s="330"/>
      <c r="F517" s="121"/>
      <c r="G517" s="153"/>
      <c r="H517" s="153"/>
      <c r="I517" s="153"/>
      <c r="J517" s="112"/>
      <c r="K517" s="153"/>
      <c r="L517" s="114"/>
      <c r="M517" s="151"/>
      <c r="N517" s="152"/>
      <c r="O517" s="150"/>
      <c r="P517" s="114"/>
      <c r="Q517" s="114"/>
      <c r="R517" s="151"/>
      <c r="S517" s="152"/>
      <c r="T517" s="153"/>
      <c r="U517" s="152"/>
      <c r="V517" s="152"/>
      <c r="W517" s="152"/>
      <c r="X517" s="152"/>
      <c r="Y517" s="153"/>
      <c r="Z517" s="125" t="str">
        <f t="shared" si="16"/>
        <v/>
      </c>
      <c r="AA517" s="126" t="str">
        <f t="shared" si="17"/>
        <v/>
      </c>
      <c r="AB517" s="154" t="str">
        <f t="shared" si="18"/>
        <v/>
      </c>
      <c r="AC517" s="152"/>
      <c r="AD517" s="153"/>
      <c r="AE517" s="156"/>
    </row>
    <row r="518" ht="18.0" customHeight="1">
      <c r="A518" s="127" t="str">
        <f t="shared" si="15"/>
        <v/>
      </c>
      <c r="B518" s="128"/>
      <c r="C518" s="129"/>
      <c r="D518" s="129"/>
      <c r="E518" s="325"/>
      <c r="F518" s="131"/>
      <c r="G518" s="319"/>
      <c r="H518" s="319"/>
      <c r="I518" s="319"/>
      <c r="J518" s="132"/>
      <c r="K518" s="319"/>
      <c r="L518" s="135"/>
      <c r="M518" s="321"/>
      <c r="N518" s="322"/>
      <c r="O518" s="150"/>
      <c r="P518" s="135"/>
      <c r="Q518" s="135"/>
      <c r="R518" s="321"/>
      <c r="S518" s="322"/>
      <c r="T518" s="319"/>
      <c r="U518" s="322"/>
      <c r="V518" s="322"/>
      <c r="W518" s="322"/>
      <c r="X518" s="322"/>
      <c r="Y518" s="319"/>
      <c r="Z518" s="136" t="str">
        <f t="shared" si="16"/>
        <v/>
      </c>
      <c r="AA518" s="137" t="str">
        <f t="shared" si="17"/>
        <v/>
      </c>
      <c r="AB518" s="154" t="str">
        <f t="shared" si="18"/>
        <v/>
      </c>
      <c r="AC518" s="322"/>
      <c r="AD518" s="319"/>
      <c r="AE518" s="320"/>
    </row>
    <row r="519" ht="18.0" customHeight="1">
      <c r="A519" s="118" t="str">
        <f t="shared" si="15"/>
        <v/>
      </c>
      <c r="B519" s="109"/>
      <c r="C519" s="119"/>
      <c r="D519" s="119"/>
      <c r="E519" s="330"/>
      <c r="F519" s="121"/>
      <c r="G519" s="153"/>
      <c r="H519" s="153"/>
      <c r="I519" s="153"/>
      <c r="J519" s="112"/>
      <c r="K519" s="153"/>
      <c r="L519" s="114"/>
      <c r="M519" s="151"/>
      <c r="N519" s="152"/>
      <c r="O519" s="150"/>
      <c r="P519" s="114"/>
      <c r="Q519" s="114"/>
      <c r="R519" s="151"/>
      <c r="S519" s="152"/>
      <c r="T519" s="153"/>
      <c r="U519" s="152"/>
      <c r="V519" s="152"/>
      <c r="W519" s="152"/>
      <c r="X519" s="152"/>
      <c r="Y519" s="153"/>
      <c r="Z519" s="125" t="str">
        <f t="shared" si="16"/>
        <v/>
      </c>
      <c r="AA519" s="126" t="str">
        <f t="shared" si="17"/>
        <v/>
      </c>
      <c r="AB519" s="154" t="str">
        <f t="shared" si="18"/>
        <v/>
      </c>
      <c r="AC519" s="152"/>
      <c r="AD519" s="153"/>
      <c r="AE519" s="156"/>
    </row>
    <row r="520" ht="18.0" customHeight="1">
      <c r="A520" s="127" t="str">
        <f t="shared" si="15"/>
        <v/>
      </c>
      <c r="B520" s="128"/>
      <c r="C520" s="129"/>
      <c r="D520" s="129"/>
      <c r="E520" s="325"/>
      <c r="F520" s="131"/>
      <c r="G520" s="319"/>
      <c r="H520" s="319"/>
      <c r="I520" s="319"/>
      <c r="J520" s="132"/>
      <c r="K520" s="319"/>
      <c r="L520" s="135"/>
      <c r="M520" s="321"/>
      <c r="N520" s="322"/>
      <c r="O520" s="150"/>
      <c r="P520" s="135"/>
      <c r="Q520" s="135"/>
      <c r="R520" s="321"/>
      <c r="S520" s="322"/>
      <c r="T520" s="319"/>
      <c r="U520" s="322"/>
      <c r="V520" s="322"/>
      <c r="W520" s="322"/>
      <c r="X520" s="322"/>
      <c r="Y520" s="319"/>
      <c r="Z520" s="136" t="str">
        <f t="shared" si="16"/>
        <v/>
      </c>
      <c r="AA520" s="137" t="str">
        <f t="shared" si="17"/>
        <v/>
      </c>
      <c r="AB520" s="154" t="str">
        <f t="shared" si="18"/>
        <v/>
      </c>
      <c r="AC520" s="322"/>
      <c r="AD520" s="319"/>
      <c r="AE520" s="320"/>
    </row>
    <row r="521" ht="18.0" customHeight="1">
      <c r="A521" s="118" t="str">
        <f t="shared" si="15"/>
        <v/>
      </c>
      <c r="B521" s="109"/>
      <c r="C521" s="119"/>
      <c r="D521" s="119"/>
      <c r="E521" s="330"/>
      <c r="F521" s="121"/>
      <c r="G521" s="153"/>
      <c r="H521" s="153"/>
      <c r="I521" s="153"/>
      <c r="J521" s="112"/>
      <c r="K521" s="153"/>
      <c r="L521" s="114"/>
      <c r="M521" s="151"/>
      <c r="N521" s="152"/>
      <c r="O521" s="150"/>
      <c r="P521" s="114"/>
      <c r="Q521" s="114"/>
      <c r="R521" s="151"/>
      <c r="S521" s="152"/>
      <c r="T521" s="153"/>
      <c r="U521" s="152"/>
      <c r="V521" s="152"/>
      <c r="W521" s="152"/>
      <c r="X521" s="152"/>
      <c r="Y521" s="153"/>
      <c r="Z521" s="125" t="str">
        <f t="shared" si="16"/>
        <v/>
      </c>
      <c r="AA521" s="126" t="str">
        <f t="shared" si="17"/>
        <v/>
      </c>
      <c r="AB521" s="154" t="str">
        <f t="shared" si="18"/>
        <v/>
      </c>
      <c r="AC521" s="152"/>
      <c r="AD521" s="153"/>
      <c r="AE521" s="156"/>
    </row>
    <row r="522" ht="18.0" customHeight="1">
      <c r="A522" s="127" t="str">
        <f t="shared" si="15"/>
        <v/>
      </c>
      <c r="B522" s="128"/>
      <c r="C522" s="129"/>
      <c r="D522" s="129"/>
      <c r="E522" s="325"/>
      <c r="F522" s="131"/>
      <c r="G522" s="319"/>
      <c r="H522" s="319"/>
      <c r="I522" s="319"/>
      <c r="J522" s="132"/>
      <c r="K522" s="319"/>
      <c r="L522" s="135"/>
      <c r="M522" s="321"/>
      <c r="N522" s="322"/>
      <c r="O522" s="150"/>
      <c r="P522" s="135"/>
      <c r="Q522" s="135"/>
      <c r="R522" s="321"/>
      <c r="S522" s="322"/>
      <c r="T522" s="319"/>
      <c r="U522" s="322"/>
      <c r="V522" s="322"/>
      <c r="W522" s="322"/>
      <c r="X522" s="322"/>
      <c r="Y522" s="319"/>
      <c r="Z522" s="136" t="str">
        <f t="shared" si="16"/>
        <v/>
      </c>
      <c r="AA522" s="137" t="str">
        <f t="shared" si="17"/>
        <v/>
      </c>
      <c r="AB522" s="154" t="str">
        <f t="shared" si="18"/>
        <v/>
      </c>
      <c r="AC522" s="322"/>
      <c r="AD522" s="319"/>
      <c r="AE522" s="320"/>
    </row>
    <row r="523" ht="18.0" customHeight="1">
      <c r="A523" s="118" t="str">
        <f t="shared" si="15"/>
        <v/>
      </c>
      <c r="B523" s="109"/>
      <c r="C523" s="119"/>
      <c r="D523" s="119"/>
      <c r="E523" s="330"/>
      <c r="F523" s="121"/>
      <c r="G523" s="153"/>
      <c r="H523" s="153"/>
      <c r="I523" s="153"/>
      <c r="J523" s="112"/>
      <c r="K523" s="153"/>
      <c r="L523" s="114"/>
      <c r="M523" s="151"/>
      <c r="N523" s="152"/>
      <c r="O523" s="150"/>
      <c r="P523" s="114"/>
      <c r="Q523" s="114"/>
      <c r="R523" s="151"/>
      <c r="S523" s="152"/>
      <c r="T523" s="153"/>
      <c r="U523" s="152"/>
      <c r="V523" s="152"/>
      <c r="W523" s="152"/>
      <c r="X523" s="152"/>
      <c r="Y523" s="153"/>
      <c r="Z523" s="125" t="str">
        <f t="shared" si="16"/>
        <v/>
      </c>
      <c r="AA523" s="126" t="str">
        <f t="shared" si="17"/>
        <v/>
      </c>
      <c r="AB523" s="154" t="str">
        <f t="shared" si="18"/>
        <v/>
      </c>
      <c r="AC523" s="152"/>
      <c r="AD523" s="153"/>
      <c r="AE523" s="156"/>
    </row>
    <row r="524" ht="18.0" customHeight="1">
      <c r="A524" s="127" t="str">
        <f t="shared" si="15"/>
        <v/>
      </c>
      <c r="B524" s="128"/>
      <c r="C524" s="129"/>
      <c r="D524" s="129"/>
      <c r="E524" s="325"/>
      <c r="F524" s="131"/>
      <c r="G524" s="319"/>
      <c r="H524" s="319"/>
      <c r="I524" s="319"/>
      <c r="J524" s="132"/>
      <c r="K524" s="319"/>
      <c r="L524" s="135"/>
      <c r="M524" s="321"/>
      <c r="N524" s="322"/>
      <c r="O524" s="150"/>
      <c r="P524" s="135"/>
      <c r="Q524" s="135"/>
      <c r="R524" s="321"/>
      <c r="S524" s="322"/>
      <c r="T524" s="319"/>
      <c r="U524" s="322"/>
      <c r="V524" s="322"/>
      <c r="W524" s="322"/>
      <c r="X524" s="322"/>
      <c r="Y524" s="319"/>
      <c r="Z524" s="136" t="str">
        <f t="shared" si="16"/>
        <v/>
      </c>
      <c r="AA524" s="137" t="str">
        <f t="shared" si="17"/>
        <v/>
      </c>
      <c r="AB524" s="154" t="str">
        <f t="shared" si="18"/>
        <v/>
      </c>
      <c r="AC524" s="322"/>
      <c r="AD524" s="319"/>
      <c r="AE524" s="320"/>
    </row>
    <row r="525" ht="18.0" customHeight="1">
      <c r="A525" s="118" t="str">
        <f t="shared" si="15"/>
        <v/>
      </c>
      <c r="B525" s="109"/>
      <c r="C525" s="119"/>
      <c r="D525" s="119"/>
      <c r="E525" s="330"/>
      <c r="F525" s="121"/>
      <c r="G525" s="153"/>
      <c r="H525" s="153"/>
      <c r="I525" s="153"/>
      <c r="J525" s="112"/>
      <c r="K525" s="153"/>
      <c r="L525" s="114"/>
      <c r="M525" s="151"/>
      <c r="N525" s="152"/>
      <c r="O525" s="150"/>
      <c r="P525" s="114"/>
      <c r="Q525" s="114"/>
      <c r="R525" s="151"/>
      <c r="S525" s="152"/>
      <c r="T525" s="153"/>
      <c r="U525" s="152"/>
      <c r="V525" s="152"/>
      <c r="W525" s="152"/>
      <c r="X525" s="152"/>
      <c r="Y525" s="153"/>
      <c r="Z525" s="125" t="str">
        <f t="shared" si="16"/>
        <v/>
      </c>
      <c r="AA525" s="126" t="str">
        <f t="shared" si="17"/>
        <v/>
      </c>
      <c r="AB525" s="154" t="str">
        <f t="shared" si="18"/>
        <v/>
      </c>
      <c r="AC525" s="152"/>
      <c r="AD525" s="153"/>
      <c r="AE525" s="156"/>
    </row>
    <row r="526" ht="18.0" customHeight="1">
      <c r="A526" s="127" t="str">
        <f t="shared" si="15"/>
        <v/>
      </c>
      <c r="B526" s="128"/>
      <c r="C526" s="129"/>
      <c r="D526" s="129"/>
      <c r="E526" s="325"/>
      <c r="F526" s="131"/>
      <c r="G526" s="319"/>
      <c r="H526" s="319"/>
      <c r="I526" s="319"/>
      <c r="J526" s="132"/>
      <c r="K526" s="319"/>
      <c r="L526" s="135"/>
      <c r="M526" s="321"/>
      <c r="N526" s="322"/>
      <c r="O526" s="150"/>
      <c r="P526" s="135"/>
      <c r="Q526" s="135"/>
      <c r="R526" s="321"/>
      <c r="S526" s="322"/>
      <c r="T526" s="319"/>
      <c r="U526" s="322"/>
      <c r="V526" s="322"/>
      <c r="W526" s="322"/>
      <c r="X526" s="322"/>
      <c r="Y526" s="319"/>
      <c r="Z526" s="136" t="str">
        <f t="shared" si="16"/>
        <v/>
      </c>
      <c r="AA526" s="137" t="str">
        <f t="shared" si="17"/>
        <v/>
      </c>
      <c r="AB526" s="154" t="str">
        <f t="shared" si="18"/>
        <v/>
      </c>
      <c r="AC526" s="322"/>
      <c r="AD526" s="319"/>
      <c r="AE526" s="320"/>
    </row>
    <row r="527" ht="18.0" customHeight="1">
      <c r="A527" s="118" t="str">
        <f t="shared" si="15"/>
        <v/>
      </c>
      <c r="B527" s="109"/>
      <c r="C527" s="119"/>
      <c r="D527" s="119"/>
      <c r="E527" s="330"/>
      <c r="F527" s="121"/>
      <c r="G527" s="153"/>
      <c r="H527" s="153"/>
      <c r="I527" s="153"/>
      <c r="J527" s="112"/>
      <c r="K527" s="153"/>
      <c r="L527" s="114"/>
      <c r="M527" s="151"/>
      <c r="N527" s="152"/>
      <c r="O527" s="150"/>
      <c r="P527" s="114"/>
      <c r="Q527" s="114"/>
      <c r="R527" s="151"/>
      <c r="S527" s="152"/>
      <c r="T527" s="153"/>
      <c r="U527" s="152"/>
      <c r="V527" s="152"/>
      <c r="W527" s="152"/>
      <c r="X527" s="152"/>
      <c r="Y527" s="153"/>
      <c r="Z527" s="125" t="str">
        <f t="shared" si="16"/>
        <v/>
      </c>
      <c r="AA527" s="126" t="str">
        <f t="shared" si="17"/>
        <v/>
      </c>
      <c r="AB527" s="154" t="str">
        <f t="shared" si="18"/>
        <v/>
      </c>
      <c r="AC527" s="152"/>
      <c r="AD527" s="153"/>
      <c r="AE527" s="156"/>
    </row>
    <row r="528" ht="18.0" customHeight="1">
      <c r="A528" s="127" t="str">
        <f t="shared" si="15"/>
        <v/>
      </c>
      <c r="B528" s="128"/>
      <c r="C528" s="129"/>
      <c r="D528" s="129"/>
      <c r="E528" s="325"/>
      <c r="F528" s="131"/>
      <c r="G528" s="319"/>
      <c r="H528" s="319"/>
      <c r="I528" s="319"/>
      <c r="J528" s="132"/>
      <c r="K528" s="319"/>
      <c r="L528" s="135"/>
      <c r="M528" s="321"/>
      <c r="N528" s="322"/>
      <c r="O528" s="150"/>
      <c r="P528" s="135"/>
      <c r="Q528" s="135"/>
      <c r="R528" s="321"/>
      <c r="S528" s="322"/>
      <c r="T528" s="319"/>
      <c r="U528" s="322"/>
      <c r="V528" s="322"/>
      <c r="W528" s="322"/>
      <c r="X528" s="322"/>
      <c r="Y528" s="319"/>
      <c r="Z528" s="136" t="str">
        <f t="shared" si="16"/>
        <v/>
      </c>
      <c r="AA528" s="137" t="str">
        <f t="shared" si="17"/>
        <v/>
      </c>
      <c r="AB528" s="154" t="str">
        <f t="shared" si="18"/>
        <v/>
      </c>
      <c r="AC528" s="322"/>
      <c r="AD528" s="319"/>
      <c r="AE528" s="320"/>
    </row>
    <row r="529" ht="18.0" customHeight="1">
      <c r="A529" s="118" t="str">
        <f t="shared" si="15"/>
        <v/>
      </c>
      <c r="B529" s="109"/>
      <c r="C529" s="119"/>
      <c r="D529" s="119"/>
      <c r="E529" s="330"/>
      <c r="F529" s="121"/>
      <c r="G529" s="153"/>
      <c r="H529" s="153"/>
      <c r="I529" s="153"/>
      <c r="J529" s="112"/>
      <c r="K529" s="153"/>
      <c r="L529" s="114"/>
      <c r="M529" s="151"/>
      <c r="N529" s="152"/>
      <c r="O529" s="150"/>
      <c r="P529" s="114"/>
      <c r="Q529" s="114"/>
      <c r="R529" s="151"/>
      <c r="S529" s="152"/>
      <c r="T529" s="153"/>
      <c r="U529" s="152"/>
      <c r="V529" s="152"/>
      <c r="W529" s="152"/>
      <c r="X529" s="152"/>
      <c r="Y529" s="153"/>
      <c r="Z529" s="125" t="str">
        <f t="shared" si="16"/>
        <v/>
      </c>
      <c r="AA529" s="126" t="str">
        <f t="shared" si="17"/>
        <v/>
      </c>
      <c r="AB529" s="154" t="str">
        <f t="shared" si="18"/>
        <v/>
      </c>
      <c r="AC529" s="152"/>
      <c r="AD529" s="153"/>
      <c r="AE529" s="156"/>
    </row>
    <row r="530" ht="18.0" customHeight="1">
      <c r="A530" s="127" t="str">
        <f t="shared" si="15"/>
        <v/>
      </c>
      <c r="B530" s="128"/>
      <c r="C530" s="129"/>
      <c r="D530" s="129"/>
      <c r="E530" s="325"/>
      <c r="F530" s="131"/>
      <c r="G530" s="319"/>
      <c r="H530" s="319"/>
      <c r="I530" s="319"/>
      <c r="J530" s="132"/>
      <c r="K530" s="319"/>
      <c r="L530" s="135"/>
      <c r="M530" s="321"/>
      <c r="N530" s="322"/>
      <c r="O530" s="150"/>
      <c r="P530" s="135"/>
      <c r="Q530" s="135"/>
      <c r="R530" s="321"/>
      <c r="S530" s="322"/>
      <c r="T530" s="319"/>
      <c r="U530" s="322"/>
      <c r="V530" s="322"/>
      <c r="W530" s="322"/>
      <c r="X530" s="322"/>
      <c r="Y530" s="319"/>
      <c r="Z530" s="136" t="str">
        <f t="shared" si="16"/>
        <v/>
      </c>
      <c r="AA530" s="137" t="str">
        <f t="shared" si="17"/>
        <v/>
      </c>
      <c r="AB530" s="154" t="str">
        <f t="shared" si="18"/>
        <v/>
      </c>
      <c r="AC530" s="322"/>
      <c r="AD530" s="319"/>
      <c r="AE530" s="320"/>
    </row>
    <row r="531" ht="18.0" customHeight="1">
      <c r="A531" s="118" t="str">
        <f t="shared" si="15"/>
        <v/>
      </c>
      <c r="B531" s="109"/>
      <c r="C531" s="119"/>
      <c r="D531" s="119"/>
      <c r="E531" s="330"/>
      <c r="F531" s="121"/>
      <c r="G531" s="153"/>
      <c r="H531" s="153"/>
      <c r="I531" s="153"/>
      <c r="J531" s="112"/>
      <c r="K531" s="153"/>
      <c r="L531" s="114"/>
      <c r="M531" s="151"/>
      <c r="N531" s="152"/>
      <c r="O531" s="150"/>
      <c r="P531" s="114"/>
      <c r="Q531" s="114"/>
      <c r="R531" s="151"/>
      <c r="S531" s="152"/>
      <c r="T531" s="153"/>
      <c r="U531" s="152"/>
      <c r="V531" s="152"/>
      <c r="W531" s="152"/>
      <c r="X531" s="152"/>
      <c r="Y531" s="153"/>
      <c r="Z531" s="125" t="str">
        <f t="shared" si="16"/>
        <v/>
      </c>
      <c r="AA531" s="126" t="str">
        <f t="shared" si="17"/>
        <v/>
      </c>
      <c r="AB531" s="154" t="str">
        <f t="shared" si="18"/>
        <v/>
      </c>
      <c r="AC531" s="152"/>
      <c r="AD531" s="153"/>
      <c r="AE531" s="156"/>
    </row>
    <row r="532" ht="18.0" customHeight="1">
      <c r="A532" s="127" t="str">
        <f t="shared" si="15"/>
        <v/>
      </c>
      <c r="B532" s="128"/>
      <c r="C532" s="129"/>
      <c r="D532" s="129"/>
      <c r="E532" s="325"/>
      <c r="F532" s="131"/>
      <c r="G532" s="319"/>
      <c r="H532" s="319"/>
      <c r="I532" s="319"/>
      <c r="J532" s="132"/>
      <c r="K532" s="319"/>
      <c r="L532" s="135"/>
      <c r="M532" s="321"/>
      <c r="N532" s="322"/>
      <c r="O532" s="150"/>
      <c r="P532" s="135"/>
      <c r="Q532" s="135"/>
      <c r="R532" s="321"/>
      <c r="S532" s="322"/>
      <c r="T532" s="319"/>
      <c r="U532" s="322"/>
      <c r="V532" s="322"/>
      <c r="W532" s="322"/>
      <c r="X532" s="322"/>
      <c r="Y532" s="319"/>
      <c r="Z532" s="136" t="str">
        <f t="shared" si="16"/>
        <v/>
      </c>
      <c r="AA532" s="137" t="str">
        <f t="shared" si="17"/>
        <v/>
      </c>
      <c r="AB532" s="154" t="str">
        <f t="shared" si="18"/>
        <v/>
      </c>
      <c r="AC532" s="322"/>
      <c r="AD532" s="319"/>
      <c r="AE532" s="320"/>
    </row>
    <row r="533" ht="18.0" customHeight="1">
      <c r="A533" s="118" t="str">
        <f t="shared" si="15"/>
        <v/>
      </c>
      <c r="B533" s="109"/>
      <c r="C533" s="119"/>
      <c r="D533" s="119"/>
      <c r="E533" s="330"/>
      <c r="F533" s="121"/>
      <c r="G533" s="153"/>
      <c r="H533" s="153"/>
      <c r="I533" s="153"/>
      <c r="J533" s="112"/>
      <c r="K533" s="153"/>
      <c r="L533" s="114"/>
      <c r="M533" s="151"/>
      <c r="N533" s="152"/>
      <c r="O533" s="150"/>
      <c r="P533" s="114"/>
      <c r="Q533" s="114"/>
      <c r="R533" s="151"/>
      <c r="S533" s="152"/>
      <c r="T533" s="153"/>
      <c r="U533" s="152"/>
      <c r="V533" s="152"/>
      <c r="W533" s="152"/>
      <c r="X533" s="152"/>
      <c r="Y533" s="153"/>
      <c r="Z533" s="125" t="str">
        <f t="shared" si="16"/>
        <v/>
      </c>
      <c r="AA533" s="126" t="str">
        <f t="shared" si="17"/>
        <v/>
      </c>
      <c r="AB533" s="154" t="str">
        <f t="shared" si="18"/>
        <v/>
      </c>
      <c r="AC533" s="152"/>
      <c r="AD533" s="153"/>
      <c r="AE533" s="156"/>
    </row>
    <row r="534" ht="18.0" customHeight="1">
      <c r="A534" s="127" t="str">
        <f t="shared" si="15"/>
        <v/>
      </c>
      <c r="B534" s="128"/>
      <c r="C534" s="129"/>
      <c r="D534" s="129"/>
      <c r="E534" s="325"/>
      <c r="F534" s="131"/>
      <c r="G534" s="319"/>
      <c r="H534" s="319"/>
      <c r="I534" s="319"/>
      <c r="J534" s="132"/>
      <c r="K534" s="319"/>
      <c r="L534" s="135"/>
      <c r="M534" s="321"/>
      <c r="N534" s="322"/>
      <c r="O534" s="150"/>
      <c r="P534" s="135"/>
      <c r="Q534" s="135"/>
      <c r="R534" s="321"/>
      <c r="S534" s="322"/>
      <c r="T534" s="319"/>
      <c r="U534" s="322"/>
      <c r="V534" s="322"/>
      <c r="W534" s="322"/>
      <c r="X534" s="322"/>
      <c r="Y534" s="319"/>
      <c r="Z534" s="136" t="str">
        <f t="shared" si="16"/>
        <v/>
      </c>
      <c r="AA534" s="137" t="str">
        <f t="shared" si="17"/>
        <v/>
      </c>
      <c r="AB534" s="154" t="str">
        <f t="shared" si="18"/>
        <v/>
      </c>
      <c r="AC534" s="322"/>
      <c r="AD534" s="319"/>
      <c r="AE534" s="320"/>
    </row>
    <row r="535" ht="18.0" customHeight="1">
      <c r="A535" s="118" t="str">
        <f t="shared" si="15"/>
        <v/>
      </c>
      <c r="B535" s="109"/>
      <c r="C535" s="119"/>
      <c r="D535" s="119"/>
      <c r="E535" s="330"/>
      <c r="F535" s="121"/>
      <c r="G535" s="153"/>
      <c r="H535" s="153"/>
      <c r="I535" s="153"/>
      <c r="J535" s="112"/>
      <c r="K535" s="153"/>
      <c r="L535" s="114"/>
      <c r="M535" s="151"/>
      <c r="N535" s="152"/>
      <c r="O535" s="150"/>
      <c r="P535" s="114"/>
      <c r="Q535" s="114"/>
      <c r="R535" s="151"/>
      <c r="S535" s="152"/>
      <c r="T535" s="153"/>
      <c r="U535" s="152"/>
      <c r="V535" s="152"/>
      <c r="W535" s="152"/>
      <c r="X535" s="152"/>
      <c r="Y535" s="153"/>
      <c r="Z535" s="125" t="str">
        <f t="shared" si="16"/>
        <v/>
      </c>
      <c r="AA535" s="126" t="str">
        <f t="shared" si="17"/>
        <v/>
      </c>
      <c r="AB535" s="154" t="str">
        <f t="shared" si="18"/>
        <v/>
      </c>
      <c r="AC535" s="152"/>
      <c r="AD535" s="153"/>
      <c r="AE535" s="156"/>
    </row>
    <row r="536" ht="18.0" customHeight="1">
      <c r="A536" s="127" t="str">
        <f t="shared" si="15"/>
        <v/>
      </c>
      <c r="B536" s="128"/>
      <c r="C536" s="129"/>
      <c r="D536" s="129"/>
      <c r="E536" s="325"/>
      <c r="F536" s="131"/>
      <c r="G536" s="319"/>
      <c r="H536" s="319"/>
      <c r="I536" s="319"/>
      <c r="J536" s="132"/>
      <c r="K536" s="319"/>
      <c r="L536" s="135"/>
      <c r="M536" s="321"/>
      <c r="N536" s="322"/>
      <c r="O536" s="150"/>
      <c r="P536" s="135"/>
      <c r="Q536" s="135"/>
      <c r="R536" s="321"/>
      <c r="S536" s="322"/>
      <c r="T536" s="319"/>
      <c r="U536" s="322"/>
      <c r="V536" s="322"/>
      <c r="W536" s="322"/>
      <c r="X536" s="322"/>
      <c r="Y536" s="319"/>
      <c r="Z536" s="136" t="str">
        <f t="shared" si="16"/>
        <v/>
      </c>
      <c r="AA536" s="137" t="str">
        <f t="shared" si="17"/>
        <v/>
      </c>
      <c r="AB536" s="154" t="str">
        <f t="shared" si="18"/>
        <v/>
      </c>
      <c r="AC536" s="322"/>
      <c r="AD536" s="319"/>
      <c r="AE536" s="320"/>
    </row>
    <row r="537" ht="18.0" customHeight="1">
      <c r="A537" s="118" t="str">
        <f t="shared" si="15"/>
        <v/>
      </c>
      <c r="B537" s="109"/>
      <c r="C537" s="119"/>
      <c r="D537" s="119"/>
      <c r="E537" s="330"/>
      <c r="F537" s="121"/>
      <c r="G537" s="153"/>
      <c r="H537" s="153"/>
      <c r="I537" s="153"/>
      <c r="J537" s="112"/>
      <c r="K537" s="153"/>
      <c r="L537" s="114"/>
      <c r="M537" s="151"/>
      <c r="N537" s="152"/>
      <c r="O537" s="150"/>
      <c r="P537" s="114"/>
      <c r="Q537" s="114"/>
      <c r="R537" s="151"/>
      <c r="S537" s="152"/>
      <c r="T537" s="153"/>
      <c r="U537" s="152"/>
      <c r="V537" s="152"/>
      <c r="W537" s="152"/>
      <c r="X537" s="152"/>
      <c r="Y537" s="153"/>
      <c r="Z537" s="125" t="str">
        <f t="shared" si="16"/>
        <v/>
      </c>
      <c r="AA537" s="126" t="str">
        <f t="shared" si="17"/>
        <v/>
      </c>
      <c r="AB537" s="154" t="str">
        <f t="shared" si="18"/>
        <v/>
      </c>
      <c r="AC537" s="152"/>
      <c r="AD537" s="153"/>
      <c r="AE537" s="156"/>
    </row>
    <row r="538" ht="18.0" customHeight="1">
      <c r="A538" s="127" t="str">
        <f t="shared" si="15"/>
        <v/>
      </c>
      <c r="B538" s="128"/>
      <c r="C538" s="129"/>
      <c r="D538" s="129"/>
      <c r="E538" s="325"/>
      <c r="F538" s="131"/>
      <c r="G538" s="319"/>
      <c r="H538" s="319"/>
      <c r="I538" s="319"/>
      <c r="J538" s="132"/>
      <c r="K538" s="319"/>
      <c r="L538" s="135"/>
      <c r="M538" s="321"/>
      <c r="N538" s="322"/>
      <c r="O538" s="150"/>
      <c r="P538" s="135"/>
      <c r="Q538" s="135"/>
      <c r="R538" s="321"/>
      <c r="S538" s="322"/>
      <c r="T538" s="319"/>
      <c r="U538" s="322"/>
      <c r="V538" s="322"/>
      <c r="W538" s="322"/>
      <c r="X538" s="322"/>
      <c r="Y538" s="319"/>
      <c r="Z538" s="136" t="str">
        <f t="shared" si="16"/>
        <v/>
      </c>
      <c r="AA538" s="137" t="str">
        <f t="shared" si="17"/>
        <v/>
      </c>
      <c r="AB538" s="154" t="str">
        <f t="shared" si="18"/>
        <v/>
      </c>
      <c r="AC538" s="322"/>
      <c r="AD538" s="319"/>
      <c r="AE538" s="320"/>
    </row>
    <row r="539" ht="18.0" customHeight="1">
      <c r="A539" s="118" t="str">
        <f t="shared" si="15"/>
        <v/>
      </c>
      <c r="B539" s="109"/>
      <c r="C539" s="119"/>
      <c r="D539" s="119"/>
      <c r="E539" s="330"/>
      <c r="F539" s="121"/>
      <c r="G539" s="153"/>
      <c r="H539" s="153"/>
      <c r="I539" s="153"/>
      <c r="J539" s="112"/>
      <c r="K539" s="153"/>
      <c r="L539" s="114"/>
      <c r="M539" s="151"/>
      <c r="N539" s="152"/>
      <c r="O539" s="150"/>
      <c r="P539" s="114"/>
      <c r="Q539" s="114"/>
      <c r="R539" s="151"/>
      <c r="S539" s="152"/>
      <c r="T539" s="153"/>
      <c r="U539" s="152"/>
      <c r="V539" s="152"/>
      <c r="W539" s="152"/>
      <c r="X539" s="152"/>
      <c r="Y539" s="153"/>
      <c r="Z539" s="125" t="str">
        <f t="shared" si="16"/>
        <v/>
      </c>
      <c r="AA539" s="126" t="str">
        <f t="shared" si="17"/>
        <v/>
      </c>
      <c r="AB539" s="154" t="str">
        <f t="shared" si="18"/>
        <v/>
      </c>
      <c r="AC539" s="152"/>
      <c r="AD539" s="153"/>
      <c r="AE539" s="156"/>
    </row>
    <row r="540" ht="18.0" customHeight="1">
      <c r="A540" s="127" t="str">
        <f t="shared" si="15"/>
        <v/>
      </c>
      <c r="B540" s="128"/>
      <c r="C540" s="129"/>
      <c r="D540" s="129"/>
      <c r="E540" s="325"/>
      <c r="F540" s="131"/>
      <c r="G540" s="319"/>
      <c r="H540" s="319"/>
      <c r="I540" s="319"/>
      <c r="J540" s="132"/>
      <c r="K540" s="319"/>
      <c r="L540" s="135"/>
      <c r="M540" s="321"/>
      <c r="N540" s="322"/>
      <c r="O540" s="150"/>
      <c r="P540" s="135"/>
      <c r="Q540" s="135"/>
      <c r="R540" s="321"/>
      <c r="S540" s="322"/>
      <c r="T540" s="319"/>
      <c r="U540" s="322"/>
      <c r="V540" s="322"/>
      <c r="W540" s="322"/>
      <c r="X540" s="322"/>
      <c r="Y540" s="319"/>
      <c r="Z540" s="136" t="str">
        <f t="shared" si="16"/>
        <v/>
      </c>
      <c r="AA540" s="137" t="str">
        <f t="shared" si="17"/>
        <v/>
      </c>
      <c r="AB540" s="154" t="str">
        <f t="shared" si="18"/>
        <v/>
      </c>
      <c r="AC540" s="322"/>
      <c r="AD540" s="319"/>
      <c r="AE540" s="320"/>
    </row>
    <row r="541" ht="18.0" customHeight="1">
      <c r="A541" s="118" t="str">
        <f t="shared" si="15"/>
        <v/>
      </c>
      <c r="B541" s="109"/>
      <c r="C541" s="119"/>
      <c r="D541" s="119"/>
      <c r="E541" s="330"/>
      <c r="F541" s="121"/>
      <c r="G541" s="153"/>
      <c r="H541" s="153"/>
      <c r="I541" s="153"/>
      <c r="J541" s="112"/>
      <c r="K541" s="153"/>
      <c r="L541" s="114"/>
      <c r="M541" s="151"/>
      <c r="N541" s="152"/>
      <c r="O541" s="150"/>
      <c r="P541" s="114"/>
      <c r="Q541" s="114"/>
      <c r="R541" s="151"/>
      <c r="S541" s="152"/>
      <c r="T541" s="153"/>
      <c r="U541" s="152"/>
      <c r="V541" s="152"/>
      <c r="W541" s="152"/>
      <c r="X541" s="152"/>
      <c r="Y541" s="153"/>
      <c r="Z541" s="125" t="str">
        <f t="shared" si="16"/>
        <v/>
      </c>
      <c r="AA541" s="126" t="str">
        <f t="shared" si="17"/>
        <v/>
      </c>
      <c r="AB541" s="154" t="str">
        <f t="shared" si="18"/>
        <v/>
      </c>
      <c r="AC541" s="152"/>
      <c r="AD541" s="153"/>
      <c r="AE541" s="156"/>
    </row>
    <row r="542" ht="18.0" customHeight="1">
      <c r="A542" s="127" t="str">
        <f t="shared" si="15"/>
        <v/>
      </c>
      <c r="B542" s="128"/>
      <c r="C542" s="129"/>
      <c r="D542" s="129"/>
      <c r="E542" s="325"/>
      <c r="F542" s="131"/>
      <c r="G542" s="319"/>
      <c r="H542" s="319"/>
      <c r="I542" s="319"/>
      <c r="J542" s="132"/>
      <c r="K542" s="319"/>
      <c r="L542" s="135"/>
      <c r="M542" s="321"/>
      <c r="N542" s="322"/>
      <c r="O542" s="150"/>
      <c r="P542" s="135"/>
      <c r="Q542" s="135"/>
      <c r="R542" s="321"/>
      <c r="S542" s="322"/>
      <c r="T542" s="319"/>
      <c r="U542" s="322"/>
      <c r="V542" s="322"/>
      <c r="W542" s="322"/>
      <c r="X542" s="322"/>
      <c r="Y542" s="319"/>
      <c r="Z542" s="136" t="str">
        <f t="shared" si="16"/>
        <v/>
      </c>
      <c r="AA542" s="137" t="str">
        <f t="shared" si="17"/>
        <v/>
      </c>
      <c r="AB542" s="154" t="str">
        <f t="shared" si="18"/>
        <v/>
      </c>
      <c r="AC542" s="322"/>
      <c r="AD542" s="319"/>
      <c r="AE542" s="320"/>
    </row>
    <row r="543" ht="18.0" customHeight="1">
      <c r="A543" s="118" t="str">
        <f t="shared" si="15"/>
        <v/>
      </c>
      <c r="B543" s="109"/>
      <c r="C543" s="119"/>
      <c r="D543" s="119"/>
      <c r="E543" s="330"/>
      <c r="F543" s="121"/>
      <c r="G543" s="153"/>
      <c r="H543" s="153"/>
      <c r="I543" s="153"/>
      <c r="J543" s="112"/>
      <c r="K543" s="153"/>
      <c r="L543" s="114"/>
      <c r="M543" s="151"/>
      <c r="N543" s="152"/>
      <c r="O543" s="150"/>
      <c r="P543" s="114"/>
      <c r="Q543" s="114"/>
      <c r="R543" s="151"/>
      <c r="S543" s="152"/>
      <c r="T543" s="153"/>
      <c r="U543" s="152"/>
      <c r="V543" s="152"/>
      <c r="W543" s="152"/>
      <c r="X543" s="152"/>
      <c r="Y543" s="153"/>
      <c r="Z543" s="125" t="str">
        <f t="shared" si="16"/>
        <v/>
      </c>
      <c r="AA543" s="126" t="str">
        <f t="shared" si="17"/>
        <v/>
      </c>
      <c r="AB543" s="154" t="str">
        <f t="shared" si="18"/>
        <v/>
      </c>
      <c r="AC543" s="152"/>
      <c r="AD543" s="153"/>
      <c r="AE543" s="156"/>
    </row>
    <row r="544" ht="18.0" customHeight="1">
      <c r="A544" s="127" t="str">
        <f t="shared" si="15"/>
        <v/>
      </c>
      <c r="B544" s="128"/>
      <c r="C544" s="129"/>
      <c r="D544" s="129"/>
      <c r="E544" s="325"/>
      <c r="F544" s="131"/>
      <c r="G544" s="319"/>
      <c r="H544" s="319"/>
      <c r="I544" s="319"/>
      <c r="J544" s="132"/>
      <c r="K544" s="319"/>
      <c r="L544" s="135"/>
      <c r="M544" s="321"/>
      <c r="N544" s="322"/>
      <c r="O544" s="150"/>
      <c r="P544" s="135"/>
      <c r="Q544" s="135"/>
      <c r="R544" s="321"/>
      <c r="S544" s="322"/>
      <c r="T544" s="319"/>
      <c r="U544" s="322"/>
      <c r="V544" s="322"/>
      <c r="W544" s="322"/>
      <c r="X544" s="322"/>
      <c r="Y544" s="319"/>
      <c r="Z544" s="136" t="str">
        <f t="shared" si="16"/>
        <v/>
      </c>
      <c r="AA544" s="137" t="str">
        <f t="shared" si="17"/>
        <v/>
      </c>
      <c r="AB544" s="154" t="str">
        <f t="shared" si="18"/>
        <v/>
      </c>
      <c r="AC544" s="322"/>
      <c r="AD544" s="319"/>
      <c r="AE544" s="320"/>
    </row>
    <row r="545" ht="18.0" customHeight="1">
      <c r="A545" s="118" t="str">
        <f t="shared" si="15"/>
        <v/>
      </c>
      <c r="B545" s="109"/>
      <c r="C545" s="119"/>
      <c r="D545" s="119"/>
      <c r="E545" s="330"/>
      <c r="F545" s="121"/>
      <c r="G545" s="153"/>
      <c r="H545" s="153"/>
      <c r="I545" s="153"/>
      <c r="J545" s="112"/>
      <c r="K545" s="153"/>
      <c r="L545" s="114"/>
      <c r="M545" s="151"/>
      <c r="N545" s="152"/>
      <c r="O545" s="150"/>
      <c r="P545" s="114"/>
      <c r="Q545" s="114"/>
      <c r="R545" s="151"/>
      <c r="S545" s="152"/>
      <c r="T545" s="153"/>
      <c r="U545" s="152"/>
      <c r="V545" s="152"/>
      <c r="W545" s="152"/>
      <c r="X545" s="152"/>
      <c r="Y545" s="153"/>
      <c r="Z545" s="125" t="str">
        <f t="shared" si="16"/>
        <v/>
      </c>
      <c r="AA545" s="126" t="str">
        <f t="shared" si="17"/>
        <v/>
      </c>
      <c r="AB545" s="154" t="str">
        <f t="shared" si="18"/>
        <v/>
      </c>
      <c r="AC545" s="152"/>
      <c r="AD545" s="153"/>
      <c r="AE545" s="156"/>
    </row>
    <row r="546" ht="18.0" customHeight="1">
      <c r="A546" s="127" t="str">
        <f t="shared" si="15"/>
        <v/>
      </c>
      <c r="B546" s="128"/>
      <c r="C546" s="129"/>
      <c r="D546" s="129"/>
      <c r="E546" s="325"/>
      <c r="F546" s="131"/>
      <c r="G546" s="319"/>
      <c r="H546" s="319"/>
      <c r="I546" s="319"/>
      <c r="J546" s="132"/>
      <c r="K546" s="319"/>
      <c r="L546" s="135"/>
      <c r="M546" s="321"/>
      <c r="N546" s="322"/>
      <c r="O546" s="150"/>
      <c r="P546" s="135"/>
      <c r="Q546" s="135"/>
      <c r="R546" s="321"/>
      <c r="S546" s="322"/>
      <c r="T546" s="319"/>
      <c r="U546" s="322"/>
      <c r="V546" s="322"/>
      <c r="W546" s="322"/>
      <c r="X546" s="322"/>
      <c r="Y546" s="319"/>
      <c r="Z546" s="136" t="str">
        <f t="shared" si="16"/>
        <v/>
      </c>
      <c r="AA546" s="137" t="str">
        <f t="shared" si="17"/>
        <v/>
      </c>
      <c r="AB546" s="154" t="str">
        <f t="shared" si="18"/>
        <v/>
      </c>
      <c r="AC546" s="322"/>
      <c r="AD546" s="319"/>
      <c r="AE546" s="320"/>
    </row>
    <row r="547" ht="18.0" customHeight="1">
      <c r="A547" s="118" t="str">
        <f t="shared" si="15"/>
        <v/>
      </c>
      <c r="B547" s="109"/>
      <c r="C547" s="119"/>
      <c r="D547" s="119"/>
      <c r="E547" s="330"/>
      <c r="F547" s="121"/>
      <c r="G547" s="153"/>
      <c r="H547" s="153"/>
      <c r="I547" s="153"/>
      <c r="J547" s="112"/>
      <c r="K547" s="153"/>
      <c r="L547" s="114"/>
      <c r="M547" s="151"/>
      <c r="N547" s="152"/>
      <c r="O547" s="150"/>
      <c r="P547" s="114"/>
      <c r="Q547" s="114"/>
      <c r="R547" s="151"/>
      <c r="S547" s="152"/>
      <c r="T547" s="153"/>
      <c r="U547" s="152"/>
      <c r="V547" s="152"/>
      <c r="W547" s="152"/>
      <c r="X547" s="152"/>
      <c r="Y547" s="153"/>
      <c r="Z547" s="125" t="str">
        <f t="shared" si="16"/>
        <v/>
      </c>
      <c r="AA547" s="126" t="str">
        <f t="shared" si="17"/>
        <v/>
      </c>
      <c r="AB547" s="154" t="str">
        <f t="shared" si="18"/>
        <v/>
      </c>
      <c r="AC547" s="152"/>
      <c r="AD547" s="153"/>
      <c r="AE547" s="156"/>
    </row>
    <row r="548" ht="18.0" customHeight="1">
      <c r="A548" s="127" t="str">
        <f t="shared" si="15"/>
        <v/>
      </c>
      <c r="B548" s="128"/>
      <c r="C548" s="129"/>
      <c r="D548" s="129"/>
      <c r="E548" s="325"/>
      <c r="F548" s="131"/>
      <c r="G548" s="319"/>
      <c r="H548" s="319"/>
      <c r="I548" s="319"/>
      <c r="J548" s="132"/>
      <c r="K548" s="319"/>
      <c r="L548" s="135"/>
      <c r="M548" s="321"/>
      <c r="N548" s="322"/>
      <c r="O548" s="150"/>
      <c r="P548" s="135"/>
      <c r="Q548" s="135"/>
      <c r="R548" s="321"/>
      <c r="S548" s="322"/>
      <c r="T548" s="319"/>
      <c r="U548" s="322"/>
      <c r="V548" s="322"/>
      <c r="W548" s="322"/>
      <c r="X548" s="322"/>
      <c r="Y548" s="319"/>
      <c r="Z548" s="136" t="str">
        <f t="shared" si="16"/>
        <v/>
      </c>
      <c r="AA548" s="137" t="str">
        <f t="shared" si="17"/>
        <v/>
      </c>
      <c r="AB548" s="154" t="str">
        <f t="shared" si="18"/>
        <v/>
      </c>
      <c r="AC548" s="322"/>
      <c r="AD548" s="319"/>
      <c r="AE548" s="320"/>
    </row>
    <row r="549" ht="18.0" customHeight="1">
      <c r="A549" s="118" t="str">
        <f t="shared" si="15"/>
        <v/>
      </c>
      <c r="B549" s="109"/>
      <c r="C549" s="119"/>
      <c r="D549" s="119"/>
      <c r="E549" s="330"/>
      <c r="F549" s="121"/>
      <c r="G549" s="153"/>
      <c r="H549" s="153"/>
      <c r="I549" s="153"/>
      <c r="J549" s="112"/>
      <c r="K549" s="153"/>
      <c r="L549" s="114"/>
      <c r="M549" s="151"/>
      <c r="N549" s="152"/>
      <c r="O549" s="150"/>
      <c r="P549" s="114"/>
      <c r="Q549" s="114"/>
      <c r="R549" s="151"/>
      <c r="S549" s="152"/>
      <c r="T549" s="153"/>
      <c r="U549" s="152"/>
      <c r="V549" s="152"/>
      <c r="W549" s="152"/>
      <c r="X549" s="152"/>
      <c r="Y549" s="153"/>
      <c r="Z549" s="125" t="str">
        <f t="shared" si="16"/>
        <v/>
      </c>
      <c r="AA549" s="126" t="str">
        <f t="shared" si="17"/>
        <v/>
      </c>
      <c r="AB549" s="154" t="str">
        <f t="shared" si="18"/>
        <v/>
      </c>
      <c r="AC549" s="152"/>
      <c r="AD549" s="153"/>
      <c r="AE549" s="156"/>
    </row>
    <row r="550" ht="18.0" customHeight="1">
      <c r="A550" s="127" t="str">
        <f t="shared" si="15"/>
        <v/>
      </c>
      <c r="B550" s="128"/>
      <c r="C550" s="129"/>
      <c r="D550" s="129"/>
      <c r="E550" s="325"/>
      <c r="F550" s="131"/>
      <c r="G550" s="319"/>
      <c r="H550" s="319"/>
      <c r="I550" s="319"/>
      <c r="J550" s="132"/>
      <c r="K550" s="319"/>
      <c r="L550" s="135"/>
      <c r="M550" s="321"/>
      <c r="N550" s="322"/>
      <c r="O550" s="150"/>
      <c r="P550" s="135"/>
      <c r="Q550" s="135"/>
      <c r="R550" s="321"/>
      <c r="S550" s="322"/>
      <c r="T550" s="319"/>
      <c r="U550" s="322"/>
      <c r="V550" s="322"/>
      <c r="W550" s="322"/>
      <c r="X550" s="322"/>
      <c r="Y550" s="319"/>
      <c r="Z550" s="136" t="str">
        <f t="shared" si="16"/>
        <v/>
      </c>
      <c r="AA550" s="137" t="str">
        <f t="shared" si="17"/>
        <v/>
      </c>
      <c r="AB550" s="154" t="str">
        <f t="shared" si="18"/>
        <v/>
      </c>
      <c r="AC550" s="322"/>
      <c r="AD550" s="319"/>
      <c r="AE550" s="320"/>
    </row>
    <row r="551" ht="18.0" customHeight="1">
      <c r="A551" s="118" t="str">
        <f t="shared" si="15"/>
        <v/>
      </c>
      <c r="B551" s="109"/>
      <c r="C551" s="119"/>
      <c r="D551" s="119"/>
      <c r="E551" s="330"/>
      <c r="F551" s="121"/>
      <c r="G551" s="153"/>
      <c r="H551" s="153"/>
      <c r="I551" s="153"/>
      <c r="J551" s="112"/>
      <c r="K551" s="153"/>
      <c r="L551" s="114"/>
      <c r="M551" s="151"/>
      <c r="N551" s="152"/>
      <c r="O551" s="150"/>
      <c r="P551" s="114"/>
      <c r="Q551" s="114"/>
      <c r="R551" s="151"/>
      <c r="S551" s="152"/>
      <c r="T551" s="153"/>
      <c r="U551" s="152"/>
      <c r="V551" s="152"/>
      <c r="W551" s="152"/>
      <c r="X551" s="152"/>
      <c r="Y551" s="153"/>
      <c r="Z551" s="125" t="str">
        <f t="shared" si="16"/>
        <v/>
      </c>
      <c r="AA551" s="126" t="str">
        <f t="shared" si="17"/>
        <v/>
      </c>
      <c r="AB551" s="154" t="str">
        <f t="shared" si="18"/>
        <v/>
      </c>
      <c r="AC551" s="152"/>
      <c r="AD551" s="153"/>
      <c r="AE551" s="156"/>
    </row>
    <row r="552" ht="18.0" customHeight="1">
      <c r="A552" s="127" t="str">
        <f t="shared" si="15"/>
        <v/>
      </c>
      <c r="B552" s="128"/>
      <c r="C552" s="129"/>
      <c r="D552" s="129"/>
      <c r="E552" s="325"/>
      <c r="F552" s="131"/>
      <c r="G552" s="319"/>
      <c r="H552" s="319"/>
      <c r="I552" s="319"/>
      <c r="J552" s="132"/>
      <c r="K552" s="319"/>
      <c r="L552" s="135"/>
      <c r="M552" s="321"/>
      <c r="N552" s="322"/>
      <c r="O552" s="150"/>
      <c r="P552" s="135"/>
      <c r="Q552" s="135"/>
      <c r="R552" s="321"/>
      <c r="S552" s="322"/>
      <c r="T552" s="319"/>
      <c r="U552" s="322"/>
      <c r="V552" s="322"/>
      <c r="W552" s="322"/>
      <c r="X552" s="322"/>
      <c r="Y552" s="319"/>
      <c r="Z552" s="136" t="str">
        <f t="shared" si="16"/>
        <v/>
      </c>
      <c r="AA552" s="137" t="str">
        <f t="shared" si="17"/>
        <v/>
      </c>
      <c r="AB552" s="154" t="str">
        <f t="shared" si="18"/>
        <v/>
      </c>
      <c r="AC552" s="322"/>
      <c r="AD552" s="319"/>
      <c r="AE552" s="320"/>
    </row>
    <row r="553" ht="18.0" customHeight="1">
      <c r="A553" s="118" t="str">
        <f t="shared" si="15"/>
        <v/>
      </c>
      <c r="B553" s="109"/>
      <c r="C553" s="119"/>
      <c r="D553" s="119"/>
      <c r="E553" s="330"/>
      <c r="F553" s="121"/>
      <c r="G553" s="153"/>
      <c r="H553" s="153"/>
      <c r="I553" s="153"/>
      <c r="J553" s="112"/>
      <c r="K553" s="153"/>
      <c r="L553" s="114"/>
      <c r="M553" s="151"/>
      <c r="N553" s="152"/>
      <c r="O553" s="150"/>
      <c r="P553" s="114"/>
      <c r="Q553" s="114"/>
      <c r="R553" s="151"/>
      <c r="S553" s="152"/>
      <c r="T553" s="153"/>
      <c r="U553" s="152"/>
      <c r="V553" s="152"/>
      <c r="W553" s="152"/>
      <c r="X553" s="152"/>
      <c r="Y553" s="153"/>
      <c r="Z553" s="125" t="str">
        <f t="shared" si="16"/>
        <v/>
      </c>
      <c r="AA553" s="126" t="str">
        <f t="shared" si="17"/>
        <v/>
      </c>
      <c r="AB553" s="154" t="str">
        <f t="shared" si="18"/>
        <v/>
      </c>
      <c r="AC553" s="152"/>
      <c r="AD553" s="153"/>
      <c r="AE553" s="156"/>
    </row>
    <row r="554" ht="18.0" customHeight="1">
      <c r="A554" s="127" t="str">
        <f t="shared" si="15"/>
        <v/>
      </c>
      <c r="B554" s="128"/>
      <c r="C554" s="129"/>
      <c r="D554" s="129"/>
      <c r="E554" s="325"/>
      <c r="F554" s="131"/>
      <c r="G554" s="319"/>
      <c r="H554" s="319"/>
      <c r="I554" s="319"/>
      <c r="J554" s="132"/>
      <c r="K554" s="319"/>
      <c r="L554" s="135"/>
      <c r="M554" s="321"/>
      <c r="N554" s="322"/>
      <c r="O554" s="150"/>
      <c r="P554" s="135"/>
      <c r="Q554" s="135"/>
      <c r="R554" s="321"/>
      <c r="S554" s="322"/>
      <c r="T554" s="319"/>
      <c r="U554" s="322"/>
      <c r="V554" s="322"/>
      <c r="W554" s="322"/>
      <c r="X554" s="322"/>
      <c r="Y554" s="319"/>
      <c r="Z554" s="136" t="str">
        <f t="shared" si="16"/>
        <v/>
      </c>
      <c r="AA554" s="137" t="str">
        <f t="shared" si="17"/>
        <v/>
      </c>
      <c r="AB554" s="154" t="str">
        <f t="shared" si="18"/>
        <v/>
      </c>
      <c r="AC554" s="322"/>
      <c r="AD554" s="319"/>
      <c r="AE554" s="320"/>
    </row>
    <row r="555" ht="18.0" customHeight="1">
      <c r="A555" s="118" t="str">
        <f t="shared" si="15"/>
        <v/>
      </c>
      <c r="B555" s="109"/>
      <c r="C555" s="119"/>
      <c r="D555" s="119"/>
      <c r="E555" s="330"/>
      <c r="F555" s="121"/>
      <c r="G555" s="153"/>
      <c r="H555" s="153"/>
      <c r="I555" s="153"/>
      <c r="J555" s="112"/>
      <c r="K555" s="153"/>
      <c r="L555" s="114"/>
      <c r="M555" s="151"/>
      <c r="N555" s="152"/>
      <c r="O555" s="150"/>
      <c r="P555" s="114"/>
      <c r="Q555" s="114"/>
      <c r="R555" s="151"/>
      <c r="S555" s="152"/>
      <c r="T555" s="153"/>
      <c r="U555" s="152"/>
      <c r="V555" s="152"/>
      <c r="W555" s="152"/>
      <c r="X555" s="152"/>
      <c r="Y555" s="153"/>
      <c r="Z555" s="125" t="str">
        <f t="shared" si="16"/>
        <v/>
      </c>
      <c r="AA555" s="126" t="str">
        <f t="shared" si="17"/>
        <v/>
      </c>
      <c r="AB555" s="154" t="str">
        <f t="shared" si="18"/>
        <v/>
      </c>
      <c r="AC555" s="152"/>
      <c r="AD555" s="153"/>
      <c r="AE555" s="156"/>
    </row>
    <row r="556" ht="18.0" customHeight="1">
      <c r="A556" s="127" t="str">
        <f t="shared" si="15"/>
        <v/>
      </c>
      <c r="B556" s="128"/>
      <c r="C556" s="129"/>
      <c r="D556" s="129"/>
      <c r="E556" s="325"/>
      <c r="F556" s="131"/>
      <c r="G556" s="319"/>
      <c r="H556" s="319"/>
      <c r="I556" s="319"/>
      <c r="J556" s="132"/>
      <c r="K556" s="319"/>
      <c r="L556" s="135"/>
      <c r="M556" s="321"/>
      <c r="N556" s="322"/>
      <c r="O556" s="150"/>
      <c r="P556" s="135"/>
      <c r="Q556" s="135"/>
      <c r="R556" s="321"/>
      <c r="S556" s="322"/>
      <c r="T556" s="319"/>
      <c r="U556" s="322"/>
      <c r="V556" s="322"/>
      <c r="W556" s="322"/>
      <c r="X556" s="322"/>
      <c r="Y556" s="319"/>
      <c r="Z556" s="136" t="str">
        <f t="shared" si="16"/>
        <v/>
      </c>
      <c r="AA556" s="137" t="str">
        <f t="shared" si="17"/>
        <v/>
      </c>
      <c r="AB556" s="154" t="str">
        <f t="shared" si="18"/>
        <v/>
      </c>
      <c r="AC556" s="322"/>
      <c r="AD556" s="319"/>
      <c r="AE556" s="320"/>
    </row>
    <row r="557" ht="18.0" customHeight="1">
      <c r="A557" s="118" t="str">
        <f t="shared" si="15"/>
        <v/>
      </c>
      <c r="B557" s="109"/>
      <c r="C557" s="119"/>
      <c r="D557" s="119"/>
      <c r="E557" s="330"/>
      <c r="F557" s="121"/>
      <c r="G557" s="153"/>
      <c r="H557" s="153"/>
      <c r="I557" s="153"/>
      <c r="J557" s="112"/>
      <c r="K557" s="153"/>
      <c r="L557" s="114"/>
      <c r="M557" s="151"/>
      <c r="N557" s="152"/>
      <c r="O557" s="150"/>
      <c r="P557" s="114"/>
      <c r="Q557" s="114"/>
      <c r="R557" s="151"/>
      <c r="S557" s="152"/>
      <c r="T557" s="153"/>
      <c r="U557" s="152"/>
      <c r="V557" s="152"/>
      <c r="W557" s="152"/>
      <c r="X557" s="152"/>
      <c r="Y557" s="153"/>
      <c r="Z557" s="125" t="str">
        <f t="shared" si="16"/>
        <v/>
      </c>
      <c r="AA557" s="126" t="str">
        <f t="shared" si="17"/>
        <v/>
      </c>
      <c r="AB557" s="154" t="str">
        <f t="shared" si="18"/>
        <v/>
      </c>
      <c r="AC557" s="152"/>
      <c r="AD557" s="153"/>
      <c r="AE557" s="156"/>
    </row>
    <row r="558" ht="18.0" customHeight="1">
      <c r="A558" s="127" t="str">
        <f t="shared" si="15"/>
        <v/>
      </c>
      <c r="B558" s="128"/>
      <c r="C558" s="129"/>
      <c r="D558" s="129"/>
      <c r="E558" s="325"/>
      <c r="F558" s="131"/>
      <c r="G558" s="319"/>
      <c r="H558" s="319"/>
      <c r="I558" s="319"/>
      <c r="J558" s="132"/>
      <c r="K558" s="319"/>
      <c r="L558" s="135"/>
      <c r="M558" s="321"/>
      <c r="N558" s="322"/>
      <c r="O558" s="150"/>
      <c r="P558" s="135"/>
      <c r="Q558" s="135"/>
      <c r="R558" s="321"/>
      <c r="S558" s="322"/>
      <c r="T558" s="319"/>
      <c r="U558" s="322"/>
      <c r="V558" s="322"/>
      <c r="W558" s="322"/>
      <c r="X558" s="322"/>
      <c r="Y558" s="319"/>
      <c r="Z558" s="136" t="str">
        <f t="shared" si="16"/>
        <v/>
      </c>
      <c r="AA558" s="137" t="str">
        <f t="shared" si="17"/>
        <v/>
      </c>
      <c r="AB558" s="154" t="str">
        <f t="shared" si="18"/>
        <v/>
      </c>
      <c r="AC558" s="322"/>
      <c r="AD558" s="319"/>
      <c r="AE558" s="320"/>
    </row>
    <row r="559" ht="18.0" customHeight="1">
      <c r="A559" s="118" t="str">
        <f t="shared" si="15"/>
        <v/>
      </c>
      <c r="B559" s="109"/>
      <c r="C559" s="119"/>
      <c r="D559" s="119"/>
      <c r="E559" s="330"/>
      <c r="F559" s="121"/>
      <c r="G559" s="153"/>
      <c r="H559" s="153"/>
      <c r="I559" s="153"/>
      <c r="J559" s="112"/>
      <c r="K559" s="153"/>
      <c r="L559" s="114"/>
      <c r="M559" s="151"/>
      <c r="N559" s="152"/>
      <c r="O559" s="150"/>
      <c r="P559" s="114"/>
      <c r="Q559" s="114"/>
      <c r="R559" s="151"/>
      <c r="S559" s="152"/>
      <c r="T559" s="153"/>
      <c r="U559" s="152"/>
      <c r="V559" s="152"/>
      <c r="W559" s="152"/>
      <c r="X559" s="152"/>
      <c r="Y559" s="153"/>
      <c r="Z559" s="125" t="str">
        <f t="shared" si="16"/>
        <v/>
      </c>
      <c r="AA559" s="126" t="str">
        <f t="shared" si="17"/>
        <v/>
      </c>
      <c r="AB559" s="154" t="str">
        <f t="shared" si="18"/>
        <v/>
      </c>
      <c r="AC559" s="152"/>
      <c r="AD559" s="153"/>
      <c r="AE559" s="156"/>
    </row>
    <row r="560" ht="18.0" customHeight="1">
      <c r="A560" s="127" t="str">
        <f t="shared" si="15"/>
        <v/>
      </c>
      <c r="B560" s="128"/>
      <c r="C560" s="129"/>
      <c r="D560" s="129"/>
      <c r="E560" s="325"/>
      <c r="F560" s="131"/>
      <c r="G560" s="319"/>
      <c r="H560" s="319"/>
      <c r="I560" s="319"/>
      <c r="J560" s="132"/>
      <c r="K560" s="319"/>
      <c r="L560" s="135"/>
      <c r="M560" s="321"/>
      <c r="N560" s="322"/>
      <c r="O560" s="150"/>
      <c r="P560" s="135"/>
      <c r="Q560" s="135"/>
      <c r="R560" s="321"/>
      <c r="S560" s="322"/>
      <c r="T560" s="319"/>
      <c r="U560" s="322"/>
      <c r="V560" s="322"/>
      <c r="W560" s="322"/>
      <c r="X560" s="322"/>
      <c r="Y560" s="319"/>
      <c r="Z560" s="136" t="str">
        <f t="shared" si="16"/>
        <v/>
      </c>
      <c r="AA560" s="137" t="str">
        <f t="shared" si="17"/>
        <v/>
      </c>
      <c r="AB560" s="154" t="str">
        <f t="shared" si="18"/>
        <v/>
      </c>
      <c r="AC560" s="322"/>
      <c r="AD560" s="319"/>
      <c r="AE560" s="320"/>
    </row>
    <row r="561" ht="18.0" customHeight="1">
      <c r="A561" s="118" t="str">
        <f t="shared" si="15"/>
        <v/>
      </c>
      <c r="B561" s="109"/>
      <c r="C561" s="119"/>
      <c r="D561" s="119"/>
      <c r="E561" s="330"/>
      <c r="F561" s="121"/>
      <c r="G561" s="153"/>
      <c r="H561" s="153"/>
      <c r="I561" s="153"/>
      <c r="J561" s="112"/>
      <c r="K561" s="153"/>
      <c r="L561" s="114"/>
      <c r="M561" s="151"/>
      <c r="N561" s="152"/>
      <c r="O561" s="150"/>
      <c r="P561" s="114"/>
      <c r="Q561" s="114"/>
      <c r="R561" s="151"/>
      <c r="S561" s="152"/>
      <c r="T561" s="153"/>
      <c r="U561" s="152"/>
      <c r="V561" s="152"/>
      <c r="W561" s="152"/>
      <c r="X561" s="152"/>
      <c r="Y561" s="153"/>
      <c r="Z561" s="125" t="str">
        <f t="shared" si="16"/>
        <v/>
      </c>
      <c r="AA561" s="126" t="str">
        <f t="shared" si="17"/>
        <v/>
      </c>
      <c r="AB561" s="154" t="str">
        <f t="shared" si="18"/>
        <v/>
      </c>
      <c r="AC561" s="152"/>
      <c r="AD561" s="153"/>
      <c r="AE561" s="156"/>
    </row>
    <row r="562" ht="18.0" customHeight="1">
      <c r="A562" s="127" t="str">
        <f t="shared" si="15"/>
        <v/>
      </c>
      <c r="B562" s="128"/>
      <c r="C562" s="129"/>
      <c r="D562" s="129"/>
      <c r="E562" s="325"/>
      <c r="F562" s="131"/>
      <c r="G562" s="319"/>
      <c r="H562" s="319"/>
      <c r="I562" s="319"/>
      <c r="J562" s="132"/>
      <c r="K562" s="319"/>
      <c r="L562" s="135"/>
      <c r="M562" s="321"/>
      <c r="N562" s="322"/>
      <c r="O562" s="150"/>
      <c r="P562" s="135"/>
      <c r="Q562" s="135"/>
      <c r="R562" s="321"/>
      <c r="S562" s="322"/>
      <c r="T562" s="319"/>
      <c r="U562" s="322"/>
      <c r="V562" s="322"/>
      <c r="W562" s="322"/>
      <c r="X562" s="322"/>
      <c r="Y562" s="319"/>
      <c r="Z562" s="136" t="str">
        <f t="shared" si="16"/>
        <v/>
      </c>
      <c r="AA562" s="137" t="str">
        <f t="shared" si="17"/>
        <v/>
      </c>
      <c r="AB562" s="154" t="str">
        <f t="shared" si="18"/>
        <v/>
      </c>
      <c r="AC562" s="322"/>
      <c r="AD562" s="319"/>
      <c r="AE562" s="320"/>
    </row>
    <row r="563" ht="18.0" customHeight="1">
      <c r="A563" s="118" t="str">
        <f t="shared" si="15"/>
        <v/>
      </c>
      <c r="B563" s="109"/>
      <c r="C563" s="119"/>
      <c r="D563" s="119"/>
      <c r="E563" s="330"/>
      <c r="F563" s="121"/>
      <c r="G563" s="153"/>
      <c r="H563" s="153"/>
      <c r="I563" s="153"/>
      <c r="J563" s="112"/>
      <c r="K563" s="153"/>
      <c r="L563" s="114"/>
      <c r="M563" s="151"/>
      <c r="N563" s="152"/>
      <c r="O563" s="150"/>
      <c r="P563" s="114"/>
      <c r="Q563" s="114"/>
      <c r="R563" s="151"/>
      <c r="S563" s="152"/>
      <c r="T563" s="153"/>
      <c r="U563" s="152"/>
      <c r="V563" s="152"/>
      <c r="W563" s="152"/>
      <c r="X563" s="152"/>
      <c r="Y563" s="153"/>
      <c r="Z563" s="125" t="str">
        <f t="shared" si="16"/>
        <v/>
      </c>
      <c r="AA563" s="126" t="str">
        <f t="shared" si="17"/>
        <v/>
      </c>
      <c r="AB563" s="154" t="str">
        <f t="shared" si="18"/>
        <v/>
      </c>
      <c r="AC563" s="152"/>
      <c r="AD563" s="153"/>
      <c r="AE563" s="156"/>
    </row>
    <row r="564" ht="18.0" customHeight="1">
      <c r="A564" s="127" t="str">
        <f t="shared" si="15"/>
        <v/>
      </c>
      <c r="B564" s="128"/>
      <c r="C564" s="129"/>
      <c r="D564" s="129"/>
      <c r="E564" s="325"/>
      <c r="F564" s="131"/>
      <c r="G564" s="319"/>
      <c r="H564" s="319"/>
      <c r="I564" s="319"/>
      <c r="J564" s="132"/>
      <c r="K564" s="319"/>
      <c r="L564" s="135"/>
      <c r="M564" s="321"/>
      <c r="N564" s="322"/>
      <c r="O564" s="150"/>
      <c r="P564" s="135"/>
      <c r="Q564" s="135"/>
      <c r="R564" s="321"/>
      <c r="S564" s="322"/>
      <c r="T564" s="319"/>
      <c r="U564" s="322"/>
      <c r="V564" s="322"/>
      <c r="W564" s="322"/>
      <c r="X564" s="322"/>
      <c r="Y564" s="319"/>
      <c r="Z564" s="136" t="str">
        <f t="shared" si="16"/>
        <v/>
      </c>
      <c r="AA564" s="137" t="str">
        <f t="shared" si="17"/>
        <v/>
      </c>
      <c r="AB564" s="154" t="str">
        <f t="shared" si="18"/>
        <v/>
      </c>
      <c r="AC564" s="322"/>
      <c r="AD564" s="319"/>
      <c r="AE564" s="320"/>
    </row>
    <row r="565" ht="18.0" customHeight="1">
      <c r="A565" s="118" t="str">
        <f t="shared" si="15"/>
        <v/>
      </c>
      <c r="B565" s="109"/>
      <c r="C565" s="119"/>
      <c r="D565" s="119"/>
      <c r="E565" s="330"/>
      <c r="F565" s="121"/>
      <c r="G565" s="153"/>
      <c r="H565" s="153"/>
      <c r="I565" s="153"/>
      <c r="J565" s="112"/>
      <c r="K565" s="153"/>
      <c r="L565" s="114"/>
      <c r="M565" s="151"/>
      <c r="N565" s="152"/>
      <c r="O565" s="150"/>
      <c r="P565" s="114"/>
      <c r="Q565" s="114"/>
      <c r="R565" s="151"/>
      <c r="S565" s="152"/>
      <c r="T565" s="153"/>
      <c r="U565" s="152"/>
      <c r="V565" s="152"/>
      <c r="W565" s="152"/>
      <c r="X565" s="152"/>
      <c r="Y565" s="153"/>
      <c r="Z565" s="125" t="str">
        <f t="shared" si="16"/>
        <v/>
      </c>
      <c r="AA565" s="126" t="str">
        <f t="shared" si="17"/>
        <v/>
      </c>
      <c r="AB565" s="154" t="str">
        <f t="shared" si="18"/>
        <v/>
      </c>
      <c r="AC565" s="152"/>
      <c r="AD565" s="153"/>
      <c r="AE565" s="156"/>
    </row>
    <row r="566" ht="18.0" customHeight="1">
      <c r="A566" s="127" t="str">
        <f t="shared" si="15"/>
        <v/>
      </c>
      <c r="B566" s="128"/>
      <c r="C566" s="129"/>
      <c r="D566" s="129"/>
      <c r="E566" s="325"/>
      <c r="F566" s="131"/>
      <c r="G566" s="319"/>
      <c r="H566" s="319"/>
      <c r="I566" s="319"/>
      <c r="J566" s="132"/>
      <c r="K566" s="319"/>
      <c r="L566" s="135"/>
      <c r="M566" s="321"/>
      <c r="N566" s="322"/>
      <c r="O566" s="150"/>
      <c r="P566" s="135"/>
      <c r="Q566" s="135"/>
      <c r="R566" s="321"/>
      <c r="S566" s="322"/>
      <c r="T566" s="319"/>
      <c r="U566" s="322"/>
      <c r="V566" s="322"/>
      <c r="W566" s="322"/>
      <c r="X566" s="322"/>
      <c r="Y566" s="319"/>
      <c r="Z566" s="136" t="str">
        <f t="shared" si="16"/>
        <v/>
      </c>
      <c r="AA566" s="137" t="str">
        <f t="shared" si="17"/>
        <v/>
      </c>
      <c r="AB566" s="154" t="str">
        <f t="shared" si="18"/>
        <v/>
      </c>
      <c r="AC566" s="322"/>
      <c r="AD566" s="319"/>
      <c r="AE566" s="320"/>
    </row>
    <row r="567" ht="18.0" customHeight="1">
      <c r="A567" s="118" t="str">
        <f t="shared" si="15"/>
        <v/>
      </c>
      <c r="B567" s="109"/>
      <c r="C567" s="119"/>
      <c r="D567" s="119"/>
      <c r="E567" s="330"/>
      <c r="F567" s="121"/>
      <c r="G567" s="153"/>
      <c r="H567" s="153"/>
      <c r="I567" s="153"/>
      <c r="J567" s="112"/>
      <c r="K567" s="153"/>
      <c r="L567" s="114"/>
      <c r="M567" s="151"/>
      <c r="N567" s="152"/>
      <c r="O567" s="150"/>
      <c r="P567" s="114"/>
      <c r="Q567" s="114"/>
      <c r="R567" s="151"/>
      <c r="S567" s="152"/>
      <c r="T567" s="153"/>
      <c r="U567" s="152"/>
      <c r="V567" s="152"/>
      <c r="W567" s="152"/>
      <c r="X567" s="152"/>
      <c r="Y567" s="153"/>
      <c r="Z567" s="125" t="str">
        <f t="shared" si="16"/>
        <v/>
      </c>
      <c r="AA567" s="126" t="str">
        <f t="shared" si="17"/>
        <v/>
      </c>
      <c r="AB567" s="154" t="str">
        <f t="shared" si="18"/>
        <v/>
      </c>
      <c r="AC567" s="152"/>
      <c r="AD567" s="153"/>
      <c r="AE567" s="156"/>
    </row>
    <row r="568" ht="18.0" customHeight="1">
      <c r="A568" s="127" t="str">
        <f t="shared" si="15"/>
        <v/>
      </c>
      <c r="B568" s="128"/>
      <c r="C568" s="129"/>
      <c r="D568" s="129"/>
      <c r="E568" s="325"/>
      <c r="F568" s="131"/>
      <c r="G568" s="319"/>
      <c r="H568" s="319"/>
      <c r="I568" s="319"/>
      <c r="J568" s="132"/>
      <c r="K568" s="319"/>
      <c r="L568" s="135"/>
      <c r="M568" s="321"/>
      <c r="N568" s="322"/>
      <c r="O568" s="150"/>
      <c r="P568" s="135"/>
      <c r="Q568" s="135"/>
      <c r="R568" s="321"/>
      <c r="S568" s="322"/>
      <c r="T568" s="319"/>
      <c r="U568" s="322"/>
      <c r="V568" s="322"/>
      <c r="W568" s="322"/>
      <c r="X568" s="322"/>
      <c r="Y568" s="319"/>
      <c r="Z568" s="136" t="str">
        <f t="shared" si="16"/>
        <v/>
      </c>
      <c r="AA568" s="137" t="str">
        <f t="shared" si="17"/>
        <v/>
      </c>
      <c r="AB568" s="154" t="str">
        <f t="shared" si="18"/>
        <v/>
      </c>
      <c r="AC568" s="322"/>
      <c r="AD568" s="319"/>
      <c r="AE568" s="320"/>
    </row>
    <row r="569" ht="18.0" customHeight="1">
      <c r="A569" s="118" t="str">
        <f t="shared" si="15"/>
        <v/>
      </c>
      <c r="B569" s="109"/>
      <c r="C569" s="119"/>
      <c r="D569" s="119"/>
      <c r="E569" s="330"/>
      <c r="F569" s="121"/>
      <c r="G569" s="153"/>
      <c r="H569" s="153"/>
      <c r="I569" s="153"/>
      <c r="J569" s="112"/>
      <c r="K569" s="153"/>
      <c r="L569" s="114"/>
      <c r="M569" s="151"/>
      <c r="N569" s="152"/>
      <c r="O569" s="150"/>
      <c r="P569" s="114"/>
      <c r="Q569" s="114"/>
      <c r="R569" s="151"/>
      <c r="S569" s="152"/>
      <c r="T569" s="153"/>
      <c r="U569" s="152"/>
      <c r="V569" s="152"/>
      <c r="W569" s="152"/>
      <c r="X569" s="152"/>
      <c r="Y569" s="153"/>
      <c r="Z569" s="125" t="str">
        <f t="shared" si="16"/>
        <v/>
      </c>
      <c r="AA569" s="126" t="str">
        <f t="shared" si="17"/>
        <v/>
      </c>
      <c r="AB569" s="154" t="str">
        <f t="shared" si="18"/>
        <v/>
      </c>
      <c r="AC569" s="152"/>
      <c r="AD569" s="153"/>
      <c r="AE569" s="156"/>
    </row>
    <row r="570" ht="18.0" customHeight="1">
      <c r="A570" s="127" t="str">
        <f t="shared" si="15"/>
        <v/>
      </c>
      <c r="B570" s="128"/>
      <c r="C570" s="129"/>
      <c r="D570" s="129"/>
      <c r="E570" s="325"/>
      <c r="F570" s="131"/>
      <c r="G570" s="319"/>
      <c r="H570" s="319"/>
      <c r="I570" s="319"/>
      <c r="J570" s="132"/>
      <c r="K570" s="319"/>
      <c r="L570" s="135"/>
      <c r="M570" s="321"/>
      <c r="N570" s="322"/>
      <c r="O570" s="150"/>
      <c r="P570" s="135"/>
      <c r="Q570" s="135"/>
      <c r="R570" s="321"/>
      <c r="S570" s="322"/>
      <c r="T570" s="319"/>
      <c r="U570" s="322"/>
      <c r="V570" s="322"/>
      <c r="W570" s="322"/>
      <c r="X570" s="322"/>
      <c r="Y570" s="319"/>
      <c r="Z570" s="136" t="str">
        <f t="shared" si="16"/>
        <v/>
      </c>
      <c r="AA570" s="137" t="str">
        <f t="shared" si="17"/>
        <v/>
      </c>
      <c r="AB570" s="154" t="str">
        <f t="shared" si="18"/>
        <v/>
      </c>
      <c r="AC570" s="322"/>
      <c r="AD570" s="319"/>
      <c r="AE570" s="320"/>
    </row>
    <row r="571" ht="18.0" customHeight="1">
      <c r="A571" s="118" t="str">
        <f t="shared" si="15"/>
        <v/>
      </c>
      <c r="B571" s="109"/>
      <c r="C571" s="119"/>
      <c r="D571" s="119"/>
      <c r="E571" s="330"/>
      <c r="F571" s="121"/>
      <c r="G571" s="153"/>
      <c r="H571" s="153"/>
      <c r="I571" s="153"/>
      <c r="J571" s="112"/>
      <c r="K571" s="153"/>
      <c r="L571" s="114"/>
      <c r="M571" s="151"/>
      <c r="N571" s="152"/>
      <c r="O571" s="150"/>
      <c r="P571" s="114"/>
      <c r="Q571" s="114"/>
      <c r="R571" s="151"/>
      <c r="S571" s="152"/>
      <c r="T571" s="153"/>
      <c r="U571" s="152"/>
      <c r="V571" s="152"/>
      <c r="W571" s="152"/>
      <c r="X571" s="152"/>
      <c r="Y571" s="153"/>
      <c r="Z571" s="125" t="str">
        <f t="shared" si="16"/>
        <v/>
      </c>
      <c r="AA571" s="126" t="str">
        <f t="shared" si="17"/>
        <v/>
      </c>
      <c r="AB571" s="154" t="str">
        <f t="shared" si="18"/>
        <v/>
      </c>
      <c r="AC571" s="152"/>
      <c r="AD571" s="153"/>
      <c r="AE571" s="156"/>
    </row>
    <row r="572" ht="18.0" customHeight="1">
      <c r="A572" s="127" t="str">
        <f t="shared" si="15"/>
        <v/>
      </c>
      <c r="B572" s="128"/>
      <c r="C572" s="129"/>
      <c r="D572" s="129"/>
      <c r="E572" s="325"/>
      <c r="F572" s="131"/>
      <c r="G572" s="319"/>
      <c r="H572" s="319"/>
      <c r="I572" s="319"/>
      <c r="J572" s="132"/>
      <c r="K572" s="319"/>
      <c r="L572" s="135"/>
      <c r="M572" s="321"/>
      <c r="N572" s="322"/>
      <c r="O572" s="150"/>
      <c r="P572" s="135"/>
      <c r="Q572" s="135"/>
      <c r="R572" s="321"/>
      <c r="S572" s="322"/>
      <c r="T572" s="319"/>
      <c r="U572" s="322"/>
      <c r="V572" s="322"/>
      <c r="W572" s="322"/>
      <c r="X572" s="322"/>
      <c r="Y572" s="319"/>
      <c r="Z572" s="136" t="str">
        <f t="shared" si="16"/>
        <v/>
      </c>
      <c r="AA572" s="137" t="str">
        <f t="shared" si="17"/>
        <v/>
      </c>
      <c r="AB572" s="154" t="str">
        <f t="shared" si="18"/>
        <v/>
      </c>
      <c r="AC572" s="322"/>
      <c r="AD572" s="319"/>
      <c r="AE572" s="320"/>
    </row>
    <row r="573" ht="18.0" customHeight="1">
      <c r="A573" s="118" t="str">
        <f t="shared" si="15"/>
        <v/>
      </c>
      <c r="B573" s="109"/>
      <c r="C573" s="119"/>
      <c r="D573" s="119"/>
      <c r="E573" s="330"/>
      <c r="F573" s="121"/>
      <c r="G573" s="153"/>
      <c r="H573" s="153"/>
      <c r="I573" s="153"/>
      <c r="J573" s="112"/>
      <c r="K573" s="153"/>
      <c r="L573" s="114"/>
      <c r="M573" s="151"/>
      <c r="N573" s="152"/>
      <c r="O573" s="150"/>
      <c r="P573" s="114"/>
      <c r="Q573" s="114"/>
      <c r="R573" s="151"/>
      <c r="S573" s="152"/>
      <c r="T573" s="153"/>
      <c r="U573" s="152"/>
      <c r="V573" s="152"/>
      <c r="W573" s="152"/>
      <c r="X573" s="152"/>
      <c r="Y573" s="153"/>
      <c r="Z573" s="125" t="str">
        <f t="shared" si="16"/>
        <v/>
      </c>
      <c r="AA573" s="126" t="str">
        <f t="shared" si="17"/>
        <v/>
      </c>
      <c r="AB573" s="154" t="str">
        <f t="shared" si="18"/>
        <v/>
      </c>
      <c r="AC573" s="152"/>
      <c r="AD573" s="153"/>
      <c r="AE573" s="156"/>
    </row>
    <row r="574" ht="18.0" customHeight="1">
      <c r="A574" s="127" t="str">
        <f t="shared" si="15"/>
        <v/>
      </c>
      <c r="B574" s="128"/>
      <c r="C574" s="129"/>
      <c r="D574" s="129"/>
      <c r="E574" s="325"/>
      <c r="F574" s="131"/>
      <c r="G574" s="319"/>
      <c r="H574" s="319"/>
      <c r="I574" s="319"/>
      <c r="J574" s="132"/>
      <c r="K574" s="319"/>
      <c r="L574" s="135"/>
      <c r="M574" s="321"/>
      <c r="N574" s="322"/>
      <c r="O574" s="150"/>
      <c r="P574" s="135"/>
      <c r="Q574" s="135"/>
      <c r="R574" s="321"/>
      <c r="S574" s="322"/>
      <c r="T574" s="319"/>
      <c r="U574" s="322"/>
      <c r="V574" s="322"/>
      <c r="W574" s="322"/>
      <c r="X574" s="322"/>
      <c r="Y574" s="319"/>
      <c r="Z574" s="136" t="str">
        <f t="shared" si="16"/>
        <v/>
      </c>
      <c r="AA574" s="137" t="str">
        <f t="shared" si="17"/>
        <v/>
      </c>
      <c r="AB574" s="154" t="str">
        <f t="shared" si="18"/>
        <v/>
      </c>
      <c r="AC574" s="322"/>
      <c r="AD574" s="319"/>
      <c r="AE574" s="320"/>
    </row>
    <row r="575" ht="18.0" customHeight="1">
      <c r="A575" s="118" t="str">
        <f t="shared" si="15"/>
        <v/>
      </c>
      <c r="B575" s="109"/>
      <c r="C575" s="119"/>
      <c r="D575" s="119"/>
      <c r="E575" s="330"/>
      <c r="F575" s="121"/>
      <c r="G575" s="153"/>
      <c r="H575" s="153"/>
      <c r="I575" s="153"/>
      <c r="J575" s="112"/>
      <c r="K575" s="153"/>
      <c r="L575" s="114"/>
      <c r="M575" s="151"/>
      <c r="N575" s="152"/>
      <c r="O575" s="150"/>
      <c r="P575" s="114"/>
      <c r="Q575" s="114"/>
      <c r="R575" s="151"/>
      <c r="S575" s="152"/>
      <c r="T575" s="153"/>
      <c r="U575" s="152"/>
      <c r="V575" s="152"/>
      <c r="W575" s="152"/>
      <c r="X575" s="152"/>
      <c r="Y575" s="153"/>
      <c r="Z575" s="125" t="str">
        <f t="shared" si="16"/>
        <v/>
      </c>
      <c r="AA575" s="126" t="str">
        <f t="shared" si="17"/>
        <v/>
      </c>
      <c r="AB575" s="154" t="str">
        <f t="shared" si="18"/>
        <v/>
      </c>
      <c r="AC575" s="152"/>
      <c r="AD575" s="153"/>
      <c r="AE575" s="156"/>
    </row>
    <row r="576" ht="18.0" customHeight="1">
      <c r="A576" s="127" t="str">
        <f t="shared" si="15"/>
        <v/>
      </c>
      <c r="B576" s="128"/>
      <c r="C576" s="129"/>
      <c r="D576" s="129"/>
      <c r="E576" s="325"/>
      <c r="F576" s="131"/>
      <c r="G576" s="319"/>
      <c r="H576" s="319"/>
      <c r="I576" s="319"/>
      <c r="J576" s="132"/>
      <c r="K576" s="319"/>
      <c r="L576" s="135"/>
      <c r="M576" s="321"/>
      <c r="N576" s="322"/>
      <c r="O576" s="150"/>
      <c r="P576" s="135"/>
      <c r="Q576" s="135"/>
      <c r="R576" s="321"/>
      <c r="S576" s="322"/>
      <c r="T576" s="319"/>
      <c r="U576" s="322"/>
      <c r="V576" s="322"/>
      <c r="W576" s="322"/>
      <c r="X576" s="322"/>
      <c r="Y576" s="319"/>
      <c r="Z576" s="136" t="str">
        <f t="shared" si="16"/>
        <v/>
      </c>
      <c r="AA576" s="137" t="str">
        <f t="shared" si="17"/>
        <v/>
      </c>
      <c r="AB576" s="154" t="str">
        <f t="shared" si="18"/>
        <v/>
      </c>
      <c r="AC576" s="322"/>
      <c r="AD576" s="319"/>
      <c r="AE576" s="320"/>
    </row>
    <row r="577" ht="18.0" customHeight="1">
      <c r="A577" s="118" t="str">
        <f t="shared" si="15"/>
        <v/>
      </c>
      <c r="B577" s="109"/>
      <c r="C577" s="119"/>
      <c r="D577" s="119"/>
      <c r="E577" s="330"/>
      <c r="F577" s="121"/>
      <c r="G577" s="153"/>
      <c r="H577" s="153"/>
      <c r="I577" s="153"/>
      <c r="J577" s="112"/>
      <c r="K577" s="153"/>
      <c r="L577" s="114"/>
      <c r="M577" s="151"/>
      <c r="N577" s="152"/>
      <c r="O577" s="150"/>
      <c r="P577" s="114"/>
      <c r="Q577" s="114"/>
      <c r="R577" s="151"/>
      <c r="S577" s="152"/>
      <c r="T577" s="153"/>
      <c r="U577" s="152"/>
      <c r="V577" s="152"/>
      <c r="W577" s="152"/>
      <c r="X577" s="152"/>
      <c r="Y577" s="153"/>
      <c r="Z577" s="125" t="str">
        <f t="shared" si="16"/>
        <v/>
      </c>
      <c r="AA577" s="126" t="str">
        <f t="shared" si="17"/>
        <v/>
      </c>
      <c r="AB577" s="154" t="str">
        <f t="shared" si="18"/>
        <v/>
      </c>
      <c r="AC577" s="152"/>
      <c r="AD577" s="153"/>
      <c r="AE577" s="156"/>
    </row>
    <row r="578" ht="18.0" customHeight="1">
      <c r="A578" s="127" t="str">
        <f t="shared" si="15"/>
        <v/>
      </c>
      <c r="B578" s="128"/>
      <c r="C578" s="129"/>
      <c r="D578" s="129"/>
      <c r="E578" s="325"/>
      <c r="F578" s="131"/>
      <c r="G578" s="319"/>
      <c r="H578" s="319"/>
      <c r="I578" s="319"/>
      <c r="J578" s="132"/>
      <c r="K578" s="319"/>
      <c r="L578" s="135"/>
      <c r="M578" s="321"/>
      <c r="N578" s="322"/>
      <c r="O578" s="150"/>
      <c r="P578" s="135"/>
      <c r="Q578" s="135"/>
      <c r="R578" s="321"/>
      <c r="S578" s="322"/>
      <c r="T578" s="319"/>
      <c r="U578" s="322"/>
      <c r="V578" s="322"/>
      <c r="W578" s="322"/>
      <c r="X578" s="322"/>
      <c r="Y578" s="319"/>
      <c r="Z578" s="136" t="str">
        <f t="shared" si="16"/>
        <v/>
      </c>
      <c r="AA578" s="137" t="str">
        <f t="shared" si="17"/>
        <v/>
      </c>
      <c r="AB578" s="154" t="str">
        <f t="shared" si="18"/>
        <v/>
      </c>
      <c r="AC578" s="322"/>
      <c r="AD578" s="319"/>
      <c r="AE578" s="320"/>
    </row>
    <row r="579" ht="18.0" customHeight="1">
      <c r="A579" s="118" t="str">
        <f t="shared" si="15"/>
        <v/>
      </c>
      <c r="B579" s="109"/>
      <c r="C579" s="119"/>
      <c r="D579" s="119"/>
      <c r="E579" s="330"/>
      <c r="F579" s="121"/>
      <c r="G579" s="153"/>
      <c r="H579" s="153"/>
      <c r="I579" s="153"/>
      <c r="J579" s="112"/>
      <c r="K579" s="153"/>
      <c r="L579" s="114"/>
      <c r="M579" s="151"/>
      <c r="N579" s="152"/>
      <c r="O579" s="150"/>
      <c r="P579" s="114"/>
      <c r="Q579" s="114"/>
      <c r="R579" s="151"/>
      <c r="S579" s="152"/>
      <c r="T579" s="153"/>
      <c r="U579" s="152"/>
      <c r="V579" s="152"/>
      <c r="W579" s="152"/>
      <c r="X579" s="152"/>
      <c r="Y579" s="153"/>
      <c r="Z579" s="125" t="str">
        <f t="shared" si="16"/>
        <v/>
      </c>
      <c r="AA579" s="126" t="str">
        <f t="shared" si="17"/>
        <v/>
      </c>
      <c r="AB579" s="154" t="str">
        <f t="shared" si="18"/>
        <v/>
      </c>
      <c r="AC579" s="152"/>
      <c r="AD579" s="153"/>
      <c r="AE579" s="156"/>
    </row>
    <row r="580" ht="18.0" customHeight="1">
      <c r="A580" s="127" t="str">
        <f t="shared" si="15"/>
        <v/>
      </c>
      <c r="B580" s="128"/>
      <c r="C580" s="129"/>
      <c r="D580" s="129"/>
      <c r="E580" s="325"/>
      <c r="F580" s="131"/>
      <c r="G580" s="319"/>
      <c r="H580" s="319"/>
      <c r="I580" s="319"/>
      <c r="J580" s="132"/>
      <c r="K580" s="319"/>
      <c r="L580" s="135"/>
      <c r="M580" s="321"/>
      <c r="N580" s="322"/>
      <c r="O580" s="150"/>
      <c r="P580" s="135"/>
      <c r="Q580" s="135"/>
      <c r="R580" s="321"/>
      <c r="S580" s="322"/>
      <c r="T580" s="319"/>
      <c r="U580" s="322"/>
      <c r="V580" s="322"/>
      <c r="W580" s="322"/>
      <c r="X580" s="322"/>
      <c r="Y580" s="319"/>
      <c r="Z580" s="136" t="str">
        <f t="shared" si="16"/>
        <v/>
      </c>
      <c r="AA580" s="137" t="str">
        <f t="shared" si="17"/>
        <v/>
      </c>
      <c r="AB580" s="154" t="str">
        <f t="shared" si="18"/>
        <v/>
      </c>
      <c r="AC580" s="322"/>
      <c r="AD580" s="319"/>
      <c r="AE580" s="320"/>
    </row>
    <row r="581" ht="18.0" customHeight="1">
      <c r="A581" s="118" t="str">
        <f t="shared" si="15"/>
        <v/>
      </c>
      <c r="B581" s="109"/>
      <c r="C581" s="119"/>
      <c r="D581" s="119"/>
      <c r="E581" s="330"/>
      <c r="F581" s="121"/>
      <c r="G581" s="153"/>
      <c r="H581" s="153"/>
      <c r="I581" s="153"/>
      <c r="J581" s="112"/>
      <c r="K581" s="153"/>
      <c r="L581" s="114"/>
      <c r="M581" s="151"/>
      <c r="N581" s="152"/>
      <c r="O581" s="150"/>
      <c r="P581" s="114"/>
      <c r="Q581" s="114"/>
      <c r="R581" s="151"/>
      <c r="S581" s="152"/>
      <c r="T581" s="153"/>
      <c r="U581" s="152"/>
      <c r="V581" s="152"/>
      <c r="W581" s="152"/>
      <c r="X581" s="152"/>
      <c r="Y581" s="153"/>
      <c r="Z581" s="125" t="str">
        <f t="shared" si="16"/>
        <v/>
      </c>
      <c r="AA581" s="126" t="str">
        <f t="shared" si="17"/>
        <v/>
      </c>
      <c r="AB581" s="154" t="str">
        <f t="shared" si="18"/>
        <v/>
      </c>
      <c r="AC581" s="152"/>
      <c r="AD581" s="153"/>
      <c r="AE581" s="156"/>
    </row>
    <row r="582" ht="18.0" customHeight="1">
      <c r="A582" s="127" t="str">
        <f t="shared" si="15"/>
        <v/>
      </c>
      <c r="B582" s="128"/>
      <c r="C582" s="129"/>
      <c r="D582" s="129"/>
      <c r="E582" s="325"/>
      <c r="F582" s="131"/>
      <c r="G582" s="319"/>
      <c r="H582" s="319"/>
      <c r="I582" s="319"/>
      <c r="J582" s="132"/>
      <c r="K582" s="319"/>
      <c r="L582" s="135"/>
      <c r="M582" s="321"/>
      <c r="N582" s="322"/>
      <c r="O582" s="150"/>
      <c r="P582" s="135"/>
      <c r="Q582" s="135"/>
      <c r="R582" s="321"/>
      <c r="S582" s="322"/>
      <c r="T582" s="319"/>
      <c r="U582" s="322"/>
      <c r="V582" s="322"/>
      <c r="W582" s="322"/>
      <c r="X582" s="322"/>
      <c r="Y582" s="319"/>
      <c r="Z582" s="136" t="str">
        <f t="shared" si="16"/>
        <v/>
      </c>
      <c r="AA582" s="137" t="str">
        <f t="shared" si="17"/>
        <v/>
      </c>
      <c r="AB582" s="154" t="str">
        <f t="shared" si="18"/>
        <v/>
      </c>
      <c r="AC582" s="322"/>
      <c r="AD582" s="319"/>
      <c r="AE582" s="320"/>
    </row>
    <row r="583" ht="18.0" customHeight="1">
      <c r="A583" s="118" t="str">
        <f t="shared" si="15"/>
        <v/>
      </c>
      <c r="B583" s="109"/>
      <c r="C583" s="119"/>
      <c r="D583" s="119"/>
      <c r="E583" s="330"/>
      <c r="F583" s="121"/>
      <c r="G583" s="153"/>
      <c r="H583" s="153"/>
      <c r="I583" s="153"/>
      <c r="J583" s="112"/>
      <c r="K583" s="153"/>
      <c r="L583" s="114"/>
      <c r="M583" s="151"/>
      <c r="N583" s="152"/>
      <c r="O583" s="150"/>
      <c r="P583" s="114"/>
      <c r="Q583" s="114"/>
      <c r="R583" s="151"/>
      <c r="S583" s="152"/>
      <c r="T583" s="153"/>
      <c r="U583" s="152"/>
      <c r="V583" s="152"/>
      <c r="W583" s="152"/>
      <c r="X583" s="152"/>
      <c r="Y583" s="153"/>
      <c r="Z583" s="125" t="str">
        <f t="shared" si="16"/>
        <v/>
      </c>
      <c r="AA583" s="126" t="str">
        <f t="shared" si="17"/>
        <v/>
      </c>
      <c r="AB583" s="154" t="str">
        <f t="shared" si="18"/>
        <v/>
      </c>
      <c r="AC583" s="152"/>
      <c r="AD583" s="153"/>
      <c r="AE583" s="156"/>
    </row>
    <row r="584" ht="18.0" customHeight="1">
      <c r="A584" s="127" t="str">
        <f t="shared" si="15"/>
        <v/>
      </c>
      <c r="B584" s="128"/>
      <c r="C584" s="129"/>
      <c r="D584" s="129"/>
      <c r="E584" s="325"/>
      <c r="F584" s="131"/>
      <c r="G584" s="319"/>
      <c r="H584" s="319"/>
      <c r="I584" s="319"/>
      <c r="J584" s="132"/>
      <c r="K584" s="319"/>
      <c r="L584" s="135"/>
      <c r="M584" s="321"/>
      <c r="N584" s="322"/>
      <c r="O584" s="150"/>
      <c r="P584" s="135"/>
      <c r="Q584" s="135"/>
      <c r="R584" s="321"/>
      <c r="S584" s="322"/>
      <c r="T584" s="319"/>
      <c r="U584" s="322"/>
      <c r="V584" s="322"/>
      <c r="W584" s="322"/>
      <c r="X584" s="322"/>
      <c r="Y584" s="319"/>
      <c r="Z584" s="136" t="str">
        <f t="shared" si="16"/>
        <v/>
      </c>
      <c r="AA584" s="137" t="str">
        <f t="shared" si="17"/>
        <v/>
      </c>
      <c r="AB584" s="154" t="str">
        <f t="shared" si="18"/>
        <v/>
      </c>
      <c r="AC584" s="322"/>
      <c r="AD584" s="319"/>
      <c r="AE584" s="320"/>
    </row>
    <row r="585" ht="18.0" customHeight="1">
      <c r="A585" s="118" t="str">
        <f t="shared" si="15"/>
        <v/>
      </c>
      <c r="B585" s="109"/>
      <c r="C585" s="119"/>
      <c r="D585" s="119"/>
      <c r="E585" s="330"/>
      <c r="F585" s="121"/>
      <c r="G585" s="153"/>
      <c r="H585" s="153"/>
      <c r="I585" s="153"/>
      <c r="J585" s="112"/>
      <c r="K585" s="153"/>
      <c r="L585" s="114"/>
      <c r="M585" s="151"/>
      <c r="N585" s="152"/>
      <c r="O585" s="150"/>
      <c r="P585" s="114"/>
      <c r="Q585" s="114"/>
      <c r="R585" s="151"/>
      <c r="S585" s="152"/>
      <c r="T585" s="153"/>
      <c r="U585" s="152"/>
      <c r="V585" s="152"/>
      <c r="W585" s="152"/>
      <c r="X585" s="152"/>
      <c r="Y585" s="153"/>
      <c r="Z585" s="125" t="str">
        <f t="shared" si="16"/>
        <v/>
      </c>
      <c r="AA585" s="126" t="str">
        <f t="shared" si="17"/>
        <v/>
      </c>
      <c r="AB585" s="154" t="str">
        <f t="shared" si="18"/>
        <v/>
      </c>
      <c r="AC585" s="152"/>
      <c r="AD585" s="153"/>
      <c r="AE585" s="156"/>
    </row>
    <row r="586" ht="18.0" customHeight="1">
      <c r="A586" s="127" t="str">
        <f t="shared" si="15"/>
        <v/>
      </c>
      <c r="B586" s="128"/>
      <c r="C586" s="129"/>
      <c r="D586" s="129"/>
      <c r="E586" s="325"/>
      <c r="F586" s="131"/>
      <c r="G586" s="319"/>
      <c r="H586" s="319"/>
      <c r="I586" s="319"/>
      <c r="J586" s="132"/>
      <c r="K586" s="319"/>
      <c r="L586" s="135"/>
      <c r="M586" s="321"/>
      <c r="N586" s="322"/>
      <c r="O586" s="150"/>
      <c r="P586" s="135"/>
      <c r="Q586" s="135"/>
      <c r="R586" s="321"/>
      <c r="S586" s="322"/>
      <c r="T586" s="319"/>
      <c r="U586" s="322"/>
      <c r="V586" s="322"/>
      <c r="W586" s="322"/>
      <c r="X586" s="322"/>
      <c r="Y586" s="319"/>
      <c r="Z586" s="136" t="str">
        <f t="shared" si="16"/>
        <v/>
      </c>
      <c r="AA586" s="137" t="str">
        <f t="shared" si="17"/>
        <v/>
      </c>
      <c r="AB586" s="154" t="str">
        <f t="shared" si="18"/>
        <v/>
      </c>
      <c r="AC586" s="322"/>
      <c r="AD586" s="319"/>
      <c r="AE586" s="320"/>
    </row>
    <row r="587" ht="18.0" customHeight="1">
      <c r="A587" s="118" t="str">
        <f t="shared" si="15"/>
        <v/>
      </c>
      <c r="B587" s="109"/>
      <c r="C587" s="119"/>
      <c r="D587" s="119"/>
      <c r="E587" s="330"/>
      <c r="F587" s="121"/>
      <c r="G587" s="153"/>
      <c r="H587" s="153"/>
      <c r="I587" s="153"/>
      <c r="J587" s="112"/>
      <c r="K587" s="153"/>
      <c r="L587" s="114"/>
      <c r="M587" s="151"/>
      <c r="N587" s="152"/>
      <c r="O587" s="150"/>
      <c r="P587" s="114"/>
      <c r="Q587" s="114"/>
      <c r="R587" s="151"/>
      <c r="S587" s="152"/>
      <c r="T587" s="153"/>
      <c r="U587" s="152"/>
      <c r="V587" s="152"/>
      <c r="W587" s="152"/>
      <c r="X587" s="152"/>
      <c r="Y587" s="153"/>
      <c r="Z587" s="125" t="str">
        <f t="shared" si="16"/>
        <v/>
      </c>
      <c r="AA587" s="126" t="str">
        <f t="shared" si="17"/>
        <v/>
      </c>
      <c r="AB587" s="154" t="str">
        <f t="shared" si="18"/>
        <v/>
      </c>
      <c r="AC587" s="152"/>
      <c r="AD587" s="153"/>
      <c r="AE587" s="156"/>
    </row>
    <row r="588" ht="18.0" customHeight="1">
      <c r="A588" s="127" t="str">
        <f t="shared" si="15"/>
        <v/>
      </c>
      <c r="B588" s="128"/>
      <c r="C588" s="129"/>
      <c r="D588" s="129"/>
      <c r="E588" s="325"/>
      <c r="F588" s="131"/>
      <c r="G588" s="319"/>
      <c r="H588" s="319"/>
      <c r="I588" s="319"/>
      <c r="J588" s="132"/>
      <c r="K588" s="319"/>
      <c r="L588" s="135"/>
      <c r="M588" s="321"/>
      <c r="N588" s="322"/>
      <c r="O588" s="150"/>
      <c r="P588" s="135"/>
      <c r="Q588" s="135"/>
      <c r="R588" s="321"/>
      <c r="S588" s="322"/>
      <c r="T588" s="319"/>
      <c r="U588" s="322"/>
      <c r="V588" s="322"/>
      <c r="W588" s="322"/>
      <c r="X588" s="322"/>
      <c r="Y588" s="319"/>
      <c r="Z588" s="136" t="str">
        <f t="shared" si="16"/>
        <v/>
      </c>
      <c r="AA588" s="137" t="str">
        <f t="shared" si="17"/>
        <v/>
      </c>
      <c r="AB588" s="154" t="str">
        <f t="shared" si="18"/>
        <v/>
      </c>
      <c r="AC588" s="322"/>
      <c r="AD588" s="319"/>
      <c r="AE588" s="320"/>
    </row>
    <row r="589" ht="18.0" customHeight="1">
      <c r="A589" s="118" t="str">
        <f t="shared" si="15"/>
        <v/>
      </c>
      <c r="B589" s="109"/>
      <c r="C589" s="119"/>
      <c r="D589" s="119"/>
      <c r="E589" s="330"/>
      <c r="F589" s="121"/>
      <c r="G589" s="153"/>
      <c r="H589" s="153"/>
      <c r="I589" s="153"/>
      <c r="J589" s="112"/>
      <c r="K589" s="153"/>
      <c r="L589" s="114"/>
      <c r="M589" s="151"/>
      <c r="N589" s="152"/>
      <c r="O589" s="150"/>
      <c r="P589" s="114"/>
      <c r="Q589" s="114"/>
      <c r="R589" s="151"/>
      <c r="S589" s="152"/>
      <c r="T589" s="153"/>
      <c r="U589" s="152"/>
      <c r="V589" s="152"/>
      <c r="W589" s="152"/>
      <c r="X589" s="152"/>
      <c r="Y589" s="153"/>
      <c r="Z589" s="125" t="str">
        <f t="shared" si="16"/>
        <v/>
      </c>
      <c r="AA589" s="126" t="str">
        <f t="shared" si="17"/>
        <v/>
      </c>
      <c r="AB589" s="154" t="str">
        <f t="shared" si="18"/>
        <v/>
      </c>
      <c r="AC589" s="152"/>
      <c r="AD589" s="153"/>
      <c r="AE589" s="156"/>
    </row>
    <row r="590" ht="18.0" customHeight="1">
      <c r="A590" s="127" t="str">
        <f t="shared" si="15"/>
        <v/>
      </c>
      <c r="B590" s="128"/>
      <c r="C590" s="129"/>
      <c r="D590" s="129"/>
      <c r="E590" s="325"/>
      <c r="F590" s="131"/>
      <c r="G590" s="319"/>
      <c r="H590" s="319"/>
      <c r="I590" s="319"/>
      <c r="J590" s="132"/>
      <c r="K590" s="319"/>
      <c r="L590" s="135"/>
      <c r="M590" s="321"/>
      <c r="N590" s="322"/>
      <c r="O590" s="150"/>
      <c r="P590" s="135"/>
      <c r="Q590" s="135"/>
      <c r="R590" s="321"/>
      <c r="S590" s="322"/>
      <c r="T590" s="319"/>
      <c r="U590" s="322"/>
      <c r="V590" s="322"/>
      <c r="W590" s="322"/>
      <c r="X590" s="322"/>
      <c r="Y590" s="319"/>
      <c r="Z590" s="136" t="str">
        <f t="shared" si="16"/>
        <v/>
      </c>
      <c r="AA590" s="137" t="str">
        <f t="shared" si="17"/>
        <v/>
      </c>
      <c r="AB590" s="154" t="str">
        <f t="shared" si="18"/>
        <v/>
      </c>
      <c r="AC590" s="322"/>
      <c r="AD590" s="319"/>
      <c r="AE590" s="320"/>
    </row>
    <row r="591" ht="18.0" customHeight="1">
      <c r="A591" s="118" t="str">
        <f t="shared" si="15"/>
        <v/>
      </c>
      <c r="B591" s="109"/>
      <c r="C591" s="119"/>
      <c r="D591" s="119"/>
      <c r="E591" s="330"/>
      <c r="F591" s="121"/>
      <c r="G591" s="153"/>
      <c r="H591" s="153"/>
      <c r="I591" s="153"/>
      <c r="J591" s="112"/>
      <c r="K591" s="153"/>
      <c r="L591" s="114"/>
      <c r="M591" s="151"/>
      <c r="N591" s="152"/>
      <c r="O591" s="150"/>
      <c r="P591" s="114"/>
      <c r="Q591" s="114"/>
      <c r="R591" s="151"/>
      <c r="S591" s="152"/>
      <c r="T591" s="153"/>
      <c r="U591" s="152"/>
      <c r="V591" s="152"/>
      <c r="W591" s="152"/>
      <c r="X591" s="152"/>
      <c r="Y591" s="153"/>
      <c r="Z591" s="125" t="str">
        <f t="shared" si="16"/>
        <v/>
      </c>
      <c r="AA591" s="126" t="str">
        <f t="shared" si="17"/>
        <v/>
      </c>
      <c r="AB591" s="154" t="str">
        <f t="shared" si="18"/>
        <v/>
      </c>
      <c r="AC591" s="152"/>
      <c r="AD591" s="153"/>
      <c r="AE591" s="156"/>
    </row>
    <row r="592" ht="18.0" customHeight="1">
      <c r="A592" s="127" t="str">
        <f t="shared" si="15"/>
        <v/>
      </c>
      <c r="B592" s="128"/>
      <c r="C592" s="129"/>
      <c r="D592" s="129"/>
      <c r="E592" s="325"/>
      <c r="F592" s="131"/>
      <c r="G592" s="319"/>
      <c r="H592" s="319"/>
      <c r="I592" s="319"/>
      <c r="J592" s="132"/>
      <c r="K592" s="319"/>
      <c r="L592" s="135"/>
      <c r="M592" s="321"/>
      <c r="N592" s="322"/>
      <c r="O592" s="150"/>
      <c r="P592" s="135"/>
      <c r="Q592" s="135"/>
      <c r="R592" s="321"/>
      <c r="S592" s="322"/>
      <c r="T592" s="319"/>
      <c r="U592" s="322"/>
      <c r="V592" s="322"/>
      <c r="W592" s="322"/>
      <c r="X592" s="322"/>
      <c r="Y592" s="319"/>
      <c r="Z592" s="136" t="str">
        <f t="shared" si="16"/>
        <v/>
      </c>
      <c r="AA592" s="137" t="str">
        <f t="shared" si="17"/>
        <v/>
      </c>
      <c r="AB592" s="154" t="str">
        <f t="shared" si="18"/>
        <v/>
      </c>
      <c r="AC592" s="322"/>
      <c r="AD592" s="319"/>
      <c r="AE592" s="320"/>
    </row>
    <row r="593" ht="18.0" customHeight="1">
      <c r="A593" s="118" t="str">
        <f t="shared" si="15"/>
        <v/>
      </c>
      <c r="B593" s="109"/>
      <c r="C593" s="119"/>
      <c r="D593" s="119"/>
      <c r="E593" s="330"/>
      <c r="F593" s="121"/>
      <c r="G593" s="153"/>
      <c r="H593" s="153"/>
      <c r="I593" s="153"/>
      <c r="J593" s="112"/>
      <c r="K593" s="153"/>
      <c r="L593" s="114"/>
      <c r="M593" s="151"/>
      <c r="N593" s="152"/>
      <c r="O593" s="150"/>
      <c r="P593" s="114"/>
      <c r="Q593" s="114"/>
      <c r="R593" s="151"/>
      <c r="S593" s="152"/>
      <c r="T593" s="153"/>
      <c r="U593" s="152"/>
      <c r="V593" s="152"/>
      <c r="W593" s="152"/>
      <c r="X593" s="152"/>
      <c r="Y593" s="153"/>
      <c r="Z593" s="125" t="str">
        <f t="shared" si="16"/>
        <v/>
      </c>
      <c r="AA593" s="126" t="str">
        <f t="shared" si="17"/>
        <v/>
      </c>
      <c r="AB593" s="154" t="str">
        <f t="shared" si="18"/>
        <v/>
      </c>
      <c r="AC593" s="152"/>
      <c r="AD593" s="153"/>
      <c r="AE593" s="156"/>
    </row>
    <row r="594" ht="18.0" customHeight="1">
      <c r="A594" s="127" t="str">
        <f t="shared" si="15"/>
        <v/>
      </c>
      <c r="B594" s="128"/>
      <c r="C594" s="129"/>
      <c r="D594" s="129"/>
      <c r="E594" s="325"/>
      <c r="F594" s="131"/>
      <c r="G594" s="319"/>
      <c r="H594" s="319"/>
      <c r="I594" s="319"/>
      <c r="J594" s="132"/>
      <c r="K594" s="319"/>
      <c r="L594" s="135"/>
      <c r="M594" s="321"/>
      <c r="N594" s="322"/>
      <c r="O594" s="150"/>
      <c r="P594" s="135"/>
      <c r="Q594" s="135"/>
      <c r="R594" s="321"/>
      <c r="S594" s="322"/>
      <c r="T594" s="319"/>
      <c r="U594" s="322"/>
      <c r="V594" s="322"/>
      <c r="W594" s="322"/>
      <c r="X594" s="322"/>
      <c r="Y594" s="319"/>
      <c r="Z594" s="136" t="str">
        <f t="shared" si="16"/>
        <v/>
      </c>
      <c r="AA594" s="137" t="str">
        <f t="shared" si="17"/>
        <v/>
      </c>
      <c r="AB594" s="154" t="str">
        <f t="shared" si="18"/>
        <v/>
      </c>
      <c r="AC594" s="322"/>
      <c r="AD594" s="319"/>
      <c r="AE594" s="320"/>
    </row>
    <row r="595" ht="18.0" customHeight="1">
      <c r="A595" s="118" t="str">
        <f t="shared" si="15"/>
        <v/>
      </c>
      <c r="B595" s="109"/>
      <c r="C595" s="119"/>
      <c r="D595" s="119"/>
      <c r="E595" s="330"/>
      <c r="F595" s="121"/>
      <c r="G595" s="153"/>
      <c r="H595" s="153"/>
      <c r="I595" s="153"/>
      <c r="J595" s="112"/>
      <c r="K595" s="153"/>
      <c r="L595" s="114"/>
      <c r="M595" s="151"/>
      <c r="N595" s="152"/>
      <c r="O595" s="150"/>
      <c r="P595" s="114"/>
      <c r="Q595" s="114"/>
      <c r="R595" s="151"/>
      <c r="S595" s="152"/>
      <c r="T595" s="153"/>
      <c r="U595" s="152"/>
      <c r="V595" s="152"/>
      <c r="W595" s="152"/>
      <c r="X595" s="152"/>
      <c r="Y595" s="153"/>
      <c r="Z595" s="125" t="str">
        <f t="shared" si="16"/>
        <v/>
      </c>
      <c r="AA595" s="126" t="str">
        <f t="shared" si="17"/>
        <v/>
      </c>
      <c r="AB595" s="154" t="str">
        <f t="shared" si="18"/>
        <v/>
      </c>
      <c r="AC595" s="152"/>
      <c r="AD595" s="153"/>
      <c r="AE595" s="156"/>
    </row>
    <row r="596" ht="18.0" customHeight="1">
      <c r="A596" s="127" t="str">
        <f t="shared" si="15"/>
        <v/>
      </c>
      <c r="B596" s="128"/>
      <c r="C596" s="129"/>
      <c r="D596" s="129"/>
      <c r="E596" s="325"/>
      <c r="F596" s="131"/>
      <c r="G596" s="319"/>
      <c r="H596" s="319"/>
      <c r="I596" s="319"/>
      <c r="J596" s="132"/>
      <c r="K596" s="319"/>
      <c r="L596" s="135"/>
      <c r="M596" s="321"/>
      <c r="N596" s="322"/>
      <c r="O596" s="150"/>
      <c r="P596" s="135"/>
      <c r="Q596" s="135"/>
      <c r="R596" s="321"/>
      <c r="S596" s="322"/>
      <c r="T596" s="319"/>
      <c r="U596" s="322"/>
      <c r="V596" s="322"/>
      <c r="W596" s="322"/>
      <c r="X596" s="322"/>
      <c r="Y596" s="319"/>
      <c r="Z596" s="136" t="str">
        <f t="shared" si="16"/>
        <v/>
      </c>
      <c r="AA596" s="137" t="str">
        <f t="shared" si="17"/>
        <v/>
      </c>
      <c r="AB596" s="154" t="str">
        <f t="shared" si="18"/>
        <v/>
      </c>
      <c r="AC596" s="322"/>
      <c r="AD596" s="319"/>
      <c r="AE596" s="320"/>
    </row>
    <row r="597" ht="18.0" customHeight="1">
      <c r="A597" s="118" t="str">
        <f t="shared" si="15"/>
        <v/>
      </c>
      <c r="B597" s="109"/>
      <c r="C597" s="119"/>
      <c r="D597" s="119"/>
      <c r="E597" s="330"/>
      <c r="F597" s="121"/>
      <c r="G597" s="153"/>
      <c r="H597" s="153"/>
      <c r="I597" s="153"/>
      <c r="J597" s="112"/>
      <c r="K597" s="153"/>
      <c r="L597" s="114"/>
      <c r="M597" s="151"/>
      <c r="N597" s="152"/>
      <c r="O597" s="150"/>
      <c r="P597" s="114"/>
      <c r="Q597" s="114"/>
      <c r="R597" s="151"/>
      <c r="S597" s="152"/>
      <c r="T597" s="153"/>
      <c r="U597" s="152"/>
      <c r="V597" s="152"/>
      <c r="W597" s="152"/>
      <c r="X597" s="152"/>
      <c r="Y597" s="153"/>
      <c r="Z597" s="125" t="str">
        <f t="shared" si="16"/>
        <v/>
      </c>
      <c r="AA597" s="126" t="str">
        <f t="shared" si="17"/>
        <v/>
      </c>
      <c r="AB597" s="154" t="str">
        <f t="shared" si="18"/>
        <v/>
      </c>
      <c r="AC597" s="152"/>
      <c r="AD597" s="153"/>
      <c r="AE597" s="156"/>
    </row>
    <row r="598" ht="18.0" customHeight="1">
      <c r="A598" s="127" t="str">
        <f t="shared" si="15"/>
        <v/>
      </c>
      <c r="B598" s="128"/>
      <c r="C598" s="129"/>
      <c r="D598" s="129"/>
      <c r="E598" s="325"/>
      <c r="F598" s="131"/>
      <c r="G598" s="319"/>
      <c r="H598" s="319"/>
      <c r="I598" s="319"/>
      <c r="J598" s="132"/>
      <c r="K598" s="319"/>
      <c r="L598" s="135"/>
      <c r="M598" s="321"/>
      <c r="N598" s="322"/>
      <c r="O598" s="150"/>
      <c r="P598" s="135"/>
      <c r="Q598" s="135"/>
      <c r="R598" s="321"/>
      <c r="S598" s="322"/>
      <c r="T598" s="319"/>
      <c r="U598" s="322"/>
      <c r="V598" s="322"/>
      <c r="W598" s="322"/>
      <c r="X598" s="322"/>
      <c r="Y598" s="319"/>
      <c r="Z598" s="136" t="str">
        <f t="shared" si="16"/>
        <v/>
      </c>
      <c r="AA598" s="137" t="str">
        <f t="shared" si="17"/>
        <v/>
      </c>
      <c r="AB598" s="154" t="str">
        <f t="shared" si="18"/>
        <v/>
      </c>
      <c r="AC598" s="322"/>
      <c r="AD598" s="319"/>
      <c r="AE598" s="320"/>
    </row>
    <row r="599" ht="18.0" customHeight="1">
      <c r="A599" s="118" t="str">
        <f t="shared" si="15"/>
        <v/>
      </c>
      <c r="B599" s="109"/>
      <c r="C599" s="119"/>
      <c r="D599" s="119"/>
      <c r="E599" s="330"/>
      <c r="F599" s="121"/>
      <c r="G599" s="153"/>
      <c r="H599" s="153"/>
      <c r="I599" s="153"/>
      <c r="J599" s="112"/>
      <c r="K599" s="153"/>
      <c r="L599" s="114"/>
      <c r="M599" s="151"/>
      <c r="N599" s="152"/>
      <c r="O599" s="150"/>
      <c r="P599" s="114"/>
      <c r="Q599" s="114"/>
      <c r="R599" s="151"/>
      <c r="S599" s="152"/>
      <c r="T599" s="153"/>
      <c r="U599" s="152"/>
      <c r="V599" s="152"/>
      <c r="W599" s="152"/>
      <c r="X599" s="152"/>
      <c r="Y599" s="153"/>
      <c r="Z599" s="125" t="str">
        <f t="shared" si="16"/>
        <v/>
      </c>
      <c r="AA599" s="126" t="str">
        <f t="shared" si="17"/>
        <v/>
      </c>
      <c r="AB599" s="154" t="str">
        <f t="shared" si="18"/>
        <v/>
      </c>
      <c r="AC599" s="152"/>
      <c r="AD599" s="153"/>
      <c r="AE599" s="156"/>
    </row>
    <row r="600" ht="18.0" customHeight="1">
      <c r="A600" s="127" t="str">
        <f t="shared" si="15"/>
        <v/>
      </c>
      <c r="B600" s="128"/>
      <c r="C600" s="129"/>
      <c r="D600" s="129"/>
      <c r="E600" s="325"/>
      <c r="F600" s="131"/>
      <c r="G600" s="319"/>
      <c r="H600" s="319"/>
      <c r="I600" s="319"/>
      <c r="J600" s="132"/>
      <c r="K600" s="319"/>
      <c r="L600" s="135"/>
      <c r="M600" s="321"/>
      <c r="N600" s="322"/>
      <c r="O600" s="150"/>
      <c r="P600" s="135"/>
      <c r="Q600" s="135"/>
      <c r="R600" s="321"/>
      <c r="S600" s="322"/>
      <c r="T600" s="319"/>
      <c r="U600" s="322"/>
      <c r="V600" s="322"/>
      <c r="W600" s="322"/>
      <c r="X600" s="322"/>
      <c r="Y600" s="319"/>
      <c r="Z600" s="136" t="str">
        <f t="shared" si="16"/>
        <v/>
      </c>
      <c r="AA600" s="137" t="str">
        <f t="shared" si="17"/>
        <v/>
      </c>
      <c r="AB600" s="154" t="str">
        <f t="shared" si="18"/>
        <v/>
      </c>
      <c r="AC600" s="322"/>
      <c r="AD600" s="319"/>
      <c r="AE600" s="320"/>
    </row>
    <row r="601" ht="18.0" customHeight="1">
      <c r="A601" s="118" t="str">
        <f t="shared" si="15"/>
        <v/>
      </c>
      <c r="B601" s="109"/>
      <c r="C601" s="119"/>
      <c r="D601" s="119"/>
      <c r="E601" s="330"/>
      <c r="F601" s="121"/>
      <c r="G601" s="153"/>
      <c r="H601" s="153"/>
      <c r="I601" s="153"/>
      <c r="J601" s="112"/>
      <c r="K601" s="153"/>
      <c r="L601" s="114"/>
      <c r="M601" s="151"/>
      <c r="N601" s="152"/>
      <c r="O601" s="150"/>
      <c r="P601" s="114"/>
      <c r="Q601" s="114"/>
      <c r="R601" s="151"/>
      <c r="S601" s="152"/>
      <c r="T601" s="153"/>
      <c r="U601" s="152"/>
      <c r="V601" s="152"/>
      <c r="W601" s="152"/>
      <c r="X601" s="152"/>
      <c r="Y601" s="153"/>
      <c r="Z601" s="125" t="str">
        <f t="shared" si="16"/>
        <v/>
      </c>
      <c r="AA601" s="126" t="str">
        <f t="shared" si="17"/>
        <v/>
      </c>
      <c r="AB601" s="154" t="str">
        <f t="shared" si="18"/>
        <v/>
      </c>
      <c r="AC601" s="152"/>
      <c r="AD601" s="153"/>
      <c r="AE601" s="156"/>
    </row>
    <row r="602" ht="18.0" customHeight="1">
      <c r="A602" s="127" t="str">
        <f t="shared" si="15"/>
        <v/>
      </c>
      <c r="B602" s="128"/>
      <c r="C602" s="129"/>
      <c r="D602" s="129"/>
      <c r="E602" s="325"/>
      <c r="F602" s="131"/>
      <c r="G602" s="319"/>
      <c r="H602" s="319"/>
      <c r="I602" s="319"/>
      <c r="J602" s="132"/>
      <c r="K602" s="319"/>
      <c r="L602" s="135"/>
      <c r="M602" s="321"/>
      <c r="N602" s="322"/>
      <c r="O602" s="150"/>
      <c r="P602" s="135"/>
      <c r="Q602" s="135"/>
      <c r="R602" s="321"/>
      <c r="S602" s="322"/>
      <c r="T602" s="319"/>
      <c r="U602" s="322"/>
      <c r="V602" s="322"/>
      <c r="W602" s="322"/>
      <c r="X602" s="322"/>
      <c r="Y602" s="319"/>
      <c r="Z602" s="136" t="str">
        <f t="shared" si="16"/>
        <v/>
      </c>
      <c r="AA602" s="137" t="str">
        <f t="shared" si="17"/>
        <v/>
      </c>
      <c r="AB602" s="154" t="str">
        <f t="shared" si="18"/>
        <v/>
      </c>
      <c r="AC602" s="322"/>
      <c r="AD602" s="319"/>
      <c r="AE602" s="320"/>
    </row>
    <row r="603" ht="18.0" customHeight="1">
      <c r="A603" s="118" t="str">
        <f t="shared" si="15"/>
        <v/>
      </c>
      <c r="B603" s="109"/>
      <c r="C603" s="119"/>
      <c r="D603" s="119"/>
      <c r="E603" s="330"/>
      <c r="F603" s="121"/>
      <c r="G603" s="153"/>
      <c r="H603" s="153"/>
      <c r="I603" s="153"/>
      <c r="J603" s="112"/>
      <c r="K603" s="153"/>
      <c r="L603" s="114"/>
      <c r="M603" s="151"/>
      <c r="N603" s="152"/>
      <c r="O603" s="150"/>
      <c r="P603" s="114"/>
      <c r="Q603" s="114"/>
      <c r="R603" s="151"/>
      <c r="S603" s="152"/>
      <c r="T603" s="153"/>
      <c r="U603" s="152"/>
      <c r="V603" s="152"/>
      <c r="W603" s="152"/>
      <c r="X603" s="152"/>
      <c r="Y603" s="153"/>
      <c r="Z603" s="125" t="str">
        <f t="shared" si="16"/>
        <v/>
      </c>
      <c r="AA603" s="126" t="str">
        <f t="shared" si="17"/>
        <v/>
      </c>
      <c r="AB603" s="154" t="str">
        <f t="shared" si="18"/>
        <v/>
      </c>
      <c r="AC603" s="152"/>
      <c r="AD603" s="153"/>
      <c r="AE603" s="156"/>
    </row>
    <row r="604" ht="18.0" customHeight="1">
      <c r="A604" s="127" t="str">
        <f t="shared" si="15"/>
        <v/>
      </c>
      <c r="B604" s="128"/>
      <c r="C604" s="129"/>
      <c r="D604" s="129"/>
      <c r="E604" s="325"/>
      <c r="F604" s="131"/>
      <c r="G604" s="319"/>
      <c r="H604" s="319"/>
      <c r="I604" s="319"/>
      <c r="J604" s="132"/>
      <c r="K604" s="319"/>
      <c r="L604" s="135"/>
      <c r="M604" s="321"/>
      <c r="N604" s="322"/>
      <c r="O604" s="150"/>
      <c r="P604" s="135"/>
      <c r="Q604" s="135"/>
      <c r="R604" s="321"/>
      <c r="S604" s="322"/>
      <c r="T604" s="319"/>
      <c r="U604" s="322"/>
      <c r="V604" s="322"/>
      <c r="W604" s="322"/>
      <c r="X604" s="322"/>
      <c r="Y604" s="319"/>
      <c r="Z604" s="136" t="str">
        <f t="shared" si="16"/>
        <v/>
      </c>
      <c r="AA604" s="137" t="str">
        <f t="shared" si="17"/>
        <v/>
      </c>
      <c r="AB604" s="154" t="str">
        <f t="shared" si="18"/>
        <v/>
      </c>
      <c r="AC604" s="322"/>
      <c r="AD604" s="319"/>
      <c r="AE604" s="320"/>
    </row>
    <row r="605" ht="18.0" customHeight="1">
      <c r="A605" s="118" t="str">
        <f t="shared" si="15"/>
        <v/>
      </c>
      <c r="B605" s="109"/>
      <c r="C605" s="119"/>
      <c r="D605" s="119"/>
      <c r="E605" s="330"/>
      <c r="F605" s="121"/>
      <c r="G605" s="153"/>
      <c r="H605" s="153"/>
      <c r="I605" s="153"/>
      <c r="J605" s="112"/>
      <c r="K605" s="153"/>
      <c r="L605" s="114"/>
      <c r="M605" s="151"/>
      <c r="N605" s="152"/>
      <c r="O605" s="150"/>
      <c r="P605" s="114"/>
      <c r="Q605" s="114"/>
      <c r="R605" s="151"/>
      <c r="S605" s="152"/>
      <c r="T605" s="153"/>
      <c r="U605" s="152"/>
      <c r="V605" s="152"/>
      <c r="W605" s="152"/>
      <c r="X605" s="152"/>
      <c r="Y605" s="153"/>
      <c r="Z605" s="125" t="str">
        <f t="shared" si="16"/>
        <v/>
      </c>
      <c r="AA605" s="126" t="str">
        <f t="shared" si="17"/>
        <v/>
      </c>
      <c r="AB605" s="154" t="str">
        <f t="shared" si="18"/>
        <v/>
      </c>
      <c r="AC605" s="152"/>
      <c r="AD605" s="153"/>
      <c r="AE605" s="156"/>
    </row>
    <row r="606" ht="18.0" customHeight="1">
      <c r="A606" s="127" t="str">
        <f t="shared" si="15"/>
        <v/>
      </c>
      <c r="B606" s="128"/>
      <c r="C606" s="129"/>
      <c r="D606" s="129"/>
      <c r="E606" s="325"/>
      <c r="F606" s="131"/>
      <c r="G606" s="319"/>
      <c r="H606" s="319"/>
      <c r="I606" s="319"/>
      <c r="J606" s="132"/>
      <c r="K606" s="319"/>
      <c r="L606" s="135"/>
      <c r="M606" s="321"/>
      <c r="N606" s="322"/>
      <c r="O606" s="150"/>
      <c r="P606" s="135"/>
      <c r="Q606" s="135"/>
      <c r="R606" s="321"/>
      <c r="S606" s="322"/>
      <c r="T606" s="319"/>
      <c r="U606" s="322"/>
      <c r="V606" s="322"/>
      <c r="W606" s="322"/>
      <c r="X606" s="322"/>
      <c r="Y606" s="319"/>
      <c r="Z606" s="136" t="str">
        <f t="shared" si="16"/>
        <v/>
      </c>
      <c r="AA606" s="137" t="str">
        <f t="shared" si="17"/>
        <v/>
      </c>
      <c r="AB606" s="154" t="str">
        <f t="shared" si="18"/>
        <v/>
      </c>
      <c r="AC606" s="322"/>
      <c r="AD606" s="319"/>
      <c r="AE606" s="320"/>
    </row>
    <row r="607" ht="18.0" customHeight="1">
      <c r="A607" s="118" t="str">
        <f t="shared" si="15"/>
        <v/>
      </c>
      <c r="B607" s="109"/>
      <c r="C607" s="119"/>
      <c r="D607" s="119"/>
      <c r="E607" s="330"/>
      <c r="F607" s="121"/>
      <c r="G607" s="153"/>
      <c r="H607" s="153"/>
      <c r="I607" s="153"/>
      <c r="J607" s="112"/>
      <c r="K607" s="153"/>
      <c r="L607" s="114"/>
      <c r="M607" s="151"/>
      <c r="N607" s="152"/>
      <c r="O607" s="150"/>
      <c r="P607" s="114"/>
      <c r="Q607" s="114"/>
      <c r="R607" s="151"/>
      <c r="S607" s="152"/>
      <c r="T607" s="153"/>
      <c r="U607" s="152"/>
      <c r="V607" s="152"/>
      <c r="W607" s="152"/>
      <c r="X607" s="152"/>
      <c r="Y607" s="153"/>
      <c r="Z607" s="125" t="str">
        <f t="shared" si="16"/>
        <v/>
      </c>
      <c r="AA607" s="126" t="str">
        <f t="shared" si="17"/>
        <v/>
      </c>
      <c r="AB607" s="154" t="str">
        <f t="shared" si="18"/>
        <v/>
      </c>
      <c r="AC607" s="152"/>
      <c r="AD607" s="153"/>
      <c r="AE607" s="156"/>
    </row>
    <row r="608" ht="18.0" customHeight="1">
      <c r="A608" s="127" t="str">
        <f t="shared" si="15"/>
        <v/>
      </c>
      <c r="B608" s="128"/>
      <c r="C608" s="129"/>
      <c r="D608" s="129"/>
      <c r="E608" s="325"/>
      <c r="F608" s="131"/>
      <c r="G608" s="319"/>
      <c r="H608" s="319"/>
      <c r="I608" s="319"/>
      <c r="J608" s="132"/>
      <c r="K608" s="319"/>
      <c r="L608" s="135"/>
      <c r="M608" s="321"/>
      <c r="N608" s="322"/>
      <c r="O608" s="150"/>
      <c r="P608" s="135"/>
      <c r="Q608" s="135"/>
      <c r="R608" s="321"/>
      <c r="S608" s="322"/>
      <c r="T608" s="319"/>
      <c r="U608" s="322"/>
      <c r="V608" s="322"/>
      <c r="W608" s="322"/>
      <c r="X608" s="322"/>
      <c r="Y608" s="319"/>
      <c r="Z608" s="136" t="str">
        <f t="shared" si="16"/>
        <v/>
      </c>
      <c r="AA608" s="137" t="str">
        <f t="shared" si="17"/>
        <v/>
      </c>
      <c r="AB608" s="154" t="str">
        <f t="shared" si="18"/>
        <v/>
      </c>
      <c r="AC608" s="322"/>
      <c r="AD608" s="319"/>
      <c r="AE608" s="320"/>
    </row>
    <row r="609" ht="18.0" customHeight="1">
      <c r="A609" s="118" t="str">
        <f t="shared" si="15"/>
        <v/>
      </c>
      <c r="B609" s="109"/>
      <c r="C609" s="119"/>
      <c r="D609" s="119"/>
      <c r="E609" s="330"/>
      <c r="F609" s="121"/>
      <c r="G609" s="153"/>
      <c r="H609" s="153"/>
      <c r="I609" s="153"/>
      <c r="J609" s="112"/>
      <c r="K609" s="153"/>
      <c r="L609" s="114"/>
      <c r="M609" s="151"/>
      <c r="N609" s="152"/>
      <c r="O609" s="150"/>
      <c r="P609" s="114"/>
      <c r="Q609" s="114"/>
      <c r="R609" s="151"/>
      <c r="S609" s="152"/>
      <c r="T609" s="153"/>
      <c r="U609" s="152"/>
      <c r="V609" s="152"/>
      <c r="W609" s="152"/>
      <c r="X609" s="152"/>
      <c r="Y609" s="153"/>
      <c r="Z609" s="125" t="str">
        <f t="shared" si="16"/>
        <v/>
      </c>
      <c r="AA609" s="126" t="str">
        <f t="shared" si="17"/>
        <v/>
      </c>
      <c r="AB609" s="154" t="str">
        <f t="shared" si="18"/>
        <v/>
      </c>
      <c r="AC609" s="152"/>
      <c r="AD609" s="153"/>
      <c r="AE609" s="156"/>
    </row>
    <row r="610" ht="18.0" customHeight="1">
      <c r="A610" s="127" t="str">
        <f t="shared" si="15"/>
        <v/>
      </c>
      <c r="B610" s="128"/>
      <c r="C610" s="129"/>
      <c r="D610" s="129"/>
      <c r="E610" s="325"/>
      <c r="F610" s="131"/>
      <c r="G610" s="319"/>
      <c r="H610" s="319"/>
      <c r="I610" s="319"/>
      <c r="J610" s="132"/>
      <c r="K610" s="319"/>
      <c r="L610" s="135"/>
      <c r="M610" s="321"/>
      <c r="N610" s="322"/>
      <c r="O610" s="150"/>
      <c r="P610" s="135"/>
      <c r="Q610" s="135"/>
      <c r="R610" s="321"/>
      <c r="S610" s="322"/>
      <c r="T610" s="319"/>
      <c r="U610" s="322"/>
      <c r="V610" s="322"/>
      <c r="W610" s="322"/>
      <c r="X610" s="322"/>
      <c r="Y610" s="319"/>
      <c r="Z610" s="136" t="str">
        <f t="shared" si="16"/>
        <v/>
      </c>
      <c r="AA610" s="137" t="str">
        <f t="shared" si="17"/>
        <v/>
      </c>
      <c r="AB610" s="154" t="str">
        <f t="shared" si="18"/>
        <v/>
      </c>
      <c r="AC610" s="322"/>
      <c r="AD610" s="319"/>
      <c r="AE610" s="320"/>
    </row>
    <row r="611" ht="18.0" customHeight="1">
      <c r="A611" s="118" t="str">
        <f t="shared" si="15"/>
        <v/>
      </c>
      <c r="B611" s="109"/>
      <c r="C611" s="119"/>
      <c r="D611" s="119"/>
      <c r="E611" s="330"/>
      <c r="F611" s="121"/>
      <c r="G611" s="153"/>
      <c r="H611" s="153"/>
      <c r="I611" s="153"/>
      <c r="J611" s="112"/>
      <c r="K611" s="153"/>
      <c r="L611" s="114"/>
      <c r="M611" s="151"/>
      <c r="N611" s="152"/>
      <c r="O611" s="150"/>
      <c r="P611" s="114"/>
      <c r="Q611" s="114"/>
      <c r="R611" s="151"/>
      <c r="S611" s="152"/>
      <c r="T611" s="153"/>
      <c r="U611" s="152"/>
      <c r="V611" s="152"/>
      <c r="W611" s="152"/>
      <c r="X611" s="152"/>
      <c r="Y611" s="153"/>
      <c r="Z611" s="125" t="str">
        <f t="shared" si="16"/>
        <v/>
      </c>
      <c r="AA611" s="126" t="str">
        <f t="shared" si="17"/>
        <v/>
      </c>
      <c r="AB611" s="154" t="str">
        <f t="shared" si="18"/>
        <v/>
      </c>
      <c r="AC611" s="152"/>
      <c r="AD611" s="153"/>
      <c r="AE611" s="156"/>
    </row>
    <row r="612" ht="18.0" customHeight="1">
      <c r="A612" s="127" t="str">
        <f t="shared" si="15"/>
        <v/>
      </c>
      <c r="B612" s="128"/>
      <c r="C612" s="129"/>
      <c r="D612" s="129"/>
      <c r="E612" s="325"/>
      <c r="F612" s="131"/>
      <c r="G612" s="319"/>
      <c r="H612" s="319"/>
      <c r="I612" s="319"/>
      <c r="J612" s="132"/>
      <c r="K612" s="319"/>
      <c r="L612" s="135"/>
      <c r="M612" s="321"/>
      <c r="N612" s="322"/>
      <c r="O612" s="150"/>
      <c r="P612" s="135"/>
      <c r="Q612" s="135"/>
      <c r="R612" s="321"/>
      <c r="S612" s="322"/>
      <c r="T612" s="319"/>
      <c r="U612" s="322"/>
      <c r="V612" s="322"/>
      <c r="W612" s="322"/>
      <c r="X612" s="322"/>
      <c r="Y612" s="319"/>
      <c r="Z612" s="136" t="str">
        <f t="shared" si="16"/>
        <v/>
      </c>
      <c r="AA612" s="137" t="str">
        <f t="shared" si="17"/>
        <v/>
      </c>
      <c r="AB612" s="154" t="str">
        <f t="shared" si="18"/>
        <v/>
      </c>
      <c r="AC612" s="322"/>
      <c r="AD612" s="319"/>
      <c r="AE612" s="320"/>
    </row>
    <row r="613" ht="18.0" customHeight="1">
      <c r="A613" s="118" t="str">
        <f t="shared" si="15"/>
        <v/>
      </c>
      <c r="B613" s="109"/>
      <c r="C613" s="119"/>
      <c r="D613" s="119"/>
      <c r="E613" s="330"/>
      <c r="F613" s="121"/>
      <c r="G613" s="153"/>
      <c r="H613" s="153"/>
      <c r="I613" s="153"/>
      <c r="J613" s="112"/>
      <c r="K613" s="153"/>
      <c r="L613" s="114"/>
      <c r="M613" s="151"/>
      <c r="N613" s="152"/>
      <c r="O613" s="150"/>
      <c r="P613" s="114"/>
      <c r="Q613" s="114"/>
      <c r="R613" s="151"/>
      <c r="S613" s="152"/>
      <c r="T613" s="153"/>
      <c r="U613" s="152"/>
      <c r="V613" s="152"/>
      <c r="W613" s="152"/>
      <c r="X613" s="152"/>
      <c r="Y613" s="153"/>
      <c r="Z613" s="125" t="str">
        <f t="shared" si="16"/>
        <v/>
      </c>
      <c r="AA613" s="126" t="str">
        <f t="shared" si="17"/>
        <v/>
      </c>
      <c r="AB613" s="154" t="str">
        <f t="shared" si="18"/>
        <v/>
      </c>
      <c r="AC613" s="152"/>
      <c r="AD613" s="153"/>
      <c r="AE613" s="156"/>
    </row>
    <row r="614" ht="18.0" customHeight="1">
      <c r="A614" s="127" t="str">
        <f t="shared" si="15"/>
        <v/>
      </c>
      <c r="B614" s="128"/>
      <c r="C614" s="129"/>
      <c r="D614" s="129"/>
      <c r="E614" s="325"/>
      <c r="F614" s="131"/>
      <c r="G614" s="319"/>
      <c r="H614" s="319"/>
      <c r="I614" s="319"/>
      <c r="J614" s="132"/>
      <c r="K614" s="319"/>
      <c r="L614" s="135"/>
      <c r="M614" s="321"/>
      <c r="N614" s="322"/>
      <c r="O614" s="150"/>
      <c r="P614" s="135"/>
      <c r="Q614" s="135"/>
      <c r="R614" s="321"/>
      <c r="S614" s="322"/>
      <c r="T614" s="319"/>
      <c r="U614" s="322"/>
      <c r="V614" s="322"/>
      <c r="W614" s="322"/>
      <c r="X614" s="322"/>
      <c r="Y614" s="319"/>
      <c r="Z614" s="136" t="str">
        <f t="shared" si="16"/>
        <v/>
      </c>
      <c r="AA614" s="137" t="str">
        <f t="shared" si="17"/>
        <v/>
      </c>
      <c r="AB614" s="154" t="str">
        <f t="shared" si="18"/>
        <v/>
      </c>
      <c r="AC614" s="322"/>
      <c r="AD614" s="319"/>
      <c r="AE614" s="320"/>
    </row>
    <row r="615" ht="18.0" customHeight="1">
      <c r="A615" s="118" t="str">
        <f t="shared" si="15"/>
        <v/>
      </c>
      <c r="B615" s="109"/>
      <c r="C615" s="119"/>
      <c r="D615" s="119"/>
      <c r="E615" s="330"/>
      <c r="F615" s="121"/>
      <c r="G615" s="153"/>
      <c r="H615" s="153"/>
      <c r="I615" s="153"/>
      <c r="J615" s="112"/>
      <c r="K615" s="153"/>
      <c r="L615" s="114"/>
      <c r="M615" s="151"/>
      <c r="N615" s="152"/>
      <c r="O615" s="150"/>
      <c r="P615" s="114"/>
      <c r="Q615" s="114"/>
      <c r="R615" s="151"/>
      <c r="S615" s="152"/>
      <c r="T615" s="153"/>
      <c r="U615" s="152"/>
      <c r="V615" s="152"/>
      <c r="W615" s="152"/>
      <c r="X615" s="152"/>
      <c r="Y615" s="153"/>
      <c r="Z615" s="125" t="str">
        <f t="shared" si="16"/>
        <v/>
      </c>
      <c r="AA615" s="126" t="str">
        <f t="shared" si="17"/>
        <v/>
      </c>
      <c r="AB615" s="154" t="str">
        <f t="shared" si="18"/>
        <v/>
      </c>
      <c r="AC615" s="152"/>
      <c r="AD615" s="153"/>
      <c r="AE615" s="156"/>
    </row>
    <row r="616" ht="18.0" customHeight="1">
      <c r="A616" s="127" t="str">
        <f t="shared" si="15"/>
        <v/>
      </c>
      <c r="B616" s="128"/>
      <c r="C616" s="129"/>
      <c r="D616" s="129"/>
      <c r="E616" s="325"/>
      <c r="F616" s="131"/>
      <c r="G616" s="319"/>
      <c r="H616" s="319"/>
      <c r="I616" s="319"/>
      <c r="J616" s="132"/>
      <c r="K616" s="319"/>
      <c r="L616" s="135"/>
      <c r="M616" s="321"/>
      <c r="N616" s="322"/>
      <c r="O616" s="150"/>
      <c r="P616" s="135"/>
      <c r="Q616" s="135"/>
      <c r="R616" s="321"/>
      <c r="S616" s="322"/>
      <c r="T616" s="319"/>
      <c r="U616" s="322"/>
      <c r="V616" s="322"/>
      <c r="W616" s="322"/>
      <c r="X616" s="322"/>
      <c r="Y616" s="319"/>
      <c r="Z616" s="136" t="str">
        <f t="shared" si="16"/>
        <v/>
      </c>
      <c r="AA616" s="137" t="str">
        <f t="shared" si="17"/>
        <v/>
      </c>
      <c r="AB616" s="154" t="str">
        <f t="shared" si="18"/>
        <v/>
      </c>
      <c r="AC616" s="322"/>
      <c r="AD616" s="319"/>
      <c r="AE616" s="320"/>
    </row>
    <row r="617" ht="18.0" customHeight="1">
      <c r="A617" s="118" t="str">
        <f t="shared" si="15"/>
        <v/>
      </c>
      <c r="B617" s="109"/>
      <c r="C617" s="119"/>
      <c r="D617" s="119"/>
      <c r="E617" s="330"/>
      <c r="F617" s="121"/>
      <c r="G617" s="153"/>
      <c r="H617" s="153"/>
      <c r="I617" s="153"/>
      <c r="J617" s="112"/>
      <c r="K617" s="153"/>
      <c r="L617" s="114"/>
      <c r="M617" s="151"/>
      <c r="N617" s="152"/>
      <c r="O617" s="150"/>
      <c r="P617" s="114"/>
      <c r="Q617" s="114"/>
      <c r="R617" s="151"/>
      <c r="S617" s="152"/>
      <c r="T617" s="153"/>
      <c r="U617" s="152"/>
      <c r="V617" s="152"/>
      <c r="W617" s="152"/>
      <c r="X617" s="152"/>
      <c r="Y617" s="153"/>
      <c r="Z617" s="125" t="str">
        <f t="shared" si="16"/>
        <v/>
      </c>
      <c r="AA617" s="126" t="str">
        <f t="shared" si="17"/>
        <v/>
      </c>
      <c r="AB617" s="154" t="str">
        <f t="shared" si="18"/>
        <v/>
      </c>
      <c r="AC617" s="152"/>
      <c r="AD617" s="153"/>
      <c r="AE617" s="156"/>
    </row>
    <row r="618" ht="18.0" customHeight="1">
      <c r="A618" s="127" t="str">
        <f t="shared" si="15"/>
        <v/>
      </c>
      <c r="B618" s="128"/>
      <c r="C618" s="129"/>
      <c r="D618" s="129"/>
      <c r="E618" s="325"/>
      <c r="F618" s="131"/>
      <c r="G618" s="319"/>
      <c r="H618" s="319"/>
      <c r="I618" s="319"/>
      <c r="J618" s="132"/>
      <c r="K618" s="319"/>
      <c r="L618" s="135"/>
      <c r="M618" s="321"/>
      <c r="N618" s="322"/>
      <c r="O618" s="150"/>
      <c r="P618" s="135"/>
      <c r="Q618" s="135"/>
      <c r="R618" s="321"/>
      <c r="S618" s="322"/>
      <c r="T618" s="319"/>
      <c r="U618" s="322"/>
      <c r="V618" s="322"/>
      <c r="W618" s="322"/>
      <c r="X618" s="322"/>
      <c r="Y618" s="319"/>
      <c r="Z618" s="136" t="str">
        <f t="shared" si="16"/>
        <v/>
      </c>
      <c r="AA618" s="137" t="str">
        <f t="shared" si="17"/>
        <v/>
      </c>
      <c r="AB618" s="154" t="str">
        <f t="shared" si="18"/>
        <v/>
      </c>
      <c r="AC618" s="322"/>
      <c r="AD618" s="319"/>
      <c r="AE618" s="320"/>
    </row>
    <row r="619" ht="18.0" customHeight="1">
      <c r="A619" s="118" t="str">
        <f t="shared" si="15"/>
        <v/>
      </c>
      <c r="B619" s="109"/>
      <c r="C619" s="119"/>
      <c r="D619" s="119"/>
      <c r="E619" s="330"/>
      <c r="F619" s="121"/>
      <c r="G619" s="153"/>
      <c r="H619" s="153"/>
      <c r="I619" s="153"/>
      <c r="J619" s="112"/>
      <c r="K619" s="153"/>
      <c r="L619" s="114"/>
      <c r="M619" s="151"/>
      <c r="N619" s="152"/>
      <c r="O619" s="150"/>
      <c r="P619" s="114"/>
      <c r="Q619" s="114"/>
      <c r="R619" s="151"/>
      <c r="S619" s="152"/>
      <c r="T619" s="153"/>
      <c r="U619" s="152"/>
      <c r="V619" s="152"/>
      <c r="W619" s="152"/>
      <c r="X619" s="152"/>
      <c r="Y619" s="153"/>
      <c r="Z619" s="125" t="str">
        <f t="shared" si="16"/>
        <v/>
      </c>
      <c r="AA619" s="126" t="str">
        <f t="shared" si="17"/>
        <v/>
      </c>
      <c r="AB619" s="154" t="str">
        <f t="shared" si="18"/>
        <v/>
      </c>
      <c r="AC619" s="152"/>
      <c r="AD619" s="153"/>
      <c r="AE619" s="156"/>
    </row>
    <row r="620" ht="18.0" customHeight="1">
      <c r="A620" s="127" t="str">
        <f t="shared" si="15"/>
        <v/>
      </c>
      <c r="B620" s="128"/>
      <c r="C620" s="129"/>
      <c r="D620" s="129"/>
      <c r="E620" s="325"/>
      <c r="F620" s="131"/>
      <c r="G620" s="319"/>
      <c r="H620" s="319"/>
      <c r="I620" s="319"/>
      <c r="J620" s="132"/>
      <c r="K620" s="319"/>
      <c r="L620" s="135"/>
      <c r="M620" s="321"/>
      <c r="N620" s="322"/>
      <c r="O620" s="150"/>
      <c r="P620" s="135"/>
      <c r="Q620" s="135"/>
      <c r="R620" s="321"/>
      <c r="S620" s="322"/>
      <c r="T620" s="319"/>
      <c r="U620" s="322"/>
      <c r="V620" s="322"/>
      <c r="W620" s="322"/>
      <c r="X620" s="322"/>
      <c r="Y620" s="319"/>
      <c r="Z620" s="136" t="str">
        <f t="shared" si="16"/>
        <v/>
      </c>
      <c r="AA620" s="137" t="str">
        <f t="shared" si="17"/>
        <v/>
      </c>
      <c r="AB620" s="154" t="str">
        <f t="shared" si="18"/>
        <v/>
      </c>
      <c r="AC620" s="322"/>
      <c r="AD620" s="319"/>
      <c r="AE620" s="320"/>
    </row>
    <row r="621" ht="18.0" customHeight="1">
      <c r="A621" s="118" t="str">
        <f t="shared" si="15"/>
        <v/>
      </c>
      <c r="B621" s="109"/>
      <c r="C621" s="119"/>
      <c r="D621" s="119"/>
      <c r="E621" s="330"/>
      <c r="F621" s="121"/>
      <c r="G621" s="153"/>
      <c r="H621" s="153"/>
      <c r="I621" s="153"/>
      <c r="J621" s="112"/>
      <c r="K621" s="153"/>
      <c r="L621" s="114"/>
      <c r="M621" s="151"/>
      <c r="N621" s="152"/>
      <c r="O621" s="150"/>
      <c r="P621" s="114"/>
      <c r="Q621" s="114"/>
      <c r="R621" s="151"/>
      <c r="S621" s="152"/>
      <c r="T621" s="153"/>
      <c r="U621" s="152"/>
      <c r="V621" s="152"/>
      <c r="W621" s="152"/>
      <c r="X621" s="152"/>
      <c r="Y621" s="153"/>
      <c r="Z621" s="125" t="str">
        <f t="shared" si="16"/>
        <v/>
      </c>
      <c r="AA621" s="126" t="str">
        <f t="shared" si="17"/>
        <v/>
      </c>
      <c r="AB621" s="154" t="str">
        <f t="shared" si="18"/>
        <v/>
      </c>
      <c r="AC621" s="152"/>
      <c r="AD621" s="153"/>
      <c r="AE621" s="156"/>
    </row>
    <row r="622" ht="18.0" customHeight="1">
      <c r="A622" s="127" t="str">
        <f t="shared" si="15"/>
        <v/>
      </c>
      <c r="B622" s="128"/>
      <c r="C622" s="129"/>
      <c r="D622" s="129"/>
      <c r="E622" s="325"/>
      <c r="F622" s="131"/>
      <c r="G622" s="319"/>
      <c r="H622" s="319"/>
      <c r="I622" s="319"/>
      <c r="J622" s="132"/>
      <c r="K622" s="319"/>
      <c r="L622" s="135"/>
      <c r="M622" s="321"/>
      <c r="N622" s="322"/>
      <c r="O622" s="150"/>
      <c r="P622" s="135"/>
      <c r="Q622" s="135"/>
      <c r="R622" s="321"/>
      <c r="S622" s="322"/>
      <c r="T622" s="319"/>
      <c r="U622" s="322"/>
      <c r="V622" s="322"/>
      <c r="W622" s="322"/>
      <c r="X622" s="322"/>
      <c r="Y622" s="319"/>
      <c r="Z622" s="136" t="str">
        <f t="shared" si="16"/>
        <v/>
      </c>
      <c r="AA622" s="137" t="str">
        <f t="shared" si="17"/>
        <v/>
      </c>
      <c r="AB622" s="154" t="str">
        <f t="shared" si="18"/>
        <v/>
      </c>
      <c r="AC622" s="322"/>
      <c r="AD622" s="319"/>
      <c r="AE622" s="320"/>
    </row>
    <row r="623" ht="18.0" customHeight="1">
      <c r="A623" s="118" t="str">
        <f t="shared" si="15"/>
        <v/>
      </c>
      <c r="B623" s="109"/>
      <c r="C623" s="119"/>
      <c r="D623" s="119"/>
      <c r="E623" s="330"/>
      <c r="F623" s="121"/>
      <c r="G623" s="153"/>
      <c r="H623" s="153"/>
      <c r="I623" s="153"/>
      <c r="J623" s="112"/>
      <c r="K623" s="153"/>
      <c r="L623" s="114"/>
      <c r="M623" s="151"/>
      <c r="N623" s="152"/>
      <c r="O623" s="150"/>
      <c r="P623" s="114"/>
      <c r="Q623" s="114"/>
      <c r="R623" s="151"/>
      <c r="S623" s="152"/>
      <c r="T623" s="153"/>
      <c r="U623" s="152"/>
      <c r="V623" s="152"/>
      <c r="W623" s="152"/>
      <c r="X623" s="152"/>
      <c r="Y623" s="153"/>
      <c r="Z623" s="125" t="str">
        <f t="shared" si="16"/>
        <v/>
      </c>
      <c r="AA623" s="126" t="str">
        <f t="shared" si="17"/>
        <v/>
      </c>
      <c r="AB623" s="154" t="str">
        <f t="shared" si="18"/>
        <v/>
      </c>
      <c r="AC623" s="152"/>
      <c r="AD623" s="153"/>
      <c r="AE623" s="156"/>
    </row>
    <row r="624" ht="18.0" customHeight="1">
      <c r="A624" s="127" t="str">
        <f t="shared" si="15"/>
        <v/>
      </c>
      <c r="B624" s="128"/>
      <c r="C624" s="129"/>
      <c r="D624" s="129"/>
      <c r="E624" s="325"/>
      <c r="F624" s="131"/>
      <c r="G624" s="319"/>
      <c r="H624" s="319"/>
      <c r="I624" s="319"/>
      <c r="J624" s="132"/>
      <c r="K624" s="319"/>
      <c r="L624" s="135"/>
      <c r="M624" s="321"/>
      <c r="N624" s="322"/>
      <c r="O624" s="150"/>
      <c r="P624" s="135"/>
      <c r="Q624" s="135"/>
      <c r="R624" s="321"/>
      <c r="S624" s="322"/>
      <c r="T624" s="319"/>
      <c r="U624" s="322"/>
      <c r="V624" s="322"/>
      <c r="W624" s="322"/>
      <c r="X624" s="322"/>
      <c r="Y624" s="319"/>
      <c r="Z624" s="136" t="str">
        <f t="shared" si="16"/>
        <v/>
      </c>
      <c r="AA624" s="137" t="str">
        <f t="shared" si="17"/>
        <v/>
      </c>
      <c r="AB624" s="154" t="str">
        <f t="shared" si="18"/>
        <v/>
      </c>
      <c r="AC624" s="322"/>
      <c r="AD624" s="319"/>
      <c r="AE624" s="320"/>
    </row>
    <row r="625" ht="18.0" customHeight="1">
      <c r="A625" s="118" t="str">
        <f t="shared" si="15"/>
        <v/>
      </c>
      <c r="B625" s="109"/>
      <c r="C625" s="119"/>
      <c r="D625" s="119"/>
      <c r="E625" s="330"/>
      <c r="F625" s="121"/>
      <c r="G625" s="153"/>
      <c r="H625" s="153"/>
      <c r="I625" s="153"/>
      <c r="J625" s="112"/>
      <c r="K625" s="153"/>
      <c r="L625" s="114"/>
      <c r="M625" s="151"/>
      <c r="N625" s="152"/>
      <c r="O625" s="150"/>
      <c r="P625" s="114"/>
      <c r="Q625" s="114"/>
      <c r="R625" s="151"/>
      <c r="S625" s="152"/>
      <c r="T625" s="153"/>
      <c r="U625" s="152"/>
      <c r="V625" s="152"/>
      <c r="W625" s="152"/>
      <c r="X625" s="152"/>
      <c r="Y625" s="153"/>
      <c r="Z625" s="125" t="str">
        <f t="shared" si="16"/>
        <v/>
      </c>
      <c r="AA625" s="126" t="str">
        <f t="shared" si="17"/>
        <v/>
      </c>
      <c r="AB625" s="154" t="str">
        <f t="shared" si="18"/>
        <v/>
      </c>
      <c r="AC625" s="152"/>
      <c r="AD625" s="153"/>
      <c r="AE625" s="156"/>
    </row>
    <row r="626" ht="18.0" customHeight="1">
      <c r="A626" s="127" t="str">
        <f t="shared" si="15"/>
        <v/>
      </c>
      <c r="B626" s="128"/>
      <c r="C626" s="129"/>
      <c r="D626" s="129"/>
      <c r="E626" s="325"/>
      <c r="F626" s="131"/>
      <c r="G626" s="319"/>
      <c r="H626" s="319"/>
      <c r="I626" s="319"/>
      <c r="J626" s="132"/>
      <c r="K626" s="319"/>
      <c r="L626" s="135"/>
      <c r="M626" s="321"/>
      <c r="N626" s="322"/>
      <c r="O626" s="150"/>
      <c r="P626" s="135"/>
      <c r="Q626" s="135"/>
      <c r="R626" s="321"/>
      <c r="S626" s="322"/>
      <c r="T626" s="319"/>
      <c r="U626" s="322"/>
      <c r="V626" s="322"/>
      <c r="W626" s="322"/>
      <c r="X626" s="322"/>
      <c r="Y626" s="319"/>
      <c r="Z626" s="136" t="str">
        <f t="shared" si="16"/>
        <v/>
      </c>
      <c r="AA626" s="137" t="str">
        <f t="shared" si="17"/>
        <v/>
      </c>
      <c r="AB626" s="154" t="str">
        <f t="shared" si="18"/>
        <v/>
      </c>
      <c r="AC626" s="322"/>
      <c r="AD626" s="319"/>
      <c r="AE626" s="320"/>
    </row>
    <row r="627" ht="18.0" customHeight="1">
      <c r="A627" s="118" t="str">
        <f t="shared" si="15"/>
        <v/>
      </c>
      <c r="B627" s="109"/>
      <c r="C627" s="119"/>
      <c r="D627" s="119"/>
      <c r="E627" s="330"/>
      <c r="F627" s="121"/>
      <c r="G627" s="153"/>
      <c r="H627" s="153"/>
      <c r="I627" s="153"/>
      <c r="J627" s="112"/>
      <c r="K627" s="153"/>
      <c r="L627" s="114"/>
      <c r="M627" s="151"/>
      <c r="N627" s="152"/>
      <c r="O627" s="150"/>
      <c r="P627" s="114"/>
      <c r="Q627" s="114"/>
      <c r="R627" s="151"/>
      <c r="S627" s="152"/>
      <c r="T627" s="153"/>
      <c r="U627" s="152"/>
      <c r="V627" s="152"/>
      <c r="W627" s="152"/>
      <c r="X627" s="152"/>
      <c r="Y627" s="153"/>
      <c r="Z627" s="125" t="str">
        <f t="shared" si="16"/>
        <v/>
      </c>
      <c r="AA627" s="126" t="str">
        <f t="shared" si="17"/>
        <v/>
      </c>
      <c r="AB627" s="154" t="str">
        <f t="shared" si="18"/>
        <v/>
      </c>
      <c r="AC627" s="152"/>
      <c r="AD627" s="153"/>
      <c r="AE627" s="156"/>
    </row>
    <row r="628" ht="18.0" customHeight="1">
      <c r="A628" s="127" t="str">
        <f t="shared" si="15"/>
        <v/>
      </c>
      <c r="B628" s="128"/>
      <c r="C628" s="129"/>
      <c r="D628" s="129"/>
      <c r="E628" s="325"/>
      <c r="F628" s="131"/>
      <c r="G628" s="319"/>
      <c r="H628" s="319"/>
      <c r="I628" s="319"/>
      <c r="J628" s="132"/>
      <c r="K628" s="319"/>
      <c r="L628" s="135"/>
      <c r="M628" s="321"/>
      <c r="N628" s="322"/>
      <c r="O628" s="150"/>
      <c r="P628" s="135"/>
      <c r="Q628" s="135"/>
      <c r="R628" s="321"/>
      <c r="S628" s="322"/>
      <c r="T628" s="319"/>
      <c r="U628" s="322"/>
      <c r="V628" s="322"/>
      <c r="W628" s="322"/>
      <c r="X628" s="322"/>
      <c r="Y628" s="319"/>
      <c r="Z628" s="136" t="str">
        <f t="shared" si="16"/>
        <v/>
      </c>
      <c r="AA628" s="137" t="str">
        <f t="shared" si="17"/>
        <v/>
      </c>
      <c r="AB628" s="154" t="str">
        <f t="shared" si="18"/>
        <v/>
      </c>
      <c r="AC628" s="322"/>
      <c r="AD628" s="319"/>
      <c r="AE628" s="320"/>
    </row>
    <row r="629" ht="18.0" customHeight="1">
      <c r="A629" s="118" t="str">
        <f t="shared" si="15"/>
        <v/>
      </c>
      <c r="B629" s="109"/>
      <c r="C629" s="119"/>
      <c r="D629" s="119"/>
      <c r="E629" s="330"/>
      <c r="F629" s="121"/>
      <c r="G629" s="153"/>
      <c r="H629" s="153"/>
      <c r="I629" s="153"/>
      <c r="J629" s="112"/>
      <c r="K629" s="153"/>
      <c r="L629" s="114"/>
      <c r="M629" s="151"/>
      <c r="N629" s="152"/>
      <c r="O629" s="150"/>
      <c r="P629" s="114"/>
      <c r="Q629" s="114"/>
      <c r="R629" s="151"/>
      <c r="S629" s="152"/>
      <c r="T629" s="153"/>
      <c r="U629" s="152"/>
      <c r="V629" s="152"/>
      <c r="W629" s="152"/>
      <c r="X629" s="152"/>
      <c r="Y629" s="153"/>
      <c r="Z629" s="125" t="str">
        <f t="shared" si="16"/>
        <v/>
      </c>
      <c r="AA629" s="126" t="str">
        <f t="shared" si="17"/>
        <v/>
      </c>
      <c r="AB629" s="154" t="str">
        <f t="shared" si="18"/>
        <v/>
      </c>
      <c r="AC629" s="152"/>
      <c r="AD629" s="153"/>
      <c r="AE629" s="156"/>
    </row>
    <row r="630" ht="18.0" customHeight="1">
      <c r="A630" s="127" t="str">
        <f t="shared" si="15"/>
        <v/>
      </c>
      <c r="B630" s="128"/>
      <c r="C630" s="129"/>
      <c r="D630" s="129"/>
      <c r="E630" s="325"/>
      <c r="F630" s="131"/>
      <c r="G630" s="319"/>
      <c r="H630" s="319"/>
      <c r="I630" s="319"/>
      <c r="J630" s="132"/>
      <c r="K630" s="319"/>
      <c r="L630" s="135"/>
      <c r="M630" s="321"/>
      <c r="N630" s="322"/>
      <c r="O630" s="150"/>
      <c r="P630" s="135"/>
      <c r="Q630" s="135"/>
      <c r="R630" s="321"/>
      <c r="S630" s="322"/>
      <c r="T630" s="319"/>
      <c r="U630" s="322"/>
      <c r="V630" s="322"/>
      <c r="W630" s="322"/>
      <c r="X630" s="322"/>
      <c r="Y630" s="319"/>
      <c r="Z630" s="136" t="str">
        <f t="shared" si="16"/>
        <v/>
      </c>
      <c r="AA630" s="137" t="str">
        <f t="shared" si="17"/>
        <v/>
      </c>
      <c r="AB630" s="154" t="str">
        <f t="shared" si="18"/>
        <v/>
      </c>
      <c r="AC630" s="322"/>
      <c r="AD630" s="319"/>
      <c r="AE630" s="320"/>
    </row>
    <row r="631" ht="18.0" customHeight="1">
      <c r="A631" s="118" t="str">
        <f t="shared" si="15"/>
        <v/>
      </c>
      <c r="B631" s="109"/>
      <c r="C631" s="119"/>
      <c r="D631" s="119"/>
      <c r="E631" s="330"/>
      <c r="F631" s="121"/>
      <c r="G631" s="153"/>
      <c r="H631" s="153"/>
      <c r="I631" s="153"/>
      <c r="J631" s="112"/>
      <c r="K631" s="153"/>
      <c r="L631" s="114"/>
      <c r="M631" s="151"/>
      <c r="N631" s="152"/>
      <c r="O631" s="150"/>
      <c r="P631" s="114"/>
      <c r="Q631" s="114"/>
      <c r="R631" s="151"/>
      <c r="S631" s="152"/>
      <c r="T631" s="153"/>
      <c r="U631" s="152"/>
      <c r="V631" s="152"/>
      <c r="W631" s="152"/>
      <c r="X631" s="152"/>
      <c r="Y631" s="153"/>
      <c r="Z631" s="125" t="str">
        <f t="shared" si="16"/>
        <v/>
      </c>
      <c r="AA631" s="126" t="str">
        <f t="shared" si="17"/>
        <v/>
      </c>
      <c r="AB631" s="154" t="str">
        <f t="shared" si="18"/>
        <v/>
      </c>
      <c r="AC631" s="152"/>
      <c r="AD631" s="153"/>
      <c r="AE631" s="156"/>
    </row>
    <row r="632" ht="18.0" customHeight="1">
      <c r="A632" s="127" t="str">
        <f t="shared" si="15"/>
        <v/>
      </c>
      <c r="B632" s="128"/>
      <c r="C632" s="129"/>
      <c r="D632" s="129"/>
      <c r="E632" s="325"/>
      <c r="F632" s="131"/>
      <c r="G632" s="319"/>
      <c r="H632" s="319"/>
      <c r="I632" s="319"/>
      <c r="J632" s="132"/>
      <c r="K632" s="319"/>
      <c r="L632" s="135"/>
      <c r="M632" s="321"/>
      <c r="N632" s="322"/>
      <c r="O632" s="150"/>
      <c r="P632" s="135"/>
      <c r="Q632" s="135"/>
      <c r="R632" s="321"/>
      <c r="S632" s="322"/>
      <c r="T632" s="319"/>
      <c r="U632" s="322"/>
      <c r="V632" s="322"/>
      <c r="W632" s="322"/>
      <c r="X632" s="322"/>
      <c r="Y632" s="319"/>
      <c r="Z632" s="136" t="str">
        <f t="shared" si="16"/>
        <v/>
      </c>
      <c r="AA632" s="137" t="str">
        <f t="shared" si="17"/>
        <v/>
      </c>
      <c r="AB632" s="154" t="str">
        <f t="shared" si="18"/>
        <v/>
      </c>
      <c r="AC632" s="322"/>
      <c r="AD632" s="319"/>
      <c r="AE632" s="320"/>
    </row>
    <row r="633" ht="18.0" customHeight="1">
      <c r="A633" s="118" t="str">
        <f t="shared" si="15"/>
        <v/>
      </c>
      <c r="B633" s="109"/>
      <c r="C633" s="119"/>
      <c r="D633" s="119"/>
      <c r="E633" s="330"/>
      <c r="F633" s="121"/>
      <c r="G633" s="153"/>
      <c r="H633" s="153"/>
      <c r="I633" s="153"/>
      <c r="J633" s="112"/>
      <c r="K633" s="153"/>
      <c r="L633" s="114"/>
      <c r="M633" s="151"/>
      <c r="N633" s="152"/>
      <c r="O633" s="150"/>
      <c r="P633" s="114"/>
      <c r="Q633" s="114"/>
      <c r="R633" s="151"/>
      <c r="S633" s="152"/>
      <c r="T633" s="153"/>
      <c r="U633" s="152"/>
      <c r="V633" s="152"/>
      <c r="W633" s="152"/>
      <c r="X633" s="152"/>
      <c r="Y633" s="153"/>
      <c r="Z633" s="125" t="str">
        <f t="shared" si="16"/>
        <v/>
      </c>
      <c r="AA633" s="126" t="str">
        <f t="shared" si="17"/>
        <v/>
      </c>
      <c r="AB633" s="154" t="str">
        <f t="shared" si="18"/>
        <v/>
      </c>
      <c r="AC633" s="152"/>
      <c r="AD633" s="153"/>
      <c r="AE633" s="156"/>
    </row>
    <row r="634" ht="18.0" customHeight="1">
      <c r="A634" s="127" t="str">
        <f t="shared" si="15"/>
        <v/>
      </c>
      <c r="B634" s="128"/>
      <c r="C634" s="129"/>
      <c r="D634" s="129"/>
      <c r="E634" s="325"/>
      <c r="F634" s="131"/>
      <c r="G634" s="319"/>
      <c r="H634" s="319"/>
      <c r="I634" s="319"/>
      <c r="J634" s="132"/>
      <c r="K634" s="319"/>
      <c r="L634" s="135"/>
      <c r="M634" s="321"/>
      <c r="N634" s="322"/>
      <c r="O634" s="150"/>
      <c r="P634" s="135"/>
      <c r="Q634" s="135"/>
      <c r="R634" s="321"/>
      <c r="S634" s="322"/>
      <c r="T634" s="319"/>
      <c r="U634" s="322"/>
      <c r="V634" s="322"/>
      <c r="W634" s="322"/>
      <c r="X634" s="322"/>
      <c r="Y634" s="319"/>
      <c r="Z634" s="136" t="str">
        <f t="shared" si="16"/>
        <v/>
      </c>
      <c r="AA634" s="137" t="str">
        <f t="shared" si="17"/>
        <v/>
      </c>
      <c r="AB634" s="154" t="str">
        <f t="shared" si="18"/>
        <v/>
      </c>
      <c r="AC634" s="322"/>
      <c r="AD634" s="319"/>
      <c r="AE634" s="320"/>
    </row>
    <row r="635" ht="18.0" customHeight="1">
      <c r="A635" s="118" t="str">
        <f t="shared" si="15"/>
        <v/>
      </c>
      <c r="B635" s="109"/>
      <c r="C635" s="119"/>
      <c r="D635" s="119"/>
      <c r="E635" s="330"/>
      <c r="F635" s="121"/>
      <c r="G635" s="153"/>
      <c r="H635" s="153"/>
      <c r="I635" s="153"/>
      <c r="J635" s="112"/>
      <c r="K635" s="153"/>
      <c r="L635" s="114"/>
      <c r="M635" s="151"/>
      <c r="N635" s="152"/>
      <c r="O635" s="150"/>
      <c r="P635" s="114"/>
      <c r="Q635" s="114"/>
      <c r="R635" s="151"/>
      <c r="S635" s="152"/>
      <c r="T635" s="153"/>
      <c r="U635" s="152"/>
      <c r="V635" s="152"/>
      <c r="W635" s="152"/>
      <c r="X635" s="152"/>
      <c r="Y635" s="153"/>
      <c r="Z635" s="125" t="str">
        <f t="shared" si="16"/>
        <v/>
      </c>
      <c r="AA635" s="126" t="str">
        <f t="shared" si="17"/>
        <v/>
      </c>
      <c r="AB635" s="154" t="str">
        <f t="shared" si="18"/>
        <v/>
      </c>
      <c r="AC635" s="152"/>
      <c r="AD635" s="153"/>
      <c r="AE635" s="156"/>
    </row>
    <row r="636" ht="18.0" customHeight="1">
      <c r="A636" s="127" t="str">
        <f t="shared" si="15"/>
        <v/>
      </c>
      <c r="B636" s="128"/>
      <c r="C636" s="129"/>
      <c r="D636" s="129"/>
      <c r="E636" s="325"/>
      <c r="F636" s="131"/>
      <c r="G636" s="319"/>
      <c r="H636" s="319"/>
      <c r="I636" s="319"/>
      <c r="J636" s="132"/>
      <c r="K636" s="319"/>
      <c r="L636" s="135"/>
      <c r="M636" s="321"/>
      <c r="N636" s="322"/>
      <c r="O636" s="150"/>
      <c r="P636" s="135"/>
      <c r="Q636" s="135"/>
      <c r="R636" s="321"/>
      <c r="S636" s="322"/>
      <c r="T636" s="319"/>
      <c r="U636" s="322"/>
      <c r="V636" s="322"/>
      <c r="W636" s="322"/>
      <c r="X636" s="322"/>
      <c r="Y636" s="319"/>
      <c r="Z636" s="136" t="str">
        <f t="shared" si="16"/>
        <v/>
      </c>
      <c r="AA636" s="137" t="str">
        <f t="shared" si="17"/>
        <v/>
      </c>
      <c r="AB636" s="154" t="str">
        <f t="shared" si="18"/>
        <v/>
      </c>
      <c r="AC636" s="322"/>
      <c r="AD636" s="319"/>
      <c r="AE636" s="320"/>
    </row>
    <row r="637" ht="18.0" customHeight="1">
      <c r="A637" s="118" t="str">
        <f t="shared" si="15"/>
        <v/>
      </c>
      <c r="B637" s="109"/>
      <c r="C637" s="119"/>
      <c r="D637" s="119"/>
      <c r="E637" s="330"/>
      <c r="F637" s="121"/>
      <c r="G637" s="153"/>
      <c r="H637" s="153"/>
      <c r="I637" s="153"/>
      <c r="J637" s="112"/>
      <c r="K637" s="153"/>
      <c r="L637" s="114"/>
      <c r="M637" s="151"/>
      <c r="N637" s="152"/>
      <c r="O637" s="150"/>
      <c r="P637" s="114"/>
      <c r="Q637" s="114"/>
      <c r="R637" s="151"/>
      <c r="S637" s="152"/>
      <c r="T637" s="153"/>
      <c r="U637" s="152"/>
      <c r="V637" s="152"/>
      <c r="W637" s="152"/>
      <c r="X637" s="152"/>
      <c r="Y637" s="153"/>
      <c r="Z637" s="125" t="str">
        <f t="shared" si="16"/>
        <v/>
      </c>
      <c r="AA637" s="126" t="str">
        <f t="shared" si="17"/>
        <v/>
      </c>
      <c r="AB637" s="154" t="str">
        <f t="shared" si="18"/>
        <v/>
      </c>
      <c r="AC637" s="152"/>
      <c r="AD637" s="153"/>
      <c r="AE637" s="156"/>
    </row>
    <row r="638" ht="18.0" customHeight="1">
      <c r="A638" s="127" t="str">
        <f t="shared" si="15"/>
        <v/>
      </c>
      <c r="B638" s="128"/>
      <c r="C638" s="129"/>
      <c r="D638" s="129"/>
      <c r="E638" s="325"/>
      <c r="F638" s="131"/>
      <c r="G638" s="319"/>
      <c r="H638" s="319"/>
      <c r="I638" s="319"/>
      <c r="J638" s="132"/>
      <c r="K638" s="319"/>
      <c r="L638" s="135"/>
      <c r="M638" s="321"/>
      <c r="N638" s="322"/>
      <c r="O638" s="150"/>
      <c r="P638" s="135"/>
      <c r="Q638" s="135"/>
      <c r="R638" s="321"/>
      <c r="S638" s="322"/>
      <c r="T638" s="319"/>
      <c r="U638" s="322"/>
      <c r="V638" s="322"/>
      <c r="W638" s="322"/>
      <c r="X638" s="322"/>
      <c r="Y638" s="319"/>
      <c r="Z638" s="136" t="str">
        <f t="shared" si="16"/>
        <v/>
      </c>
      <c r="AA638" s="137" t="str">
        <f t="shared" si="17"/>
        <v/>
      </c>
      <c r="AB638" s="154" t="str">
        <f t="shared" si="18"/>
        <v/>
      </c>
      <c r="AC638" s="322"/>
      <c r="AD638" s="319"/>
      <c r="AE638" s="320"/>
    </row>
    <row r="639" ht="18.0" customHeight="1">
      <c r="A639" s="118" t="str">
        <f t="shared" si="15"/>
        <v/>
      </c>
      <c r="B639" s="109"/>
      <c r="C639" s="119"/>
      <c r="D639" s="119"/>
      <c r="E639" s="330"/>
      <c r="F639" s="121"/>
      <c r="G639" s="153"/>
      <c r="H639" s="153"/>
      <c r="I639" s="153"/>
      <c r="J639" s="112"/>
      <c r="K639" s="153"/>
      <c r="L639" s="114"/>
      <c r="M639" s="151"/>
      <c r="N639" s="152"/>
      <c r="O639" s="150"/>
      <c r="P639" s="114"/>
      <c r="Q639" s="114"/>
      <c r="R639" s="151"/>
      <c r="S639" s="152"/>
      <c r="T639" s="153"/>
      <c r="U639" s="152"/>
      <c r="V639" s="152"/>
      <c r="W639" s="152"/>
      <c r="X639" s="152"/>
      <c r="Y639" s="153"/>
      <c r="Z639" s="125" t="str">
        <f t="shared" si="16"/>
        <v/>
      </c>
      <c r="AA639" s="126" t="str">
        <f t="shared" si="17"/>
        <v/>
      </c>
      <c r="AB639" s="154" t="str">
        <f t="shared" si="18"/>
        <v/>
      </c>
      <c r="AC639" s="152"/>
      <c r="AD639" s="153"/>
      <c r="AE639" s="156"/>
    </row>
    <row r="640" ht="18.0" customHeight="1">
      <c r="A640" s="127" t="str">
        <f t="shared" si="15"/>
        <v/>
      </c>
      <c r="B640" s="128"/>
      <c r="C640" s="129"/>
      <c r="D640" s="129"/>
      <c r="E640" s="325"/>
      <c r="F640" s="131"/>
      <c r="G640" s="319"/>
      <c r="H640" s="319"/>
      <c r="I640" s="319"/>
      <c r="J640" s="132"/>
      <c r="K640" s="319"/>
      <c r="L640" s="135"/>
      <c r="M640" s="321"/>
      <c r="N640" s="322"/>
      <c r="O640" s="150"/>
      <c r="P640" s="135"/>
      <c r="Q640" s="135"/>
      <c r="R640" s="321"/>
      <c r="S640" s="322"/>
      <c r="T640" s="319"/>
      <c r="U640" s="322"/>
      <c r="V640" s="322"/>
      <c r="W640" s="322"/>
      <c r="X640" s="322"/>
      <c r="Y640" s="319"/>
      <c r="Z640" s="136" t="str">
        <f t="shared" si="16"/>
        <v/>
      </c>
      <c r="AA640" s="137" t="str">
        <f t="shared" si="17"/>
        <v/>
      </c>
      <c r="AB640" s="154" t="str">
        <f t="shared" si="18"/>
        <v/>
      </c>
      <c r="AC640" s="322"/>
      <c r="AD640" s="319"/>
      <c r="AE640" s="320"/>
    </row>
    <row r="641" ht="18.0" customHeight="1">
      <c r="A641" s="118" t="str">
        <f t="shared" si="15"/>
        <v/>
      </c>
      <c r="B641" s="109"/>
      <c r="C641" s="119"/>
      <c r="D641" s="119"/>
      <c r="E641" s="330"/>
      <c r="F641" s="121"/>
      <c r="G641" s="153"/>
      <c r="H641" s="153"/>
      <c r="I641" s="153"/>
      <c r="J641" s="112"/>
      <c r="K641" s="153"/>
      <c r="L641" s="114"/>
      <c r="M641" s="151"/>
      <c r="N641" s="152"/>
      <c r="O641" s="150"/>
      <c r="P641" s="114"/>
      <c r="Q641" s="114"/>
      <c r="R641" s="151"/>
      <c r="S641" s="152"/>
      <c r="T641" s="153"/>
      <c r="U641" s="152"/>
      <c r="V641" s="152"/>
      <c r="W641" s="152"/>
      <c r="X641" s="152"/>
      <c r="Y641" s="153"/>
      <c r="Z641" s="125" t="str">
        <f t="shared" si="16"/>
        <v/>
      </c>
      <c r="AA641" s="126" t="str">
        <f t="shared" si="17"/>
        <v/>
      </c>
      <c r="AB641" s="154" t="str">
        <f t="shared" si="18"/>
        <v/>
      </c>
      <c r="AC641" s="152"/>
      <c r="AD641" s="153"/>
      <c r="AE641" s="156"/>
    </row>
    <row r="642" ht="18.0" customHeight="1">
      <c r="A642" s="127" t="str">
        <f t="shared" si="15"/>
        <v/>
      </c>
      <c r="B642" s="128"/>
      <c r="C642" s="129"/>
      <c r="D642" s="129"/>
      <c r="E642" s="325"/>
      <c r="F642" s="131"/>
      <c r="G642" s="319"/>
      <c r="H642" s="319"/>
      <c r="I642" s="319"/>
      <c r="J642" s="132"/>
      <c r="K642" s="319"/>
      <c r="L642" s="135"/>
      <c r="M642" s="321"/>
      <c r="N642" s="322"/>
      <c r="O642" s="150"/>
      <c r="P642" s="135"/>
      <c r="Q642" s="135"/>
      <c r="R642" s="321"/>
      <c r="S642" s="322"/>
      <c r="T642" s="319"/>
      <c r="U642" s="322"/>
      <c r="V642" s="322"/>
      <c r="W642" s="322"/>
      <c r="X642" s="322"/>
      <c r="Y642" s="319"/>
      <c r="Z642" s="136" t="str">
        <f t="shared" si="16"/>
        <v/>
      </c>
      <c r="AA642" s="137" t="str">
        <f t="shared" si="17"/>
        <v/>
      </c>
      <c r="AB642" s="154" t="str">
        <f t="shared" si="18"/>
        <v/>
      </c>
      <c r="AC642" s="322"/>
      <c r="AD642" s="319"/>
      <c r="AE642" s="320"/>
    </row>
    <row r="643" ht="18.0" customHeight="1">
      <c r="A643" s="118" t="str">
        <f t="shared" si="15"/>
        <v/>
      </c>
      <c r="B643" s="109"/>
      <c r="C643" s="119"/>
      <c r="D643" s="119"/>
      <c r="E643" s="330"/>
      <c r="F643" s="121"/>
      <c r="G643" s="153"/>
      <c r="H643" s="153"/>
      <c r="I643" s="153"/>
      <c r="J643" s="112"/>
      <c r="K643" s="153"/>
      <c r="L643" s="114"/>
      <c r="M643" s="151"/>
      <c r="N643" s="152"/>
      <c r="O643" s="150"/>
      <c r="P643" s="114"/>
      <c r="Q643" s="114"/>
      <c r="R643" s="151"/>
      <c r="S643" s="152"/>
      <c r="T643" s="153"/>
      <c r="U643" s="152"/>
      <c r="V643" s="152"/>
      <c r="W643" s="152"/>
      <c r="X643" s="152"/>
      <c r="Y643" s="153"/>
      <c r="Z643" s="125" t="str">
        <f t="shared" si="16"/>
        <v/>
      </c>
      <c r="AA643" s="126" t="str">
        <f t="shared" si="17"/>
        <v/>
      </c>
      <c r="AB643" s="154" t="str">
        <f t="shared" si="18"/>
        <v/>
      </c>
      <c r="AC643" s="152"/>
      <c r="AD643" s="153"/>
      <c r="AE643" s="156"/>
    </row>
    <row r="644" ht="18.0" customHeight="1">
      <c r="A644" s="127" t="str">
        <f t="shared" si="15"/>
        <v/>
      </c>
      <c r="B644" s="128"/>
      <c r="C644" s="129"/>
      <c r="D644" s="129"/>
      <c r="E644" s="325"/>
      <c r="F644" s="131"/>
      <c r="G644" s="319"/>
      <c r="H644" s="319"/>
      <c r="I644" s="319"/>
      <c r="J644" s="132"/>
      <c r="K644" s="319"/>
      <c r="L644" s="135"/>
      <c r="M644" s="321"/>
      <c r="N644" s="322"/>
      <c r="O644" s="150"/>
      <c r="P644" s="135"/>
      <c r="Q644" s="135"/>
      <c r="R644" s="321"/>
      <c r="S644" s="322"/>
      <c r="T644" s="319"/>
      <c r="U644" s="322"/>
      <c r="V644" s="322"/>
      <c r="W644" s="322"/>
      <c r="X644" s="322"/>
      <c r="Y644" s="319"/>
      <c r="Z644" s="136" t="str">
        <f t="shared" si="16"/>
        <v/>
      </c>
      <c r="AA644" s="137" t="str">
        <f t="shared" si="17"/>
        <v/>
      </c>
      <c r="AB644" s="154" t="str">
        <f t="shared" si="18"/>
        <v/>
      </c>
      <c r="AC644" s="322"/>
      <c r="AD644" s="319"/>
      <c r="AE644" s="320"/>
    </row>
    <row r="645" ht="18.0" customHeight="1">
      <c r="A645" s="118" t="str">
        <f t="shared" si="15"/>
        <v/>
      </c>
      <c r="B645" s="109"/>
      <c r="C645" s="119"/>
      <c r="D645" s="119"/>
      <c r="E645" s="330"/>
      <c r="F645" s="121"/>
      <c r="G645" s="153"/>
      <c r="H645" s="153"/>
      <c r="I645" s="153"/>
      <c r="J645" s="112"/>
      <c r="K645" s="153"/>
      <c r="L645" s="114"/>
      <c r="M645" s="151"/>
      <c r="N645" s="152"/>
      <c r="O645" s="150"/>
      <c r="P645" s="114"/>
      <c r="Q645" s="114"/>
      <c r="R645" s="151"/>
      <c r="S645" s="152"/>
      <c r="T645" s="153"/>
      <c r="U645" s="152"/>
      <c r="V645" s="152"/>
      <c r="W645" s="152"/>
      <c r="X645" s="152"/>
      <c r="Y645" s="153"/>
      <c r="Z645" s="125" t="str">
        <f t="shared" si="16"/>
        <v/>
      </c>
      <c r="AA645" s="126" t="str">
        <f t="shared" si="17"/>
        <v/>
      </c>
      <c r="AB645" s="154" t="str">
        <f t="shared" si="18"/>
        <v/>
      </c>
      <c r="AC645" s="152"/>
      <c r="AD645" s="153"/>
      <c r="AE645" s="156"/>
    </row>
    <row r="646" ht="18.0" customHeight="1">
      <c r="A646" s="127" t="str">
        <f t="shared" si="15"/>
        <v/>
      </c>
      <c r="B646" s="128"/>
      <c r="C646" s="129"/>
      <c r="D646" s="129"/>
      <c r="E646" s="325"/>
      <c r="F646" s="131"/>
      <c r="G646" s="319"/>
      <c r="H646" s="319"/>
      <c r="I646" s="319"/>
      <c r="J646" s="132"/>
      <c r="K646" s="319"/>
      <c r="L646" s="135"/>
      <c r="M646" s="321"/>
      <c r="N646" s="322"/>
      <c r="O646" s="150"/>
      <c r="P646" s="135"/>
      <c r="Q646" s="135"/>
      <c r="R646" s="321"/>
      <c r="S646" s="322"/>
      <c r="T646" s="319"/>
      <c r="U646" s="322"/>
      <c r="V646" s="322"/>
      <c r="W646" s="322"/>
      <c r="X646" s="322"/>
      <c r="Y646" s="319"/>
      <c r="Z646" s="136" t="str">
        <f t="shared" si="16"/>
        <v/>
      </c>
      <c r="AA646" s="137" t="str">
        <f t="shared" si="17"/>
        <v/>
      </c>
      <c r="AB646" s="154" t="str">
        <f t="shared" si="18"/>
        <v/>
      </c>
      <c r="AC646" s="322"/>
      <c r="AD646" s="319"/>
      <c r="AE646" s="320"/>
    </row>
    <row r="647" ht="18.0" customHeight="1">
      <c r="A647" s="118" t="str">
        <f t="shared" si="15"/>
        <v/>
      </c>
      <c r="B647" s="109"/>
      <c r="C647" s="119"/>
      <c r="D647" s="119"/>
      <c r="E647" s="330"/>
      <c r="F647" s="121"/>
      <c r="G647" s="153"/>
      <c r="H647" s="153"/>
      <c r="I647" s="153"/>
      <c r="J647" s="112"/>
      <c r="K647" s="153"/>
      <c r="L647" s="114"/>
      <c r="M647" s="151"/>
      <c r="N647" s="152"/>
      <c r="O647" s="150"/>
      <c r="P647" s="114"/>
      <c r="Q647" s="114"/>
      <c r="R647" s="151"/>
      <c r="S647" s="152"/>
      <c r="T647" s="153"/>
      <c r="U647" s="152"/>
      <c r="V647" s="152"/>
      <c r="W647" s="152"/>
      <c r="X647" s="152"/>
      <c r="Y647" s="153"/>
      <c r="Z647" s="125" t="str">
        <f t="shared" si="16"/>
        <v/>
      </c>
      <c r="AA647" s="126" t="str">
        <f t="shared" si="17"/>
        <v/>
      </c>
      <c r="AB647" s="154" t="str">
        <f t="shared" si="18"/>
        <v/>
      </c>
      <c r="AC647" s="152"/>
      <c r="AD647" s="153"/>
      <c r="AE647" s="156"/>
    </row>
    <row r="648" ht="18.0" customHeight="1">
      <c r="A648" s="127" t="str">
        <f t="shared" si="15"/>
        <v/>
      </c>
      <c r="B648" s="128"/>
      <c r="C648" s="129"/>
      <c r="D648" s="129"/>
      <c r="E648" s="325"/>
      <c r="F648" s="131"/>
      <c r="G648" s="319"/>
      <c r="H648" s="319"/>
      <c r="I648" s="319"/>
      <c r="J648" s="132"/>
      <c r="K648" s="319"/>
      <c r="L648" s="135"/>
      <c r="M648" s="321"/>
      <c r="N648" s="322"/>
      <c r="O648" s="150"/>
      <c r="P648" s="135"/>
      <c r="Q648" s="135"/>
      <c r="R648" s="321"/>
      <c r="S648" s="322"/>
      <c r="T648" s="319"/>
      <c r="U648" s="322"/>
      <c r="V648" s="322"/>
      <c r="W648" s="322"/>
      <c r="X648" s="322"/>
      <c r="Y648" s="319"/>
      <c r="Z648" s="136" t="str">
        <f t="shared" si="16"/>
        <v/>
      </c>
      <c r="AA648" s="137" t="str">
        <f t="shared" si="17"/>
        <v/>
      </c>
      <c r="AB648" s="154" t="str">
        <f t="shared" si="18"/>
        <v/>
      </c>
      <c r="AC648" s="322"/>
      <c r="AD648" s="319"/>
      <c r="AE648" s="320"/>
    </row>
    <row r="649" ht="18.0" customHeight="1">
      <c r="A649" s="118" t="str">
        <f t="shared" si="15"/>
        <v/>
      </c>
      <c r="B649" s="109"/>
      <c r="C649" s="119"/>
      <c r="D649" s="119"/>
      <c r="E649" s="330"/>
      <c r="F649" s="121"/>
      <c r="G649" s="153"/>
      <c r="H649" s="153"/>
      <c r="I649" s="153"/>
      <c r="J649" s="112"/>
      <c r="K649" s="153"/>
      <c r="L649" s="114"/>
      <c r="M649" s="151"/>
      <c r="N649" s="152"/>
      <c r="O649" s="150"/>
      <c r="P649" s="114"/>
      <c r="Q649" s="114"/>
      <c r="R649" s="151"/>
      <c r="S649" s="152"/>
      <c r="T649" s="153"/>
      <c r="U649" s="152"/>
      <c r="V649" s="152"/>
      <c r="W649" s="152"/>
      <c r="X649" s="152"/>
      <c r="Y649" s="153"/>
      <c r="Z649" s="125" t="str">
        <f t="shared" si="16"/>
        <v/>
      </c>
      <c r="AA649" s="126" t="str">
        <f t="shared" si="17"/>
        <v/>
      </c>
      <c r="AB649" s="154" t="str">
        <f t="shared" si="18"/>
        <v/>
      </c>
      <c r="AC649" s="152"/>
      <c r="AD649" s="153"/>
      <c r="AE649" s="156"/>
    </row>
    <row r="650" ht="18.0" customHeight="1">
      <c r="A650" s="127" t="str">
        <f t="shared" si="15"/>
        <v/>
      </c>
      <c r="B650" s="128"/>
      <c r="C650" s="129"/>
      <c r="D650" s="129"/>
      <c r="E650" s="325"/>
      <c r="F650" s="131"/>
      <c r="G650" s="319"/>
      <c r="H650" s="319"/>
      <c r="I650" s="319"/>
      <c r="J650" s="132"/>
      <c r="K650" s="319"/>
      <c r="L650" s="135"/>
      <c r="M650" s="321"/>
      <c r="N650" s="322"/>
      <c r="O650" s="150"/>
      <c r="P650" s="135"/>
      <c r="Q650" s="135"/>
      <c r="R650" s="321"/>
      <c r="S650" s="322"/>
      <c r="T650" s="319"/>
      <c r="U650" s="322"/>
      <c r="V650" s="322"/>
      <c r="W650" s="322"/>
      <c r="X650" s="322"/>
      <c r="Y650" s="319"/>
      <c r="Z650" s="136" t="str">
        <f t="shared" si="16"/>
        <v/>
      </c>
      <c r="AA650" s="137" t="str">
        <f t="shared" si="17"/>
        <v/>
      </c>
      <c r="AB650" s="154" t="str">
        <f t="shared" si="18"/>
        <v/>
      </c>
      <c r="AC650" s="322"/>
      <c r="AD650" s="319"/>
      <c r="AE650" s="320"/>
    </row>
    <row r="651" ht="18.0" customHeight="1">
      <c r="A651" s="118" t="str">
        <f t="shared" si="15"/>
        <v/>
      </c>
      <c r="B651" s="109"/>
      <c r="C651" s="119"/>
      <c r="D651" s="119"/>
      <c r="E651" s="330"/>
      <c r="F651" s="121"/>
      <c r="G651" s="153"/>
      <c r="H651" s="153"/>
      <c r="I651" s="153"/>
      <c r="J651" s="112"/>
      <c r="K651" s="153"/>
      <c r="L651" s="114"/>
      <c r="M651" s="151"/>
      <c r="N651" s="152"/>
      <c r="O651" s="150"/>
      <c r="P651" s="114"/>
      <c r="Q651" s="114"/>
      <c r="R651" s="151"/>
      <c r="S651" s="152"/>
      <c r="T651" s="153"/>
      <c r="U651" s="152"/>
      <c r="V651" s="152"/>
      <c r="W651" s="152"/>
      <c r="X651" s="152"/>
      <c r="Y651" s="153"/>
      <c r="Z651" s="125" t="str">
        <f t="shared" si="16"/>
        <v/>
      </c>
      <c r="AA651" s="126" t="str">
        <f t="shared" si="17"/>
        <v/>
      </c>
      <c r="AB651" s="154" t="str">
        <f t="shared" si="18"/>
        <v/>
      </c>
      <c r="AC651" s="152"/>
      <c r="AD651" s="153"/>
      <c r="AE651" s="156"/>
    </row>
    <row r="652" ht="18.0" customHeight="1">
      <c r="A652" s="127" t="str">
        <f t="shared" si="15"/>
        <v/>
      </c>
      <c r="B652" s="128"/>
      <c r="C652" s="129"/>
      <c r="D652" s="129"/>
      <c r="E652" s="325"/>
      <c r="F652" s="131"/>
      <c r="G652" s="319"/>
      <c r="H652" s="319"/>
      <c r="I652" s="319"/>
      <c r="J652" s="132"/>
      <c r="K652" s="319"/>
      <c r="L652" s="135"/>
      <c r="M652" s="321"/>
      <c r="N652" s="322"/>
      <c r="O652" s="150"/>
      <c r="P652" s="135"/>
      <c r="Q652" s="135"/>
      <c r="R652" s="321"/>
      <c r="S652" s="322"/>
      <c r="T652" s="319"/>
      <c r="U652" s="322"/>
      <c r="V652" s="322"/>
      <c r="W652" s="322"/>
      <c r="X652" s="322"/>
      <c r="Y652" s="319"/>
      <c r="Z652" s="136" t="str">
        <f t="shared" si="16"/>
        <v/>
      </c>
      <c r="AA652" s="137" t="str">
        <f t="shared" si="17"/>
        <v/>
      </c>
      <c r="AB652" s="154" t="str">
        <f t="shared" si="18"/>
        <v/>
      </c>
      <c r="AC652" s="322"/>
      <c r="AD652" s="319"/>
      <c r="AE652" s="320"/>
    </row>
    <row r="653" ht="18.0" customHeight="1">
      <c r="A653" s="118" t="str">
        <f t="shared" si="15"/>
        <v/>
      </c>
      <c r="B653" s="109"/>
      <c r="C653" s="119"/>
      <c r="D653" s="119"/>
      <c r="E653" s="330"/>
      <c r="F653" s="121"/>
      <c r="G653" s="153"/>
      <c r="H653" s="153"/>
      <c r="I653" s="153"/>
      <c r="J653" s="112"/>
      <c r="K653" s="153"/>
      <c r="L653" s="114"/>
      <c r="M653" s="151"/>
      <c r="N653" s="152"/>
      <c r="O653" s="150"/>
      <c r="P653" s="114"/>
      <c r="Q653" s="114"/>
      <c r="R653" s="151"/>
      <c r="S653" s="152"/>
      <c r="T653" s="153"/>
      <c r="U653" s="152"/>
      <c r="V653" s="152"/>
      <c r="W653" s="152"/>
      <c r="X653" s="152"/>
      <c r="Y653" s="153"/>
      <c r="Z653" s="125" t="str">
        <f t="shared" si="16"/>
        <v/>
      </c>
      <c r="AA653" s="126" t="str">
        <f t="shared" si="17"/>
        <v/>
      </c>
      <c r="AB653" s="154" t="str">
        <f t="shared" si="18"/>
        <v/>
      </c>
      <c r="AC653" s="152"/>
      <c r="AD653" s="153"/>
      <c r="AE653" s="156"/>
    </row>
    <row r="654" ht="18.0" customHeight="1">
      <c r="A654" s="127" t="str">
        <f t="shared" si="15"/>
        <v/>
      </c>
      <c r="B654" s="128"/>
      <c r="C654" s="129"/>
      <c r="D654" s="129"/>
      <c r="E654" s="325"/>
      <c r="F654" s="131"/>
      <c r="G654" s="319"/>
      <c r="H654" s="319"/>
      <c r="I654" s="319"/>
      <c r="J654" s="132"/>
      <c r="K654" s="319"/>
      <c r="L654" s="135"/>
      <c r="M654" s="321"/>
      <c r="N654" s="322"/>
      <c r="O654" s="150"/>
      <c r="P654" s="135"/>
      <c r="Q654" s="135"/>
      <c r="R654" s="321"/>
      <c r="S654" s="322"/>
      <c r="T654" s="319"/>
      <c r="U654" s="322"/>
      <c r="V654" s="322"/>
      <c r="W654" s="322"/>
      <c r="X654" s="322"/>
      <c r="Y654" s="319"/>
      <c r="Z654" s="136" t="str">
        <f t="shared" si="16"/>
        <v/>
      </c>
      <c r="AA654" s="137" t="str">
        <f t="shared" si="17"/>
        <v/>
      </c>
      <c r="AB654" s="154" t="str">
        <f t="shared" si="18"/>
        <v/>
      </c>
      <c r="AC654" s="322"/>
      <c r="AD654" s="319"/>
      <c r="AE654" s="320"/>
    </row>
    <row r="655" ht="18.0" customHeight="1">
      <c r="A655" s="118" t="str">
        <f t="shared" si="15"/>
        <v/>
      </c>
      <c r="B655" s="109"/>
      <c r="C655" s="119"/>
      <c r="D655" s="119"/>
      <c r="E655" s="330"/>
      <c r="F655" s="121"/>
      <c r="G655" s="153"/>
      <c r="H655" s="153"/>
      <c r="I655" s="153"/>
      <c r="J655" s="112"/>
      <c r="K655" s="153"/>
      <c r="L655" s="114"/>
      <c r="M655" s="151"/>
      <c r="N655" s="152"/>
      <c r="O655" s="150"/>
      <c r="P655" s="114"/>
      <c r="Q655" s="114"/>
      <c r="R655" s="151"/>
      <c r="S655" s="152"/>
      <c r="T655" s="153"/>
      <c r="U655" s="152"/>
      <c r="V655" s="152"/>
      <c r="W655" s="152"/>
      <c r="X655" s="152"/>
      <c r="Y655" s="153"/>
      <c r="Z655" s="125" t="str">
        <f t="shared" si="16"/>
        <v/>
      </c>
      <c r="AA655" s="126" t="str">
        <f t="shared" si="17"/>
        <v/>
      </c>
      <c r="AB655" s="154" t="str">
        <f t="shared" si="18"/>
        <v/>
      </c>
      <c r="AC655" s="152"/>
      <c r="AD655" s="153"/>
      <c r="AE655" s="156"/>
    </row>
    <row r="656" ht="18.0" customHeight="1">
      <c r="A656" s="127" t="str">
        <f t="shared" si="15"/>
        <v/>
      </c>
      <c r="B656" s="128"/>
      <c r="C656" s="129"/>
      <c r="D656" s="129"/>
      <c r="E656" s="325"/>
      <c r="F656" s="131"/>
      <c r="G656" s="319"/>
      <c r="H656" s="319"/>
      <c r="I656" s="319"/>
      <c r="J656" s="132"/>
      <c r="K656" s="319"/>
      <c r="L656" s="135"/>
      <c r="M656" s="321"/>
      <c r="N656" s="322"/>
      <c r="O656" s="150"/>
      <c r="P656" s="135"/>
      <c r="Q656" s="135"/>
      <c r="R656" s="321"/>
      <c r="S656" s="322"/>
      <c r="T656" s="319"/>
      <c r="U656" s="322"/>
      <c r="V656" s="322"/>
      <c r="W656" s="322"/>
      <c r="X656" s="322"/>
      <c r="Y656" s="319"/>
      <c r="Z656" s="136" t="str">
        <f t="shared" si="16"/>
        <v/>
      </c>
      <c r="AA656" s="137" t="str">
        <f t="shared" si="17"/>
        <v/>
      </c>
      <c r="AB656" s="154" t="str">
        <f t="shared" si="18"/>
        <v/>
      </c>
      <c r="AC656" s="322"/>
      <c r="AD656" s="319"/>
      <c r="AE656" s="320"/>
    </row>
    <row r="657" ht="18.0" customHeight="1">
      <c r="A657" s="118" t="str">
        <f t="shared" si="15"/>
        <v/>
      </c>
      <c r="B657" s="109"/>
      <c r="C657" s="119"/>
      <c r="D657" s="119"/>
      <c r="E657" s="330"/>
      <c r="F657" s="121"/>
      <c r="G657" s="153"/>
      <c r="H657" s="153"/>
      <c r="I657" s="153"/>
      <c r="J657" s="112"/>
      <c r="K657" s="153"/>
      <c r="L657" s="114"/>
      <c r="M657" s="151"/>
      <c r="N657" s="152"/>
      <c r="O657" s="150"/>
      <c r="P657" s="114"/>
      <c r="Q657" s="114"/>
      <c r="R657" s="151"/>
      <c r="S657" s="152"/>
      <c r="T657" s="153"/>
      <c r="U657" s="152"/>
      <c r="V657" s="152"/>
      <c r="W657" s="152"/>
      <c r="X657" s="152"/>
      <c r="Y657" s="153"/>
      <c r="Z657" s="125" t="str">
        <f t="shared" si="16"/>
        <v/>
      </c>
      <c r="AA657" s="126" t="str">
        <f t="shared" si="17"/>
        <v/>
      </c>
      <c r="AB657" s="154" t="str">
        <f t="shared" si="18"/>
        <v/>
      </c>
      <c r="AC657" s="152"/>
      <c r="AD657" s="153"/>
      <c r="AE657" s="156"/>
    </row>
    <row r="658" ht="18.0" customHeight="1">
      <c r="A658" s="127" t="str">
        <f t="shared" si="15"/>
        <v/>
      </c>
      <c r="B658" s="128"/>
      <c r="C658" s="129"/>
      <c r="D658" s="129"/>
      <c r="E658" s="325"/>
      <c r="F658" s="131"/>
      <c r="G658" s="319"/>
      <c r="H658" s="319"/>
      <c r="I658" s="319"/>
      <c r="J658" s="132"/>
      <c r="K658" s="319"/>
      <c r="L658" s="135"/>
      <c r="M658" s="321"/>
      <c r="N658" s="322"/>
      <c r="O658" s="150"/>
      <c r="P658" s="135"/>
      <c r="Q658" s="135"/>
      <c r="R658" s="321"/>
      <c r="S658" s="322"/>
      <c r="T658" s="319"/>
      <c r="U658" s="322"/>
      <c r="V658" s="322"/>
      <c r="W658" s="322"/>
      <c r="X658" s="322"/>
      <c r="Y658" s="319"/>
      <c r="Z658" s="136" t="str">
        <f t="shared" si="16"/>
        <v/>
      </c>
      <c r="AA658" s="137" t="str">
        <f t="shared" si="17"/>
        <v/>
      </c>
      <c r="AB658" s="154" t="str">
        <f t="shared" si="18"/>
        <v/>
      </c>
      <c r="AC658" s="322"/>
      <c r="AD658" s="319"/>
      <c r="AE658" s="320"/>
    </row>
    <row r="659" ht="18.0" customHeight="1">
      <c r="A659" s="118" t="str">
        <f t="shared" si="15"/>
        <v/>
      </c>
      <c r="B659" s="109"/>
      <c r="C659" s="119"/>
      <c r="D659" s="119"/>
      <c r="E659" s="330"/>
      <c r="F659" s="121"/>
      <c r="G659" s="153"/>
      <c r="H659" s="153"/>
      <c r="I659" s="153"/>
      <c r="J659" s="112"/>
      <c r="K659" s="153"/>
      <c r="L659" s="114"/>
      <c r="M659" s="151"/>
      <c r="N659" s="152"/>
      <c r="O659" s="150"/>
      <c r="P659" s="114"/>
      <c r="Q659" s="114"/>
      <c r="R659" s="151"/>
      <c r="S659" s="152"/>
      <c r="T659" s="153"/>
      <c r="U659" s="152"/>
      <c r="V659" s="152"/>
      <c r="W659" s="152"/>
      <c r="X659" s="152"/>
      <c r="Y659" s="153"/>
      <c r="Z659" s="125" t="str">
        <f t="shared" si="16"/>
        <v/>
      </c>
      <c r="AA659" s="126" t="str">
        <f t="shared" si="17"/>
        <v/>
      </c>
      <c r="AB659" s="154" t="str">
        <f t="shared" si="18"/>
        <v/>
      </c>
      <c r="AC659" s="152"/>
      <c r="AD659" s="153"/>
      <c r="AE659" s="156"/>
    </row>
    <row r="660" ht="18.0" customHeight="1">
      <c r="A660" s="127" t="str">
        <f t="shared" si="15"/>
        <v/>
      </c>
      <c r="B660" s="128"/>
      <c r="C660" s="129"/>
      <c r="D660" s="129"/>
      <c r="E660" s="325"/>
      <c r="F660" s="131"/>
      <c r="G660" s="319"/>
      <c r="H660" s="319"/>
      <c r="I660" s="319"/>
      <c r="J660" s="132"/>
      <c r="K660" s="319"/>
      <c r="L660" s="135"/>
      <c r="M660" s="321"/>
      <c r="N660" s="322"/>
      <c r="O660" s="150"/>
      <c r="P660" s="135"/>
      <c r="Q660" s="135"/>
      <c r="R660" s="321"/>
      <c r="S660" s="322"/>
      <c r="T660" s="319"/>
      <c r="U660" s="322"/>
      <c r="V660" s="322"/>
      <c r="W660" s="322"/>
      <c r="X660" s="322"/>
      <c r="Y660" s="319"/>
      <c r="Z660" s="136" t="str">
        <f t="shared" si="16"/>
        <v/>
      </c>
      <c r="AA660" s="137" t="str">
        <f t="shared" si="17"/>
        <v/>
      </c>
      <c r="AB660" s="154" t="str">
        <f t="shared" si="18"/>
        <v/>
      </c>
      <c r="AC660" s="322"/>
      <c r="AD660" s="319"/>
      <c r="AE660" s="320"/>
    </row>
    <row r="661" ht="18.0" customHeight="1">
      <c r="A661" s="118" t="str">
        <f t="shared" si="15"/>
        <v/>
      </c>
      <c r="B661" s="109"/>
      <c r="C661" s="119"/>
      <c r="D661" s="119"/>
      <c r="E661" s="330"/>
      <c r="F661" s="121"/>
      <c r="G661" s="153"/>
      <c r="H661" s="153"/>
      <c r="I661" s="153"/>
      <c r="J661" s="112"/>
      <c r="K661" s="153"/>
      <c r="L661" s="114"/>
      <c r="M661" s="151"/>
      <c r="N661" s="152"/>
      <c r="O661" s="150"/>
      <c r="P661" s="114"/>
      <c r="Q661" s="114"/>
      <c r="R661" s="151"/>
      <c r="S661" s="152"/>
      <c r="T661" s="153"/>
      <c r="U661" s="152"/>
      <c r="V661" s="152"/>
      <c r="W661" s="152"/>
      <c r="X661" s="152"/>
      <c r="Y661" s="153"/>
      <c r="Z661" s="125" t="str">
        <f t="shared" si="16"/>
        <v/>
      </c>
      <c r="AA661" s="126" t="str">
        <f t="shared" si="17"/>
        <v/>
      </c>
      <c r="AB661" s="154" t="str">
        <f t="shared" si="18"/>
        <v/>
      </c>
      <c r="AC661" s="152"/>
      <c r="AD661" s="153"/>
      <c r="AE661" s="156"/>
    </row>
    <row r="662" ht="18.0" customHeight="1">
      <c r="A662" s="127" t="str">
        <f t="shared" si="15"/>
        <v/>
      </c>
      <c r="B662" s="128"/>
      <c r="C662" s="129"/>
      <c r="D662" s="129"/>
      <c r="E662" s="325"/>
      <c r="F662" s="131"/>
      <c r="G662" s="319"/>
      <c r="H662" s="319"/>
      <c r="I662" s="319"/>
      <c r="J662" s="132"/>
      <c r="K662" s="319"/>
      <c r="L662" s="135"/>
      <c r="M662" s="321"/>
      <c r="N662" s="322"/>
      <c r="O662" s="150"/>
      <c r="P662" s="135"/>
      <c r="Q662" s="135"/>
      <c r="R662" s="321"/>
      <c r="S662" s="322"/>
      <c r="T662" s="319"/>
      <c r="U662" s="322"/>
      <c r="V662" s="322"/>
      <c r="W662" s="322"/>
      <c r="X662" s="322"/>
      <c r="Y662" s="319"/>
      <c r="Z662" s="136" t="str">
        <f t="shared" si="16"/>
        <v/>
      </c>
      <c r="AA662" s="137" t="str">
        <f t="shared" si="17"/>
        <v/>
      </c>
      <c r="AB662" s="154" t="str">
        <f t="shared" si="18"/>
        <v/>
      </c>
      <c r="AC662" s="322"/>
      <c r="AD662" s="319"/>
      <c r="AE662" s="320"/>
    </row>
    <row r="663" ht="18.0" customHeight="1">
      <c r="A663" s="118" t="str">
        <f t="shared" si="15"/>
        <v/>
      </c>
      <c r="B663" s="109"/>
      <c r="C663" s="119"/>
      <c r="D663" s="119"/>
      <c r="E663" s="330"/>
      <c r="F663" s="121"/>
      <c r="G663" s="153"/>
      <c r="H663" s="153"/>
      <c r="I663" s="153"/>
      <c r="J663" s="112"/>
      <c r="K663" s="153"/>
      <c r="L663" s="114"/>
      <c r="M663" s="151"/>
      <c r="N663" s="152"/>
      <c r="O663" s="150"/>
      <c r="P663" s="114"/>
      <c r="Q663" s="114"/>
      <c r="R663" s="151"/>
      <c r="S663" s="152"/>
      <c r="T663" s="153"/>
      <c r="U663" s="152"/>
      <c r="V663" s="152"/>
      <c r="W663" s="152"/>
      <c r="X663" s="152"/>
      <c r="Y663" s="153"/>
      <c r="Z663" s="125" t="str">
        <f t="shared" si="16"/>
        <v/>
      </c>
      <c r="AA663" s="126" t="str">
        <f t="shared" si="17"/>
        <v/>
      </c>
      <c r="AB663" s="154" t="str">
        <f t="shared" si="18"/>
        <v/>
      </c>
      <c r="AC663" s="152"/>
      <c r="AD663" s="153"/>
      <c r="AE663" s="156"/>
    </row>
    <row r="664" ht="18.0" customHeight="1">
      <c r="A664" s="127" t="str">
        <f t="shared" si="15"/>
        <v/>
      </c>
      <c r="B664" s="128"/>
      <c r="C664" s="129"/>
      <c r="D664" s="129"/>
      <c r="E664" s="325"/>
      <c r="F664" s="131"/>
      <c r="G664" s="319"/>
      <c r="H664" s="319"/>
      <c r="I664" s="319"/>
      <c r="J664" s="132"/>
      <c r="K664" s="319"/>
      <c r="L664" s="135"/>
      <c r="M664" s="321"/>
      <c r="N664" s="322"/>
      <c r="O664" s="150"/>
      <c r="P664" s="135"/>
      <c r="Q664" s="135"/>
      <c r="R664" s="321"/>
      <c r="S664" s="322"/>
      <c r="T664" s="319"/>
      <c r="U664" s="322"/>
      <c r="V664" s="322"/>
      <c r="W664" s="322"/>
      <c r="X664" s="322"/>
      <c r="Y664" s="319"/>
      <c r="Z664" s="136" t="str">
        <f t="shared" si="16"/>
        <v/>
      </c>
      <c r="AA664" s="137" t="str">
        <f t="shared" si="17"/>
        <v/>
      </c>
      <c r="AB664" s="154" t="str">
        <f t="shared" si="18"/>
        <v/>
      </c>
      <c r="AC664" s="322"/>
      <c r="AD664" s="319"/>
      <c r="AE664" s="320"/>
    </row>
    <row r="665" ht="18.0" customHeight="1">
      <c r="A665" s="118" t="str">
        <f t="shared" si="15"/>
        <v/>
      </c>
      <c r="B665" s="109"/>
      <c r="C665" s="119"/>
      <c r="D665" s="119"/>
      <c r="E665" s="330"/>
      <c r="F665" s="121"/>
      <c r="G665" s="153"/>
      <c r="H665" s="153"/>
      <c r="I665" s="153"/>
      <c r="J665" s="112"/>
      <c r="K665" s="153"/>
      <c r="L665" s="114"/>
      <c r="M665" s="151"/>
      <c r="N665" s="152"/>
      <c r="O665" s="150"/>
      <c r="P665" s="114"/>
      <c r="Q665" s="114"/>
      <c r="R665" s="151"/>
      <c r="S665" s="152"/>
      <c r="T665" s="153"/>
      <c r="U665" s="152"/>
      <c r="V665" s="152"/>
      <c r="W665" s="152"/>
      <c r="X665" s="152"/>
      <c r="Y665" s="153"/>
      <c r="Z665" s="125" t="str">
        <f t="shared" si="16"/>
        <v/>
      </c>
      <c r="AA665" s="126" t="str">
        <f t="shared" si="17"/>
        <v/>
      </c>
      <c r="AB665" s="154" t="str">
        <f t="shared" si="18"/>
        <v/>
      </c>
      <c r="AC665" s="152"/>
      <c r="AD665" s="153"/>
      <c r="AE665" s="156"/>
    </row>
    <row r="666" ht="18.0" customHeight="1">
      <c r="A666" s="127" t="str">
        <f t="shared" si="15"/>
        <v/>
      </c>
      <c r="B666" s="128"/>
      <c r="C666" s="129"/>
      <c r="D666" s="129"/>
      <c r="E666" s="325"/>
      <c r="F666" s="131"/>
      <c r="G666" s="319"/>
      <c r="H666" s="319"/>
      <c r="I666" s="319"/>
      <c r="J666" s="132"/>
      <c r="K666" s="319"/>
      <c r="L666" s="135"/>
      <c r="M666" s="321"/>
      <c r="N666" s="322"/>
      <c r="O666" s="150"/>
      <c r="P666" s="135"/>
      <c r="Q666" s="135"/>
      <c r="R666" s="321"/>
      <c r="S666" s="322"/>
      <c r="T666" s="319"/>
      <c r="U666" s="322"/>
      <c r="V666" s="322"/>
      <c r="W666" s="322"/>
      <c r="X666" s="322"/>
      <c r="Y666" s="319"/>
      <c r="Z666" s="136" t="str">
        <f t="shared" si="16"/>
        <v/>
      </c>
      <c r="AA666" s="137" t="str">
        <f t="shared" si="17"/>
        <v/>
      </c>
      <c r="AB666" s="154" t="str">
        <f t="shared" si="18"/>
        <v/>
      </c>
      <c r="AC666" s="322"/>
      <c r="AD666" s="319"/>
      <c r="AE666" s="320"/>
    </row>
    <row r="667" ht="18.0" customHeight="1">
      <c r="A667" s="118" t="str">
        <f t="shared" si="15"/>
        <v/>
      </c>
      <c r="B667" s="109"/>
      <c r="C667" s="119"/>
      <c r="D667" s="119"/>
      <c r="E667" s="330"/>
      <c r="F667" s="121"/>
      <c r="G667" s="153"/>
      <c r="H667" s="153"/>
      <c r="I667" s="153"/>
      <c r="J667" s="112"/>
      <c r="K667" s="153"/>
      <c r="L667" s="114"/>
      <c r="M667" s="151"/>
      <c r="N667" s="152"/>
      <c r="O667" s="150"/>
      <c r="P667" s="114"/>
      <c r="Q667" s="114"/>
      <c r="R667" s="151"/>
      <c r="S667" s="152"/>
      <c r="T667" s="153"/>
      <c r="U667" s="152"/>
      <c r="V667" s="152"/>
      <c r="W667" s="152"/>
      <c r="X667" s="152"/>
      <c r="Y667" s="153"/>
      <c r="Z667" s="125" t="str">
        <f t="shared" si="16"/>
        <v/>
      </c>
      <c r="AA667" s="126" t="str">
        <f t="shared" si="17"/>
        <v/>
      </c>
      <c r="AB667" s="154" t="str">
        <f t="shared" si="18"/>
        <v/>
      </c>
      <c r="AC667" s="152"/>
      <c r="AD667" s="153"/>
      <c r="AE667" s="156"/>
    </row>
    <row r="668" ht="18.0" customHeight="1">
      <c r="A668" s="127" t="str">
        <f t="shared" si="15"/>
        <v/>
      </c>
      <c r="B668" s="128"/>
      <c r="C668" s="129"/>
      <c r="D668" s="129"/>
      <c r="E668" s="325"/>
      <c r="F668" s="131"/>
      <c r="G668" s="319"/>
      <c r="H668" s="319"/>
      <c r="I668" s="319"/>
      <c r="J668" s="132"/>
      <c r="K668" s="319"/>
      <c r="L668" s="135"/>
      <c r="M668" s="321"/>
      <c r="N668" s="322"/>
      <c r="O668" s="150"/>
      <c r="P668" s="135"/>
      <c r="Q668" s="135"/>
      <c r="R668" s="321"/>
      <c r="S668" s="322"/>
      <c r="T668" s="319"/>
      <c r="U668" s="322"/>
      <c r="V668" s="322"/>
      <c r="W668" s="322"/>
      <c r="X668" s="322"/>
      <c r="Y668" s="319"/>
      <c r="Z668" s="136" t="str">
        <f t="shared" si="16"/>
        <v/>
      </c>
      <c r="AA668" s="137" t="str">
        <f t="shared" si="17"/>
        <v/>
      </c>
      <c r="AB668" s="154" t="str">
        <f t="shared" si="18"/>
        <v/>
      </c>
      <c r="AC668" s="322"/>
      <c r="AD668" s="319"/>
      <c r="AE668" s="320"/>
    </row>
    <row r="669" ht="18.0" customHeight="1">
      <c r="A669" s="118" t="str">
        <f t="shared" si="15"/>
        <v/>
      </c>
      <c r="B669" s="109"/>
      <c r="C669" s="119"/>
      <c r="D669" s="119"/>
      <c r="E669" s="330"/>
      <c r="F669" s="121"/>
      <c r="G669" s="153"/>
      <c r="H669" s="153"/>
      <c r="I669" s="153"/>
      <c r="J669" s="112"/>
      <c r="K669" s="153"/>
      <c r="L669" s="114"/>
      <c r="M669" s="151"/>
      <c r="N669" s="152"/>
      <c r="O669" s="150"/>
      <c r="P669" s="114"/>
      <c r="Q669" s="114"/>
      <c r="R669" s="151"/>
      <c r="S669" s="152"/>
      <c r="T669" s="153"/>
      <c r="U669" s="152"/>
      <c r="V669" s="152"/>
      <c r="W669" s="152"/>
      <c r="X669" s="152"/>
      <c r="Y669" s="153"/>
      <c r="Z669" s="125" t="str">
        <f t="shared" si="16"/>
        <v/>
      </c>
      <c r="AA669" s="126" t="str">
        <f t="shared" si="17"/>
        <v/>
      </c>
      <c r="AB669" s="154" t="str">
        <f t="shared" si="18"/>
        <v/>
      </c>
      <c r="AC669" s="152"/>
      <c r="AD669" s="153"/>
      <c r="AE669" s="156"/>
    </row>
    <row r="670" ht="18.0" customHeight="1">
      <c r="A670" s="127" t="str">
        <f t="shared" si="15"/>
        <v/>
      </c>
      <c r="B670" s="128"/>
      <c r="C670" s="129"/>
      <c r="D670" s="129"/>
      <c r="E670" s="325"/>
      <c r="F670" s="131"/>
      <c r="G670" s="319"/>
      <c r="H670" s="319"/>
      <c r="I670" s="319"/>
      <c r="J670" s="132"/>
      <c r="K670" s="319"/>
      <c r="L670" s="135"/>
      <c r="M670" s="321"/>
      <c r="N670" s="322"/>
      <c r="O670" s="150"/>
      <c r="P670" s="135"/>
      <c r="Q670" s="135"/>
      <c r="R670" s="321"/>
      <c r="S670" s="322"/>
      <c r="T670" s="319"/>
      <c r="U670" s="322"/>
      <c r="V670" s="322"/>
      <c r="W670" s="322"/>
      <c r="X670" s="322"/>
      <c r="Y670" s="319"/>
      <c r="Z670" s="136" t="str">
        <f t="shared" si="16"/>
        <v/>
      </c>
      <c r="AA670" s="137" t="str">
        <f t="shared" si="17"/>
        <v/>
      </c>
      <c r="AB670" s="154" t="str">
        <f t="shared" si="18"/>
        <v/>
      </c>
      <c r="AC670" s="322"/>
      <c r="AD670" s="319"/>
      <c r="AE670" s="320"/>
    </row>
    <row r="671" ht="18.0" customHeight="1">
      <c r="A671" s="118" t="str">
        <f t="shared" si="15"/>
        <v/>
      </c>
      <c r="B671" s="109"/>
      <c r="C671" s="119"/>
      <c r="D671" s="119"/>
      <c r="E671" s="330"/>
      <c r="F671" s="121"/>
      <c r="G671" s="153"/>
      <c r="H671" s="153"/>
      <c r="I671" s="153"/>
      <c r="J671" s="112"/>
      <c r="K671" s="153"/>
      <c r="L671" s="114"/>
      <c r="M671" s="151"/>
      <c r="N671" s="152"/>
      <c r="O671" s="150"/>
      <c r="P671" s="114"/>
      <c r="Q671" s="114"/>
      <c r="R671" s="151"/>
      <c r="S671" s="152"/>
      <c r="T671" s="153"/>
      <c r="U671" s="152"/>
      <c r="V671" s="152"/>
      <c r="W671" s="152"/>
      <c r="X671" s="152"/>
      <c r="Y671" s="153"/>
      <c r="Z671" s="125" t="str">
        <f t="shared" si="16"/>
        <v/>
      </c>
      <c r="AA671" s="126" t="str">
        <f t="shared" si="17"/>
        <v/>
      </c>
      <c r="AB671" s="154" t="str">
        <f t="shared" si="18"/>
        <v/>
      </c>
      <c r="AC671" s="152"/>
      <c r="AD671" s="153"/>
      <c r="AE671" s="156"/>
    </row>
    <row r="672" ht="18.0" customHeight="1">
      <c r="A672" s="127" t="str">
        <f t="shared" si="15"/>
        <v/>
      </c>
      <c r="B672" s="128"/>
      <c r="C672" s="129"/>
      <c r="D672" s="129"/>
      <c r="E672" s="325"/>
      <c r="F672" s="131"/>
      <c r="G672" s="319"/>
      <c r="H672" s="319"/>
      <c r="I672" s="319"/>
      <c r="J672" s="132"/>
      <c r="K672" s="319"/>
      <c r="L672" s="135"/>
      <c r="M672" s="321"/>
      <c r="N672" s="322"/>
      <c r="O672" s="150"/>
      <c r="P672" s="135"/>
      <c r="Q672" s="135"/>
      <c r="R672" s="321"/>
      <c r="S672" s="322"/>
      <c r="T672" s="319"/>
      <c r="U672" s="322"/>
      <c r="V672" s="322"/>
      <c r="W672" s="322"/>
      <c r="X672" s="322"/>
      <c r="Y672" s="319"/>
      <c r="Z672" s="136" t="str">
        <f t="shared" si="16"/>
        <v/>
      </c>
      <c r="AA672" s="137" t="str">
        <f t="shared" si="17"/>
        <v/>
      </c>
      <c r="AB672" s="154" t="str">
        <f t="shared" si="18"/>
        <v/>
      </c>
      <c r="AC672" s="322"/>
      <c r="AD672" s="319"/>
      <c r="AE672" s="320"/>
    </row>
    <row r="673" ht="18.0" customHeight="1">
      <c r="A673" s="118" t="str">
        <f t="shared" si="15"/>
        <v/>
      </c>
      <c r="B673" s="109"/>
      <c r="C673" s="119"/>
      <c r="D673" s="119"/>
      <c r="E673" s="330"/>
      <c r="F673" s="121"/>
      <c r="G673" s="153"/>
      <c r="H673" s="153"/>
      <c r="I673" s="153"/>
      <c r="J673" s="112"/>
      <c r="K673" s="153"/>
      <c r="L673" s="114"/>
      <c r="M673" s="151"/>
      <c r="N673" s="152"/>
      <c r="O673" s="150"/>
      <c r="P673" s="114"/>
      <c r="Q673" s="114"/>
      <c r="R673" s="151"/>
      <c r="S673" s="152"/>
      <c r="T673" s="153"/>
      <c r="U673" s="152"/>
      <c r="V673" s="152"/>
      <c r="W673" s="152"/>
      <c r="X673" s="152"/>
      <c r="Y673" s="153"/>
      <c r="Z673" s="125" t="str">
        <f t="shared" si="16"/>
        <v/>
      </c>
      <c r="AA673" s="126" t="str">
        <f t="shared" si="17"/>
        <v/>
      </c>
      <c r="AB673" s="154" t="str">
        <f t="shared" si="18"/>
        <v/>
      </c>
      <c r="AC673" s="152"/>
      <c r="AD673" s="153"/>
      <c r="AE673" s="156"/>
    </row>
    <row r="674" ht="18.0" customHeight="1">
      <c r="A674" s="127" t="str">
        <f t="shared" si="15"/>
        <v/>
      </c>
      <c r="B674" s="128"/>
      <c r="C674" s="129"/>
      <c r="D674" s="129"/>
      <c r="E674" s="325"/>
      <c r="F674" s="131"/>
      <c r="G674" s="319"/>
      <c r="H674" s="319"/>
      <c r="I674" s="319"/>
      <c r="J674" s="132"/>
      <c r="K674" s="319"/>
      <c r="L674" s="135"/>
      <c r="M674" s="321"/>
      <c r="N674" s="322"/>
      <c r="O674" s="150"/>
      <c r="P674" s="135"/>
      <c r="Q674" s="135"/>
      <c r="R674" s="321"/>
      <c r="S674" s="322"/>
      <c r="T674" s="319"/>
      <c r="U674" s="322"/>
      <c r="V674" s="322"/>
      <c r="W674" s="322"/>
      <c r="X674" s="322"/>
      <c r="Y674" s="319"/>
      <c r="Z674" s="136" t="str">
        <f t="shared" si="16"/>
        <v/>
      </c>
      <c r="AA674" s="137" t="str">
        <f t="shared" si="17"/>
        <v/>
      </c>
      <c r="AB674" s="154" t="str">
        <f t="shared" si="18"/>
        <v/>
      </c>
      <c r="AC674" s="322"/>
      <c r="AD674" s="319"/>
      <c r="AE674" s="320"/>
    </row>
    <row r="675" ht="18.0" customHeight="1">
      <c r="A675" s="118" t="str">
        <f t="shared" si="15"/>
        <v/>
      </c>
      <c r="B675" s="109"/>
      <c r="C675" s="119"/>
      <c r="D675" s="119"/>
      <c r="E675" s="330"/>
      <c r="F675" s="121"/>
      <c r="G675" s="153"/>
      <c r="H675" s="153"/>
      <c r="I675" s="153"/>
      <c r="J675" s="112"/>
      <c r="K675" s="153"/>
      <c r="L675" s="114"/>
      <c r="M675" s="151"/>
      <c r="N675" s="152"/>
      <c r="O675" s="150"/>
      <c r="P675" s="114"/>
      <c r="Q675" s="114"/>
      <c r="R675" s="151"/>
      <c r="S675" s="152"/>
      <c r="T675" s="153"/>
      <c r="U675" s="152"/>
      <c r="V675" s="152"/>
      <c r="W675" s="152"/>
      <c r="X675" s="152"/>
      <c r="Y675" s="153"/>
      <c r="Z675" s="125" t="str">
        <f t="shared" si="16"/>
        <v/>
      </c>
      <c r="AA675" s="126" t="str">
        <f t="shared" si="17"/>
        <v/>
      </c>
      <c r="AB675" s="154" t="str">
        <f t="shared" si="18"/>
        <v/>
      </c>
      <c r="AC675" s="152"/>
      <c r="AD675" s="153"/>
      <c r="AE675" s="156"/>
    </row>
    <row r="676" ht="18.0" customHeight="1">
      <c r="A676" s="127" t="str">
        <f t="shared" si="15"/>
        <v/>
      </c>
      <c r="B676" s="128"/>
      <c r="C676" s="129"/>
      <c r="D676" s="129"/>
      <c r="E676" s="325"/>
      <c r="F676" s="131"/>
      <c r="G676" s="319"/>
      <c r="H676" s="319"/>
      <c r="I676" s="319"/>
      <c r="J676" s="132"/>
      <c r="K676" s="319"/>
      <c r="L676" s="135"/>
      <c r="M676" s="321"/>
      <c r="N676" s="322"/>
      <c r="O676" s="150"/>
      <c r="P676" s="135"/>
      <c r="Q676" s="135"/>
      <c r="R676" s="321"/>
      <c r="S676" s="322"/>
      <c r="T676" s="319"/>
      <c r="U676" s="322"/>
      <c r="V676" s="322"/>
      <c r="W676" s="322"/>
      <c r="X676" s="322"/>
      <c r="Y676" s="319"/>
      <c r="Z676" s="136" t="str">
        <f t="shared" si="16"/>
        <v/>
      </c>
      <c r="AA676" s="137" t="str">
        <f t="shared" si="17"/>
        <v/>
      </c>
      <c r="AB676" s="154" t="str">
        <f t="shared" si="18"/>
        <v/>
      </c>
      <c r="AC676" s="322"/>
      <c r="AD676" s="319"/>
      <c r="AE676" s="320"/>
    </row>
    <row r="677" ht="18.0" customHeight="1">
      <c r="A677" s="118" t="str">
        <f t="shared" si="15"/>
        <v/>
      </c>
      <c r="B677" s="109"/>
      <c r="C677" s="119"/>
      <c r="D677" s="119"/>
      <c r="E677" s="330"/>
      <c r="F677" s="121"/>
      <c r="G677" s="153"/>
      <c r="H677" s="153"/>
      <c r="I677" s="153"/>
      <c r="J677" s="112"/>
      <c r="K677" s="153"/>
      <c r="L677" s="114"/>
      <c r="M677" s="151"/>
      <c r="N677" s="152"/>
      <c r="O677" s="150"/>
      <c r="P677" s="114"/>
      <c r="Q677" s="114"/>
      <c r="R677" s="151"/>
      <c r="S677" s="152"/>
      <c r="T677" s="153"/>
      <c r="U677" s="152"/>
      <c r="V677" s="152"/>
      <c r="W677" s="152"/>
      <c r="X677" s="152"/>
      <c r="Y677" s="153"/>
      <c r="Z677" s="125" t="str">
        <f t="shared" si="16"/>
        <v/>
      </c>
      <c r="AA677" s="126" t="str">
        <f t="shared" si="17"/>
        <v/>
      </c>
      <c r="AB677" s="154" t="str">
        <f t="shared" si="18"/>
        <v/>
      </c>
      <c r="AC677" s="152"/>
      <c r="AD677" s="153"/>
      <c r="AE677" s="156"/>
    </row>
    <row r="678" ht="18.0" customHeight="1">
      <c r="A678" s="127" t="str">
        <f t="shared" si="15"/>
        <v/>
      </c>
      <c r="B678" s="128"/>
      <c r="C678" s="129"/>
      <c r="D678" s="129"/>
      <c r="E678" s="325"/>
      <c r="F678" s="131"/>
      <c r="G678" s="319"/>
      <c r="H678" s="319"/>
      <c r="I678" s="319"/>
      <c r="J678" s="132"/>
      <c r="K678" s="319"/>
      <c r="L678" s="135"/>
      <c r="M678" s="321"/>
      <c r="N678" s="322"/>
      <c r="O678" s="150"/>
      <c r="P678" s="135"/>
      <c r="Q678" s="135"/>
      <c r="R678" s="321"/>
      <c r="S678" s="322"/>
      <c r="T678" s="319"/>
      <c r="U678" s="322"/>
      <c r="V678" s="322"/>
      <c r="W678" s="322"/>
      <c r="X678" s="322"/>
      <c r="Y678" s="319"/>
      <c r="Z678" s="136" t="str">
        <f t="shared" si="16"/>
        <v/>
      </c>
      <c r="AA678" s="137" t="str">
        <f t="shared" si="17"/>
        <v/>
      </c>
      <c r="AB678" s="154" t="str">
        <f t="shared" si="18"/>
        <v/>
      </c>
      <c r="AC678" s="322"/>
      <c r="AD678" s="319"/>
      <c r="AE678" s="320"/>
    </row>
    <row r="679" ht="18.0" customHeight="1">
      <c r="A679" s="118" t="str">
        <f t="shared" si="15"/>
        <v/>
      </c>
      <c r="B679" s="109"/>
      <c r="C679" s="119"/>
      <c r="D679" s="119"/>
      <c r="E679" s="330"/>
      <c r="F679" s="121"/>
      <c r="G679" s="153"/>
      <c r="H679" s="153"/>
      <c r="I679" s="153"/>
      <c r="J679" s="112"/>
      <c r="K679" s="153"/>
      <c r="L679" s="114"/>
      <c r="M679" s="151"/>
      <c r="N679" s="152"/>
      <c r="O679" s="150"/>
      <c r="P679" s="114"/>
      <c r="Q679" s="114"/>
      <c r="R679" s="151"/>
      <c r="S679" s="152"/>
      <c r="T679" s="153"/>
      <c r="U679" s="152"/>
      <c r="V679" s="152"/>
      <c r="W679" s="152"/>
      <c r="X679" s="152"/>
      <c r="Y679" s="153"/>
      <c r="Z679" s="125" t="str">
        <f t="shared" si="16"/>
        <v/>
      </c>
      <c r="AA679" s="126" t="str">
        <f t="shared" si="17"/>
        <v/>
      </c>
      <c r="AB679" s="154" t="str">
        <f t="shared" si="18"/>
        <v/>
      </c>
      <c r="AC679" s="152"/>
      <c r="AD679" s="153"/>
      <c r="AE679" s="156"/>
    </row>
    <row r="680" ht="18.0" customHeight="1">
      <c r="A680" s="127" t="str">
        <f t="shared" si="15"/>
        <v/>
      </c>
      <c r="B680" s="128"/>
      <c r="C680" s="129"/>
      <c r="D680" s="129"/>
      <c r="E680" s="325"/>
      <c r="F680" s="131"/>
      <c r="G680" s="319"/>
      <c r="H680" s="319"/>
      <c r="I680" s="319"/>
      <c r="J680" s="132"/>
      <c r="K680" s="319"/>
      <c r="L680" s="135"/>
      <c r="M680" s="321"/>
      <c r="N680" s="322"/>
      <c r="O680" s="150"/>
      <c r="P680" s="135"/>
      <c r="Q680" s="135"/>
      <c r="R680" s="321"/>
      <c r="S680" s="322"/>
      <c r="T680" s="319"/>
      <c r="U680" s="322"/>
      <c r="V680" s="322"/>
      <c r="W680" s="322"/>
      <c r="X680" s="322"/>
      <c r="Y680" s="319"/>
      <c r="Z680" s="136" t="str">
        <f t="shared" si="16"/>
        <v/>
      </c>
      <c r="AA680" s="137" t="str">
        <f t="shared" si="17"/>
        <v/>
      </c>
      <c r="AB680" s="154" t="str">
        <f t="shared" si="18"/>
        <v/>
      </c>
      <c r="AC680" s="322"/>
      <c r="AD680" s="319"/>
      <c r="AE680" s="320"/>
    </row>
    <row r="681" ht="18.0" customHeight="1">
      <c r="A681" s="118" t="str">
        <f t="shared" si="15"/>
        <v/>
      </c>
      <c r="B681" s="109"/>
      <c r="C681" s="119"/>
      <c r="D681" s="119"/>
      <c r="E681" s="330"/>
      <c r="F681" s="121"/>
      <c r="G681" s="153"/>
      <c r="H681" s="153"/>
      <c r="I681" s="153"/>
      <c r="J681" s="112"/>
      <c r="K681" s="153"/>
      <c r="L681" s="114"/>
      <c r="M681" s="151"/>
      <c r="N681" s="152"/>
      <c r="O681" s="150"/>
      <c r="P681" s="114"/>
      <c r="Q681" s="114"/>
      <c r="R681" s="151"/>
      <c r="S681" s="152"/>
      <c r="T681" s="153"/>
      <c r="U681" s="152"/>
      <c r="V681" s="152"/>
      <c r="W681" s="152"/>
      <c r="X681" s="152"/>
      <c r="Y681" s="153"/>
      <c r="Z681" s="125" t="str">
        <f t="shared" si="16"/>
        <v/>
      </c>
      <c r="AA681" s="126" t="str">
        <f t="shared" si="17"/>
        <v/>
      </c>
      <c r="AB681" s="154" t="str">
        <f t="shared" si="18"/>
        <v/>
      </c>
      <c r="AC681" s="152"/>
      <c r="AD681" s="153"/>
      <c r="AE681" s="156"/>
    </row>
    <row r="682" ht="18.0" customHeight="1">
      <c r="A682" s="127" t="str">
        <f t="shared" si="15"/>
        <v/>
      </c>
      <c r="B682" s="128"/>
      <c r="C682" s="129"/>
      <c r="D682" s="129"/>
      <c r="E682" s="325"/>
      <c r="F682" s="131"/>
      <c r="G682" s="319"/>
      <c r="H682" s="319"/>
      <c r="I682" s="319"/>
      <c r="J682" s="132"/>
      <c r="K682" s="319"/>
      <c r="L682" s="135"/>
      <c r="M682" s="321"/>
      <c r="N682" s="322"/>
      <c r="O682" s="150"/>
      <c r="P682" s="135"/>
      <c r="Q682" s="135"/>
      <c r="R682" s="321"/>
      <c r="S682" s="322"/>
      <c r="T682" s="319"/>
      <c r="U682" s="322"/>
      <c r="V682" s="322"/>
      <c r="W682" s="322"/>
      <c r="X682" s="322"/>
      <c r="Y682" s="319"/>
      <c r="Z682" s="136" t="str">
        <f t="shared" si="16"/>
        <v/>
      </c>
      <c r="AA682" s="137" t="str">
        <f t="shared" si="17"/>
        <v/>
      </c>
      <c r="AB682" s="154" t="str">
        <f t="shared" si="18"/>
        <v/>
      </c>
      <c r="AC682" s="322"/>
      <c r="AD682" s="319"/>
      <c r="AE682" s="320"/>
    </row>
    <row r="683" ht="18.0" customHeight="1">
      <c r="A683" s="118" t="str">
        <f t="shared" si="15"/>
        <v/>
      </c>
      <c r="B683" s="109"/>
      <c r="C683" s="119"/>
      <c r="D683" s="119"/>
      <c r="E683" s="330"/>
      <c r="F683" s="121"/>
      <c r="G683" s="153"/>
      <c r="H683" s="153"/>
      <c r="I683" s="153"/>
      <c r="J683" s="112"/>
      <c r="K683" s="153"/>
      <c r="L683" s="114"/>
      <c r="M683" s="151"/>
      <c r="N683" s="152"/>
      <c r="O683" s="150"/>
      <c r="P683" s="114"/>
      <c r="Q683" s="114"/>
      <c r="R683" s="151"/>
      <c r="S683" s="152"/>
      <c r="T683" s="153"/>
      <c r="U683" s="152"/>
      <c r="V683" s="152"/>
      <c r="W683" s="152"/>
      <c r="X683" s="152"/>
      <c r="Y683" s="153"/>
      <c r="Z683" s="125" t="str">
        <f t="shared" si="16"/>
        <v/>
      </c>
      <c r="AA683" s="126" t="str">
        <f t="shared" si="17"/>
        <v/>
      </c>
      <c r="AB683" s="154" t="str">
        <f t="shared" si="18"/>
        <v/>
      </c>
      <c r="AC683" s="152"/>
      <c r="AD683" s="153"/>
      <c r="AE683" s="156"/>
    </row>
    <row r="684" ht="18.0" customHeight="1">
      <c r="A684" s="127" t="str">
        <f t="shared" si="15"/>
        <v/>
      </c>
      <c r="B684" s="128"/>
      <c r="C684" s="129"/>
      <c r="D684" s="129"/>
      <c r="E684" s="325"/>
      <c r="F684" s="131"/>
      <c r="G684" s="319"/>
      <c r="H684" s="319"/>
      <c r="I684" s="319"/>
      <c r="J684" s="132"/>
      <c r="K684" s="319"/>
      <c r="L684" s="135"/>
      <c r="M684" s="321"/>
      <c r="N684" s="322"/>
      <c r="O684" s="150"/>
      <c r="P684" s="135"/>
      <c r="Q684" s="135"/>
      <c r="R684" s="321"/>
      <c r="S684" s="322"/>
      <c r="T684" s="319"/>
      <c r="U684" s="322"/>
      <c r="V684" s="322"/>
      <c r="W684" s="322"/>
      <c r="X684" s="322"/>
      <c r="Y684" s="319"/>
      <c r="Z684" s="136" t="str">
        <f t="shared" si="16"/>
        <v/>
      </c>
      <c r="AA684" s="137" t="str">
        <f t="shared" si="17"/>
        <v/>
      </c>
      <c r="AB684" s="154" t="str">
        <f t="shared" si="18"/>
        <v/>
      </c>
      <c r="AC684" s="322"/>
      <c r="AD684" s="319"/>
      <c r="AE684" s="320"/>
    </row>
    <row r="685" ht="18.0" customHeight="1">
      <c r="A685" s="118" t="str">
        <f t="shared" si="15"/>
        <v/>
      </c>
      <c r="B685" s="109"/>
      <c r="C685" s="119"/>
      <c r="D685" s="119"/>
      <c r="E685" s="330"/>
      <c r="F685" s="121"/>
      <c r="G685" s="153"/>
      <c r="H685" s="153"/>
      <c r="I685" s="153"/>
      <c r="J685" s="112"/>
      <c r="K685" s="153"/>
      <c r="L685" s="114"/>
      <c r="M685" s="151"/>
      <c r="N685" s="152"/>
      <c r="O685" s="150"/>
      <c r="P685" s="114"/>
      <c r="Q685" s="114"/>
      <c r="R685" s="151"/>
      <c r="S685" s="152"/>
      <c r="T685" s="153"/>
      <c r="U685" s="152"/>
      <c r="V685" s="152"/>
      <c r="W685" s="152"/>
      <c r="X685" s="152"/>
      <c r="Y685" s="153"/>
      <c r="Z685" s="125" t="str">
        <f t="shared" si="16"/>
        <v/>
      </c>
      <c r="AA685" s="126" t="str">
        <f t="shared" si="17"/>
        <v/>
      </c>
      <c r="AB685" s="154" t="str">
        <f t="shared" si="18"/>
        <v/>
      </c>
      <c r="AC685" s="152"/>
      <c r="AD685" s="153"/>
      <c r="AE685" s="156"/>
    </row>
    <row r="686" ht="18.0" customHeight="1">
      <c r="A686" s="127" t="str">
        <f t="shared" si="15"/>
        <v/>
      </c>
      <c r="B686" s="128"/>
      <c r="C686" s="129"/>
      <c r="D686" s="129"/>
      <c r="E686" s="325"/>
      <c r="F686" s="131"/>
      <c r="G686" s="319"/>
      <c r="H686" s="319"/>
      <c r="I686" s="319"/>
      <c r="J686" s="132"/>
      <c r="K686" s="319"/>
      <c r="L686" s="135"/>
      <c r="M686" s="321"/>
      <c r="N686" s="322"/>
      <c r="O686" s="150"/>
      <c r="P686" s="135"/>
      <c r="Q686" s="135"/>
      <c r="R686" s="321"/>
      <c r="S686" s="322"/>
      <c r="T686" s="319"/>
      <c r="U686" s="322"/>
      <c r="V686" s="322"/>
      <c r="W686" s="322"/>
      <c r="X686" s="322"/>
      <c r="Y686" s="319"/>
      <c r="Z686" s="136" t="str">
        <f t="shared" si="16"/>
        <v/>
      </c>
      <c r="AA686" s="137" t="str">
        <f t="shared" si="17"/>
        <v/>
      </c>
      <c r="AB686" s="154" t="str">
        <f t="shared" si="18"/>
        <v/>
      </c>
      <c r="AC686" s="322"/>
      <c r="AD686" s="319"/>
      <c r="AE686" s="320"/>
    </row>
    <row r="687" ht="18.0" customHeight="1">
      <c r="A687" s="118" t="str">
        <f t="shared" si="15"/>
        <v/>
      </c>
      <c r="B687" s="109"/>
      <c r="C687" s="119"/>
      <c r="D687" s="119"/>
      <c r="E687" s="330"/>
      <c r="F687" s="121"/>
      <c r="G687" s="153"/>
      <c r="H687" s="153"/>
      <c r="I687" s="153"/>
      <c r="J687" s="112"/>
      <c r="K687" s="153"/>
      <c r="L687" s="114"/>
      <c r="M687" s="151"/>
      <c r="N687" s="152"/>
      <c r="O687" s="150"/>
      <c r="P687" s="114"/>
      <c r="Q687" s="114"/>
      <c r="R687" s="151"/>
      <c r="S687" s="152"/>
      <c r="T687" s="153"/>
      <c r="U687" s="152"/>
      <c r="V687" s="152"/>
      <c r="W687" s="152"/>
      <c r="X687" s="152"/>
      <c r="Y687" s="153"/>
      <c r="Z687" s="125" t="str">
        <f t="shared" si="16"/>
        <v/>
      </c>
      <c r="AA687" s="126" t="str">
        <f t="shared" si="17"/>
        <v/>
      </c>
      <c r="AB687" s="154" t="str">
        <f t="shared" si="18"/>
        <v/>
      </c>
      <c r="AC687" s="152"/>
      <c r="AD687" s="153"/>
      <c r="AE687" s="156"/>
    </row>
    <row r="688" ht="18.0" customHeight="1">
      <c r="A688" s="127" t="str">
        <f t="shared" si="15"/>
        <v/>
      </c>
      <c r="B688" s="128"/>
      <c r="C688" s="129"/>
      <c r="D688" s="129"/>
      <c r="E688" s="325"/>
      <c r="F688" s="131"/>
      <c r="G688" s="319"/>
      <c r="H688" s="319"/>
      <c r="I688" s="319"/>
      <c r="J688" s="132"/>
      <c r="K688" s="319"/>
      <c r="L688" s="135"/>
      <c r="M688" s="321"/>
      <c r="N688" s="322"/>
      <c r="O688" s="150"/>
      <c r="P688" s="135"/>
      <c r="Q688" s="135"/>
      <c r="R688" s="321"/>
      <c r="S688" s="322"/>
      <c r="T688" s="319"/>
      <c r="U688" s="322"/>
      <c r="V688" s="322"/>
      <c r="W688" s="322"/>
      <c r="X688" s="322"/>
      <c r="Y688" s="319"/>
      <c r="Z688" s="136" t="str">
        <f t="shared" si="16"/>
        <v/>
      </c>
      <c r="AA688" s="137" t="str">
        <f t="shared" si="17"/>
        <v/>
      </c>
      <c r="AB688" s="154" t="str">
        <f t="shared" si="18"/>
        <v/>
      </c>
      <c r="AC688" s="322"/>
      <c r="AD688" s="319"/>
      <c r="AE688" s="320"/>
    </row>
    <row r="689" ht="18.0" customHeight="1">
      <c r="A689" s="118" t="str">
        <f t="shared" si="15"/>
        <v/>
      </c>
      <c r="B689" s="109"/>
      <c r="C689" s="119"/>
      <c r="D689" s="119"/>
      <c r="E689" s="330"/>
      <c r="F689" s="121"/>
      <c r="G689" s="153"/>
      <c r="H689" s="153"/>
      <c r="I689" s="153"/>
      <c r="J689" s="112"/>
      <c r="K689" s="153"/>
      <c r="L689" s="114"/>
      <c r="M689" s="151"/>
      <c r="N689" s="152"/>
      <c r="O689" s="150"/>
      <c r="P689" s="114"/>
      <c r="Q689" s="114"/>
      <c r="R689" s="151"/>
      <c r="S689" s="152"/>
      <c r="T689" s="153"/>
      <c r="U689" s="152"/>
      <c r="V689" s="152"/>
      <c r="W689" s="152"/>
      <c r="X689" s="152"/>
      <c r="Y689" s="153"/>
      <c r="Z689" s="125" t="str">
        <f t="shared" si="16"/>
        <v/>
      </c>
      <c r="AA689" s="126" t="str">
        <f t="shared" si="17"/>
        <v/>
      </c>
      <c r="AB689" s="154" t="str">
        <f t="shared" si="18"/>
        <v/>
      </c>
      <c r="AC689" s="152"/>
      <c r="AD689" s="153"/>
      <c r="AE689" s="156"/>
    </row>
    <row r="690" ht="18.0" customHeight="1">
      <c r="A690" s="127" t="str">
        <f t="shared" si="15"/>
        <v/>
      </c>
      <c r="B690" s="128"/>
      <c r="C690" s="129"/>
      <c r="D690" s="129"/>
      <c r="E690" s="325"/>
      <c r="F690" s="131"/>
      <c r="G690" s="319"/>
      <c r="H690" s="319"/>
      <c r="I690" s="319"/>
      <c r="J690" s="132"/>
      <c r="K690" s="319"/>
      <c r="L690" s="135"/>
      <c r="M690" s="321"/>
      <c r="N690" s="322"/>
      <c r="O690" s="150"/>
      <c r="P690" s="135"/>
      <c r="Q690" s="135"/>
      <c r="R690" s="321"/>
      <c r="S690" s="322"/>
      <c r="T690" s="319"/>
      <c r="U690" s="322"/>
      <c r="V690" s="322"/>
      <c r="W690" s="322"/>
      <c r="X690" s="322"/>
      <c r="Y690" s="319"/>
      <c r="Z690" s="136" t="str">
        <f t="shared" si="16"/>
        <v/>
      </c>
      <c r="AA690" s="137" t="str">
        <f t="shared" si="17"/>
        <v/>
      </c>
      <c r="AB690" s="154" t="str">
        <f t="shared" si="18"/>
        <v/>
      </c>
      <c r="AC690" s="322"/>
      <c r="AD690" s="319"/>
      <c r="AE690" s="320"/>
    </row>
    <row r="691" ht="18.0" customHeight="1">
      <c r="A691" s="118" t="str">
        <f t="shared" si="15"/>
        <v/>
      </c>
      <c r="B691" s="109"/>
      <c r="C691" s="119"/>
      <c r="D691" s="119"/>
      <c r="E691" s="330"/>
      <c r="F691" s="121"/>
      <c r="G691" s="153"/>
      <c r="H691" s="153"/>
      <c r="I691" s="153"/>
      <c r="J691" s="112"/>
      <c r="K691" s="153"/>
      <c r="L691" s="114"/>
      <c r="M691" s="151"/>
      <c r="N691" s="152"/>
      <c r="O691" s="150"/>
      <c r="P691" s="114"/>
      <c r="Q691" s="114"/>
      <c r="R691" s="151"/>
      <c r="S691" s="152"/>
      <c r="T691" s="153"/>
      <c r="U691" s="152"/>
      <c r="V691" s="152"/>
      <c r="W691" s="152"/>
      <c r="X691" s="152"/>
      <c r="Y691" s="153"/>
      <c r="Z691" s="125" t="str">
        <f t="shared" si="16"/>
        <v/>
      </c>
      <c r="AA691" s="126" t="str">
        <f t="shared" si="17"/>
        <v/>
      </c>
      <c r="AB691" s="154" t="str">
        <f t="shared" si="18"/>
        <v/>
      </c>
      <c r="AC691" s="152"/>
      <c r="AD691" s="153"/>
      <c r="AE691" s="156"/>
    </row>
    <row r="692" ht="18.0" customHeight="1">
      <c r="A692" s="127" t="str">
        <f t="shared" si="15"/>
        <v/>
      </c>
      <c r="B692" s="128"/>
      <c r="C692" s="129"/>
      <c r="D692" s="129"/>
      <c r="E692" s="325"/>
      <c r="F692" s="131"/>
      <c r="G692" s="319"/>
      <c r="H692" s="319"/>
      <c r="I692" s="319"/>
      <c r="J692" s="132"/>
      <c r="K692" s="319"/>
      <c r="L692" s="135"/>
      <c r="M692" s="321"/>
      <c r="N692" s="322"/>
      <c r="O692" s="150"/>
      <c r="P692" s="135"/>
      <c r="Q692" s="135"/>
      <c r="R692" s="321"/>
      <c r="S692" s="322"/>
      <c r="T692" s="319"/>
      <c r="U692" s="322"/>
      <c r="V692" s="322"/>
      <c r="W692" s="322"/>
      <c r="X692" s="322"/>
      <c r="Y692" s="319"/>
      <c r="Z692" s="136" t="str">
        <f t="shared" si="16"/>
        <v/>
      </c>
      <c r="AA692" s="137" t="str">
        <f t="shared" si="17"/>
        <v/>
      </c>
      <c r="AB692" s="154" t="str">
        <f t="shared" si="18"/>
        <v/>
      </c>
      <c r="AC692" s="322"/>
      <c r="AD692" s="319"/>
      <c r="AE692" s="320"/>
    </row>
    <row r="693" ht="18.0" customHeight="1">
      <c r="A693" s="118" t="str">
        <f t="shared" si="15"/>
        <v/>
      </c>
      <c r="B693" s="109"/>
      <c r="C693" s="119"/>
      <c r="D693" s="119"/>
      <c r="E693" s="330"/>
      <c r="F693" s="121"/>
      <c r="G693" s="153"/>
      <c r="H693" s="153"/>
      <c r="I693" s="153"/>
      <c r="J693" s="112"/>
      <c r="K693" s="153"/>
      <c r="L693" s="114"/>
      <c r="M693" s="151"/>
      <c r="N693" s="152"/>
      <c r="O693" s="150"/>
      <c r="P693" s="114"/>
      <c r="Q693" s="114"/>
      <c r="R693" s="151"/>
      <c r="S693" s="152"/>
      <c r="T693" s="153"/>
      <c r="U693" s="152"/>
      <c r="V693" s="152"/>
      <c r="W693" s="152"/>
      <c r="X693" s="152"/>
      <c r="Y693" s="153"/>
      <c r="Z693" s="125" t="str">
        <f t="shared" si="16"/>
        <v/>
      </c>
      <c r="AA693" s="126" t="str">
        <f t="shared" si="17"/>
        <v/>
      </c>
      <c r="AB693" s="154" t="str">
        <f t="shared" si="18"/>
        <v/>
      </c>
      <c r="AC693" s="152"/>
      <c r="AD693" s="153"/>
      <c r="AE693" s="156"/>
    </row>
    <row r="694" ht="18.0" customHeight="1">
      <c r="A694" s="127" t="str">
        <f t="shared" si="15"/>
        <v/>
      </c>
      <c r="B694" s="128"/>
      <c r="C694" s="129"/>
      <c r="D694" s="129"/>
      <c r="E694" s="325"/>
      <c r="F694" s="131"/>
      <c r="G694" s="319"/>
      <c r="H694" s="319"/>
      <c r="I694" s="319"/>
      <c r="J694" s="132"/>
      <c r="K694" s="319"/>
      <c r="L694" s="135"/>
      <c r="M694" s="321"/>
      <c r="N694" s="322"/>
      <c r="O694" s="150"/>
      <c r="P694" s="135"/>
      <c r="Q694" s="135"/>
      <c r="R694" s="321"/>
      <c r="S694" s="322"/>
      <c r="T694" s="319"/>
      <c r="U694" s="322"/>
      <c r="V694" s="322"/>
      <c r="W694" s="322"/>
      <c r="X694" s="322"/>
      <c r="Y694" s="319"/>
      <c r="Z694" s="136" t="str">
        <f t="shared" si="16"/>
        <v/>
      </c>
      <c r="AA694" s="137" t="str">
        <f t="shared" si="17"/>
        <v/>
      </c>
      <c r="AB694" s="154" t="str">
        <f t="shared" si="18"/>
        <v/>
      </c>
      <c r="AC694" s="322"/>
      <c r="AD694" s="319"/>
      <c r="AE694" s="320"/>
    </row>
    <row r="695" ht="18.0" customHeight="1">
      <c r="A695" s="118" t="str">
        <f t="shared" si="15"/>
        <v/>
      </c>
      <c r="B695" s="109"/>
      <c r="C695" s="119"/>
      <c r="D695" s="119"/>
      <c r="E695" s="330"/>
      <c r="F695" s="121"/>
      <c r="G695" s="153"/>
      <c r="H695" s="153"/>
      <c r="I695" s="153"/>
      <c r="J695" s="112"/>
      <c r="K695" s="153"/>
      <c r="L695" s="114"/>
      <c r="M695" s="151"/>
      <c r="N695" s="152"/>
      <c r="O695" s="150"/>
      <c r="P695" s="114"/>
      <c r="Q695" s="114"/>
      <c r="R695" s="151"/>
      <c r="S695" s="152"/>
      <c r="T695" s="153"/>
      <c r="U695" s="152"/>
      <c r="V695" s="152"/>
      <c r="W695" s="152"/>
      <c r="X695" s="152"/>
      <c r="Y695" s="153"/>
      <c r="Z695" s="125" t="str">
        <f t="shared" si="16"/>
        <v/>
      </c>
      <c r="AA695" s="126" t="str">
        <f t="shared" si="17"/>
        <v/>
      </c>
      <c r="AB695" s="154" t="str">
        <f t="shared" si="18"/>
        <v/>
      </c>
      <c r="AC695" s="152"/>
      <c r="AD695" s="153"/>
      <c r="AE695" s="156"/>
    </row>
    <row r="696" ht="18.0" customHeight="1">
      <c r="A696" s="127" t="str">
        <f t="shared" si="15"/>
        <v/>
      </c>
      <c r="B696" s="128"/>
      <c r="C696" s="129"/>
      <c r="D696" s="129"/>
      <c r="E696" s="325"/>
      <c r="F696" s="131"/>
      <c r="G696" s="319"/>
      <c r="H696" s="319"/>
      <c r="I696" s="319"/>
      <c r="J696" s="132"/>
      <c r="K696" s="319"/>
      <c r="L696" s="135"/>
      <c r="M696" s="321"/>
      <c r="N696" s="322"/>
      <c r="O696" s="150"/>
      <c r="P696" s="135"/>
      <c r="Q696" s="135"/>
      <c r="R696" s="321"/>
      <c r="S696" s="322"/>
      <c r="T696" s="319"/>
      <c r="U696" s="322"/>
      <c r="V696" s="322"/>
      <c r="W696" s="322"/>
      <c r="X696" s="322"/>
      <c r="Y696" s="319"/>
      <c r="Z696" s="136" t="str">
        <f t="shared" si="16"/>
        <v/>
      </c>
      <c r="AA696" s="137" t="str">
        <f t="shared" si="17"/>
        <v/>
      </c>
      <c r="AB696" s="154" t="str">
        <f t="shared" si="18"/>
        <v/>
      </c>
      <c r="AC696" s="322"/>
      <c r="AD696" s="319"/>
      <c r="AE696" s="320"/>
    </row>
    <row r="697" ht="18.0" customHeight="1">
      <c r="A697" s="118" t="str">
        <f t="shared" si="15"/>
        <v/>
      </c>
      <c r="B697" s="109"/>
      <c r="C697" s="119"/>
      <c r="D697" s="119"/>
      <c r="E697" s="330"/>
      <c r="F697" s="121"/>
      <c r="G697" s="153"/>
      <c r="H697" s="153"/>
      <c r="I697" s="153"/>
      <c r="J697" s="112"/>
      <c r="K697" s="153"/>
      <c r="L697" s="114"/>
      <c r="M697" s="151"/>
      <c r="N697" s="152"/>
      <c r="O697" s="150"/>
      <c r="P697" s="114"/>
      <c r="Q697" s="114"/>
      <c r="R697" s="151"/>
      <c r="S697" s="152"/>
      <c r="T697" s="153"/>
      <c r="U697" s="152"/>
      <c r="V697" s="152"/>
      <c r="W697" s="152"/>
      <c r="X697" s="152"/>
      <c r="Y697" s="153"/>
      <c r="Z697" s="125" t="str">
        <f t="shared" si="16"/>
        <v/>
      </c>
      <c r="AA697" s="126" t="str">
        <f t="shared" si="17"/>
        <v/>
      </c>
      <c r="AB697" s="154" t="str">
        <f t="shared" si="18"/>
        <v/>
      </c>
      <c r="AC697" s="152"/>
      <c r="AD697" s="153"/>
      <c r="AE697" s="156"/>
    </row>
    <row r="698" ht="18.0" customHeight="1">
      <c r="A698" s="127" t="str">
        <f t="shared" si="15"/>
        <v/>
      </c>
      <c r="B698" s="128"/>
      <c r="C698" s="129"/>
      <c r="D698" s="129"/>
      <c r="E698" s="325"/>
      <c r="F698" s="131"/>
      <c r="G698" s="319"/>
      <c r="H698" s="319"/>
      <c r="I698" s="319"/>
      <c r="J698" s="132"/>
      <c r="K698" s="319"/>
      <c r="L698" s="135"/>
      <c r="M698" s="321"/>
      <c r="N698" s="322"/>
      <c r="O698" s="150"/>
      <c r="P698" s="135"/>
      <c r="Q698" s="135"/>
      <c r="R698" s="321"/>
      <c r="S698" s="322"/>
      <c r="T698" s="319"/>
      <c r="U698" s="322"/>
      <c r="V698" s="322"/>
      <c r="W698" s="322"/>
      <c r="X698" s="322"/>
      <c r="Y698" s="319"/>
      <c r="Z698" s="136" t="str">
        <f t="shared" si="16"/>
        <v/>
      </c>
      <c r="AA698" s="137" t="str">
        <f t="shared" si="17"/>
        <v/>
      </c>
      <c r="AB698" s="154" t="str">
        <f t="shared" si="18"/>
        <v/>
      </c>
      <c r="AC698" s="322"/>
      <c r="AD698" s="319"/>
      <c r="AE698" s="320"/>
    </row>
    <row r="699" ht="18.0" customHeight="1">
      <c r="A699" s="118" t="str">
        <f t="shared" si="15"/>
        <v/>
      </c>
      <c r="B699" s="109"/>
      <c r="C699" s="119"/>
      <c r="D699" s="119"/>
      <c r="E699" s="330"/>
      <c r="F699" s="121"/>
      <c r="G699" s="153"/>
      <c r="H699" s="153"/>
      <c r="I699" s="153"/>
      <c r="J699" s="112"/>
      <c r="K699" s="153"/>
      <c r="L699" s="114"/>
      <c r="M699" s="151"/>
      <c r="N699" s="152"/>
      <c r="O699" s="150"/>
      <c r="P699" s="114"/>
      <c r="Q699" s="114"/>
      <c r="R699" s="151"/>
      <c r="S699" s="152"/>
      <c r="T699" s="153"/>
      <c r="U699" s="152"/>
      <c r="V699" s="152"/>
      <c r="W699" s="152"/>
      <c r="X699" s="152"/>
      <c r="Y699" s="153"/>
      <c r="Z699" s="125" t="str">
        <f t="shared" si="16"/>
        <v/>
      </c>
      <c r="AA699" s="126" t="str">
        <f t="shared" si="17"/>
        <v/>
      </c>
      <c r="AB699" s="154" t="str">
        <f t="shared" si="18"/>
        <v/>
      </c>
      <c r="AC699" s="152"/>
      <c r="AD699" s="153"/>
      <c r="AE699" s="156"/>
    </row>
    <row r="700" ht="18.0" customHeight="1">
      <c r="A700" s="127" t="str">
        <f t="shared" si="15"/>
        <v/>
      </c>
      <c r="B700" s="128"/>
      <c r="C700" s="129"/>
      <c r="D700" s="129"/>
      <c r="E700" s="325"/>
      <c r="F700" s="131"/>
      <c r="G700" s="319"/>
      <c r="H700" s="319"/>
      <c r="I700" s="319"/>
      <c r="J700" s="132"/>
      <c r="K700" s="319"/>
      <c r="L700" s="135"/>
      <c r="M700" s="321"/>
      <c r="N700" s="322"/>
      <c r="O700" s="150"/>
      <c r="P700" s="135"/>
      <c r="Q700" s="135"/>
      <c r="R700" s="321"/>
      <c r="S700" s="322"/>
      <c r="T700" s="319"/>
      <c r="U700" s="322"/>
      <c r="V700" s="322"/>
      <c r="W700" s="322"/>
      <c r="X700" s="322"/>
      <c r="Y700" s="319"/>
      <c r="Z700" s="136" t="str">
        <f t="shared" si="16"/>
        <v/>
      </c>
      <c r="AA700" s="137" t="str">
        <f t="shared" si="17"/>
        <v/>
      </c>
      <c r="AB700" s="154" t="str">
        <f t="shared" si="18"/>
        <v/>
      </c>
      <c r="AC700" s="322"/>
      <c r="AD700" s="319"/>
      <c r="AE700" s="320"/>
    </row>
    <row r="701" ht="18.0" customHeight="1">
      <c r="A701" s="118" t="str">
        <f t="shared" si="15"/>
        <v/>
      </c>
      <c r="B701" s="109"/>
      <c r="C701" s="119"/>
      <c r="D701" s="119"/>
      <c r="E701" s="330"/>
      <c r="F701" s="121"/>
      <c r="G701" s="153"/>
      <c r="H701" s="153"/>
      <c r="I701" s="153"/>
      <c r="J701" s="112"/>
      <c r="K701" s="153"/>
      <c r="L701" s="114"/>
      <c r="M701" s="151"/>
      <c r="N701" s="152"/>
      <c r="O701" s="150"/>
      <c r="P701" s="114"/>
      <c r="Q701" s="114"/>
      <c r="R701" s="151"/>
      <c r="S701" s="152"/>
      <c r="T701" s="153"/>
      <c r="U701" s="152"/>
      <c r="V701" s="152"/>
      <c r="W701" s="152"/>
      <c r="X701" s="152"/>
      <c r="Y701" s="153"/>
      <c r="Z701" s="125" t="str">
        <f t="shared" si="16"/>
        <v/>
      </c>
      <c r="AA701" s="126" t="str">
        <f t="shared" si="17"/>
        <v/>
      </c>
      <c r="AB701" s="154" t="str">
        <f t="shared" si="18"/>
        <v/>
      </c>
      <c r="AC701" s="152"/>
      <c r="AD701" s="153"/>
      <c r="AE701" s="156"/>
    </row>
    <row r="702" ht="18.0" customHeight="1">
      <c r="A702" s="127" t="str">
        <f t="shared" si="15"/>
        <v/>
      </c>
      <c r="B702" s="128"/>
      <c r="C702" s="129"/>
      <c r="D702" s="129"/>
      <c r="E702" s="325"/>
      <c r="F702" s="131"/>
      <c r="G702" s="319"/>
      <c r="H702" s="319"/>
      <c r="I702" s="319"/>
      <c r="J702" s="132"/>
      <c r="K702" s="319"/>
      <c r="L702" s="135"/>
      <c r="M702" s="321"/>
      <c r="N702" s="322"/>
      <c r="O702" s="150"/>
      <c r="P702" s="135"/>
      <c r="Q702" s="135"/>
      <c r="R702" s="321"/>
      <c r="S702" s="322"/>
      <c r="T702" s="319"/>
      <c r="U702" s="322"/>
      <c r="V702" s="322"/>
      <c r="W702" s="322"/>
      <c r="X702" s="322"/>
      <c r="Y702" s="319"/>
      <c r="Z702" s="136" t="str">
        <f t="shared" si="16"/>
        <v/>
      </c>
      <c r="AA702" s="137" t="str">
        <f t="shared" si="17"/>
        <v/>
      </c>
      <c r="AB702" s="154" t="str">
        <f t="shared" si="18"/>
        <v/>
      </c>
      <c r="AC702" s="322"/>
      <c r="AD702" s="319"/>
      <c r="AE702" s="320"/>
    </row>
    <row r="703" ht="18.0" customHeight="1">
      <c r="A703" s="118" t="str">
        <f t="shared" si="15"/>
        <v/>
      </c>
      <c r="B703" s="109"/>
      <c r="C703" s="119"/>
      <c r="D703" s="119"/>
      <c r="E703" s="330"/>
      <c r="F703" s="121"/>
      <c r="G703" s="153"/>
      <c r="H703" s="153"/>
      <c r="I703" s="153"/>
      <c r="J703" s="112"/>
      <c r="K703" s="153"/>
      <c r="L703" s="114"/>
      <c r="M703" s="151"/>
      <c r="N703" s="152"/>
      <c r="O703" s="150"/>
      <c r="P703" s="114"/>
      <c r="Q703" s="114"/>
      <c r="R703" s="151"/>
      <c r="S703" s="152"/>
      <c r="T703" s="153"/>
      <c r="U703" s="152"/>
      <c r="V703" s="152"/>
      <c r="W703" s="152"/>
      <c r="X703" s="152"/>
      <c r="Y703" s="153"/>
      <c r="Z703" s="125" t="str">
        <f t="shared" si="16"/>
        <v/>
      </c>
      <c r="AA703" s="126" t="str">
        <f t="shared" si="17"/>
        <v/>
      </c>
      <c r="AB703" s="154" t="str">
        <f t="shared" si="18"/>
        <v/>
      </c>
      <c r="AC703" s="152"/>
      <c r="AD703" s="153"/>
      <c r="AE703" s="156"/>
    </row>
    <row r="704" ht="18.0" customHeight="1">
      <c r="A704" s="127" t="str">
        <f t="shared" si="15"/>
        <v/>
      </c>
      <c r="B704" s="128"/>
      <c r="C704" s="129"/>
      <c r="D704" s="129"/>
      <c r="E704" s="325"/>
      <c r="F704" s="131"/>
      <c r="G704" s="319"/>
      <c r="H704" s="319"/>
      <c r="I704" s="319"/>
      <c r="J704" s="132"/>
      <c r="K704" s="319"/>
      <c r="L704" s="135"/>
      <c r="M704" s="321"/>
      <c r="N704" s="322"/>
      <c r="O704" s="150"/>
      <c r="P704" s="135"/>
      <c r="Q704" s="135"/>
      <c r="R704" s="321"/>
      <c r="S704" s="322"/>
      <c r="T704" s="319"/>
      <c r="U704" s="322"/>
      <c r="V704" s="322"/>
      <c r="W704" s="322"/>
      <c r="X704" s="322"/>
      <c r="Y704" s="319"/>
      <c r="Z704" s="136" t="str">
        <f t="shared" si="16"/>
        <v/>
      </c>
      <c r="AA704" s="137" t="str">
        <f t="shared" si="17"/>
        <v/>
      </c>
      <c r="AB704" s="154" t="str">
        <f t="shared" si="18"/>
        <v/>
      </c>
      <c r="AC704" s="322"/>
      <c r="AD704" s="319"/>
      <c r="AE704" s="320"/>
    </row>
    <row r="705" ht="18.0" customHeight="1">
      <c r="A705" s="118" t="str">
        <f t="shared" si="15"/>
        <v/>
      </c>
      <c r="B705" s="109"/>
      <c r="C705" s="119"/>
      <c r="D705" s="119"/>
      <c r="E705" s="330"/>
      <c r="F705" s="121"/>
      <c r="G705" s="153"/>
      <c r="H705" s="153"/>
      <c r="I705" s="153"/>
      <c r="J705" s="112"/>
      <c r="K705" s="153"/>
      <c r="L705" s="114"/>
      <c r="M705" s="151"/>
      <c r="N705" s="152"/>
      <c r="O705" s="150"/>
      <c r="P705" s="114"/>
      <c r="Q705" s="114"/>
      <c r="R705" s="151"/>
      <c r="S705" s="152"/>
      <c r="T705" s="153"/>
      <c r="U705" s="152"/>
      <c r="V705" s="152"/>
      <c r="W705" s="152"/>
      <c r="X705" s="152"/>
      <c r="Y705" s="153"/>
      <c r="Z705" s="125" t="str">
        <f t="shared" si="16"/>
        <v/>
      </c>
      <c r="AA705" s="126" t="str">
        <f t="shared" si="17"/>
        <v/>
      </c>
      <c r="AB705" s="154" t="str">
        <f t="shared" si="18"/>
        <v/>
      </c>
      <c r="AC705" s="152"/>
      <c r="AD705" s="153"/>
      <c r="AE705" s="156"/>
    </row>
    <row r="706" ht="18.0" customHeight="1">
      <c r="A706" s="127" t="str">
        <f t="shared" si="15"/>
        <v/>
      </c>
      <c r="B706" s="128"/>
      <c r="C706" s="129"/>
      <c r="D706" s="129"/>
      <c r="E706" s="325"/>
      <c r="F706" s="131"/>
      <c r="G706" s="319"/>
      <c r="H706" s="319"/>
      <c r="I706" s="319"/>
      <c r="J706" s="132"/>
      <c r="K706" s="319"/>
      <c r="L706" s="135"/>
      <c r="M706" s="321"/>
      <c r="N706" s="322"/>
      <c r="O706" s="150"/>
      <c r="P706" s="135"/>
      <c r="Q706" s="135"/>
      <c r="R706" s="321"/>
      <c r="S706" s="322"/>
      <c r="T706" s="319"/>
      <c r="U706" s="322"/>
      <c r="V706" s="322"/>
      <c r="W706" s="322"/>
      <c r="X706" s="322"/>
      <c r="Y706" s="319"/>
      <c r="Z706" s="136" t="str">
        <f t="shared" si="16"/>
        <v/>
      </c>
      <c r="AA706" s="137" t="str">
        <f t="shared" si="17"/>
        <v/>
      </c>
      <c r="AB706" s="154" t="str">
        <f t="shared" si="18"/>
        <v/>
      </c>
      <c r="AC706" s="322"/>
      <c r="AD706" s="319"/>
      <c r="AE706" s="320"/>
    </row>
    <row r="707" ht="18.0" customHeight="1">
      <c r="A707" s="118" t="str">
        <f t="shared" si="15"/>
        <v/>
      </c>
      <c r="B707" s="109"/>
      <c r="C707" s="119"/>
      <c r="D707" s="119"/>
      <c r="E707" s="330"/>
      <c r="F707" s="121"/>
      <c r="G707" s="153"/>
      <c r="H707" s="153"/>
      <c r="I707" s="153"/>
      <c r="J707" s="112"/>
      <c r="K707" s="153"/>
      <c r="L707" s="114"/>
      <c r="M707" s="151"/>
      <c r="N707" s="152"/>
      <c r="O707" s="150"/>
      <c r="P707" s="114"/>
      <c r="Q707" s="114"/>
      <c r="R707" s="151"/>
      <c r="S707" s="152"/>
      <c r="T707" s="153"/>
      <c r="U707" s="152"/>
      <c r="V707" s="152"/>
      <c r="W707" s="152"/>
      <c r="X707" s="152"/>
      <c r="Y707" s="153"/>
      <c r="Z707" s="125" t="str">
        <f t="shared" si="16"/>
        <v/>
      </c>
      <c r="AA707" s="126" t="str">
        <f t="shared" si="17"/>
        <v/>
      </c>
      <c r="AB707" s="154" t="str">
        <f t="shared" si="18"/>
        <v/>
      </c>
      <c r="AC707" s="152"/>
      <c r="AD707" s="153"/>
      <c r="AE707" s="156"/>
    </row>
    <row r="708" ht="18.0" customHeight="1">
      <c r="A708" s="127" t="str">
        <f t="shared" si="15"/>
        <v/>
      </c>
      <c r="B708" s="128"/>
      <c r="C708" s="129"/>
      <c r="D708" s="129"/>
      <c r="E708" s="325"/>
      <c r="F708" s="131"/>
      <c r="G708" s="319"/>
      <c r="H708" s="319"/>
      <c r="I708" s="319"/>
      <c r="J708" s="132"/>
      <c r="K708" s="319"/>
      <c r="L708" s="135"/>
      <c r="M708" s="321"/>
      <c r="N708" s="322"/>
      <c r="O708" s="150"/>
      <c r="P708" s="135"/>
      <c r="Q708" s="135"/>
      <c r="R708" s="321"/>
      <c r="S708" s="322"/>
      <c r="T708" s="319"/>
      <c r="U708" s="322"/>
      <c r="V708" s="322"/>
      <c r="W708" s="322"/>
      <c r="X708" s="322"/>
      <c r="Y708" s="319"/>
      <c r="Z708" s="136" t="str">
        <f t="shared" si="16"/>
        <v/>
      </c>
      <c r="AA708" s="137" t="str">
        <f t="shared" si="17"/>
        <v/>
      </c>
      <c r="AB708" s="154" t="str">
        <f t="shared" si="18"/>
        <v/>
      </c>
      <c r="AC708" s="322"/>
      <c r="AD708" s="319"/>
      <c r="AE708" s="320"/>
    </row>
    <row r="709" ht="18.0" customHeight="1">
      <c r="A709" s="118" t="str">
        <f t="shared" si="15"/>
        <v/>
      </c>
      <c r="B709" s="109"/>
      <c r="C709" s="119"/>
      <c r="D709" s="119"/>
      <c r="E709" s="330"/>
      <c r="F709" s="121"/>
      <c r="G709" s="153"/>
      <c r="H709" s="153"/>
      <c r="I709" s="153"/>
      <c r="J709" s="112"/>
      <c r="K709" s="153"/>
      <c r="L709" s="114"/>
      <c r="M709" s="151"/>
      <c r="N709" s="152"/>
      <c r="O709" s="150"/>
      <c r="P709" s="114"/>
      <c r="Q709" s="114"/>
      <c r="R709" s="151"/>
      <c r="S709" s="152"/>
      <c r="T709" s="153"/>
      <c r="U709" s="152"/>
      <c r="V709" s="152"/>
      <c r="W709" s="152"/>
      <c r="X709" s="152"/>
      <c r="Y709" s="153"/>
      <c r="Z709" s="125" t="str">
        <f t="shared" si="16"/>
        <v/>
      </c>
      <c r="AA709" s="126" t="str">
        <f t="shared" si="17"/>
        <v/>
      </c>
      <c r="AB709" s="154" t="str">
        <f t="shared" si="18"/>
        <v/>
      </c>
      <c r="AC709" s="152"/>
      <c r="AD709" s="153"/>
      <c r="AE709" s="156"/>
    </row>
    <row r="710" ht="18.0" customHeight="1">
      <c r="A710" s="127" t="str">
        <f t="shared" si="15"/>
        <v/>
      </c>
      <c r="B710" s="128"/>
      <c r="C710" s="129"/>
      <c r="D710" s="129"/>
      <c r="E710" s="325"/>
      <c r="F710" s="131"/>
      <c r="G710" s="319"/>
      <c r="H710" s="319"/>
      <c r="I710" s="319"/>
      <c r="J710" s="132"/>
      <c r="K710" s="319"/>
      <c r="L710" s="135"/>
      <c r="M710" s="321"/>
      <c r="N710" s="322"/>
      <c r="O710" s="150"/>
      <c r="P710" s="135"/>
      <c r="Q710" s="135"/>
      <c r="R710" s="321"/>
      <c r="S710" s="322"/>
      <c r="T710" s="319"/>
      <c r="U710" s="322"/>
      <c r="V710" s="322"/>
      <c r="W710" s="322"/>
      <c r="X710" s="322"/>
      <c r="Y710" s="319"/>
      <c r="Z710" s="136" t="str">
        <f t="shared" si="16"/>
        <v/>
      </c>
      <c r="AA710" s="137" t="str">
        <f t="shared" si="17"/>
        <v/>
      </c>
      <c r="AB710" s="154" t="str">
        <f t="shared" si="18"/>
        <v/>
      </c>
      <c r="AC710" s="322"/>
      <c r="AD710" s="319"/>
      <c r="AE710" s="320"/>
    </row>
    <row r="711" ht="18.0" customHeight="1">
      <c r="A711" s="118" t="str">
        <f t="shared" si="15"/>
        <v/>
      </c>
      <c r="B711" s="109"/>
      <c r="C711" s="119"/>
      <c r="D711" s="119"/>
      <c r="E711" s="330"/>
      <c r="F711" s="121"/>
      <c r="G711" s="153"/>
      <c r="H711" s="153"/>
      <c r="I711" s="153"/>
      <c r="J711" s="112"/>
      <c r="K711" s="153"/>
      <c r="L711" s="114"/>
      <c r="M711" s="151"/>
      <c r="N711" s="152"/>
      <c r="O711" s="150"/>
      <c r="P711" s="114"/>
      <c r="Q711" s="114"/>
      <c r="R711" s="151"/>
      <c r="S711" s="152"/>
      <c r="T711" s="153"/>
      <c r="U711" s="152"/>
      <c r="V711" s="152"/>
      <c r="W711" s="152"/>
      <c r="X711" s="152"/>
      <c r="Y711" s="153"/>
      <c r="Z711" s="125" t="str">
        <f t="shared" si="16"/>
        <v/>
      </c>
      <c r="AA711" s="126" t="str">
        <f t="shared" si="17"/>
        <v/>
      </c>
      <c r="AB711" s="154" t="str">
        <f t="shared" si="18"/>
        <v/>
      </c>
      <c r="AC711" s="152"/>
      <c r="AD711" s="153"/>
      <c r="AE711" s="156"/>
    </row>
    <row r="712" ht="18.0" customHeight="1">
      <c r="A712" s="127" t="str">
        <f t="shared" si="15"/>
        <v/>
      </c>
      <c r="B712" s="128"/>
      <c r="C712" s="129"/>
      <c r="D712" s="129"/>
      <c r="E712" s="325"/>
      <c r="F712" s="131"/>
      <c r="G712" s="319"/>
      <c r="H712" s="319"/>
      <c r="I712" s="319"/>
      <c r="J712" s="132"/>
      <c r="K712" s="319"/>
      <c r="L712" s="135"/>
      <c r="M712" s="321"/>
      <c r="N712" s="322"/>
      <c r="O712" s="150"/>
      <c r="P712" s="135"/>
      <c r="Q712" s="135"/>
      <c r="R712" s="321"/>
      <c r="S712" s="322"/>
      <c r="T712" s="319"/>
      <c r="U712" s="322"/>
      <c r="V712" s="322"/>
      <c r="W712" s="322"/>
      <c r="X712" s="322"/>
      <c r="Y712" s="319"/>
      <c r="Z712" s="136" t="str">
        <f t="shared" si="16"/>
        <v/>
      </c>
      <c r="AA712" s="137" t="str">
        <f t="shared" si="17"/>
        <v/>
      </c>
      <c r="AB712" s="154" t="str">
        <f t="shared" si="18"/>
        <v/>
      </c>
      <c r="AC712" s="322"/>
      <c r="AD712" s="319"/>
      <c r="AE712" s="320"/>
    </row>
    <row r="713" ht="18.0" customHeight="1">
      <c r="A713" s="118" t="str">
        <f t="shared" si="15"/>
        <v/>
      </c>
      <c r="B713" s="109"/>
      <c r="C713" s="119"/>
      <c r="D713" s="119"/>
      <c r="E713" s="330"/>
      <c r="F713" s="121"/>
      <c r="G713" s="153"/>
      <c r="H713" s="153"/>
      <c r="I713" s="153"/>
      <c r="J713" s="112"/>
      <c r="K713" s="153"/>
      <c r="L713" s="114"/>
      <c r="M713" s="151"/>
      <c r="N713" s="152"/>
      <c r="O713" s="150"/>
      <c r="P713" s="114"/>
      <c r="Q713" s="114"/>
      <c r="R713" s="151"/>
      <c r="S713" s="152"/>
      <c r="T713" s="153"/>
      <c r="U713" s="152"/>
      <c r="V713" s="152"/>
      <c r="W713" s="152"/>
      <c r="X713" s="152"/>
      <c r="Y713" s="153"/>
      <c r="Z713" s="125" t="str">
        <f t="shared" si="16"/>
        <v/>
      </c>
      <c r="AA713" s="126" t="str">
        <f t="shared" si="17"/>
        <v/>
      </c>
      <c r="AB713" s="154" t="str">
        <f t="shared" si="18"/>
        <v/>
      </c>
      <c r="AC713" s="152"/>
      <c r="AD713" s="153"/>
      <c r="AE713" s="156"/>
    </row>
    <row r="714" ht="18.0" customHeight="1">
      <c r="A714" s="127" t="str">
        <f t="shared" si="15"/>
        <v/>
      </c>
      <c r="B714" s="128"/>
      <c r="C714" s="129"/>
      <c r="D714" s="129"/>
      <c r="E714" s="325"/>
      <c r="F714" s="131"/>
      <c r="G714" s="319"/>
      <c r="H714" s="319"/>
      <c r="I714" s="319"/>
      <c r="J714" s="132"/>
      <c r="K714" s="319"/>
      <c r="L714" s="135"/>
      <c r="M714" s="321"/>
      <c r="N714" s="322"/>
      <c r="O714" s="150"/>
      <c r="P714" s="135"/>
      <c r="Q714" s="135"/>
      <c r="R714" s="321"/>
      <c r="S714" s="322"/>
      <c r="T714" s="319"/>
      <c r="U714" s="322"/>
      <c r="V714" s="322"/>
      <c r="W714" s="322"/>
      <c r="X714" s="322"/>
      <c r="Y714" s="319"/>
      <c r="Z714" s="136" t="str">
        <f t="shared" si="16"/>
        <v/>
      </c>
      <c r="AA714" s="137" t="str">
        <f t="shared" si="17"/>
        <v/>
      </c>
      <c r="AB714" s="154" t="str">
        <f t="shared" si="18"/>
        <v/>
      </c>
      <c r="AC714" s="322"/>
      <c r="AD714" s="319"/>
      <c r="AE714" s="320"/>
    </row>
    <row r="715" ht="18.0" customHeight="1">
      <c r="A715" s="118" t="str">
        <f t="shared" si="15"/>
        <v/>
      </c>
      <c r="B715" s="109"/>
      <c r="C715" s="119"/>
      <c r="D715" s="119"/>
      <c r="E715" s="330"/>
      <c r="F715" s="121"/>
      <c r="G715" s="153"/>
      <c r="H715" s="153"/>
      <c r="I715" s="153"/>
      <c r="J715" s="112"/>
      <c r="K715" s="153"/>
      <c r="L715" s="114"/>
      <c r="M715" s="151"/>
      <c r="N715" s="152"/>
      <c r="O715" s="150"/>
      <c r="P715" s="114"/>
      <c r="Q715" s="114"/>
      <c r="R715" s="151"/>
      <c r="S715" s="152"/>
      <c r="T715" s="153"/>
      <c r="U715" s="152"/>
      <c r="V715" s="152"/>
      <c r="W715" s="152"/>
      <c r="X715" s="152"/>
      <c r="Y715" s="153"/>
      <c r="Z715" s="125" t="str">
        <f t="shared" si="16"/>
        <v/>
      </c>
      <c r="AA715" s="126" t="str">
        <f t="shared" si="17"/>
        <v/>
      </c>
      <c r="AB715" s="154" t="str">
        <f t="shared" si="18"/>
        <v/>
      </c>
      <c r="AC715" s="152"/>
      <c r="AD715" s="153"/>
      <c r="AE715" s="156"/>
    </row>
    <row r="716" ht="18.0" customHeight="1">
      <c r="A716" s="127" t="str">
        <f t="shared" si="15"/>
        <v/>
      </c>
      <c r="B716" s="128"/>
      <c r="C716" s="129"/>
      <c r="D716" s="129"/>
      <c r="E716" s="325"/>
      <c r="F716" s="131"/>
      <c r="G716" s="319"/>
      <c r="H716" s="319"/>
      <c r="I716" s="319"/>
      <c r="J716" s="132"/>
      <c r="K716" s="319"/>
      <c r="L716" s="135"/>
      <c r="M716" s="321"/>
      <c r="N716" s="322"/>
      <c r="O716" s="150"/>
      <c r="P716" s="135"/>
      <c r="Q716" s="135"/>
      <c r="R716" s="321"/>
      <c r="S716" s="322"/>
      <c r="T716" s="319"/>
      <c r="U716" s="322"/>
      <c r="V716" s="322"/>
      <c r="W716" s="322"/>
      <c r="X716" s="322"/>
      <c r="Y716" s="319"/>
      <c r="Z716" s="136" t="str">
        <f t="shared" si="16"/>
        <v/>
      </c>
      <c r="AA716" s="137" t="str">
        <f t="shared" si="17"/>
        <v/>
      </c>
      <c r="AB716" s="154" t="str">
        <f t="shared" si="18"/>
        <v/>
      </c>
      <c r="AC716" s="322"/>
      <c r="AD716" s="319"/>
      <c r="AE716" s="320"/>
    </row>
    <row r="717" ht="18.0" customHeight="1">
      <c r="A717" s="118" t="str">
        <f t="shared" si="15"/>
        <v/>
      </c>
      <c r="B717" s="109"/>
      <c r="C717" s="119"/>
      <c r="D717" s="119"/>
      <c r="E717" s="330"/>
      <c r="F717" s="121"/>
      <c r="G717" s="153"/>
      <c r="H717" s="153"/>
      <c r="I717" s="153"/>
      <c r="J717" s="112"/>
      <c r="K717" s="153"/>
      <c r="L717" s="114"/>
      <c r="M717" s="151"/>
      <c r="N717" s="152"/>
      <c r="O717" s="150"/>
      <c r="P717" s="114"/>
      <c r="Q717" s="114"/>
      <c r="R717" s="151"/>
      <c r="S717" s="152"/>
      <c r="T717" s="153"/>
      <c r="U717" s="152"/>
      <c r="V717" s="152"/>
      <c r="W717" s="152"/>
      <c r="X717" s="152"/>
      <c r="Y717" s="153"/>
      <c r="Z717" s="125" t="str">
        <f t="shared" si="16"/>
        <v/>
      </c>
      <c r="AA717" s="126" t="str">
        <f t="shared" si="17"/>
        <v/>
      </c>
      <c r="AB717" s="154" t="str">
        <f t="shared" si="18"/>
        <v/>
      </c>
      <c r="AC717" s="152"/>
      <c r="AD717" s="153"/>
      <c r="AE717" s="156"/>
    </row>
    <row r="718" ht="18.0" customHeight="1">
      <c r="A718" s="127" t="str">
        <f t="shared" si="15"/>
        <v/>
      </c>
      <c r="B718" s="128"/>
      <c r="C718" s="129"/>
      <c r="D718" s="129"/>
      <c r="E718" s="325"/>
      <c r="F718" s="131"/>
      <c r="G718" s="319"/>
      <c r="H718" s="319"/>
      <c r="I718" s="319"/>
      <c r="J718" s="132"/>
      <c r="K718" s="319"/>
      <c r="L718" s="135"/>
      <c r="M718" s="321"/>
      <c r="N718" s="322"/>
      <c r="O718" s="150"/>
      <c r="P718" s="135"/>
      <c r="Q718" s="135"/>
      <c r="R718" s="321"/>
      <c r="S718" s="322"/>
      <c r="T718" s="319"/>
      <c r="U718" s="322"/>
      <c r="V718" s="322"/>
      <c r="W718" s="322"/>
      <c r="X718" s="322"/>
      <c r="Y718" s="319"/>
      <c r="Z718" s="136" t="str">
        <f t="shared" si="16"/>
        <v/>
      </c>
      <c r="AA718" s="137" t="str">
        <f t="shared" si="17"/>
        <v/>
      </c>
      <c r="AB718" s="154" t="str">
        <f t="shared" si="18"/>
        <v/>
      </c>
      <c r="AC718" s="322"/>
      <c r="AD718" s="319"/>
      <c r="AE718" s="320"/>
    </row>
    <row r="719" ht="18.0" customHeight="1">
      <c r="A719" s="118" t="str">
        <f t="shared" si="15"/>
        <v/>
      </c>
      <c r="B719" s="109"/>
      <c r="C719" s="119"/>
      <c r="D719" s="119"/>
      <c r="E719" s="330"/>
      <c r="F719" s="121"/>
      <c r="G719" s="153"/>
      <c r="H719" s="153"/>
      <c r="I719" s="153"/>
      <c r="J719" s="112"/>
      <c r="K719" s="153"/>
      <c r="L719" s="114"/>
      <c r="M719" s="151"/>
      <c r="N719" s="152"/>
      <c r="O719" s="150"/>
      <c r="P719" s="114"/>
      <c r="Q719" s="114"/>
      <c r="R719" s="151"/>
      <c r="S719" s="152"/>
      <c r="T719" s="153"/>
      <c r="U719" s="152"/>
      <c r="V719" s="152"/>
      <c r="W719" s="152"/>
      <c r="X719" s="152"/>
      <c r="Y719" s="153"/>
      <c r="Z719" s="125" t="str">
        <f t="shared" si="16"/>
        <v/>
      </c>
      <c r="AA719" s="126" t="str">
        <f t="shared" si="17"/>
        <v/>
      </c>
      <c r="AB719" s="154" t="str">
        <f t="shared" si="18"/>
        <v/>
      </c>
      <c r="AC719" s="152"/>
      <c r="AD719" s="153"/>
      <c r="AE719" s="156"/>
    </row>
    <row r="720" ht="18.0" customHeight="1">
      <c r="A720" s="127" t="str">
        <f t="shared" si="15"/>
        <v/>
      </c>
      <c r="B720" s="128"/>
      <c r="C720" s="129"/>
      <c r="D720" s="129"/>
      <c r="E720" s="325"/>
      <c r="F720" s="131"/>
      <c r="G720" s="319"/>
      <c r="H720" s="319"/>
      <c r="I720" s="319"/>
      <c r="J720" s="132"/>
      <c r="K720" s="319"/>
      <c r="L720" s="135"/>
      <c r="M720" s="321"/>
      <c r="N720" s="322"/>
      <c r="O720" s="150"/>
      <c r="P720" s="135"/>
      <c r="Q720" s="135"/>
      <c r="R720" s="321"/>
      <c r="S720" s="322"/>
      <c r="T720" s="319"/>
      <c r="U720" s="322"/>
      <c r="V720" s="322"/>
      <c r="W720" s="322"/>
      <c r="X720" s="322"/>
      <c r="Y720" s="319"/>
      <c r="Z720" s="136" t="str">
        <f t="shared" si="16"/>
        <v/>
      </c>
      <c r="AA720" s="137" t="str">
        <f t="shared" si="17"/>
        <v/>
      </c>
      <c r="AB720" s="154" t="str">
        <f t="shared" si="18"/>
        <v/>
      </c>
      <c r="AC720" s="322"/>
      <c r="AD720" s="319"/>
      <c r="AE720" s="320"/>
    </row>
    <row r="721" ht="18.0" customHeight="1">
      <c r="A721" s="118" t="str">
        <f t="shared" si="15"/>
        <v/>
      </c>
      <c r="B721" s="109"/>
      <c r="C721" s="119"/>
      <c r="D721" s="119"/>
      <c r="E721" s="330"/>
      <c r="F721" s="121"/>
      <c r="G721" s="153"/>
      <c r="H721" s="153"/>
      <c r="I721" s="153"/>
      <c r="J721" s="112"/>
      <c r="K721" s="153"/>
      <c r="L721" s="114"/>
      <c r="M721" s="151"/>
      <c r="N721" s="152"/>
      <c r="O721" s="150"/>
      <c r="P721" s="114"/>
      <c r="Q721" s="114"/>
      <c r="R721" s="151"/>
      <c r="S721" s="152"/>
      <c r="T721" s="153"/>
      <c r="U721" s="152"/>
      <c r="V721" s="152"/>
      <c r="W721" s="152"/>
      <c r="X721" s="152"/>
      <c r="Y721" s="153"/>
      <c r="Z721" s="125" t="str">
        <f t="shared" si="16"/>
        <v/>
      </c>
      <c r="AA721" s="126" t="str">
        <f t="shared" si="17"/>
        <v/>
      </c>
      <c r="AB721" s="154" t="str">
        <f t="shared" si="18"/>
        <v/>
      </c>
      <c r="AC721" s="152"/>
      <c r="AD721" s="153"/>
      <c r="AE721" s="156"/>
    </row>
    <row r="722" ht="18.0" customHeight="1">
      <c r="A722" s="127" t="str">
        <f t="shared" si="15"/>
        <v/>
      </c>
      <c r="B722" s="128"/>
      <c r="C722" s="129"/>
      <c r="D722" s="129"/>
      <c r="E722" s="325"/>
      <c r="F722" s="131"/>
      <c r="G722" s="319"/>
      <c r="H722" s="319"/>
      <c r="I722" s="319"/>
      <c r="J722" s="132"/>
      <c r="K722" s="319"/>
      <c r="L722" s="135"/>
      <c r="M722" s="321"/>
      <c r="N722" s="322"/>
      <c r="O722" s="150"/>
      <c r="P722" s="135"/>
      <c r="Q722" s="135"/>
      <c r="R722" s="321"/>
      <c r="S722" s="322"/>
      <c r="T722" s="319"/>
      <c r="U722" s="322"/>
      <c r="V722" s="322"/>
      <c r="W722" s="322"/>
      <c r="X722" s="322"/>
      <c r="Y722" s="319"/>
      <c r="Z722" s="136" t="str">
        <f t="shared" si="16"/>
        <v/>
      </c>
      <c r="AA722" s="137" t="str">
        <f t="shared" si="17"/>
        <v/>
      </c>
      <c r="AB722" s="154" t="str">
        <f t="shared" si="18"/>
        <v/>
      </c>
      <c r="AC722" s="322"/>
      <c r="AD722" s="319"/>
      <c r="AE722" s="320"/>
    </row>
    <row r="723" ht="18.0" customHeight="1">
      <c r="A723" s="118" t="str">
        <f t="shared" si="15"/>
        <v/>
      </c>
      <c r="B723" s="109"/>
      <c r="C723" s="119"/>
      <c r="D723" s="119"/>
      <c r="E723" s="330"/>
      <c r="F723" s="121"/>
      <c r="G723" s="153"/>
      <c r="H723" s="153"/>
      <c r="I723" s="153"/>
      <c r="J723" s="112"/>
      <c r="K723" s="153"/>
      <c r="L723" s="114"/>
      <c r="M723" s="151"/>
      <c r="N723" s="152"/>
      <c r="O723" s="150"/>
      <c r="P723" s="114"/>
      <c r="Q723" s="114"/>
      <c r="R723" s="151"/>
      <c r="S723" s="152"/>
      <c r="T723" s="153"/>
      <c r="U723" s="152"/>
      <c r="V723" s="152"/>
      <c r="W723" s="152"/>
      <c r="X723" s="152"/>
      <c r="Y723" s="153"/>
      <c r="Z723" s="125" t="str">
        <f t="shared" si="16"/>
        <v/>
      </c>
      <c r="AA723" s="126" t="str">
        <f t="shared" si="17"/>
        <v/>
      </c>
      <c r="AB723" s="154" t="str">
        <f t="shared" si="18"/>
        <v/>
      </c>
      <c r="AC723" s="152"/>
      <c r="AD723" s="153"/>
      <c r="AE723" s="156"/>
    </row>
    <row r="724" ht="18.0" customHeight="1">
      <c r="A724" s="127" t="str">
        <f t="shared" si="15"/>
        <v/>
      </c>
      <c r="B724" s="128"/>
      <c r="C724" s="129"/>
      <c r="D724" s="129"/>
      <c r="E724" s="325"/>
      <c r="F724" s="131"/>
      <c r="G724" s="319"/>
      <c r="H724" s="319"/>
      <c r="I724" s="319"/>
      <c r="J724" s="132"/>
      <c r="K724" s="319"/>
      <c r="L724" s="135"/>
      <c r="M724" s="321"/>
      <c r="N724" s="322"/>
      <c r="O724" s="150"/>
      <c r="P724" s="135"/>
      <c r="Q724" s="135"/>
      <c r="R724" s="321"/>
      <c r="S724" s="322"/>
      <c r="T724" s="319"/>
      <c r="U724" s="322"/>
      <c r="V724" s="322"/>
      <c r="W724" s="322"/>
      <c r="X724" s="322"/>
      <c r="Y724" s="319"/>
      <c r="Z724" s="136" t="str">
        <f t="shared" si="16"/>
        <v/>
      </c>
      <c r="AA724" s="137" t="str">
        <f t="shared" si="17"/>
        <v/>
      </c>
      <c r="AB724" s="154" t="str">
        <f t="shared" si="18"/>
        <v/>
      </c>
      <c r="AC724" s="322"/>
      <c r="AD724" s="319"/>
      <c r="AE724" s="320"/>
    </row>
    <row r="725" ht="18.0" customHeight="1">
      <c r="A725" s="118" t="str">
        <f t="shared" si="15"/>
        <v/>
      </c>
      <c r="B725" s="109"/>
      <c r="C725" s="119"/>
      <c r="D725" s="119"/>
      <c r="E725" s="330"/>
      <c r="F725" s="121"/>
      <c r="G725" s="153"/>
      <c r="H725" s="153"/>
      <c r="I725" s="153"/>
      <c r="J725" s="112"/>
      <c r="K725" s="153"/>
      <c r="L725" s="114"/>
      <c r="M725" s="151"/>
      <c r="N725" s="152"/>
      <c r="O725" s="150"/>
      <c r="P725" s="114"/>
      <c r="Q725" s="114"/>
      <c r="R725" s="151"/>
      <c r="S725" s="152"/>
      <c r="T725" s="153"/>
      <c r="U725" s="152"/>
      <c r="V725" s="152"/>
      <c r="W725" s="152"/>
      <c r="X725" s="152"/>
      <c r="Y725" s="153"/>
      <c r="Z725" s="125" t="str">
        <f t="shared" si="16"/>
        <v/>
      </c>
      <c r="AA725" s="126" t="str">
        <f t="shared" si="17"/>
        <v/>
      </c>
      <c r="AB725" s="154" t="str">
        <f t="shared" si="18"/>
        <v/>
      </c>
      <c r="AC725" s="152"/>
      <c r="AD725" s="153"/>
      <c r="AE725" s="156"/>
    </row>
    <row r="726" ht="18.0" customHeight="1">
      <c r="A726" s="127" t="str">
        <f t="shared" si="15"/>
        <v/>
      </c>
      <c r="B726" s="128"/>
      <c r="C726" s="129"/>
      <c r="D726" s="129"/>
      <c r="E726" s="325"/>
      <c r="F726" s="131"/>
      <c r="G726" s="319"/>
      <c r="H726" s="319"/>
      <c r="I726" s="319"/>
      <c r="J726" s="132"/>
      <c r="K726" s="319"/>
      <c r="L726" s="135"/>
      <c r="M726" s="321"/>
      <c r="N726" s="322"/>
      <c r="O726" s="150"/>
      <c r="P726" s="135"/>
      <c r="Q726" s="135"/>
      <c r="R726" s="321"/>
      <c r="S726" s="322"/>
      <c r="T726" s="319"/>
      <c r="U726" s="322"/>
      <c r="V726" s="322"/>
      <c r="W726" s="322"/>
      <c r="X726" s="322"/>
      <c r="Y726" s="319"/>
      <c r="Z726" s="136" t="str">
        <f t="shared" si="16"/>
        <v/>
      </c>
      <c r="AA726" s="137" t="str">
        <f t="shared" si="17"/>
        <v/>
      </c>
      <c r="AB726" s="154" t="str">
        <f t="shared" si="18"/>
        <v/>
      </c>
      <c r="AC726" s="322"/>
      <c r="AD726" s="319"/>
      <c r="AE726" s="320"/>
    </row>
    <row r="727" ht="18.0" customHeight="1">
      <c r="A727" s="118" t="str">
        <f t="shared" si="15"/>
        <v/>
      </c>
      <c r="B727" s="109"/>
      <c r="C727" s="119"/>
      <c r="D727" s="119"/>
      <c r="E727" s="330"/>
      <c r="F727" s="121"/>
      <c r="G727" s="153"/>
      <c r="H727" s="153"/>
      <c r="I727" s="153"/>
      <c r="J727" s="112"/>
      <c r="K727" s="153"/>
      <c r="L727" s="114"/>
      <c r="M727" s="151"/>
      <c r="N727" s="152"/>
      <c r="O727" s="150"/>
      <c r="P727" s="114"/>
      <c r="Q727" s="114"/>
      <c r="R727" s="151"/>
      <c r="S727" s="152"/>
      <c r="T727" s="153"/>
      <c r="U727" s="152"/>
      <c r="V727" s="152"/>
      <c r="W727" s="152"/>
      <c r="X727" s="152"/>
      <c r="Y727" s="153"/>
      <c r="Z727" s="125" t="str">
        <f t="shared" si="16"/>
        <v/>
      </c>
      <c r="AA727" s="126" t="str">
        <f t="shared" si="17"/>
        <v/>
      </c>
      <c r="AB727" s="154" t="str">
        <f t="shared" si="18"/>
        <v/>
      </c>
      <c r="AC727" s="152"/>
      <c r="AD727" s="153"/>
      <c r="AE727" s="156"/>
    </row>
    <row r="728" ht="18.0" customHeight="1">
      <c r="A728" s="127" t="str">
        <f t="shared" si="15"/>
        <v/>
      </c>
      <c r="B728" s="128"/>
      <c r="C728" s="129"/>
      <c r="D728" s="129"/>
      <c r="E728" s="325"/>
      <c r="F728" s="131"/>
      <c r="G728" s="319"/>
      <c r="H728" s="319"/>
      <c r="I728" s="319"/>
      <c r="J728" s="132"/>
      <c r="K728" s="319"/>
      <c r="L728" s="135"/>
      <c r="M728" s="321"/>
      <c r="N728" s="322"/>
      <c r="O728" s="150"/>
      <c r="P728" s="135"/>
      <c r="Q728" s="135"/>
      <c r="R728" s="321"/>
      <c r="S728" s="322"/>
      <c r="T728" s="319"/>
      <c r="U728" s="322"/>
      <c r="V728" s="322"/>
      <c r="W728" s="322"/>
      <c r="X728" s="322"/>
      <c r="Y728" s="319"/>
      <c r="Z728" s="136" t="str">
        <f t="shared" si="16"/>
        <v/>
      </c>
      <c r="AA728" s="137" t="str">
        <f t="shared" si="17"/>
        <v/>
      </c>
      <c r="AB728" s="154" t="str">
        <f t="shared" si="18"/>
        <v/>
      </c>
      <c r="AC728" s="322"/>
      <c r="AD728" s="319"/>
      <c r="AE728" s="320"/>
    </row>
    <row r="729" ht="18.0" customHeight="1">
      <c r="A729" s="118" t="str">
        <f t="shared" si="15"/>
        <v/>
      </c>
      <c r="B729" s="109"/>
      <c r="C729" s="119"/>
      <c r="D729" s="119"/>
      <c r="E729" s="330"/>
      <c r="F729" s="121"/>
      <c r="G729" s="153"/>
      <c r="H729" s="153"/>
      <c r="I729" s="153"/>
      <c r="J729" s="112"/>
      <c r="K729" s="153"/>
      <c r="L729" s="114"/>
      <c r="M729" s="151"/>
      <c r="N729" s="152"/>
      <c r="O729" s="150"/>
      <c r="P729" s="114"/>
      <c r="Q729" s="114"/>
      <c r="R729" s="151"/>
      <c r="S729" s="152"/>
      <c r="T729" s="153"/>
      <c r="U729" s="152"/>
      <c r="V729" s="152"/>
      <c r="W729" s="152"/>
      <c r="X729" s="152"/>
      <c r="Y729" s="153"/>
      <c r="Z729" s="125" t="str">
        <f t="shared" si="16"/>
        <v/>
      </c>
      <c r="AA729" s="126" t="str">
        <f t="shared" si="17"/>
        <v/>
      </c>
      <c r="AB729" s="154" t="str">
        <f t="shared" si="18"/>
        <v/>
      </c>
      <c r="AC729" s="152"/>
      <c r="AD729" s="153"/>
      <c r="AE729" s="156"/>
    </row>
    <row r="730" ht="18.0" customHeight="1">
      <c r="A730" s="127" t="str">
        <f t="shared" si="15"/>
        <v/>
      </c>
      <c r="B730" s="128"/>
      <c r="C730" s="129"/>
      <c r="D730" s="129"/>
      <c r="E730" s="325"/>
      <c r="F730" s="131"/>
      <c r="G730" s="319"/>
      <c r="H730" s="319"/>
      <c r="I730" s="319"/>
      <c r="J730" s="132"/>
      <c r="K730" s="319"/>
      <c r="L730" s="135"/>
      <c r="M730" s="321"/>
      <c r="N730" s="322"/>
      <c r="O730" s="150"/>
      <c r="P730" s="135"/>
      <c r="Q730" s="135"/>
      <c r="R730" s="321"/>
      <c r="S730" s="322"/>
      <c r="T730" s="319"/>
      <c r="U730" s="322"/>
      <c r="V730" s="322"/>
      <c r="W730" s="322"/>
      <c r="X730" s="322"/>
      <c r="Y730" s="319"/>
      <c r="Z730" s="136" t="str">
        <f t="shared" si="16"/>
        <v/>
      </c>
      <c r="AA730" s="137" t="str">
        <f t="shared" si="17"/>
        <v/>
      </c>
      <c r="AB730" s="154" t="str">
        <f t="shared" si="18"/>
        <v/>
      </c>
      <c r="AC730" s="322"/>
      <c r="AD730" s="319"/>
      <c r="AE730" s="320"/>
    </row>
    <row r="731" ht="18.0" customHeight="1">
      <c r="A731" s="118" t="str">
        <f t="shared" si="15"/>
        <v/>
      </c>
      <c r="B731" s="109"/>
      <c r="C731" s="119"/>
      <c r="D731" s="119"/>
      <c r="E731" s="330"/>
      <c r="F731" s="121"/>
      <c r="G731" s="153"/>
      <c r="H731" s="153"/>
      <c r="I731" s="153"/>
      <c r="J731" s="112"/>
      <c r="K731" s="153"/>
      <c r="L731" s="114"/>
      <c r="M731" s="151"/>
      <c r="N731" s="152"/>
      <c r="O731" s="150"/>
      <c r="P731" s="114"/>
      <c r="Q731" s="114"/>
      <c r="R731" s="151"/>
      <c r="S731" s="152"/>
      <c r="T731" s="153"/>
      <c r="U731" s="152"/>
      <c r="V731" s="152"/>
      <c r="W731" s="152"/>
      <c r="X731" s="152"/>
      <c r="Y731" s="153"/>
      <c r="Z731" s="125" t="str">
        <f t="shared" si="16"/>
        <v/>
      </c>
      <c r="AA731" s="126" t="str">
        <f t="shared" si="17"/>
        <v/>
      </c>
      <c r="AB731" s="154" t="str">
        <f t="shared" si="18"/>
        <v/>
      </c>
      <c r="AC731" s="152"/>
      <c r="AD731" s="153"/>
      <c r="AE731" s="156"/>
    </row>
    <row r="732" ht="18.0" customHeight="1">
      <c r="A732" s="127" t="str">
        <f t="shared" si="15"/>
        <v/>
      </c>
      <c r="B732" s="128"/>
      <c r="C732" s="129"/>
      <c r="D732" s="129"/>
      <c r="E732" s="325"/>
      <c r="F732" s="131"/>
      <c r="G732" s="319"/>
      <c r="H732" s="319"/>
      <c r="I732" s="319"/>
      <c r="J732" s="132"/>
      <c r="K732" s="319"/>
      <c r="L732" s="135"/>
      <c r="M732" s="321"/>
      <c r="N732" s="322"/>
      <c r="O732" s="150"/>
      <c r="P732" s="135"/>
      <c r="Q732" s="135"/>
      <c r="R732" s="321"/>
      <c r="S732" s="322"/>
      <c r="T732" s="319"/>
      <c r="U732" s="322"/>
      <c r="V732" s="322"/>
      <c r="W732" s="322"/>
      <c r="X732" s="322"/>
      <c r="Y732" s="319"/>
      <c r="Z732" s="136" t="str">
        <f t="shared" si="16"/>
        <v/>
      </c>
      <c r="AA732" s="137" t="str">
        <f t="shared" si="17"/>
        <v/>
      </c>
      <c r="AB732" s="154" t="str">
        <f t="shared" si="18"/>
        <v/>
      </c>
      <c r="AC732" s="322"/>
      <c r="AD732" s="319"/>
      <c r="AE732" s="320"/>
    </row>
    <row r="733" ht="18.0" customHeight="1">
      <c r="A733" s="118" t="str">
        <f t="shared" si="15"/>
        <v/>
      </c>
      <c r="B733" s="109"/>
      <c r="C733" s="119"/>
      <c r="D733" s="119"/>
      <c r="E733" s="330"/>
      <c r="F733" s="121"/>
      <c r="G733" s="153"/>
      <c r="H733" s="153"/>
      <c r="I733" s="153"/>
      <c r="J733" s="112"/>
      <c r="K733" s="153"/>
      <c r="L733" s="114"/>
      <c r="M733" s="151"/>
      <c r="N733" s="152"/>
      <c r="O733" s="150"/>
      <c r="P733" s="114"/>
      <c r="Q733" s="114"/>
      <c r="R733" s="151"/>
      <c r="S733" s="152"/>
      <c r="T733" s="153"/>
      <c r="U733" s="152"/>
      <c r="V733" s="152"/>
      <c r="W733" s="152"/>
      <c r="X733" s="152"/>
      <c r="Y733" s="153"/>
      <c r="Z733" s="125" t="str">
        <f t="shared" si="16"/>
        <v/>
      </c>
      <c r="AA733" s="126" t="str">
        <f t="shared" si="17"/>
        <v/>
      </c>
      <c r="AB733" s="154" t="str">
        <f t="shared" si="18"/>
        <v/>
      </c>
      <c r="AC733" s="152"/>
      <c r="AD733" s="153"/>
      <c r="AE733" s="156"/>
    </row>
    <row r="734" ht="18.0" customHeight="1">
      <c r="A734" s="127" t="str">
        <f t="shared" si="15"/>
        <v/>
      </c>
      <c r="B734" s="128"/>
      <c r="C734" s="129"/>
      <c r="D734" s="129"/>
      <c r="E734" s="325"/>
      <c r="F734" s="131"/>
      <c r="G734" s="319"/>
      <c r="H734" s="319"/>
      <c r="I734" s="319"/>
      <c r="J734" s="132"/>
      <c r="K734" s="319"/>
      <c r="L734" s="135"/>
      <c r="M734" s="321"/>
      <c r="N734" s="322"/>
      <c r="O734" s="150"/>
      <c r="P734" s="135"/>
      <c r="Q734" s="135"/>
      <c r="R734" s="321"/>
      <c r="S734" s="322"/>
      <c r="T734" s="319"/>
      <c r="U734" s="322"/>
      <c r="V734" s="322"/>
      <c r="W734" s="322"/>
      <c r="X734" s="322"/>
      <c r="Y734" s="319"/>
      <c r="Z734" s="136" t="str">
        <f t="shared" si="16"/>
        <v/>
      </c>
      <c r="AA734" s="137" t="str">
        <f t="shared" si="17"/>
        <v/>
      </c>
      <c r="AB734" s="154" t="str">
        <f t="shared" si="18"/>
        <v/>
      </c>
      <c r="AC734" s="322"/>
      <c r="AD734" s="319"/>
      <c r="AE734" s="320"/>
    </row>
    <row r="735" ht="18.0" customHeight="1">
      <c r="A735" s="118" t="str">
        <f t="shared" si="15"/>
        <v/>
      </c>
      <c r="B735" s="109"/>
      <c r="C735" s="119"/>
      <c r="D735" s="119"/>
      <c r="E735" s="330"/>
      <c r="F735" s="121"/>
      <c r="G735" s="153"/>
      <c r="H735" s="153"/>
      <c r="I735" s="153"/>
      <c r="J735" s="112"/>
      <c r="K735" s="153"/>
      <c r="L735" s="114"/>
      <c r="M735" s="151"/>
      <c r="N735" s="152"/>
      <c r="O735" s="150"/>
      <c r="P735" s="114"/>
      <c r="Q735" s="114"/>
      <c r="R735" s="151"/>
      <c r="S735" s="152"/>
      <c r="T735" s="153"/>
      <c r="U735" s="152"/>
      <c r="V735" s="152"/>
      <c r="W735" s="152"/>
      <c r="X735" s="152"/>
      <c r="Y735" s="153"/>
      <c r="Z735" s="125" t="str">
        <f t="shared" si="16"/>
        <v/>
      </c>
      <c r="AA735" s="126" t="str">
        <f t="shared" si="17"/>
        <v/>
      </c>
      <c r="AB735" s="154" t="str">
        <f t="shared" si="18"/>
        <v/>
      </c>
      <c r="AC735" s="152"/>
      <c r="AD735" s="153"/>
      <c r="AE735" s="156"/>
    </row>
    <row r="736" ht="18.0" customHeight="1">
      <c r="A736" s="127" t="str">
        <f t="shared" si="15"/>
        <v/>
      </c>
      <c r="B736" s="128"/>
      <c r="C736" s="129"/>
      <c r="D736" s="129"/>
      <c r="E736" s="325"/>
      <c r="F736" s="131"/>
      <c r="G736" s="319"/>
      <c r="H736" s="319"/>
      <c r="I736" s="319"/>
      <c r="J736" s="132"/>
      <c r="K736" s="319"/>
      <c r="L736" s="135"/>
      <c r="M736" s="321"/>
      <c r="N736" s="322"/>
      <c r="O736" s="150"/>
      <c r="P736" s="135"/>
      <c r="Q736" s="135"/>
      <c r="R736" s="321"/>
      <c r="S736" s="322"/>
      <c r="T736" s="319"/>
      <c r="U736" s="322"/>
      <c r="V736" s="322"/>
      <c r="W736" s="322"/>
      <c r="X736" s="322"/>
      <c r="Y736" s="319"/>
      <c r="Z736" s="136" t="str">
        <f t="shared" si="16"/>
        <v/>
      </c>
      <c r="AA736" s="137" t="str">
        <f t="shared" si="17"/>
        <v/>
      </c>
      <c r="AB736" s="154" t="str">
        <f t="shared" si="18"/>
        <v/>
      </c>
      <c r="AC736" s="322"/>
      <c r="AD736" s="319"/>
      <c r="AE736" s="320"/>
    </row>
    <row r="737" ht="18.0" customHeight="1">
      <c r="A737" s="118" t="str">
        <f t="shared" si="15"/>
        <v/>
      </c>
      <c r="B737" s="109"/>
      <c r="C737" s="119"/>
      <c r="D737" s="119"/>
      <c r="E737" s="330"/>
      <c r="F737" s="121"/>
      <c r="G737" s="153"/>
      <c r="H737" s="153"/>
      <c r="I737" s="153"/>
      <c r="J737" s="112"/>
      <c r="K737" s="153"/>
      <c r="L737" s="114"/>
      <c r="M737" s="151"/>
      <c r="N737" s="152"/>
      <c r="O737" s="150"/>
      <c r="P737" s="114"/>
      <c r="Q737" s="114"/>
      <c r="R737" s="151"/>
      <c r="S737" s="152"/>
      <c r="T737" s="153"/>
      <c r="U737" s="152"/>
      <c r="V737" s="152"/>
      <c r="W737" s="152"/>
      <c r="X737" s="152"/>
      <c r="Y737" s="153"/>
      <c r="Z737" s="125" t="str">
        <f t="shared" si="16"/>
        <v/>
      </c>
      <c r="AA737" s="126" t="str">
        <f t="shared" si="17"/>
        <v/>
      </c>
      <c r="AB737" s="154" t="str">
        <f t="shared" si="18"/>
        <v/>
      </c>
      <c r="AC737" s="152"/>
      <c r="AD737" s="153"/>
      <c r="AE737" s="156"/>
    </row>
    <row r="738" ht="18.0" customHeight="1">
      <c r="A738" s="127" t="str">
        <f t="shared" si="15"/>
        <v/>
      </c>
      <c r="B738" s="128"/>
      <c r="C738" s="129"/>
      <c r="D738" s="129"/>
      <c r="E738" s="325"/>
      <c r="F738" s="131"/>
      <c r="G738" s="319"/>
      <c r="H738" s="319"/>
      <c r="I738" s="319"/>
      <c r="J738" s="132"/>
      <c r="K738" s="319"/>
      <c r="L738" s="135"/>
      <c r="M738" s="321"/>
      <c r="N738" s="322"/>
      <c r="O738" s="150"/>
      <c r="P738" s="135"/>
      <c r="Q738" s="135"/>
      <c r="R738" s="321"/>
      <c r="S738" s="322"/>
      <c r="T738" s="319"/>
      <c r="U738" s="322"/>
      <c r="V738" s="322"/>
      <c r="W738" s="322"/>
      <c r="X738" s="322"/>
      <c r="Y738" s="319"/>
      <c r="Z738" s="136" t="str">
        <f t="shared" si="16"/>
        <v/>
      </c>
      <c r="AA738" s="137" t="str">
        <f t="shared" si="17"/>
        <v/>
      </c>
      <c r="AB738" s="154" t="str">
        <f t="shared" si="18"/>
        <v/>
      </c>
      <c r="AC738" s="322"/>
      <c r="AD738" s="319"/>
      <c r="AE738" s="320"/>
    </row>
    <row r="739" ht="18.0" customHeight="1">
      <c r="A739" s="118" t="str">
        <f t="shared" si="15"/>
        <v/>
      </c>
      <c r="B739" s="109"/>
      <c r="C739" s="119"/>
      <c r="D739" s="119"/>
      <c r="E739" s="330"/>
      <c r="F739" s="121"/>
      <c r="G739" s="153"/>
      <c r="H739" s="153"/>
      <c r="I739" s="153"/>
      <c r="J739" s="112"/>
      <c r="K739" s="153"/>
      <c r="L739" s="114"/>
      <c r="M739" s="151"/>
      <c r="N739" s="152"/>
      <c r="O739" s="150"/>
      <c r="P739" s="114"/>
      <c r="Q739" s="114"/>
      <c r="R739" s="151"/>
      <c r="S739" s="152"/>
      <c r="T739" s="153"/>
      <c r="U739" s="152"/>
      <c r="V739" s="152"/>
      <c r="W739" s="152"/>
      <c r="X739" s="152"/>
      <c r="Y739" s="153"/>
      <c r="Z739" s="125" t="str">
        <f t="shared" si="16"/>
        <v/>
      </c>
      <c r="AA739" s="126" t="str">
        <f t="shared" si="17"/>
        <v/>
      </c>
      <c r="AB739" s="154" t="str">
        <f t="shared" si="18"/>
        <v/>
      </c>
      <c r="AC739" s="152"/>
      <c r="AD739" s="153"/>
      <c r="AE739" s="156"/>
    </row>
    <row r="740" ht="18.0" customHeight="1">
      <c r="A740" s="127" t="str">
        <f t="shared" si="15"/>
        <v/>
      </c>
      <c r="B740" s="128"/>
      <c r="C740" s="129"/>
      <c r="D740" s="129"/>
      <c r="E740" s="325"/>
      <c r="F740" s="131"/>
      <c r="G740" s="319"/>
      <c r="H740" s="319"/>
      <c r="I740" s="319"/>
      <c r="J740" s="132"/>
      <c r="K740" s="319"/>
      <c r="L740" s="135"/>
      <c r="M740" s="321"/>
      <c r="N740" s="322"/>
      <c r="O740" s="150"/>
      <c r="P740" s="135"/>
      <c r="Q740" s="135"/>
      <c r="R740" s="321"/>
      <c r="S740" s="322"/>
      <c r="T740" s="319"/>
      <c r="U740" s="322"/>
      <c r="V740" s="322"/>
      <c r="W740" s="322"/>
      <c r="X740" s="322"/>
      <c r="Y740" s="319"/>
      <c r="Z740" s="136" t="str">
        <f t="shared" si="16"/>
        <v/>
      </c>
      <c r="AA740" s="137" t="str">
        <f t="shared" si="17"/>
        <v/>
      </c>
      <c r="AB740" s="154" t="str">
        <f t="shared" si="18"/>
        <v/>
      </c>
      <c r="AC740" s="322"/>
      <c r="AD740" s="319"/>
      <c r="AE740" s="320"/>
    </row>
    <row r="741" ht="18.0" customHeight="1">
      <c r="A741" s="118" t="str">
        <f t="shared" si="15"/>
        <v/>
      </c>
      <c r="B741" s="109"/>
      <c r="C741" s="119"/>
      <c r="D741" s="119"/>
      <c r="E741" s="330"/>
      <c r="F741" s="121"/>
      <c r="G741" s="153"/>
      <c r="H741" s="153"/>
      <c r="I741" s="153"/>
      <c r="J741" s="112"/>
      <c r="K741" s="153"/>
      <c r="L741" s="114"/>
      <c r="M741" s="151"/>
      <c r="N741" s="152"/>
      <c r="O741" s="150"/>
      <c r="P741" s="114"/>
      <c r="Q741" s="114"/>
      <c r="R741" s="151"/>
      <c r="S741" s="152"/>
      <c r="T741" s="153"/>
      <c r="U741" s="152"/>
      <c r="V741" s="152"/>
      <c r="W741" s="152"/>
      <c r="X741" s="152"/>
      <c r="Y741" s="153"/>
      <c r="Z741" s="125" t="str">
        <f t="shared" si="16"/>
        <v/>
      </c>
      <c r="AA741" s="126" t="str">
        <f t="shared" si="17"/>
        <v/>
      </c>
      <c r="AB741" s="154" t="str">
        <f t="shared" si="18"/>
        <v/>
      </c>
      <c r="AC741" s="152"/>
      <c r="AD741" s="153"/>
      <c r="AE741" s="156"/>
    </row>
    <row r="742" ht="18.0" customHeight="1">
      <c r="A742" s="127" t="str">
        <f t="shared" si="15"/>
        <v/>
      </c>
      <c r="B742" s="128"/>
      <c r="C742" s="129"/>
      <c r="D742" s="129"/>
      <c r="E742" s="325"/>
      <c r="F742" s="131"/>
      <c r="G742" s="319"/>
      <c r="H742" s="319"/>
      <c r="I742" s="319"/>
      <c r="J742" s="132"/>
      <c r="K742" s="319"/>
      <c r="L742" s="135"/>
      <c r="M742" s="321"/>
      <c r="N742" s="322"/>
      <c r="O742" s="150"/>
      <c r="P742" s="135"/>
      <c r="Q742" s="135"/>
      <c r="R742" s="321"/>
      <c r="S742" s="322"/>
      <c r="T742" s="319"/>
      <c r="U742" s="322"/>
      <c r="V742" s="322"/>
      <c r="W742" s="322"/>
      <c r="X742" s="322"/>
      <c r="Y742" s="319"/>
      <c r="Z742" s="136" t="str">
        <f t="shared" si="16"/>
        <v/>
      </c>
      <c r="AA742" s="137" t="str">
        <f t="shared" si="17"/>
        <v/>
      </c>
      <c r="AB742" s="154" t="str">
        <f t="shared" si="18"/>
        <v/>
      </c>
      <c r="AC742" s="322"/>
      <c r="AD742" s="319"/>
      <c r="AE742" s="320"/>
    </row>
    <row r="743" ht="18.0" customHeight="1">
      <c r="A743" s="118" t="str">
        <f t="shared" si="15"/>
        <v/>
      </c>
      <c r="B743" s="109"/>
      <c r="C743" s="119"/>
      <c r="D743" s="119"/>
      <c r="E743" s="330"/>
      <c r="F743" s="121"/>
      <c r="G743" s="153"/>
      <c r="H743" s="153"/>
      <c r="I743" s="153"/>
      <c r="J743" s="112"/>
      <c r="K743" s="153"/>
      <c r="L743" s="114"/>
      <c r="M743" s="151"/>
      <c r="N743" s="152"/>
      <c r="O743" s="150"/>
      <c r="P743" s="114"/>
      <c r="Q743" s="114"/>
      <c r="R743" s="151"/>
      <c r="S743" s="152"/>
      <c r="T743" s="153"/>
      <c r="U743" s="152"/>
      <c r="V743" s="152"/>
      <c r="W743" s="152"/>
      <c r="X743" s="152"/>
      <c r="Y743" s="153"/>
      <c r="Z743" s="125" t="str">
        <f t="shared" si="16"/>
        <v/>
      </c>
      <c r="AA743" s="126" t="str">
        <f t="shared" si="17"/>
        <v/>
      </c>
      <c r="AB743" s="154" t="str">
        <f t="shared" si="18"/>
        <v/>
      </c>
      <c r="AC743" s="152"/>
      <c r="AD743" s="153"/>
      <c r="AE743" s="156"/>
    </row>
    <row r="744" ht="18.0" customHeight="1">
      <c r="A744" s="127" t="str">
        <f t="shared" si="15"/>
        <v/>
      </c>
      <c r="B744" s="128"/>
      <c r="C744" s="129"/>
      <c r="D744" s="129"/>
      <c r="E744" s="325"/>
      <c r="F744" s="131"/>
      <c r="G744" s="319"/>
      <c r="H744" s="319"/>
      <c r="I744" s="319"/>
      <c r="J744" s="132"/>
      <c r="K744" s="319"/>
      <c r="L744" s="135"/>
      <c r="M744" s="321"/>
      <c r="N744" s="322"/>
      <c r="O744" s="150"/>
      <c r="P744" s="135"/>
      <c r="Q744" s="135"/>
      <c r="R744" s="321"/>
      <c r="S744" s="322"/>
      <c r="T744" s="319"/>
      <c r="U744" s="322"/>
      <c r="V744" s="322"/>
      <c r="W744" s="322"/>
      <c r="X744" s="322"/>
      <c r="Y744" s="319"/>
      <c r="Z744" s="136" t="str">
        <f t="shared" si="16"/>
        <v/>
      </c>
      <c r="AA744" s="137" t="str">
        <f t="shared" si="17"/>
        <v/>
      </c>
      <c r="AB744" s="154" t="str">
        <f t="shared" si="18"/>
        <v/>
      </c>
      <c r="AC744" s="322"/>
      <c r="AD744" s="319"/>
      <c r="AE744" s="320"/>
    </row>
    <row r="745" ht="18.0" customHeight="1">
      <c r="A745" s="118" t="str">
        <f t="shared" si="15"/>
        <v/>
      </c>
      <c r="B745" s="109"/>
      <c r="C745" s="119"/>
      <c r="D745" s="119"/>
      <c r="E745" s="330"/>
      <c r="F745" s="121"/>
      <c r="G745" s="153"/>
      <c r="H745" s="153"/>
      <c r="I745" s="153"/>
      <c r="J745" s="112"/>
      <c r="K745" s="153"/>
      <c r="L745" s="114"/>
      <c r="M745" s="151"/>
      <c r="N745" s="152"/>
      <c r="O745" s="150"/>
      <c r="P745" s="114"/>
      <c r="Q745" s="114"/>
      <c r="R745" s="151"/>
      <c r="S745" s="152"/>
      <c r="T745" s="153"/>
      <c r="U745" s="152"/>
      <c r="V745" s="152"/>
      <c r="W745" s="152"/>
      <c r="X745" s="152"/>
      <c r="Y745" s="153"/>
      <c r="Z745" s="125" t="str">
        <f t="shared" si="16"/>
        <v/>
      </c>
      <c r="AA745" s="126" t="str">
        <f t="shared" si="17"/>
        <v/>
      </c>
      <c r="AB745" s="154" t="str">
        <f t="shared" si="18"/>
        <v/>
      </c>
      <c r="AC745" s="152"/>
      <c r="AD745" s="153"/>
      <c r="AE745" s="156"/>
    </row>
    <row r="746" ht="18.0" customHeight="1">
      <c r="A746" s="127" t="str">
        <f t="shared" si="15"/>
        <v/>
      </c>
      <c r="B746" s="128"/>
      <c r="C746" s="129"/>
      <c r="D746" s="129"/>
      <c r="E746" s="325"/>
      <c r="F746" s="131"/>
      <c r="G746" s="319"/>
      <c r="H746" s="319"/>
      <c r="I746" s="319"/>
      <c r="J746" s="132"/>
      <c r="K746" s="319"/>
      <c r="L746" s="135"/>
      <c r="M746" s="321"/>
      <c r="N746" s="322"/>
      <c r="O746" s="150"/>
      <c r="P746" s="135"/>
      <c r="Q746" s="135"/>
      <c r="R746" s="321"/>
      <c r="S746" s="322"/>
      <c r="T746" s="319"/>
      <c r="U746" s="322"/>
      <c r="V746" s="322"/>
      <c r="W746" s="322"/>
      <c r="X746" s="322"/>
      <c r="Y746" s="319"/>
      <c r="Z746" s="136" t="str">
        <f t="shared" si="16"/>
        <v/>
      </c>
      <c r="AA746" s="137" t="str">
        <f t="shared" si="17"/>
        <v/>
      </c>
      <c r="AB746" s="154" t="str">
        <f t="shared" si="18"/>
        <v/>
      </c>
      <c r="AC746" s="322"/>
      <c r="AD746" s="319"/>
      <c r="AE746" s="320"/>
    </row>
    <row r="747" ht="18.0" customHeight="1">
      <c r="A747" s="118" t="str">
        <f t="shared" si="15"/>
        <v/>
      </c>
      <c r="B747" s="109"/>
      <c r="C747" s="119"/>
      <c r="D747" s="119"/>
      <c r="E747" s="330"/>
      <c r="F747" s="121"/>
      <c r="G747" s="153"/>
      <c r="H747" s="153"/>
      <c r="I747" s="153"/>
      <c r="J747" s="112"/>
      <c r="K747" s="153"/>
      <c r="L747" s="114"/>
      <c r="M747" s="151"/>
      <c r="N747" s="152"/>
      <c r="O747" s="150"/>
      <c r="P747" s="114"/>
      <c r="Q747" s="114"/>
      <c r="R747" s="151"/>
      <c r="S747" s="152"/>
      <c r="T747" s="153"/>
      <c r="U747" s="152"/>
      <c r="V747" s="152"/>
      <c r="W747" s="152"/>
      <c r="X747" s="152"/>
      <c r="Y747" s="153"/>
      <c r="Z747" s="125" t="str">
        <f t="shared" si="16"/>
        <v/>
      </c>
      <c r="AA747" s="126" t="str">
        <f t="shared" si="17"/>
        <v/>
      </c>
      <c r="AB747" s="154" t="str">
        <f t="shared" si="18"/>
        <v/>
      </c>
      <c r="AC747" s="152"/>
      <c r="AD747" s="153"/>
      <c r="AE747" s="156"/>
    </row>
    <row r="748" ht="18.0" customHeight="1">
      <c r="A748" s="127" t="str">
        <f t="shared" si="15"/>
        <v/>
      </c>
      <c r="B748" s="128"/>
      <c r="C748" s="129"/>
      <c r="D748" s="129"/>
      <c r="E748" s="325"/>
      <c r="F748" s="131"/>
      <c r="G748" s="319"/>
      <c r="H748" s="319"/>
      <c r="I748" s="319"/>
      <c r="J748" s="132"/>
      <c r="K748" s="319"/>
      <c r="L748" s="135"/>
      <c r="M748" s="321"/>
      <c r="N748" s="322"/>
      <c r="O748" s="150"/>
      <c r="P748" s="135"/>
      <c r="Q748" s="135"/>
      <c r="R748" s="321"/>
      <c r="S748" s="322"/>
      <c r="T748" s="319"/>
      <c r="U748" s="322"/>
      <c r="V748" s="322"/>
      <c r="W748" s="322"/>
      <c r="X748" s="322"/>
      <c r="Y748" s="319"/>
      <c r="Z748" s="136" t="str">
        <f t="shared" si="16"/>
        <v/>
      </c>
      <c r="AA748" s="137" t="str">
        <f t="shared" si="17"/>
        <v/>
      </c>
      <c r="AB748" s="154" t="str">
        <f t="shared" si="18"/>
        <v/>
      </c>
      <c r="AC748" s="322"/>
      <c r="AD748" s="319"/>
      <c r="AE748" s="320"/>
    </row>
    <row r="749" ht="18.0" customHeight="1">
      <c r="A749" s="118" t="str">
        <f t="shared" si="15"/>
        <v/>
      </c>
      <c r="B749" s="109"/>
      <c r="C749" s="119"/>
      <c r="D749" s="119"/>
      <c r="E749" s="330"/>
      <c r="F749" s="121"/>
      <c r="G749" s="153"/>
      <c r="H749" s="153"/>
      <c r="I749" s="153"/>
      <c r="J749" s="112"/>
      <c r="K749" s="153"/>
      <c r="L749" s="114"/>
      <c r="M749" s="151"/>
      <c r="N749" s="152"/>
      <c r="O749" s="150"/>
      <c r="P749" s="114"/>
      <c r="Q749" s="114"/>
      <c r="R749" s="151"/>
      <c r="S749" s="152"/>
      <c r="T749" s="153"/>
      <c r="U749" s="152"/>
      <c r="V749" s="152"/>
      <c r="W749" s="152"/>
      <c r="X749" s="152"/>
      <c r="Y749" s="153"/>
      <c r="Z749" s="125" t="str">
        <f t="shared" si="16"/>
        <v/>
      </c>
      <c r="AA749" s="126" t="str">
        <f t="shared" si="17"/>
        <v/>
      </c>
      <c r="AB749" s="154" t="str">
        <f t="shared" si="18"/>
        <v/>
      </c>
      <c r="AC749" s="152"/>
      <c r="AD749" s="153"/>
      <c r="AE749" s="156"/>
    </row>
    <row r="750" ht="18.0" customHeight="1">
      <c r="A750" s="127" t="str">
        <f t="shared" si="15"/>
        <v/>
      </c>
      <c r="B750" s="128"/>
      <c r="C750" s="129"/>
      <c r="D750" s="129"/>
      <c r="E750" s="325"/>
      <c r="F750" s="131"/>
      <c r="G750" s="319"/>
      <c r="H750" s="319"/>
      <c r="I750" s="319"/>
      <c r="J750" s="132"/>
      <c r="K750" s="319"/>
      <c r="L750" s="135"/>
      <c r="M750" s="321"/>
      <c r="N750" s="322"/>
      <c r="O750" s="150"/>
      <c r="P750" s="135"/>
      <c r="Q750" s="135"/>
      <c r="R750" s="321"/>
      <c r="S750" s="322"/>
      <c r="T750" s="319"/>
      <c r="U750" s="322"/>
      <c r="V750" s="322"/>
      <c r="W750" s="322"/>
      <c r="X750" s="322"/>
      <c r="Y750" s="319"/>
      <c r="Z750" s="136" t="str">
        <f t="shared" si="16"/>
        <v/>
      </c>
      <c r="AA750" s="137" t="str">
        <f t="shared" si="17"/>
        <v/>
      </c>
      <c r="AB750" s="154" t="str">
        <f t="shared" si="18"/>
        <v/>
      </c>
      <c r="AC750" s="322"/>
      <c r="AD750" s="319"/>
      <c r="AE750" s="320"/>
    </row>
    <row r="751" ht="18.0" customHeight="1">
      <c r="A751" s="118" t="str">
        <f t="shared" si="15"/>
        <v/>
      </c>
      <c r="B751" s="109"/>
      <c r="C751" s="119"/>
      <c r="D751" s="119"/>
      <c r="E751" s="330"/>
      <c r="F751" s="121"/>
      <c r="G751" s="153"/>
      <c r="H751" s="153"/>
      <c r="I751" s="153"/>
      <c r="J751" s="112"/>
      <c r="K751" s="153"/>
      <c r="L751" s="114"/>
      <c r="M751" s="151"/>
      <c r="N751" s="152"/>
      <c r="O751" s="150"/>
      <c r="P751" s="114"/>
      <c r="Q751" s="114"/>
      <c r="R751" s="151"/>
      <c r="S751" s="152"/>
      <c r="T751" s="153"/>
      <c r="U751" s="152"/>
      <c r="V751" s="152"/>
      <c r="W751" s="152"/>
      <c r="X751" s="152"/>
      <c r="Y751" s="153"/>
      <c r="Z751" s="125" t="str">
        <f t="shared" si="16"/>
        <v/>
      </c>
      <c r="AA751" s="126" t="str">
        <f t="shared" si="17"/>
        <v/>
      </c>
      <c r="AB751" s="154" t="str">
        <f t="shared" si="18"/>
        <v/>
      </c>
      <c r="AC751" s="152"/>
      <c r="AD751" s="153"/>
      <c r="AE751" s="156"/>
    </row>
    <row r="752" ht="18.0" customHeight="1">
      <c r="A752" s="127" t="str">
        <f t="shared" si="15"/>
        <v/>
      </c>
      <c r="B752" s="128"/>
      <c r="C752" s="129"/>
      <c r="D752" s="129"/>
      <c r="E752" s="325"/>
      <c r="F752" s="131"/>
      <c r="G752" s="319"/>
      <c r="H752" s="319"/>
      <c r="I752" s="319"/>
      <c r="J752" s="132"/>
      <c r="K752" s="319"/>
      <c r="L752" s="135"/>
      <c r="M752" s="321"/>
      <c r="N752" s="322"/>
      <c r="O752" s="150"/>
      <c r="P752" s="135"/>
      <c r="Q752" s="135"/>
      <c r="R752" s="321"/>
      <c r="S752" s="322"/>
      <c r="T752" s="319"/>
      <c r="U752" s="322"/>
      <c r="V752" s="322"/>
      <c r="W752" s="322"/>
      <c r="X752" s="322"/>
      <c r="Y752" s="319"/>
      <c r="Z752" s="136" t="str">
        <f t="shared" si="16"/>
        <v/>
      </c>
      <c r="AA752" s="137" t="str">
        <f t="shared" si="17"/>
        <v/>
      </c>
      <c r="AB752" s="154" t="str">
        <f t="shared" si="18"/>
        <v/>
      </c>
      <c r="AC752" s="322"/>
      <c r="AD752" s="319"/>
      <c r="AE752" s="320"/>
    </row>
    <row r="753" ht="18.0" customHeight="1">
      <c r="A753" s="118" t="str">
        <f t="shared" si="15"/>
        <v/>
      </c>
      <c r="B753" s="109"/>
      <c r="C753" s="119"/>
      <c r="D753" s="119"/>
      <c r="E753" s="330"/>
      <c r="F753" s="121"/>
      <c r="G753" s="153"/>
      <c r="H753" s="153"/>
      <c r="I753" s="153"/>
      <c r="J753" s="112"/>
      <c r="K753" s="153"/>
      <c r="L753" s="114"/>
      <c r="M753" s="151"/>
      <c r="N753" s="152"/>
      <c r="O753" s="150"/>
      <c r="P753" s="114"/>
      <c r="Q753" s="114"/>
      <c r="R753" s="151"/>
      <c r="S753" s="152"/>
      <c r="T753" s="153"/>
      <c r="U753" s="152"/>
      <c r="V753" s="152"/>
      <c r="W753" s="152"/>
      <c r="X753" s="152"/>
      <c r="Y753" s="153"/>
      <c r="Z753" s="125" t="str">
        <f t="shared" si="16"/>
        <v/>
      </c>
      <c r="AA753" s="126" t="str">
        <f t="shared" si="17"/>
        <v/>
      </c>
      <c r="AB753" s="154" t="str">
        <f t="shared" si="18"/>
        <v/>
      </c>
      <c r="AC753" s="152"/>
      <c r="AD753" s="153"/>
      <c r="AE753" s="156"/>
    </row>
    <row r="754" ht="18.0" customHeight="1">
      <c r="A754" s="127" t="str">
        <f t="shared" si="15"/>
        <v/>
      </c>
      <c r="B754" s="128"/>
      <c r="C754" s="129"/>
      <c r="D754" s="129"/>
      <c r="E754" s="325"/>
      <c r="F754" s="131"/>
      <c r="G754" s="319"/>
      <c r="H754" s="319"/>
      <c r="I754" s="319"/>
      <c r="J754" s="132"/>
      <c r="K754" s="319"/>
      <c r="L754" s="135"/>
      <c r="M754" s="321"/>
      <c r="N754" s="322"/>
      <c r="O754" s="150"/>
      <c r="P754" s="135"/>
      <c r="Q754" s="135"/>
      <c r="R754" s="321"/>
      <c r="S754" s="322"/>
      <c r="T754" s="319"/>
      <c r="U754" s="322"/>
      <c r="V754" s="322"/>
      <c r="W754" s="322"/>
      <c r="X754" s="322"/>
      <c r="Y754" s="319"/>
      <c r="Z754" s="136" t="str">
        <f t="shared" si="16"/>
        <v/>
      </c>
      <c r="AA754" s="137" t="str">
        <f t="shared" si="17"/>
        <v/>
      </c>
      <c r="AB754" s="154" t="str">
        <f t="shared" si="18"/>
        <v/>
      </c>
      <c r="AC754" s="322"/>
      <c r="AD754" s="319"/>
      <c r="AE754" s="320"/>
    </row>
    <row r="755" ht="18.0" customHeight="1">
      <c r="A755" s="118" t="str">
        <f t="shared" si="15"/>
        <v/>
      </c>
      <c r="B755" s="109"/>
      <c r="C755" s="119"/>
      <c r="D755" s="119"/>
      <c r="E755" s="330"/>
      <c r="F755" s="121"/>
      <c r="G755" s="153"/>
      <c r="H755" s="153"/>
      <c r="I755" s="153"/>
      <c r="J755" s="112"/>
      <c r="K755" s="153"/>
      <c r="L755" s="114"/>
      <c r="M755" s="151"/>
      <c r="N755" s="152"/>
      <c r="O755" s="150"/>
      <c r="P755" s="114"/>
      <c r="Q755" s="114"/>
      <c r="R755" s="151"/>
      <c r="S755" s="152"/>
      <c r="T755" s="153"/>
      <c r="U755" s="152"/>
      <c r="V755" s="152"/>
      <c r="W755" s="152"/>
      <c r="X755" s="152"/>
      <c r="Y755" s="153"/>
      <c r="Z755" s="125" t="str">
        <f t="shared" si="16"/>
        <v/>
      </c>
      <c r="AA755" s="126" t="str">
        <f t="shared" si="17"/>
        <v/>
      </c>
      <c r="AB755" s="154" t="str">
        <f t="shared" si="18"/>
        <v/>
      </c>
      <c r="AC755" s="152"/>
      <c r="AD755" s="153"/>
      <c r="AE755" s="156"/>
    </row>
    <row r="756" ht="18.0" customHeight="1">
      <c r="A756" s="127" t="str">
        <f t="shared" si="15"/>
        <v/>
      </c>
      <c r="B756" s="128"/>
      <c r="C756" s="129"/>
      <c r="D756" s="129"/>
      <c r="E756" s="325"/>
      <c r="F756" s="131"/>
      <c r="G756" s="319"/>
      <c r="H756" s="319"/>
      <c r="I756" s="319"/>
      <c r="J756" s="132"/>
      <c r="K756" s="319"/>
      <c r="L756" s="135"/>
      <c r="M756" s="321"/>
      <c r="N756" s="322"/>
      <c r="O756" s="150"/>
      <c r="P756" s="135"/>
      <c r="Q756" s="135"/>
      <c r="R756" s="321"/>
      <c r="S756" s="322"/>
      <c r="T756" s="319"/>
      <c r="U756" s="322"/>
      <c r="V756" s="322"/>
      <c r="W756" s="322"/>
      <c r="X756" s="322"/>
      <c r="Y756" s="319"/>
      <c r="Z756" s="136" t="str">
        <f t="shared" si="16"/>
        <v/>
      </c>
      <c r="AA756" s="137" t="str">
        <f t="shared" si="17"/>
        <v/>
      </c>
      <c r="AB756" s="154" t="str">
        <f t="shared" si="18"/>
        <v/>
      </c>
      <c r="AC756" s="322"/>
      <c r="AD756" s="319"/>
      <c r="AE756" s="320"/>
    </row>
    <row r="757" ht="18.0" customHeight="1">
      <c r="A757" s="118" t="str">
        <f t="shared" si="15"/>
        <v/>
      </c>
      <c r="B757" s="109"/>
      <c r="C757" s="119"/>
      <c r="D757" s="119"/>
      <c r="E757" s="330"/>
      <c r="F757" s="121"/>
      <c r="G757" s="153"/>
      <c r="H757" s="153"/>
      <c r="I757" s="153"/>
      <c r="J757" s="112"/>
      <c r="K757" s="153"/>
      <c r="L757" s="114"/>
      <c r="M757" s="151"/>
      <c r="N757" s="152"/>
      <c r="O757" s="150"/>
      <c r="P757" s="114"/>
      <c r="Q757" s="114"/>
      <c r="R757" s="151"/>
      <c r="S757" s="152"/>
      <c r="T757" s="153"/>
      <c r="U757" s="152"/>
      <c r="V757" s="152"/>
      <c r="W757" s="152"/>
      <c r="X757" s="152"/>
      <c r="Y757" s="153"/>
      <c r="Z757" s="125" t="str">
        <f t="shared" si="16"/>
        <v/>
      </c>
      <c r="AA757" s="126" t="str">
        <f t="shared" si="17"/>
        <v/>
      </c>
      <c r="AB757" s="154" t="str">
        <f t="shared" si="18"/>
        <v/>
      </c>
      <c r="AC757" s="152"/>
      <c r="AD757" s="153"/>
      <c r="AE757" s="156"/>
    </row>
    <row r="758" ht="18.0" customHeight="1">
      <c r="A758" s="127" t="str">
        <f t="shared" si="15"/>
        <v/>
      </c>
      <c r="B758" s="128"/>
      <c r="C758" s="129"/>
      <c r="D758" s="129"/>
      <c r="E758" s="325"/>
      <c r="F758" s="131"/>
      <c r="G758" s="319"/>
      <c r="H758" s="319"/>
      <c r="I758" s="319"/>
      <c r="J758" s="132"/>
      <c r="K758" s="319"/>
      <c r="L758" s="135"/>
      <c r="M758" s="321"/>
      <c r="N758" s="322"/>
      <c r="O758" s="150"/>
      <c r="P758" s="135"/>
      <c r="Q758" s="135"/>
      <c r="R758" s="321"/>
      <c r="S758" s="322"/>
      <c r="T758" s="319"/>
      <c r="U758" s="322"/>
      <c r="V758" s="322"/>
      <c r="W758" s="322"/>
      <c r="X758" s="322"/>
      <c r="Y758" s="319"/>
      <c r="Z758" s="136" t="str">
        <f t="shared" si="16"/>
        <v/>
      </c>
      <c r="AA758" s="137" t="str">
        <f t="shared" si="17"/>
        <v/>
      </c>
      <c r="AB758" s="154" t="str">
        <f t="shared" si="18"/>
        <v/>
      </c>
      <c r="AC758" s="322"/>
      <c r="AD758" s="319"/>
      <c r="AE758" s="320"/>
    </row>
    <row r="759" ht="18.0" customHeight="1">
      <c r="A759" s="118" t="str">
        <f t="shared" si="15"/>
        <v/>
      </c>
      <c r="B759" s="109"/>
      <c r="C759" s="119"/>
      <c r="D759" s="119"/>
      <c r="E759" s="330"/>
      <c r="F759" s="121"/>
      <c r="G759" s="153"/>
      <c r="H759" s="153"/>
      <c r="I759" s="153"/>
      <c r="J759" s="112"/>
      <c r="K759" s="153"/>
      <c r="L759" s="114"/>
      <c r="M759" s="151"/>
      <c r="N759" s="152"/>
      <c r="O759" s="150"/>
      <c r="P759" s="114"/>
      <c r="Q759" s="114"/>
      <c r="R759" s="151"/>
      <c r="S759" s="152"/>
      <c r="T759" s="153"/>
      <c r="U759" s="152"/>
      <c r="V759" s="152"/>
      <c r="W759" s="152"/>
      <c r="X759" s="152"/>
      <c r="Y759" s="153"/>
      <c r="Z759" s="125" t="str">
        <f t="shared" si="16"/>
        <v/>
      </c>
      <c r="AA759" s="126" t="str">
        <f t="shared" si="17"/>
        <v/>
      </c>
      <c r="AB759" s="154" t="str">
        <f t="shared" si="18"/>
        <v/>
      </c>
      <c r="AC759" s="152"/>
      <c r="AD759" s="153"/>
      <c r="AE759" s="156"/>
    </row>
    <row r="760" ht="18.0" customHeight="1">
      <c r="A760" s="127" t="str">
        <f t="shared" si="15"/>
        <v/>
      </c>
      <c r="B760" s="128"/>
      <c r="C760" s="129"/>
      <c r="D760" s="129"/>
      <c r="E760" s="325"/>
      <c r="F760" s="131"/>
      <c r="G760" s="319"/>
      <c r="H760" s="319"/>
      <c r="I760" s="319"/>
      <c r="J760" s="132"/>
      <c r="K760" s="319"/>
      <c r="L760" s="135"/>
      <c r="M760" s="321"/>
      <c r="N760" s="322"/>
      <c r="O760" s="150"/>
      <c r="P760" s="135"/>
      <c r="Q760" s="135"/>
      <c r="R760" s="321"/>
      <c r="S760" s="322"/>
      <c r="T760" s="319"/>
      <c r="U760" s="322"/>
      <c r="V760" s="322"/>
      <c r="W760" s="322"/>
      <c r="X760" s="322"/>
      <c r="Y760" s="319"/>
      <c r="Z760" s="136" t="str">
        <f t="shared" si="16"/>
        <v/>
      </c>
      <c r="AA760" s="137" t="str">
        <f t="shared" si="17"/>
        <v/>
      </c>
      <c r="AB760" s="154" t="str">
        <f t="shared" si="18"/>
        <v/>
      </c>
      <c r="AC760" s="322"/>
      <c r="AD760" s="319"/>
      <c r="AE760" s="320"/>
    </row>
    <row r="761" ht="18.0" customHeight="1">
      <c r="A761" s="118" t="str">
        <f t="shared" si="15"/>
        <v/>
      </c>
      <c r="B761" s="109"/>
      <c r="C761" s="119"/>
      <c r="D761" s="119"/>
      <c r="E761" s="330"/>
      <c r="F761" s="121"/>
      <c r="G761" s="153"/>
      <c r="H761" s="153"/>
      <c r="I761" s="153"/>
      <c r="J761" s="112"/>
      <c r="K761" s="153"/>
      <c r="L761" s="114"/>
      <c r="M761" s="151"/>
      <c r="N761" s="152"/>
      <c r="O761" s="150"/>
      <c r="P761" s="114"/>
      <c r="Q761" s="114"/>
      <c r="R761" s="151"/>
      <c r="S761" s="152"/>
      <c r="T761" s="153"/>
      <c r="U761" s="152"/>
      <c r="V761" s="152"/>
      <c r="W761" s="152"/>
      <c r="X761" s="152"/>
      <c r="Y761" s="153"/>
      <c r="Z761" s="125" t="str">
        <f t="shared" si="16"/>
        <v/>
      </c>
      <c r="AA761" s="126" t="str">
        <f t="shared" si="17"/>
        <v/>
      </c>
      <c r="AB761" s="154" t="str">
        <f t="shared" si="18"/>
        <v/>
      </c>
      <c r="AC761" s="152"/>
      <c r="AD761" s="153"/>
      <c r="AE761" s="156"/>
    </row>
    <row r="762" ht="18.0" customHeight="1">
      <c r="A762" s="127" t="str">
        <f t="shared" si="15"/>
        <v/>
      </c>
      <c r="B762" s="128"/>
      <c r="C762" s="129"/>
      <c r="D762" s="129"/>
      <c r="E762" s="325"/>
      <c r="F762" s="131"/>
      <c r="G762" s="319"/>
      <c r="H762" s="319"/>
      <c r="I762" s="319"/>
      <c r="J762" s="132"/>
      <c r="K762" s="319"/>
      <c r="L762" s="135"/>
      <c r="M762" s="321"/>
      <c r="N762" s="322"/>
      <c r="O762" s="150"/>
      <c r="P762" s="135"/>
      <c r="Q762" s="135"/>
      <c r="R762" s="321"/>
      <c r="S762" s="322"/>
      <c r="T762" s="319"/>
      <c r="U762" s="322"/>
      <c r="V762" s="322"/>
      <c r="W762" s="322"/>
      <c r="X762" s="322"/>
      <c r="Y762" s="319"/>
      <c r="Z762" s="136" t="str">
        <f t="shared" si="16"/>
        <v/>
      </c>
      <c r="AA762" s="137" t="str">
        <f t="shared" si="17"/>
        <v/>
      </c>
      <c r="AB762" s="154" t="str">
        <f t="shared" si="18"/>
        <v/>
      </c>
      <c r="AC762" s="322"/>
      <c r="AD762" s="319"/>
      <c r="AE762" s="320"/>
    </row>
    <row r="763" ht="18.0" customHeight="1">
      <c r="A763" s="118" t="str">
        <f t="shared" si="15"/>
        <v/>
      </c>
      <c r="B763" s="109"/>
      <c r="C763" s="119"/>
      <c r="D763" s="119"/>
      <c r="E763" s="330"/>
      <c r="F763" s="121"/>
      <c r="G763" s="153"/>
      <c r="H763" s="153"/>
      <c r="I763" s="153"/>
      <c r="J763" s="112"/>
      <c r="K763" s="153"/>
      <c r="L763" s="114"/>
      <c r="M763" s="151"/>
      <c r="N763" s="152"/>
      <c r="O763" s="150"/>
      <c r="P763" s="114"/>
      <c r="Q763" s="114"/>
      <c r="R763" s="151"/>
      <c r="S763" s="152"/>
      <c r="T763" s="153"/>
      <c r="U763" s="152"/>
      <c r="V763" s="152"/>
      <c r="W763" s="152"/>
      <c r="X763" s="152"/>
      <c r="Y763" s="153"/>
      <c r="Z763" s="125" t="str">
        <f t="shared" si="16"/>
        <v/>
      </c>
      <c r="AA763" s="126" t="str">
        <f t="shared" si="17"/>
        <v/>
      </c>
      <c r="AB763" s="154" t="str">
        <f t="shared" si="18"/>
        <v/>
      </c>
      <c r="AC763" s="152"/>
      <c r="AD763" s="153"/>
      <c r="AE763" s="156"/>
    </row>
    <row r="764" ht="18.0" customHeight="1">
      <c r="A764" s="127" t="str">
        <f t="shared" si="15"/>
        <v/>
      </c>
      <c r="B764" s="128"/>
      <c r="C764" s="129"/>
      <c r="D764" s="129"/>
      <c r="E764" s="325"/>
      <c r="F764" s="131"/>
      <c r="G764" s="319"/>
      <c r="H764" s="319"/>
      <c r="I764" s="319"/>
      <c r="J764" s="132"/>
      <c r="K764" s="319"/>
      <c r="L764" s="135"/>
      <c r="M764" s="321"/>
      <c r="N764" s="322"/>
      <c r="O764" s="150"/>
      <c r="P764" s="135"/>
      <c r="Q764" s="135"/>
      <c r="R764" s="321"/>
      <c r="S764" s="322"/>
      <c r="T764" s="319"/>
      <c r="U764" s="322"/>
      <c r="V764" s="322"/>
      <c r="W764" s="322"/>
      <c r="X764" s="322"/>
      <c r="Y764" s="319"/>
      <c r="Z764" s="136" t="str">
        <f t="shared" si="16"/>
        <v/>
      </c>
      <c r="AA764" s="137" t="str">
        <f t="shared" si="17"/>
        <v/>
      </c>
      <c r="AB764" s="154" t="str">
        <f t="shared" si="18"/>
        <v/>
      </c>
      <c r="AC764" s="322"/>
      <c r="AD764" s="319"/>
      <c r="AE764" s="320"/>
    </row>
    <row r="765" ht="18.0" customHeight="1">
      <c r="A765" s="118" t="str">
        <f t="shared" si="15"/>
        <v/>
      </c>
      <c r="B765" s="109"/>
      <c r="C765" s="119"/>
      <c r="D765" s="119"/>
      <c r="E765" s="330"/>
      <c r="F765" s="121"/>
      <c r="G765" s="153"/>
      <c r="H765" s="153"/>
      <c r="I765" s="153"/>
      <c r="J765" s="112"/>
      <c r="K765" s="153"/>
      <c r="L765" s="114"/>
      <c r="M765" s="151"/>
      <c r="N765" s="152"/>
      <c r="O765" s="150"/>
      <c r="P765" s="114"/>
      <c r="Q765" s="114"/>
      <c r="R765" s="151"/>
      <c r="S765" s="152"/>
      <c r="T765" s="153"/>
      <c r="U765" s="152"/>
      <c r="V765" s="152"/>
      <c r="W765" s="152"/>
      <c r="X765" s="152"/>
      <c r="Y765" s="153"/>
      <c r="Z765" s="125" t="str">
        <f t="shared" si="16"/>
        <v/>
      </c>
      <c r="AA765" s="126" t="str">
        <f t="shared" si="17"/>
        <v/>
      </c>
      <c r="AB765" s="154" t="str">
        <f t="shared" si="18"/>
        <v/>
      </c>
      <c r="AC765" s="152"/>
      <c r="AD765" s="153"/>
      <c r="AE765" s="156"/>
    </row>
    <row r="766" ht="18.0" customHeight="1">
      <c r="A766" s="127" t="str">
        <f t="shared" si="15"/>
        <v/>
      </c>
      <c r="B766" s="128"/>
      <c r="C766" s="129"/>
      <c r="D766" s="129"/>
      <c r="E766" s="325"/>
      <c r="F766" s="131"/>
      <c r="G766" s="319"/>
      <c r="H766" s="319"/>
      <c r="I766" s="319"/>
      <c r="J766" s="132"/>
      <c r="K766" s="319"/>
      <c r="L766" s="135"/>
      <c r="M766" s="321"/>
      <c r="N766" s="322"/>
      <c r="O766" s="150"/>
      <c r="P766" s="135"/>
      <c r="Q766" s="135"/>
      <c r="R766" s="321"/>
      <c r="S766" s="322"/>
      <c r="T766" s="319"/>
      <c r="U766" s="322"/>
      <c r="V766" s="322"/>
      <c r="W766" s="322"/>
      <c r="X766" s="322"/>
      <c r="Y766" s="319"/>
      <c r="Z766" s="136" t="str">
        <f t="shared" si="16"/>
        <v/>
      </c>
      <c r="AA766" s="137" t="str">
        <f t="shared" si="17"/>
        <v/>
      </c>
      <c r="AB766" s="154" t="str">
        <f t="shared" si="18"/>
        <v/>
      </c>
      <c r="AC766" s="322"/>
      <c r="AD766" s="319"/>
      <c r="AE766" s="320"/>
    </row>
    <row r="767" ht="18.0" customHeight="1">
      <c r="A767" s="118" t="str">
        <f t="shared" si="15"/>
        <v/>
      </c>
      <c r="B767" s="109"/>
      <c r="C767" s="119"/>
      <c r="D767" s="119"/>
      <c r="E767" s="330"/>
      <c r="F767" s="121"/>
      <c r="G767" s="153"/>
      <c r="H767" s="153"/>
      <c r="I767" s="153"/>
      <c r="J767" s="112"/>
      <c r="K767" s="153"/>
      <c r="L767" s="114"/>
      <c r="M767" s="151"/>
      <c r="N767" s="152"/>
      <c r="O767" s="150"/>
      <c r="P767" s="114"/>
      <c r="Q767" s="114"/>
      <c r="R767" s="151"/>
      <c r="S767" s="152"/>
      <c r="T767" s="153"/>
      <c r="U767" s="152"/>
      <c r="V767" s="152"/>
      <c r="W767" s="152"/>
      <c r="X767" s="152"/>
      <c r="Y767" s="153"/>
      <c r="Z767" s="125" t="str">
        <f t="shared" si="16"/>
        <v/>
      </c>
      <c r="AA767" s="126" t="str">
        <f t="shared" si="17"/>
        <v/>
      </c>
      <c r="AB767" s="154" t="str">
        <f t="shared" si="18"/>
        <v/>
      </c>
      <c r="AC767" s="152"/>
      <c r="AD767" s="153"/>
      <c r="AE767" s="156"/>
    </row>
    <row r="768" ht="18.0" customHeight="1">
      <c r="A768" s="127" t="str">
        <f t="shared" si="15"/>
        <v/>
      </c>
      <c r="B768" s="128"/>
      <c r="C768" s="129"/>
      <c r="D768" s="129"/>
      <c r="E768" s="325"/>
      <c r="F768" s="131"/>
      <c r="G768" s="319"/>
      <c r="H768" s="319"/>
      <c r="I768" s="319"/>
      <c r="J768" s="132"/>
      <c r="K768" s="319"/>
      <c r="L768" s="135"/>
      <c r="M768" s="321"/>
      <c r="N768" s="322"/>
      <c r="O768" s="150"/>
      <c r="P768" s="135"/>
      <c r="Q768" s="135"/>
      <c r="R768" s="321"/>
      <c r="S768" s="322"/>
      <c r="T768" s="319"/>
      <c r="U768" s="322"/>
      <c r="V768" s="322"/>
      <c r="W768" s="322"/>
      <c r="X768" s="322"/>
      <c r="Y768" s="319"/>
      <c r="Z768" s="136" t="str">
        <f t="shared" si="16"/>
        <v/>
      </c>
      <c r="AA768" s="137" t="str">
        <f t="shared" si="17"/>
        <v/>
      </c>
      <c r="AB768" s="154" t="str">
        <f t="shared" si="18"/>
        <v/>
      </c>
      <c r="AC768" s="322"/>
      <c r="AD768" s="319"/>
      <c r="AE768" s="320"/>
    </row>
    <row r="769" ht="18.0" customHeight="1">
      <c r="A769" s="118" t="str">
        <f t="shared" si="15"/>
        <v/>
      </c>
      <c r="B769" s="109"/>
      <c r="C769" s="119"/>
      <c r="D769" s="119"/>
      <c r="E769" s="330"/>
      <c r="F769" s="121"/>
      <c r="G769" s="153"/>
      <c r="H769" s="153"/>
      <c r="I769" s="153"/>
      <c r="J769" s="112"/>
      <c r="K769" s="153"/>
      <c r="L769" s="114"/>
      <c r="M769" s="151"/>
      <c r="N769" s="152"/>
      <c r="O769" s="150"/>
      <c r="P769" s="114"/>
      <c r="Q769" s="114"/>
      <c r="R769" s="151"/>
      <c r="S769" s="152"/>
      <c r="T769" s="153"/>
      <c r="U769" s="152"/>
      <c r="V769" s="152"/>
      <c r="W769" s="152"/>
      <c r="X769" s="152"/>
      <c r="Y769" s="153"/>
      <c r="Z769" s="125" t="str">
        <f t="shared" si="16"/>
        <v/>
      </c>
      <c r="AA769" s="126" t="str">
        <f t="shared" si="17"/>
        <v/>
      </c>
      <c r="AB769" s="154" t="str">
        <f t="shared" si="18"/>
        <v/>
      </c>
      <c r="AC769" s="152"/>
      <c r="AD769" s="153"/>
      <c r="AE769" s="156"/>
    </row>
    <row r="770" ht="18.0" customHeight="1">
      <c r="A770" s="127" t="str">
        <f t="shared" si="15"/>
        <v/>
      </c>
      <c r="B770" s="128"/>
      <c r="C770" s="129"/>
      <c r="D770" s="129"/>
      <c r="E770" s="325"/>
      <c r="F770" s="131"/>
      <c r="G770" s="319"/>
      <c r="H770" s="319"/>
      <c r="I770" s="319"/>
      <c r="J770" s="132"/>
      <c r="K770" s="319"/>
      <c r="L770" s="135"/>
      <c r="M770" s="321"/>
      <c r="N770" s="322"/>
      <c r="O770" s="150"/>
      <c r="P770" s="135"/>
      <c r="Q770" s="135"/>
      <c r="R770" s="321"/>
      <c r="S770" s="322"/>
      <c r="T770" s="319"/>
      <c r="U770" s="322"/>
      <c r="V770" s="322"/>
      <c r="W770" s="322"/>
      <c r="X770" s="322"/>
      <c r="Y770" s="319"/>
      <c r="Z770" s="136" t="str">
        <f t="shared" si="16"/>
        <v/>
      </c>
      <c r="AA770" s="137" t="str">
        <f t="shared" si="17"/>
        <v/>
      </c>
      <c r="AB770" s="154" t="str">
        <f t="shared" si="18"/>
        <v/>
      </c>
      <c r="AC770" s="322"/>
      <c r="AD770" s="319"/>
      <c r="AE770" s="320"/>
    </row>
    <row r="771" ht="18.0" customHeight="1">
      <c r="A771" s="118" t="str">
        <f t="shared" si="15"/>
        <v/>
      </c>
      <c r="B771" s="109"/>
      <c r="C771" s="119"/>
      <c r="D771" s="119"/>
      <c r="E771" s="330"/>
      <c r="F771" s="121"/>
      <c r="G771" s="153"/>
      <c r="H771" s="153"/>
      <c r="I771" s="153"/>
      <c r="J771" s="112"/>
      <c r="K771" s="153"/>
      <c r="L771" s="114"/>
      <c r="M771" s="151"/>
      <c r="N771" s="152"/>
      <c r="O771" s="150"/>
      <c r="P771" s="114"/>
      <c r="Q771" s="114"/>
      <c r="R771" s="151"/>
      <c r="S771" s="152"/>
      <c r="T771" s="153"/>
      <c r="U771" s="152"/>
      <c r="V771" s="152"/>
      <c r="W771" s="152"/>
      <c r="X771" s="152"/>
      <c r="Y771" s="153"/>
      <c r="Z771" s="125" t="str">
        <f t="shared" si="16"/>
        <v/>
      </c>
      <c r="AA771" s="126" t="str">
        <f t="shared" si="17"/>
        <v/>
      </c>
      <c r="AB771" s="154" t="str">
        <f t="shared" si="18"/>
        <v/>
      </c>
      <c r="AC771" s="152"/>
      <c r="AD771" s="153"/>
      <c r="AE771" s="156"/>
    </row>
    <row r="772" ht="18.0" customHeight="1">
      <c r="A772" s="127" t="str">
        <f t="shared" si="15"/>
        <v/>
      </c>
      <c r="B772" s="128"/>
      <c r="C772" s="129"/>
      <c r="D772" s="129"/>
      <c r="E772" s="325"/>
      <c r="F772" s="131"/>
      <c r="G772" s="319"/>
      <c r="H772" s="319"/>
      <c r="I772" s="319"/>
      <c r="J772" s="132"/>
      <c r="K772" s="319"/>
      <c r="L772" s="135"/>
      <c r="M772" s="321"/>
      <c r="N772" s="322"/>
      <c r="O772" s="150"/>
      <c r="P772" s="135"/>
      <c r="Q772" s="135"/>
      <c r="R772" s="321"/>
      <c r="S772" s="322"/>
      <c r="T772" s="319"/>
      <c r="U772" s="322"/>
      <c r="V772" s="322"/>
      <c r="W772" s="322"/>
      <c r="X772" s="322"/>
      <c r="Y772" s="319"/>
      <c r="Z772" s="136" t="str">
        <f t="shared" si="16"/>
        <v/>
      </c>
      <c r="AA772" s="137" t="str">
        <f t="shared" si="17"/>
        <v/>
      </c>
      <c r="AB772" s="154" t="str">
        <f t="shared" si="18"/>
        <v/>
      </c>
      <c r="AC772" s="322"/>
      <c r="AD772" s="319"/>
      <c r="AE772" s="320"/>
    </row>
    <row r="773" ht="18.0" customHeight="1">
      <c r="A773" s="118" t="str">
        <f t="shared" si="15"/>
        <v/>
      </c>
      <c r="B773" s="109"/>
      <c r="C773" s="119"/>
      <c r="D773" s="119"/>
      <c r="E773" s="330"/>
      <c r="F773" s="121"/>
      <c r="G773" s="153"/>
      <c r="H773" s="153"/>
      <c r="I773" s="153"/>
      <c r="J773" s="112"/>
      <c r="K773" s="153"/>
      <c r="L773" s="114"/>
      <c r="M773" s="151"/>
      <c r="N773" s="152"/>
      <c r="O773" s="150"/>
      <c r="P773" s="114"/>
      <c r="Q773" s="114"/>
      <c r="R773" s="151"/>
      <c r="S773" s="152"/>
      <c r="T773" s="153"/>
      <c r="U773" s="152"/>
      <c r="V773" s="152"/>
      <c r="W773" s="152"/>
      <c r="X773" s="152"/>
      <c r="Y773" s="153"/>
      <c r="Z773" s="125" t="str">
        <f t="shared" si="16"/>
        <v/>
      </c>
      <c r="AA773" s="126" t="str">
        <f t="shared" si="17"/>
        <v/>
      </c>
      <c r="AB773" s="154" t="str">
        <f t="shared" si="18"/>
        <v/>
      </c>
      <c r="AC773" s="152"/>
      <c r="AD773" s="153"/>
      <c r="AE773" s="156"/>
    </row>
    <row r="774" ht="18.0" customHeight="1">
      <c r="A774" s="127" t="str">
        <f t="shared" si="15"/>
        <v/>
      </c>
      <c r="B774" s="128"/>
      <c r="C774" s="129"/>
      <c r="D774" s="129"/>
      <c r="E774" s="325"/>
      <c r="F774" s="131"/>
      <c r="G774" s="319"/>
      <c r="H774" s="319"/>
      <c r="I774" s="319"/>
      <c r="J774" s="132"/>
      <c r="K774" s="319"/>
      <c r="L774" s="135"/>
      <c r="M774" s="321"/>
      <c r="N774" s="322"/>
      <c r="O774" s="150"/>
      <c r="P774" s="135"/>
      <c r="Q774" s="135"/>
      <c r="R774" s="321"/>
      <c r="S774" s="322"/>
      <c r="T774" s="319"/>
      <c r="U774" s="322"/>
      <c r="V774" s="322"/>
      <c r="W774" s="322"/>
      <c r="X774" s="322"/>
      <c r="Y774" s="319"/>
      <c r="Z774" s="136" t="str">
        <f t="shared" si="16"/>
        <v/>
      </c>
      <c r="AA774" s="137" t="str">
        <f t="shared" si="17"/>
        <v/>
      </c>
      <c r="AB774" s="154" t="str">
        <f t="shared" si="18"/>
        <v/>
      </c>
      <c r="AC774" s="322"/>
      <c r="AD774" s="319"/>
      <c r="AE774" s="320"/>
    </row>
    <row r="775" ht="18.0" customHeight="1">
      <c r="A775" s="118" t="str">
        <f t="shared" si="15"/>
        <v/>
      </c>
      <c r="B775" s="109"/>
      <c r="C775" s="119"/>
      <c r="D775" s="119"/>
      <c r="E775" s="330"/>
      <c r="F775" s="121"/>
      <c r="G775" s="153"/>
      <c r="H775" s="153"/>
      <c r="I775" s="153"/>
      <c r="J775" s="112"/>
      <c r="K775" s="153"/>
      <c r="L775" s="114"/>
      <c r="M775" s="151"/>
      <c r="N775" s="152"/>
      <c r="O775" s="150"/>
      <c r="P775" s="114"/>
      <c r="Q775" s="114"/>
      <c r="R775" s="151"/>
      <c r="S775" s="152"/>
      <c r="T775" s="153"/>
      <c r="U775" s="152"/>
      <c r="V775" s="152"/>
      <c r="W775" s="152"/>
      <c r="X775" s="152"/>
      <c r="Y775" s="153"/>
      <c r="Z775" s="125" t="str">
        <f t="shared" si="16"/>
        <v/>
      </c>
      <c r="AA775" s="126" t="str">
        <f t="shared" si="17"/>
        <v/>
      </c>
      <c r="AB775" s="154" t="str">
        <f t="shared" si="18"/>
        <v/>
      </c>
      <c r="AC775" s="152"/>
      <c r="AD775" s="153"/>
      <c r="AE775" s="156"/>
    </row>
    <row r="776" ht="18.0" customHeight="1">
      <c r="A776" s="127" t="str">
        <f t="shared" si="15"/>
        <v/>
      </c>
      <c r="B776" s="128"/>
      <c r="C776" s="129"/>
      <c r="D776" s="129"/>
      <c r="E776" s="325"/>
      <c r="F776" s="131"/>
      <c r="G776" s="319"/>
      <c r="H776" s="319"/>
      <c r="I776" s="319"/>
      <c r="J776" s="132"/>
      <c r="K776" s="319"/>
      <c r="L776" s="135"/>
      <c r="M776" s="321"/>
      <c r="N776" s="322"/>
      <c r="O776" s="150"/>
      <c r="P776" s="135"/>
      <c r="Q776" s="135"/>
      <c r="R776" s="321"/>
      <c r="S776" s="322"/>
      <c r="T776" s="319"/>
      <c r="U776" s="322"/>
      <c r="V776" s="322"/>
      <c r="W776" s="322"/>
      <c r="X776" s="322"/>
      <c r="Y776" s="319"/>
      <c r="Z776" s="136" t="str">
        <f t="shared" si="16"/>
        <v/>
      </c>
      <c r="AA776" s="137" t="str">
        <f t="shared" si="17"/>
        <v/>
      </c>
      <c r="AB776" s="154" t="str">
        <f t="shared" si="18"/>
        <v/>
      </c>
      <c r="AC776" s="322"/>
      <c r="AD776" s="319"/>
      <c r="AE776" s="320"/>
    </row>
    <row r="777" ht="18.0" customHeight="1">
      <c r="A777" s="118" t="str">
        <f t="shared" si="15"/>
        <v/>
      </c>
      <c r="B777" s="109"/>
      <c r="C777" s="119"/>
      <c r="D777" s="119"/>
      <c r="E777" s="330"/>
      <c r="F777" s="121"/>
      <c r="G777" s="153"/>
      <c r="H777" s="153"/>
      <c r="I777" s="153"/>
      <c r="J777" s="112"/>
      <c r="K777" s="153"/>
      <c r="L777" s="114"/>
      <c r="M777" s="151"/>
      <c r="N777" s="152"/>
      <c r="O777" s="150"/>
      <c r="P777" s="114"/>
      <c r="Q777" s="114"/>
      <c r="R777" s="151"/>
      <c r="S777" s="152"/>
      <c r="T777" s="153"/>
      <c r="U777" s="152"/>
      <c r="V777" s="152"/>
      <c r="W777" s="152"/>
      <c r="X777" s="152"/>
      <c r="Y777" s="153"/>
      <c r="Z777" s="125" t="str">
        <f t="shared" si="16"/>
        <v/>
      </c>
      <c r="AA777" s="126" t="str">
        <f t="shared" si="17"/>
        <v/>
      </c>
      <c r="AB777" s="154" t="str">
        <f t="shared" si="18"/>
        <v/>
      </c>
      <c r="AC777" s="152"/>
      <c r="AD777" s="153"/>
      <c r="AE777" s="156"/>
    </row>
    <row r="778" ht="18.0" customHeight="1">
      <c r="A778" s="127" t="str">
        <f t="shared" si="15"/>
        <v/>
      </c>
      <c r="B778" s="128"/>
      <c r="C778" s="129"/>
      <c r="D778" s="129"/>
      <c r="E778" s="325"/>
      <c r="F778" s="131"/>
      <c r="G778" s="319"/>
      <c r="H778" s="319"/>
      <c r="I778" s="319"/>
      <c r="J778" s="132"/>
      <c r="K778" s="319"/>
      <c r="L778" s="135"/>
      <c r="M778" s="321"/>
      <c r="N778" s="322"/>
      <c r="O778" s="150"/>
      <c r="P778" s="135"/>
      <c r="Q778" s="135"/>
      <c r="R778" s="321"/>
      <c r="S778" s="322"/>
      <c r="T778" s="319"/>
      <c r="U778" s="322"/>
      <c r="V778" s="322"/>
      <c r="W778" s="322"/>
      <c r="X778" s="322"/>
      <c r="Y778" s="319"/>
      <c r="Z778" s="136" t="str">
        <f t="shared" si="16"/>
        <v/>
      </c>
      <c r="AA778" s="137" t="str">
        <f t="shared" si="17"/>
        <v/>
      </c>
      <c r="AB778" s="154" t="str">
        <f t="shared" si="18"/>
        <v/>
      </c>
      <c r="AC778" s="322"/>
      <c r="AD778" s="319"/>
      <c r="AE778" s="320"/>
    </row>
    <row r="779" ht="18.0" customHeight="1">
      <c r="A779" s="118" t="str">
        <f t="shared" si="15"/>
        <v/>
      </c>
      <c r="B779" s="109"/>
      <c r="C779" s="119"/>
      <c r="D779" s="119"/>
      <c r="E779" s="330"/>
      <c r="F779" s="121"/>
      <c r="G779" s="153"/>
      <c r="H779" s="153"/>
      <c r="I779" s="153"/>
      <c r="J779" s="112"/>
      <c r="K779" s="153"/>
      <c r="L779" s="114"/>
      <c r="M779" s="151"/>
      <c r="N779" s="152"/>
      <c r="O779" s="150"/>
      <c r="P779" s="114"/>
      <c r="Q779" s="114"/>
      <c r="R779" s="151"/>
      <c r="S779" s="152"/>
      <c r="T779" s="153"/>
      <c r="U779" s="152"/>
      <c r="V779" s="152"/>
      <c r="W779" s="152"/>
      <c r="X779" s="152"/>
      <c r="Y779" s="153"/>
      <c r="Z779" s="125" t="str">
        <f t="shared" si="16"/>
        <v/>
      </c>
      <c r="AA779" s="126" t="str">
        <f t="shared" si="17"/>
        <v/>
      </c>
      <c r="AB779" s="154" t="str">
        <f t="shared" si="18"/>
        <v/>
      </c>
      <c r="AC779" s="152"/>
      <c r="AD779" s="153"/>
      <c r="AE779" s="156"/>
    </row>
    <row r="780" ht="18.0" customHeight="1">
      <c r="A780" s="127" t="str">
        <f t="shared" si="15"/>
        <v/>
      </c>
      <c r="B780" s="128"/>
      <c r="C780" s="129"/>
      <c r="D780" s="129"/>
      <c r="E780" s="325"/>
      <c r="F780" s="131"/>
      <c r="G780" s="319"/>
      <c r="H780" s="319"/>
      <c r="I780" s="319"/>
      <c r="J780" s="132"/>
      <c r="K780" s="319"/>
      <c r="L780" s="135"/>
      <c r="M780" s="321"/>
      <c r="N780" s="322"/>
      <c r="O780" s="150"/>
      <c r="P780" s="135"/>
      <c r="Q780" s="135"/>
      <c r="R780" s="321"/>
      <c r="S780" s="322"/>
      <c r="T780" s="319"/>
      <c r="U780" s="322"/>
      <c r="V780" s="322"/>
      <c r="W780" s="322"/>
      <c r="X780" s="322"/>
      <c r="Y780" s="319"/>
      <c r="Z780" s="136" t="str">
        <f t="shared" si="16"/>
        <v/>
      </c>
      <c r="AA780" s="137" t="str">
        <f t="shared" si="17"/>
        <v/>
      </c>
      <c r="AB780" s="154" t="str">
        <f t="shared" si="18"/>
        <v/>
      </c>
      <c r="AC780" s="322"/>
      <c r="AD780" s="319"/>
      <c r="AE780" s="320"/>
    </row>
    <row r="781" ht="18.0" customHeight="1">
      <c r="A781" s="118" t="str">
        <f t="shared" si="15"/>
        <v/>
      </c>
      <c r="B781" s="109"/>
      <c r="C781" s="119"/>
      <c r="D781" s="119"/>
      <c r="E781" s="330"/>
      <c r="F781" s="121"/>
      <c r="G781" s="153"/>
      <c r="H781" s="153"/>
      <c r="I781" s="153"/>
      <c r="J781" s="112"/>
      <c r="K781" s="153"/>
      <c r="L781" s="114"/>
      <c r="M781" s="151"/>
      <c r="N781" s="152"/>
      <c r="O781" s="150"/>
      <c r="P781" s="114"/>
      <c r="Q781" s="114"/>
      <c r="R781" s="151"/>
      <c r="S781" s="152"/>
      <c r="T781" s="153"/>
      <c r="U781" s="152"/>
      <c r="V781" s="152"/>
      <c r="W781" s="152"/>
      <c r="X781" s="152"/>
      <c r="Y781" s="153"/>
      <c r="Z781" s="125" t="str">
        <f t="shared" si="16"/>
        <v/>
      </c>
      <c r="AA781" s="126" t="str">
        <f t="shared" si="17"/>
        <v/>
      </c>
      <c r="AB781" s="154" t="str">
        <f t="shared" si="18"/>
        <v/>
      </c>
      <c r="AC781" s="152"/>
      <c r="AD781" s="153"/>
      <c r="AE781" s="156"/>
    </row>
    <row r="782" ht="18.0" customHeight="1">
      <c r="A782" s="127" t="str">
        <f t="shared" si="15"/>
        <v/>
      </c>
      <c r="B782" s="128"/>
      <c r="C782" s="129"/>
      <c r="D782" s="129"/>
      <c r="E782" s="325"/>
      <c r="F782" s="131"/>
      <c r="G782" s="319"/>
      <c r="H782" s="319"/>
      <c r="I782" s="319"/>
      <c r="J782" s="132"/>
      <c r="K782" s="319"/>
      <c r="L782" s="135"/>
      <c r="M782" s="321"/>
      <c r="N782" s="322"/>
      <c r="O782" s="150"/>
      <c r="P782" s="135"/>
      <c r="Q782" s="135"/>
      <c r="R782" s="321"/>
      <c r="S782" s="322"/>
      <c r="T782" s="319"/>
      <c r="U782" s="322"/>
      <c r="V782" s="322"/>
      <c r="W782" s="322"/>
      <c r="X782" s="322"/>
      <c r="Y782" s="319"/>
      <c r="Z782" s="136" t="str">
        <f t="shared" si="16"/>
        <v/>
      </c>
      <c r="AA782" s="137" t="str">
        <f t="shared" si="17"/>
        <v/>
      </c>
      <c r="AB782" s="154" t="str">
        <f t="shared" si="18"/>
        <v/>
      </c>
      <c r="AC782" s="322"/>
      <c r="AD782" s="319"/>
      <c r="AE782" s="320"/>
    </row>
    <row r="783" ht="18.0" customHeight="1">
      <c r="A783" s="118" t="str">
        <f t="shared" si="15"/>
        <v/>
      </c>
      <c r="B783" s="109"/>
      <c r="C783" s="119"/>
      <c r="D783" s="119"/>
      <c r="E783" s="330"/>
      <c r="F783" s="121"/>
      <c r="G783" s="153"/>
      <c r="H783" s="153"/>
      <c r="I783" s="153"/>
      <c r="J783" s="112"/>
      <c r="K783" s="153"/>
      <c r="L783" s="114"/>
      <c r="M783" s="151"/>
      <c r="N783" s="152"/>
      <c r="O783" s="150"/>
      <c r="P783" s="114"/>
      <c r="Q783" s="114"/>
      <c r="R783" s="151"/>
      <c r="S783" s="152"/>
      <c r="T783" s="153"/>
      <c r="U783" s="152"/>
      <c r="V783" s="152"/>
      <c r="W783" s="152"/>
      <c r="X783" s="152"/>
      <c r="Y783" s="153"/>
      <c r="Z783" s="125" t="str">
        <f t="shared" si="16"/>
        <v/>
      </c>
      <c r="AA783" s="126" t="str">
        <f t="shared" si="17"/>
        <v/>
      </c>
      <c r="AB783" s="154" t="str">
        <f t="shared" si="18"/>
        <v/>
      </c>
      <c r="AC783" s="152"/>
      <c r="AD783" s="153"/>
      <c r="AE783" s="156"/>
    </row>
    <row r="784" ht="18.0" customHeight="1">
      <c r="A784" s="127" t="str">
        <f t="shared" si="15"/>
        <v/>
      </c>
      <c r="B784" s="128"/>
      <c r="C784" s="129"/>
      <c r="D784" s="129"/>
      <c r="E784" s="325"/>
      <c r="F784" s="131"/>
      <c r="G784" s="319"/>
      <c r="H784" s="319"/>
      <c r="I784" s="319"/>
      <c r="J784" s="132"/>
      <c r="K784" s="319"/>
      <c r="L784" s="135"/>
      <c r="M784" s="321"/>
      <c r="N784" s="322"/>
      <c r="O784" s="150"/>
      <c r="P784" s="135"/>
      <c r="Q784" s="135"/>
      <c r="R784" s="321"/>
      <c r="S784" s="322"/>
      <c r="T784" s="319"/>
      <c r="U784" s="322"/>
      <c r="V784" s="322"/>
      <c r="W784" s="322"/>
      <c r="X784" s="322"/>
      <c r="Y784" s="319"/>
      <c r="Z784" s="136" t="str">
        <f t="shared" si="16"/>
        <v/>
      </c>
      <c r="AA784" s="137" t="str">
        <f t="shared" si="17"/>
        <v/>
      </c>
      <c r="AB784" s="154" t="str">
        <f t="shared" si="18"/>
        <v/>
      </c>
      <c r="AC784" s="322"/>
      <c r="AD784" s="319"/>
      <c r="AE784" s="320"/>
    </row>
    <row r="785" ht="18.0" customHeight="1">
      <c r="A785" s="118" t="str">
        <f t="shared" si="15"/>
        <v/>
      </c>
      <c r="B785" s="109"/>
      <c r="C785" s="119"/>
      <c r="D785" s="119"/>
      <c r="E785" s="330"/>
      <c r="F785" s="121"/>
      <c r="G785" s="153"/>
      <c r="H785" s="153"/>
      <c r="I785" s="153"/>
      <c r="J785" s="112"/>
      <c r="K785" s="153"/>
      <c r="L785" s="114"/>
      <c r="M785" s="151"/>
      <c r="N785" s="152"/>
      <c r="O785" s="150"/>
      <c r="P785" s="114"/>
      <c r="Q785" s="114"/>
      <c r="R785" s="151"/>
      <c r="S785" s="152"/>
      <c r="T785" s="153"/>
      <c r="U785" s="152"/>
      <c r="V785" s="152"/>
      <c r="W785" s="152"/>
      <c r="X785" s="152"/>
      <c r="Y785" s="153"/>
      <c r="Z785" s="125" t="str">
        <f t="shared" si="16"/>
        <v/>
      </c>
      <c r="AA785" s="126" t="str">
        <f t="shared" si="17"/>
        <v/>
      </c>
      <c r="AB785" s="154" t="str">
        <f t="shared" si="18"/>
        <v/>
      </c>
      <c r="AC785" s="152"/>
      <c r="AD785" s="153"/>
      <c r="AE785" s="156"/>
    </row>
    <row r="786" ht="18.0" customHeight="1">
      <c r="A786" s="127" t="str">
        <f t="shared" si="15"/>
        <v/>
      </c>
      <c r="B786" s="128"/>
      <c r="C786" s="129"/>
      <c r="D786" s="129"/>
      <c r="E786" s="325"/>
      <c r="F786" s="131"/>
      <c r="G786" s="319"/>
      <c r="H786" s="319"/>
      <c r="I786" s="319"/>
      <c r="J786" s="132"/>
      <c r="K786" s="319"/>
      <c r="L786" s="135"/>
      <c r="M786" s="321"/>
      <c r="N786" s="322"/>
      <c r="O786" s="150"/>
      <c r="P786" s="135"/>
      <c r="Q786" s="135"/>
      <c r="R786" s="321"/>
      <c r="S786" s="322"/>
      <c r="T786" s="319"/>
      <c r="U786" s="322"/>
      <c r="V786" s="322"/>
      <c r="W786" s="322"/>
      <c r="X786" s="322"/>
      <c r="Y786" s="319"/>
      <c r="Z786" s="136" t="str">
        <f t="shared" si="16"/>
        <v/>
      </c>
      <c r="AA786" s="137" t="str">
        <f t="shared" si="17"/>
        <v/>
      </c>
      <c r="AB786" s="154" t="str">
        <f t="shared" si="18"/>
        <v/>
      </c>
      <c r="AC786" s="322"/>
      <c r="AD786" s="319"/>
      <c r="AE786" s="320"/>
    </row>
    <row r="787" ht="18.0" customHeight="1">
      <c r="A787" s="118" t="str">
        <f t="shared" si="15"/>
        <v/>
      </c>
      <c r="B787" s="109"/>
      <c r="C787" s="119"/>
      <c r="D787" s="119"/>
      <c r="E787" s="330"/>
      <c r="F787" s="121"/>
      <c r="G787" s="153"/>
      <c r="H787" s="153"/>
      <c r="I787" s="153"/>
      <c r="J787" s="112"/>
      <c r="K787" s="153"/>
      <c r="L787" s="114"/>
      <c r="M787" s="151"/>
      <c r="N787" s="152"/>
      <c r="O787" s="150"/>
      <c r="P787" s="114"/>
      <c r="Q787" s="114"/>
      <c r="R787" s="151"/>
      <c r="S787" s="152"/>
      <c r="T787" s="153"/>
      <c r="U787" s="152"/>
      <c r="V787" s="152"/>
      <c r="W787" s="152"/>
      <c r="X787" s="152"/>
      <c r="Y787" s="153"/>
      <c r="Z787" s="125" t="str">
        <f t="shared" si="16"/>
        <v/>
      </c>
      <c r="AA787" s="126" t="str">
        <f t="shared" si="17"/>
        <v/>
      </c>
      <c r="AB787" s="154" t="str">
        <f t="shared" si="18"/>
        <v/>
      </c>
      <c r="AC787" s="152"/>
      <c r="AD787" s="153"/>
      <c r="AE787" s="156"/>
    </row>
    <row r="788" ht="18.0" customHeight="1">
      <c r="A788" s="127" t="str">
        <f t="shared" si="15"/>
        <v/>
      </c>
      <c r="B788" s="128"/>
      <c r="C788" s="129"/>
      <c r="D788" s="129"/>
      <c r="E788" s="325"/>
      <c r="F788" s="131"/>
      <c r="G788" s="319"/>
      <c r="H788" s="319"/>
      <c r="I788" s="319"/>
      <c r="J788" s="132"/>
      <c r="K788" s="319"/>
      <c r="L788" s="135"/>
      <c r="M788" s="321"/>
      <c r="N788" s="322"/>
      <c r="O788" s="150"/>
      <c r="P788" s="135"/>
      <c r="Q788" s="135"/>
      <c r="R788" s="321"/>
      <c r="S788" s="322"/>
      <c r="T788" s="319"/>
      <c r="U788" s="322"/>
      <c r="V788" s="322"/>
      <c r="W788" s="322"/>
      <c r="X788" s="322"/>
      <c r="Y788" s="319"/>
      <c r="Z788" s="136" t="str">
        <f t="shared" si="16"/>
        <v/>
      </c>
      <c r="AA788" s="137" t="str">
        <f t="shared" si="17"/>
        <v/>
      </c>
      <c r="AB788" s="154" t="str">
        <f t="shared" si="18"/>
        <v/>
      </c>
      <c r="AC788" s="322"/>
      <c r="AD788" s="319"/>
      <c r="AE788" s="320"/>
    </row>
    <row r="789" ht="18.0" customHeight="1">
      <c r="A789" s="118" t="str">
        <f t="shared" si="15"/>
        <v/>
      </c>
      <c r="B789" s="109"/>
      <c r="C789" s="119"/>
      <c r="D789" s="119"/>
      <c r="E789" s="330"/>
      <c r="F789" s="121"/>
      <c r="G789" s="153"/>
      <c r="H789" s="153"/>
      <c r="I789" s="153"/>
      <c r="J789" s="112"/>
      <c r="K789" s="153"/>
      <c r="L789" s="114"/>
      <c r="M789" s="151"/>
      <c r="N789" s="152"/>
      <c r="O789" s="150"/>
      <c r="P789" s="114"/>
      <c r="Q789" s="114"/>
      <c r="R789" s="151"/>
      <c r="S789" s="152"/>
      <c r="T789" s="153"/>
      <c r="U789" s="152"/>
      <c r="V789" s="152"/>
      <c r="W789" s="152"/>
      <c r="X789" s="152"/>
      <c r="Y789" s="153"/>
      <c r="Z789" s="125" t="str">
        <f t="shared" si="16"/>
        <v/>
      </c>
      <c r="AA789" s="126" t="str">
        <f t="shared" si="17"/>
        <v/>
      </c>
      <c r="AB789" s="154" t="str">
        <f t="shared" si="18"/>
        <v/>
      </c>
      <c r="AC789" s="152"/>
      <c r="AD789" s="153"/>
      <c r="AE789" s="156"/>
    </row>
    <row r="790" ht="18.0" customHeight="1">
      <c r="A790" s="127" t="str">
        <f t="shared" si="15"/>
        <v/>
      </c>
      <c r="B790" s="128"/>
      <c r="C790" s="129"/>
      <c r="D790" s="129"/>
      <c r="E790" s="325"/>
      <c r="F790" s="131"/>
      <c r="G790" s="319"/>
      <c r="H790" s="319"/>
      <c r="I790" s="319"/>
      <c r="J790" s="132"/>
      <c r="K790" s="319"/>
      <c r="L790" s="135"/>
      <c r="M790" s="321"/>
      <c r="N790" s="322"/>
      <c r="O790" s="150"/>
      <c r="P790" s="135"/>
      <c r="Q790" s="135"/>
      <c r="R790" s="321"/>
      <c r="S790" s="322"/>
      <c r="T790" s="319"/>
      <c r="U790" s="322"/>
      <c r="V790" s="322"/>
      <c r="W790" s="322"/>
      <c r="X790" s="322"/>
      <c r="Y790" s="319"/>
      <c r="Z790" s="136" t="str">
        <f t="shared" si="16"/>
        <v/>
      </c>
      <c r="AA790" s="137" t="str">
        <f t="shared" si="17"/>
        <v/>
      </c>
      <c r="AB790" s="154" t="str">
        <f t="shared" si="18"/>
        <v/>
      </c>
      <c r="AC790" s="322"/>
      <c r="AD790" s="319"/>
      <c r="AE790" s="320"/>
    </row>
    <row r="791" ht="18.0" customHeight="1">
      <c r="A791" s="118" t="str">
        <f t="shared" si="15"/>
        <v/>
      </c>
      <c r="B791" s="109"/>
      <c r="C791" s="119"/>
      <c r="D791" s="119"/>
      <c r="E791" s="330"/>
      <c r="F791" s="121"/>
      <c r="G791" s="153"/>
      <c r="H791" s="153"/>
      <c r="I791" s="153"/>
      <c r="J791" s="112"/>
      <c r="K791" s="153"/>
      <c r="L791" s="114"/>
      <c r="M791" s="151"/>
      <c r="N791" s="152"/>
      <c r="O791" s="150"/>
      <c r="P791" s="114"/>
      <c r="Q791" s="114"/>
      <c r="R791" s="151"/>
      <c r="S791" s="152"/>
      <c r="T791" s="153"/>
      <c r="U791" s="152"/>
      <c r="V791" s="152"/>
      <c r="W791" s="152"/>
      <c r="X791" s="152"/>
      <c r="Y791" s="153"/>
      <c r="Z791" s="125" t="str">
        <f t="shared" si="16"/>
        <v/>
      </c>
      <c r="AA791" s="126" t="str">
        <f t="shared" si="17"/>
        <v/>
      </c>
      <c r="AB791" s="154" t="str">
        <f t="shared" si="18"/>
        <v/>
      </c>
      <c r="AC791" s="152"/>
      <c r="AD791" s="153"/>
      <c r="AE791" s="156"/>
    </row>
    <row r="792" ht="18.0" customHeight="1">
      <c r="A792" s="127" t="str">
        <f t="shared" si="15"/>
        <v/>
      </c>
      <c r="B792" s="128"/>
      <c r="C792" s="129"/>
      <c r="D792" s="129"/>
      <c r="E792" s="325"/>
      <c r="F792" s="131"/>
      <c r="G792" s="319"/>
      <c r="H792" s="319"/>
      <c r="I792" s="319"/>
      <c r="J792" s="132"/>
      <c r="K792" s="319"/>
      <c r="L792" s="135"/>
      <c r="M792" s="321"/>
      <c r="N792" s="322"/>
      <c r="O792" s="150"/>
      <c r="P792" s="135"/>
      <c r="Q792" s="135"/>
      <c r="R792" s="321"/>
      <c r="S792" s="322"/>
      <c r="T792" s="319"/>
      <c r="U792" s="322"/>
      <c r="V792" s="322"/>
      <c r="W792" s="322"/>
      <c r="X792" s="322"/>
      <c r="Y792" s="319"/>
      <c r="Z792" s="136" t="str">
        <f t="shared" si="16"/>
        <v/>
      </c>
      <c r="AA792" s="137" t="str">
        <f t="shared" si="17"/>
        <v/>
      </c>
      <c r="AB792" s="154" t="str">
        <f t="shared" si="18"/>
        <v/>
      </c>
      <c r="AC792" s="322"/>
      <c r="AD792" s="319"/>
      <c r="AE792" s="320"/>
    </row>
    <row r="793" ht="18.0" customHeight="1">
      <c r="A793" s="118" t="str">
        <f t="shared" si="15"/>
        <v/>
      </c>
      <c r="B793" s="109"/>
      <c r="C793" s="119"/>
      <c r="D793" s="119"/>
      <c r="E793" s="330"/>
      <c r="F793" s="121"/>
      <c r="G793" s="153"/>
      <c r="H793" s="153"/>
      <c r="I793" s="153"/>
      <c r="J793" s="112"/>
      <c r="K793" s="153"/>
      <c r="L793" s="114"/>
      <c r="M793" s="151"/>
      <c r="N793" s="152"/>
      <c r="O793" s="150"/>
      <c r="P793" s="114"/>
      <c r="Q793" s="114"/>
      <c r="R793" s="151"/>
      <c r="S793" s="152"/>
      <c r="T793" s="153"/>
      <c r="U793" s="152"/>
      <c r="V793" s="152"/>
      <c r="W793" s="152"/>
      <c r="X793" s="152"/>
      <c r="Y793" s="153"/>
      <c r="Z793" s="125" t="str">
        <f t="shared" si="16"/>
        <v/>
      </c>
      <c r="AA793" s="126" t="str">
        <f t="shared" si="17"/>
        <v/>
      </c>
      <c r="AB793" s="154" t="str">
        <f t="shared" si="18"/>
        <v/>
      </c>
      <c r="AC793" s="152"/>
      <c r="AD793" s="153"/>
      <c r="AE793" s="156"/>
    </row>
    <row r="794" ht="18.0" customHeight="1">
      <c r="A794" s="127" t="str">
        <f t="shared" si="15"/>
        <v/>
      </c>
      <c r="B794" s="128"/>
      <c r="C794" s="129"/>
      <c r="D794" s="129"/>
      <c r="E794" s="325"/>
      <c r="F794" s="131"/>
      <c r="G794" s="319"/>
      <c r="H794" s="319"/>
      <c r="I794" s="319"/>
      <c r="J794" s="132"/>
      <c r="K794" s="319"/>
      <c r="L794" s="135"/>
      <c r="M794" s="321"/>
      <c r="N794" s="322"/>
      <c r="O794" s="150"/>
      <c r="P794" s="135"/>
      <c r="Q794" s="135"/>
      <c r="R794" s="321"/>
      <c r="S794" s="322"/>
      <c r="T794" s="319"/>
      <c r="U794" s="322"/>
      <c r="V794" s="322"/>
      <c r="W794" s="322"/>
      <c r="X794" s="322"/>
      <c r="Y794" s="319"/>
      <c r="Z794" s="136" t="str">
        <f t="shared" si="16"/>
        <v/>
      </c>
      <c r="AA794" s="137" t="str">
        <f t="shared" si="17"/>
        <v/>
      </c>
      <c r="AB794" s="154" t="str">
        <f t="shared" si="18"/>
        <v/>
      </c>
      <c r="AC794" s="322"/>
      <c r="AD794" s="319"/>
      <c r="AE794" s="320"/>
    </row>
    <row r="795" ht="18.0" customHeight="1">
      <c r="A795" s="118" t="str">
        <f t="shared" si="15"/>
        <v/>
      </c>
      <c r="B795" s="109"/>
      <c r="C795" s="119"/>
      <c r="D795" s="119"/>
      <c r="E795" s="330"/>
      <c r="F795" s="121"/>
      <c r="G795" s="153"/>
      <c r="H795" s="153"/>
      <c r="I795" s="153"/>
      <c r="J795" s="112"/>
      <c r="K795" s="153"/>
      <c r="L795" s="114"/>
      <c r="M795" s="151"/>
      <c r="N795" s="152"/>
      <c r="O795" s="150"/>
      <c r="P795" s="114"/>
      <c r="Q795" s="114"/>
      <c r="R795" s="151"/>
      <c r="S795" s="152"/>
      <c r="T795" s="153"/>
      <c r="U795" s="152"/>
      <c r="V795" s="152"/>
      <c r="W795" s="152"/>
      <c r="X795" s="152"/>
      <c r="Y795" s="153"/>
      <c r="Z795" s="125" t="str">
        <f t="shared" si="16"/>
        <v/>
      </c>
      <c r="AA795" s="126" t="str">
        <f t="shared" si="17"/>
        <v/>
      </c>
      <c r="AB795" s="154" t="str">
        <f t="shared" si="18"/>
        <v/>
      </c>
      <c r="AC795" s="152"/>
      <c r="AD795" s="153"/>
      <c r="AE795" s="156"/>
    </row>
    <row r="796" ht="18.0" customHeight="1">
      <c r="A796" s="127" t="str">
        <f t="shared" si="15"/>
        <v/>
      </c>
      <c r="B796" s="128"/>
      <c r="C796" s="129"/>
      <c r="D796" s="129"/>
      <c r="E796" s="325"/>
      <c r="F796" s="131"/>
      <c r="G796" s="319"/>
      <c r="H796" s="319"/>
      <c r="I796" s="319"/>
      <c r="J796" s="132"/>
      <c r="K796" s="319"/>
      <c r="L796" s="135"/>
      <c r="M796" s="321"/>
      <c r="N796" s="322"/>
      <c r="O796" s="150"/>
      <c r="P796" s="135"/>
      <c r="Q796" s="135"/>
      <c r="R796" s="321"/>
      <c r="S796" s="322"/>
      <c r="T796" s="319"/>
      <c r="U796" s="322"/>
      <c r="V796" s="322"/>
      <c r="W796" s="322"/>
      <c r="X796" s="322"/>
      <c r="Y796" s="319"/>
      <c r="Z796" s="136" t="str">
        <f t="shared" si="16"/>
        <v/>
      </c>
      <c r="AA796" s="137" t="str">
        <f t="shared" si="17"/>
        <v/>
      </c>
      <c r="AB796" s="154" t="str">
        <f t="shared" si="18"/>
        <v/>
      </c>
      <c r="AC796" s="322"/>
      <c r="AD796" s="319"/>
      <c r="AE796" s="320"/>
    </row>
    <row r="797" ht="18.0" customHeight="1">
      <c r="A797" s="118" t="str">
        <f t="shared" si="15"/>
        <v/>
      </c>
      <c r="B797" s="109"/>
      <c r="C797" s="119"/>
      <c r="D797" s="119"/>
      <c r="E797" s="330"/>
      <c r="F797" s="121"/>
      <c r="G797" s="153"/>
      <c r="H797" s="153"/>
      <c r="I797" s="153"/>
      <c r="J797" s="112"/>
      <c r="K797" s="153"/>
      <c r="L797" s="114"/>
      <c r="M797" s="151"/>
      <c r="N797" s="152"/>
      <c r="O797" s="150"/>
      <c r="P797" s="114"/>
      <c r="Q797" s="114"/>
      <c r="R797" s="151"/>
      <c r="S797" s="152"/>
      <c r="T797" s="153"/>
      <c r="U797" s="152"/>
      <c r="V797" s="152"/>
      <c r="W797" s="152"/>
      <c r="X797" s="152"/>
      <c r="Y797" s="153"/>
      <c r="Z797" s="125" t="str">
        <f t="shared" si="16"/>
        <v/>
      </c>
      <c r="AA797" s="126" t="str">
        <f t="shared" si="17"/>
        <v/>
      </c>
      <c r="AB797" s="154" t="str">
        <f t="shared" si="18"/>
        <v/>
      </c>
      <c r="AC797" s="152"/>
      <c r="AD797" s="153"/>
      <c r="AE797" s="156"/>
    </row>
    <row r="798" ht="18.0" customHeight="1">
      <c r="A798" s="127" t="str">
        <f t="shared" si="15"/>
        <v/>
      </c>
      <c r="B798" s="128"/>
      <c r="C798" s="129"/>
      <c r="D798" s="129"/>
      <c r="E798" s="325"/>
      <c r="F798" s="131"/>
      <c r="G798" s="319"/>
      <c r="H798" s="319"/>
      <c r="I798" s="319"/>
      <c r="J798" s="132"/>
      <c r="K798" s="319"/>
      <c r="L798" s="135"/>
      <c r="M798" s="321"/>
      <c r="N798" s="322"/>
      <c r="O798" s="150"/>
      <c r="P798" s="135"/>
      <c r="Q798" s="135"/>
      <c r="R798" s="321"/>
      <c r="S798" s="322"/>
      <c r="T798" s="319"/>
      <c r="U798" s="322"/>
      <c r="V798" s="322"/>
      <c r="W798" s="322"/>
      <c r="X798" s="322"/>
      <c r="Y798" s="319"/>
      <c r="Z798" s="136" t="str">
        <f t="shared" si="16"/>
        <v/>
      </c>
      <c r="AA798" s="137" t="str">
        <f t="shared" si="17"/>
        <v/>
      </c>
      <c r="AB798" s="154" t="str">
        <f t="shared" si="18"/>
        <v/>
      </c>
      <c r="AC798" s="322"/>
      <c r="AD798" s="319"/>
      <c r="AE798" s="320"/>
    </row>
    <row r="799" ht="18.0" customHeight="1">
      <c r="A799" s="118" t="str">
        <f t="shared" si="15"/>
        <v/>
      </c>
      <c r="B799" s="109"/>
      <c r="C799" s="119"/>
      <c r="D799" s="119"/>
      <c r="E799" s="330"/>
      <c r="F799" s="121"/>
      <c r="G799" s="153"/>
      <c r="H799" s="153"/>
      <c r="I799" s="153"/>
      <c r="J799" s="112"/>
      <c r="K799" s="153"/>
      <c r="L799" s="114"/>
      <c r="M799" s="151"/>
      <c r="N799" s="152"/>
      <c r="O799" s="150"/>
      <c r="P799" s="114"/>
      <c r="Q799" s="114"/>
      <c r="R799" s="151"/>
      <c r="S799" s="152"/>
      <c r="T799" s="153"/>
      <c r="U799" s="152"/>
      <c r="V799" s="152"/>
      <c r="W799" s="152"/>
      <c r="X799" s="152"/>
      <c r="Y799" s="153"/>
      <c r="Z799" s="125" t="str">
        <f t="shared" si="16"/>
        <v/>
      </c>
      <c r="AA799" s="126" t="str">
        <f t="shared" si="17"/>
        <v/>
      </c>
      <c r="AB799" s="154" t="str">
        <f t="shared" si="18"/>
        <v/>
      </c>
      <c r="AC799" s="152"/>
      <c r="AD799" s="153"/>
      <c r="AE799" s="156"/>
    </row>
    <row r="800" ht="18.0" customHeight="1">
      <c r="A800" s="127" t="str">
        <f t="shared" si="15"/>
        <v/>
      </c>
      <c r="B800" s="128"/>
      <c r="C800" s="129"/>
      <c r="D800" s="129"/>
      <c r="E800" s="325"/>
      <c r="F800" s="131"/>
      <c r="G800" s="319"/>
      <c r="H800" s="319"/>
      <c r="I800" s="319"/>
      <c r="J800" s="132"/>
      <c r="K800" s="319"/>
      <c r="L800" s="135"/>
      <c r="M800" s="321"/>
      <c r="N800" s="322"/>
      <c r="O800" s="150"/>
      <c r="P800" s="135"/>
      <c r="Q800" s="135"/>
      <c r="R800" s="321"/>
      <c r="S800" s="322"/>
      <c r="T800" s="319"/>
      <c r="U800" s="322"/>
      <c r="V800" s="322"/>
      <c r="W800" s="322"/>
      <c r="X800" s="322"/>
      <c r="Y800" s="319"/>
      <c r="Z800" s="136" t="str">
        <f t="shared" si="16"/>
        <v/>
      </c>
      <c r="AA800" s="137" t="str">
        <f t="shared" si="17"/>
        <v/>
      </c>
      <c r="AB800" s="154" t="str">
        <f t="shared" si="18"/>
        <v/>
      </c>
      <c r="AC800" s="322"/>
      <c r="AD800" s="319"/>
      <c r="AE800" s="320"/>
    </row>
    <row r="801" ht="18.0" customHeight="1">
      <c r="A801" s="118" t="str">
        <f t="shared" si="15"/>
        <v/>
      </c>
      <c r="B801" s="109"/>
      <c r="C801" s="119"/>
      <c r="D801" s="119"/>
      <c r="E801" s="330"/>
      <c r="F801" s="121"/>
      <c r="G801" s="153"/>
      <c r="H801" s="153"/>
      <c r="I801" s="153"/>
      <c r="J801" s="112"/>
      <c r="K801" s="153"/>
      <c r="L801" s="114"/>
      <c r="M801" s="151"/>
      <c r="N801" s="152"/>
      <c r="O801" s="150"/>
      <c r="P801" s="114"/>
      <c r="Q801" s="114"/>
      <c r="R801" s="151"/>
      <c r="S801" s="152"/>
      <c r="T801" s="153"/>
      <c r="U801" s="152"/>
      <c r="V801" s="152"/>
      <c r="W801" s="152"/>
      <c r="X801" s="152"/>
      <c r="Y801" s="153"/>
      <c r="Z801" s="125" t="str">
        <f t="shared" si="16"/>
        <v/>
      </c>
      <c r="AA801" s="126" t="str">
        <f t="shared" si="17"/>
        <v/>
      </c>
      <c r="AB801" s="154" t="str">
        <f t="shared" si="18"/>
        <v/>
      </c>
      <c r="AC801" s="152"/>
      <c r="AD801" s="153"/>
      <c r="AE801" s="156"/>
    </row>
    <row r="802" ht="18.0" customHeight="1">
      <c r="A802" s="127" t="str">
        <f t="shared" si="15"/>
        <v/>
      </c>
      <c r="B802" s="128"/>
      <c r="C802" s="129"/>
      <c r="D802" s="129"/>
      <c r="E802" s="325"/>
      <c r="F802" s="131"/>
      <c r="G802" s="319"/>
      <c r="H802" s="319"/>
      <c r="I802" s="319"/>
      <c r="J802" s="132"/>
      <c r="K802" s="319"/>
      <c r="L802" s="135"/>
      <c r="M802" s="321"/>
      <c r="N802" s="322"/>
      <c r="O802" s="150"/>
      <c r="P802" s="135"/>
      <c r="Q802" s="135"/>
      <c r="R802" s="321"/>
      <c r="S802" s="322"/>
      <c r="T802" s="319"/>
      <c r="U802" s="322"/>
      <c r="V802" s="322"/>
      <c r="W802" s="322"/>
      <c r="X802" s="322"/>
      <c r="Y802" s="319"/>
      <c r="Z802" s="136" t="str">
        <f t="shared" si="16"/>
        <v/>
      </c>
      <c r="AA802" s="137" t="str">
        <f t="shared" si="17"/>
        <v/>
      </c>
      <c r="AB802" s="154" t="str">
        <f t="shared" si="18"/>
        <v/>
      </c>
      <c r="AC802" s="322"/>
      <c r="AD802" s="319"/>
      <c r="AE802" s="320"/>
    </row>
    <row r="803" ht="18.0" customHeight="1">
      <c r="A803" s="118" t="str">
        <f t="shared" si="15"/>
        <v/>
      </c>
      <c r="B803" s="109"/>
      <c r="C803" s="119"/>
      <c r="D803" s="119"/>
      <c r="E803" s="330"/>
      <c r="F803" s="121"/>
      <c r="G803" s="153"/>
      <c r="H803" s="153"/>
      <c r="I803" s="153"/>
      <c r="J803" s="112"/>
      <c r="K803" s="153"/>
      <c r="L803" s="114"/>
      <c r="M803" s="151"/>
      <c r="N803" s="152"/>
      <c r="O803" s="150"/>
      <c r="P803" s="114"/>
      <c r="Q803" s="114"/>
      <c r="R803" s="151"/>
      <c r="S803" s="152"/>
      <c r="T803" s="153"/>
      <c r="U803" s="152"/>
      <c r="V803" s="152"/>
      <c r="W803" s="152"/>
      <c r="X803" s="152"/>
      <c r="Y803" s="153"/>
      <c r="Z803" s="125" t="str">
        <f t="shared" si="16"/>
        <v/>
      </c>
      <c r="AA803" s="126" t="str">
        <f t="shared" si="17"/>
        <v/>
      </c>
      <c r="AB803" s="154" t="str">
        <f t="shared" si="18"/>
        <v/>
      </c>
      <c r="AC803" s="152"/>
      <c r="AD803" s="153"/>
      <c r="AE803" s="156"/>
    </row>
    <row r="804" ht="18.0" customHeight="1">
      <c r="A804" s="127" t="str">
        <f t="shared" si="15"/>
        <v/>
      </c>
      <c r="B804" s="128"/>
      <c r="C804" s="129"/>
      <c r="D804" s="129"/>
      <c r="E804" s="325"/>
      <c r="F804" s="131"/>
      <c r="G804" s="319"/>
      <c r="H804" s="319"/>
      <c r="I804" s="319"/>
      <c r="J804" s="132"/>
      <c r="K804" s="319"/>
      <c r="L804" s="135"/>
      <c r="M804" s="321"/>
      <c r="N804" s="322"/>
      <c r="O804" s="150"/>
      <c r="P804" s="135"/>
      <c r="Q804" s="135"/>
      <c r="R804" s="321"/>
      <c r="S804" s="322"/>
      <c r="T804" s="319"/>
      <c r="U804" s="322"/>
      <c r="V804" s="322"/>
      <c r="W804" s="322"/>
      <c r="X804" s="322"/>
      <c r="Y804" s="319"/>
      <c r="Z804" s="136" t="str">
        <f t="shared" si="16"/>
        <v/>
      </c>
      <c r="AA804" s="137" t="str">
        <f t="shared" si="17"/>
        <v/>
      </c>
      <c r="AB804" s="154" t="str">
        <f t="shared" si="18"/>
        <v/>
      </c>
      <c r="AC804" s="322"/>
      <c r="AD804" s="319"/>
      <c r="AE804" s="320"/>
    </row>
    <row r="805" ht="18.0" customHeight="1">
      <c r="A805" s="118" t="str">
        <f t="shared" si="15"/>
        <v/>
      </c>
      <c r="B805" s="109"/>
      <c r="C805" s="119"/>
      <c r="D805" s="119"/>
      <c r="E805" s="330"/>
      <c r="F805" s="121"/>
      <c r="G805" s="153"/>
      <c r="H805" s="153"/>
      <c r="I805" s="153"/>
      <c r="J805" s="112"/>
      <c r="K805" s="153"/>
      <c r="L805" s="114"/>
      <c r="M805" s="151"/>
      <c r="N805" s="152"/>
      <c r="O805" s="150"/>
      <c r="P805" s="114"/>
      <c r="Q805" s="114"/>
      <c r="R805" s="151"/>
      <c r="S805" s="152"/>
      <c r="T805" s="153"/>
      <c r="U805" s="152"/>
      <c r="V805" s="152"/>
      <c r="W805" s="152"/>
      <c r="X805" s="152"/>
      <c r="Y805" s="153"/>
      <c r="Z805" s="125" t="str">
        <f t="shared" si="16"/>
        <v/>
      </c>
      <c r="AA805" s="126" t="str">
        <f t="shared" si="17"/>
        <v/>
      </c>
      <c r="AB805" s="154" t="str">
        <f t="shared" si="18"/>
        <v/>
      </c>
      <c r="AC805" s="152"/>
      <c r="AD805" s="153"/>
      <c r="AE805" s="156"/>
    </row>
    <row r="806" ht="18.0" customHeight="1">
      <c r="A806" s="127" t="str">
        <f t="shared" si="15"/>
        <v/>
      </c>
      <c r="B806" s="128"/>
      <c r="C806" s="129"/>
      <c r="D806" s="129"/>
      <c r="E806" s="325"/>
      <c r="F806" s="131"/>
      <c r="G806" s="319"/>
      <c r="H806" s="319"/>
      <c r="I806" s="319"/>
      <c r="J806" s="132"/>
      <c r="K806" s="319"/>
      <c r="L806" s="135"/>
      <c r="M806" s="321"/>
      <c r="N806" s="322"/>
      <c r="O806" s="150"/>
      <c r="P806" s="135"/>
      <c r="Q806" s="135"/>
      <c r="R806" s="321"/>
      <c r="S806" s="322"/>
      <c r="T806" s="319"/>
      <c r="U806" s="322"/>
      <c r="V806" s="322"/>
      <c r="W806" s="322"/>
      <c r="X806" s="322"/>
      <c r="Y806" s="319"/>
      <c r="Z806" s="136" t="str">
        <f t="shared" si="16"/>
        <v/>
      </c>
      <c r="AA806" s="137" t="str">
        <f t="shared" si="17"/>
        <v/>
      </c>
      <c r="AB806" s="154" t="str">
        <f t="shared" si="18"/>
        <v/>
      </c>
      <c r="AC806" s="322"/>
      <c r="AD806" s="319"/>
      <c r="AE806" s="320"/>
    </row>
    <row r="807" ht="18.0" customHeight="1">
      <c r="A807" s="118" t="str">
        <f t="shared" si="15"/>
        <v/>
      </c>
      <c r="B807" s="109"/>
      <c r="C807" s="119"/>
      <c r="D807" s="119"/>
      <c r="E807" s="330"/>
      <c r="F807" s="121"/>
      <c r="G807" s="153"/>
      <c r="H807" s="153"/>
      <c r="I807" s="153"/>
      <c r="J807" s="112"/>
      <c r="K807" s="153"/>
      <c r="L807" s="114"/>
      <c r="M807" s="151"/>
      <c r="N807" s="152"/>
      <c r="O807" s="150"/>
      <c r="P807" s="114"/>
      <c r="Q807" s="114"/>
      <c r="R807" s="151"/>
      <c r="S807" s="152"/>
      <c r="T807" s="153"/>
      <c r="U807" s="152"/>
      <c r="V807" s="152"/>
      <c r="W807" s="152"/>
      <c r="X807" s="152"/>
      <c r="Y807" s="153"/>
      <c r="Z807" s="125" t="str">
        <f t="shared" si="16"/>
        <v/>
      </c>
      <c r="AA807" s="126" t="str">
        <f t="shared" si="17"/>
        <v/>
      </c>
      <c r="AB807" s="154" t="str">
        <f t="shared" si="18"/>
        <v/>
      </c>
      <c r="AC807" s="152"/>
      <c r="AD807" s="153"/>
      <c r="AE807" s="156"/>
    </row>
    <row r="808" ht="18.0" customHeight="1">
      <c r="A808" s="127" t="str">
        <f t="shared" si="15"/>
        <v/>
      </c>
      <c r="B808" s="128"/>
      <c r="C808" s="129"/>
      <c r="D808" s="129"/>
      <c r="E808" s="325"/>
      <c r="F808" s="131"/>
      <c r="G808" s="319"/>
      <c r="H808" s="319"/>
      <c r="I808" s="319"/>
      <c r="J808" s="132"/>
      <c r="K808" s="319"/>
      <c r="L808" s="135"/>
      <c r="M808" s="321"/>
      <c r="N808" s="322"/>
      <c r="O808" s="150"/>
      <c r="P808" s="135"/>
      <c r="Q808" s="135"/>
      <c r="R808" s="321"/>
      <c r="S808" s="322"/>
      <c r="T808" s="319"/>
      <c r="U808" s="322"/>
      <c r="V808" s="322"/>
      <c r="W808" s="322"/>
      <c r="X808" s="322"/>
      <c r="Y808" s="319"/>
      <c r="Z808" s="136" t="str">
        <f t="shared" si="16"/>
        <v/>
      </c>
      <c r="AA808" s="137" t="str">
        <f t="shared" si="17"/>
        <v/>
      </c>
      <c r="AB808" s="154" t="str">
        <f t="shared" si="18"/>
        <v/>
      </c>
      <c r="AC808" s="322"/>
      <c r="AD808" s="319"/>
      <c r="AE808" s="320"/>
    </row>
    <row r="809" ht="18.0" customHeight="1">
      <c r="A809" s="118" t="str">
        <f t="shared" si="15"/>
        <v/>
      </c>
      <c r="B809" s="109"/>
      <c r="C809" s="119"/>
      <c r="D809" s="119"/>
      <c r="E809" s="330"/>
      <c r="F809" s="121"/>
      <c r="G809" s="153"/>
      <c r="H809" s="153"/>
      <c r="I809" s="153"/>
      <c r="J809" s="112"/>
      <c r="K809" s="153"/>
      <c r="L809" s="114"/>
      <c r="M809" s="151"/>
      <c r="N809" s="152"/>
      <c r="O809" s="150"/>
      <c r="P809" s="114"/>
      <c r="Q809" s="114"/>
      <c r="R809" s="151"/>
      <c r="S809" s="152"/>
      <c r="T809" s="153"/>
      <c r="U809" s="152"/>
      <c r="V809" s="152"/>
      <c r="W809" s="152"/>
      <c r="X809" s="152"/>
      <c r="Y809" s="153"/>
      <c r="Z809" s="125" t="str">
        <f t="shared" si="16"/>
        <v/>
      </c>
      <c r="AA809" s="126" t="str">
        <f t="shared" si="17"/>
        <v/>
      </c>
      <c r="AB809" s="154" t="str">
        <f t="shared" si="18"/>
        <v/>
      </c>
      <c r="AC809" s="152"/>
      <c r="AD809" s="153"/>
      <c r="AE809" s="156"/>
    </row>
    <row r="810" ht="18.0" customHeight="1">
      <c r="A810" s="127" t="str">
        <f t="shared" si="15"/>
        <v/>
      </c>
      <c r="B810" s="128"/>
      <c r="C810" s="129"/>
      <c r="D810" s="129"/>
      <c r="E810" s="325"/>
      <c r="F810" s="131"/>
      <c r="G810" s="319"/>
      <c r="H810" s="319"/>
      <c r="I810" s="319"/>
      <c r="J810" s="132"/>
      <c r="K810" s="319"/>
      <c r="L810" s="135"/>
      <c r="M810" s="321"/>
      <c r="N810" s="322"/>
      <c r="O810" s="150"/>
      <c r="P810" s="135"/>
      <c r="Q810" s="135"/>
      <c r="R810" s="321"/>
      <c r="S810" s="322"/>
      <c r="T810" s="319"/>
      <c r="U810" s="322"/>
      <c r="V810" s="322"/>
      <c r="W810" s="322"/>
      <c r="X810" s="322"/>
      <c r="Y810" s="319"/>
      <c r="Z810" s="136" t="str">
        <f t="shared" si="16"/>
        <v/>
      </c>
      <c r="AA810" s="137" t="str">
        <f t="shared" si="17"/>
        <v/>
      </c>
      <c r="AB810" s="154" t="str">
        <f t="shared" si="18"/>
        <v/>
      </c>
      <c r="AC810" s="322"/>
      <c r="AD810" s="319"/>
      <c r="AE810" s="320"/>
    </row>
    <row r="811" ht="18.0" customHeight="1">
      <c r="A811" s="118" t="str">
        <f t="shared" si="15"/>
        <v/>
      </c>
      <c r="B811" s="109"/>
      <c r="C811" s="119"/>
      <c r="D811" s="119"/>
      <c r="E811" s="330"/>
      <c r="F811" s="121"/>
      <c r="G811" s="153"/>
      <c r="H811" s="153"/>
      <c r="I811" s="153"/>
      <c r="J811" s="112"/>
      <c r="K811" s="153"/>
      <c r="L811" s="114"/>
      <c r="M811" s="151"/>
      <c r="N811" s="152"/>
      <c r="O811" s="150"/>
      <c r="P811" s="114"/>
      <c r="Q811" s="114"/>
      <c r="R811" s="151"/>
      <c r="S811" s="152"/>
      <c r="T811" s="153"/>
      <c r="U811" s="152"/>
      <c r="V811" s="152"/>
      <c r="W811" s="152"/>
      <c r="X811" s="152"/>
      <c r="Y811" s="153"/>
      <c r="Z811" s="125" t="str">
        <f t="shared" si="16"/>
        <v/>
      </c>
      <c r="AA811" s="126" t="str">
        <f t="shared" si="17"/>
        <v/>
      </c>
      <c r="AB811" s="154" t="str">
        <f t="shared" si="18"/>
        <v/>
      </c>
      <c r="AC811" s="152"/>
      <c r="AD811" s="153"/>
      <c r="AE811" s="156"/>
    </row>
    <row r="812" ht="18.0" customHeight="1">
      <c r="A812" s="127" t="str">
        <f t="shared" si="15"/>
        <v/>
      </c>
      <c r="B812" s="128"/>
      <c r="C812" s="129"/>
      <c r="D812" s="129"/>
      <c r="E812" s="325"/>
      <c r="F812" s="131"/>
      <c r="G812" s="319"/>
      <c r="H812" s="319"/>
      <c r="I812" s="319"/>
      <c r="J812" s="132"/>
      <c r="K812" s="319"/>
      <c r="L812" s="135"/>
      <c r="M812" s="321"/>
      <c r="N812" s="322"/>
      <c r="O812" s="150"/>
      <c r="P812" s="135"/>
      <c r="Q812" s="135"/>
      <c r="R812" s="321"/>
      <c r="S812" s="322"/>
      <c r="T812" s="319"/>
      <c r="U812" s="322"/>
      <c r="V812" s="322"/>
      <c r="W812" s="322"/>
      <c r="X812" s="322"/>
      <c r="Y812" s="319"/>
      <c r="Z812" s="136" t="str">
        <f t="shared" si="16"/>
        <v/>
      </c>
      <c r="AA812" s="137" t="str">
        <f t="shared" si="17"/>
        <v/>
      </c>
      <c r="AB812" s="154" t="str">
        <f t="shared" si="18"/>
        <v/>
      </c>
      <c r="AC812" s="322"/>
      <c r="AD812" s="319"/>
      <c r="AE812" s="320"/>
    </row>
    <row r="813" ht="18.0" customHeight="1">
      <c r="A813" s="118" t="str">
        <f t="shared" si="15"/>
        <v/>
      </c>
      <c r="B813" s="109"/>
      <c r="C813" s="119"/>
      <c r="D813" s="119"/>
      <c r="E813" s="330"/>
      <c r="F813" s="121"/>
      <c r="G813" s="153"/>
      <c r="H813" s="153"/>
      <c r="I813" s="153"/>
      <c r="J813" s="112"/>
      <c r="K813" s="153"/>
      <c r="L813" s="114"/>
      <c r="M813" s="151"/>
      <c r="N813" s="152"/>
      <c r="O813" s="150"/>
      <c r="P813" s="114"/>
      <c r="Q813" s="114"/>
      <c r="R813" s="151"/>
      <c r="S813" s="152"/>
      <c r="T813" s="153"/>
      <c r="U813" s="152"/>
      <c r="V813" s="152"/>
      <c r="W813" s="152"/>
      <c r="X813" s="152"/>
      <c r="Y813" s="153"/>
      <c r="Z813" s="125" t="str">
        <f t="shared" si="16"/>
        <v/>
      </c>
      <c r="AA813" s="126" t="str">
        <f t="shared" si="17"/>
        <v/>
      </c>
      <c r="AB813" s="154" t="str">
        <f t="shared" si="18"/>
        <v/>
      </c>
      <c r="AC813" s="152"/>
      <c r="AD813" s="153"/>
      <c r="AE813" s="156"/>
    </row>
    <row r="814" ht="18.0" customHeight="1">
      <c r="A814" s="127" t="str">
        <f t="shared" si="15"/>
        <v/>
      </c>
      <c r="B814" s="128"/>
      <c r="C814" s="129"/>
      <c r="D814" s="129"/>
      <c r="E814" s="325"/>
      <c r="F814" s="131"/>
      <c r="G814" s="319"/>
      <c r="H814" s="319"/>
      <c r="I814" s="319"/>
      <c r="J814" s="132"/>
      <c r="K814" s="319"/>
      <c r="L814" s="135"/>
      <c r="M814" s="321"/>
      <c r="N814" s="322"/>
      <c r="O814" s="150"/>
      <c r="P814" s="135"/>
      <c r="Q814" s="135"/>
      <c r="R814" s="321"/>
      <c r="S814" s="322"/>
      <c r="T814" s="319"/>
      <c r="U814" s="322"/>
      <c r="V814" s="322"/>
      <c r="W814" s="322"/>
      <c r="X814" s="322"/>
      <c r="Y814" s="319"/>
      <c r="Z814" s="136" t="str">
        <f t="shared" si="16"/>
        <v/>
      </c>
      <c r="AA814" s="137" t="str">
        <f t="shared" si="17"/>
        <v/>
      </c>
      <c r="AB814" s="154" t="str">
        <f t="shared" si="18"/>
        <v/>
      </c>
      <c r="AC814" s="322"/>
      <c r="AD814" s="319"/>
      <c r="AE814" s="320"/>
    </row>
    <row r="815" ht="18.0" customHeight="1">
      <c r="A815" s="118" t="str">
        <f t="shared" si="15"/>
        <v/>
      </c>
      <c r="B815" s="109"/>
      <c r="C815" s="119"/>
      <c r="D815" s="119"/>
      <c r="E815" s="330"/>
      <c r="F815" s="121"/>
      <c r="G815" s="153"/>
      <c r="H815" s="153"/>
      <c r="I815" s="153"/>
      <c r="J815" s="112"/>
      <c r="K815" s="153"/>
      <c r="L815" s="114"/>
      <c r="M815" s="151"/>
      <c r="N815" s="152"/>
      <c r="O815" s="150"/>
      <c r="P815" s="114"/>
      <c r="Q815" s="114"/>
      <c r="R815" s="151"/>
      <c r="S815" s="152"/>
      <c r="T815" s="153"/>
      <c r="U815" s="152"/>
      <c r="V815" s="152"/>
      <c r="W815" s="152"/>
      <c r="X815" s="152"/>
      <c r="Y815" s="153"/>
      <c r="Z815" s="125" t="str">
        <f t="shared" si="16"/>
        <v/>
      </c>
      <c r="AA815" s="126" t="str">
        <f t="shared" si="17"/>
        <v/>
      </c>
      <c r="AB815" s="154" t="str">
        <f t="shared" si="18"/>
        <v/>
      </c>
      <c r="AC815" s="152"/>
      <c r="AD815" s="153"/>
      <c r="AE815" s="156"/>
    </row>
    <row r="816" ht="18.0" customHeight="1">
      <c r="A816" s="127" t="str">
        <f t="shared" si="15"/>
        <v/>
      </c>
      <c r="B816" s="128"/>
      <c r="C816" s="129"/>
      <c r="D816" s="129"/>
      <c r="E816" s="325"/>
      <c r="F816" s="131"/>
      <c r="G816" s="319"/>
      <c r="H816" s="319"/>
      <c r="I816" s="319"/>
      <c r="J816" s="132"/>
      <c r="K816" s="319"/>
      <c r="L816" s="135"/>
      <c r="M816" s="321"/>
      <c r="N816" s="322"/>
      <c r="O816" s="150"/>
      <c r="P816" s="135"/>
      <c r="Q816" s="135"/>
      <c r="R816" s="321"/>
      <c r="S816" s="322"/>
      <c r="T816" s="319"/>
      <c r="U816" s="322"/>
      <c r="V816" s="322"/>
      <c r="W816" s="322"/>
      <c r="X816" s="322"/>
      <c r="Y816" s="319"/>
      <c r="Z816" s="136" t="str">
        <f t="shared" si="16"/>
        <v/>
      </c>
      <c r="AA816" s="137" t="str">
        <f t="shared" si="17"/>
        <v/>
      </c>
      <c r="AB816" s="154" t="str">
        <f t="shared" si="18"/>
        <v/>
      </c>
      <c r="AC816" s="322"/>
      <c r="AD816" s="319"/>
      <c r="AE816" s="320"/>
    </row>
    <row r="817" ht="18.0" customHeight="1">
      <c r="A817" s="118" t="str">
        <f t="shared" si="15"/>
        <v/>
      </c>
      <c r="B817" s="109"/>
      <c r="C817" s="119"/>
      <c r="D817" s="119"/>
      <c r="E817" s="330"/>
      <c r="F817" s="121"/>
      <c r="G817" s="153"/>
      <c r="H817" s="153"/>
      <c r="I817" s="153"/>
      <c r="J817" s="112"/>
      <c r="K817" s="153"/>
      <c r="L817" s="114"/>
      <c r="M817" s="151"/>
      <c r="N817" s="152"/>
      <c r="O817" s="150"/>
      <c r="P817" s="114"/>
      <c r="Q817" s="114"/>
      <c r="R817" s="151"/>
      <c r="S817" s="152"/>
      <c r="T817" s="153"/>
      <c r="U817" s="152"/>
      <c r="V817" s="152"/>
      <c r="W817" s="152"/>
      <c r="X817" s="152"/>
      <c r="Y817" s="153"/>
      <c r="Z817" s="125" t="str">
        <f t="shared" si="16"/>
        <v/>
      </c>
      <c r="AA817" s="126" t="str">
        <f t="shared" si="17"/>
        <v/>
      </c>
      <c r="AB817" s="154" t="str">
        <f t="shared" si="18"/>
        <v/>
      </c>
      <c r="AC817" s="152"/>
      <c r="AD817" s="153"/>
      <c r="AE817" s="156"/>
    </row>
    <row r="818" ht="18.0" customHeight="1">
      <c r="A818" s="127" t="str">
        <f t="shared" si="15"/>
        <v/>
      </c>
      <c r="B818" s="128"/>
      <c r="C818" s="129"/>
      <c r="D818" s="129"/>
      <c r="E818" s="325"/>
      <c r="F818" s="131"/>
      <c r="G818" s="319"/>
      <c r="H818" s="319"/>
      <c r="I818" s="319"/>
      <c r="J818" s="132"/>
      <c r="K818" s="319"/>
      <c r="L818" s="135"/>
      <c r="M818" s="321"/>
      <c r="N818" s="322"/>
      <c r="O818" s="150"/>
      <c r="P818" s="135"/>
      <c r="Q818" s="135"/>
      <c r="R818" s="321"/>
      <c r="S818" s="322"/>
      <c r="T818" s="319"/>
      <c r="U818" s="322"/>
      <c r="V818" s="322"/>
      <c r="W818" s="322"/>
      <c r="X818" s="322"/>
      <c r="Y818" s="319"/>
      <c r="Z818" s="136" t="str">
        <f t="shared" si="16"/>
        <v/>
      </c>
      <c r="AA818" s="137" t="str">
        <f t="shared" si="17"/>
        <v/>
      </c>
      <c r="AB818" s="154" t="str">
        <f t="shared" si="18"/>
        <v/>
      </c>
      <c r="AC818" s="322"/>
      <c r="AD818" s="319"/>
      <c r="AE818" s="320"/>
    </row>
    <row r="819" ht="18.0" customHeight="1">
      <c r="A819" s="118" t="str">
        <f t="shared" si="15"/>
        <v/>
      </c>
      <c r="B819" s="109"/>
      <c r="C819" s="119"/>
      <c r="D819" s="119"/>
      <c r="E819" s="330"/>
      <c r="F819" s="121"/>
      <c r="G819" s="153"/>
      <c r="H819" s="153"/>
      <c r="I819" s="153"/>
      <c r="J819" s="112"/>
      <c r="K819" s="153"/>
      <c r="L819" s="114"/>
      <c r="M819" s="151"/>
      <c r="N819" s="152"/>
      <c r="O819" s="150"/>
      <c r="P819" s="114"/>
      <c r="Q819" s="114"/>
      <c r="R819" s="151"/>
      <c r="S819" s="152"/>
      <c r="T819" s="153"/>
      <c r="U819" s="152"/>
      <c r="V819" s="152"/>
      <c r="W819" s="152"/>
      <c r="X819" s="152"/>
      <c r="Y819" s="153"/>
      <c r="Z819" s="125" t="str">
        <f t="shared" si="16"/>
        <v/>
      </c>
      <c r="AA819" s="126" t="str">
        <f t="shared" si="17"/>
        <v/>
      </c>
      <c r="AB819" s="154" t="str">
        <f t="shared" si="18"/>
        <v/>
      </c>
      <c r="AC819" s="152"/>
      <c r="AD819" s="153"/>
      <c r="AE819" s="156"/>
    </row>
    <row r="820" ht="18.0" customHeight="1">
      <c r="A820" s="127" t="str">
        <f t="shared" si="15"/>
        <v/>
      </c>
      <c r="B820" s="128"/>
      <c r="C820" s="129"/>
      <c r="D820" s="129"/>
      <c r="E820" s="325"/>
      <c r="F820" s="131"/>
      <c r="G820" s="319"/>
      <c r="H820" s="319"/>
      <c r="I820" s="319"/>
      <c r="J820" s="132"/>
      <c r="K820" s="319"/>
      <c r="L820" s="135"/>
      <c r="M820" s="321"/>
      <c r="N820" s="322"/>
      <c r="O820" s="150"/>
      <c r="P820" s="135"/>
      <c r="Q820" s="135"/>
      <c r="R820" s="321"/>
      <c r="S820" s="322"/>
      <c r="T820" s="319"/>
      <c r="U820" s="322"/>
      <c r="V820" s="322"/>
      <c r="W820" s="322"/>
      <c r="X820" s="322"/>
      <c r="Y820" s="319"/>
      <c r="Z820" s="136" t="str">
        <f t="shared" si="16"/>
        <v/>
      </c>
      <c r="AA820" s="137" t="str">
        <f t="shared" si="17"/>
        <v/>
      </c>
      <c r="AB820" s="154" t="str">
        <f t="shared" si="18"/>
        <v/>
      </c>
      <c r="AC820" s="322"/>
      <c r="AD820" s="319"/>
      <c r="AE820" s="320"/>
    </row>
    <row r="821" ht="18.0" customHeight="1">
      <c r="A821" s="118" t="str">
        <f t="shared" si="15"/>
        <v/>
      </c>
      <c r="B821" s="109"/>
      <c r="C821" s="119"/>
      <c r="D821" s="119"/>
      <c r="E821" s="330"/>
      <c r="F821" s="121"/>
      <c r="G821" s="153"/>
      <c r="H821" s="153"/>
      <c r="I821" s="153"/>
      <c r="J821" s="112"/>
      <c r="K821" s="153"/>
      <c r="L821" s="114"/>
      <c r="M821" s="151"/>
      <c r="N821" s="152"/>
      <c r="O821" s="150"/>
      <c r="P821" s="114"/>
      <c r="Q821" s="114"/>
      <c r="R821" s="151"/>
      <c r="S821" s="152"/>
      <c r="T821" s="153"/>
      <c r="U821" s="152"/>
      <c r="V821" s="152"/>
      <c r="W821" s="152"/>
      <c r="X821" s="152"/>
      <c r="Y821" s="153"/>
      <c r="Z821" s="125" t="str">
        <f t="shared" si="16"/>
        <v/>
      </c>
      <c r="AA821" s="126" t="str">
        <f t="shared" si="17"/>
        <v/>
      </c>
      <c r="AB821" s="154" t="str">
        <f t="shared" si="18"/>
        <v/>
      </c>
      <c r="AC821" s="152"/>
      <c r="AD821" s="153"/>
      <c r="AE821" s="156"/>
    </row>
    <row r="822" ht="18.0" customHeight="1">
      <c r="A822" s="127" t="str">
        <f t="shared" si="15"/>
        <v/>
      </c>
      <c r="B822" s="128"/>
      <c r="C822" s="129"/>
      <c r="D822" s="129"/>
      <c r="E822" s="325"/>
      <c r="F822" s="131"/>
      <c r="G822" s="319"/>
      <c r="H822" s="319"/>
      <c r="I822" s="319"/>
      <c r="J822" s="132"/>
      <c r="K822" s="319"/>
      <c r="L822" s="135"/>
      <c r="M822" s="321"/>
      <c r="N822" s="322"/>
      <c r="O822" s="150"/>
      <c r="P822" s="135"/>
      <c r="Q822" s="135"/>
      <c r="R822" s="321"/>
      <c r="S822" s="322"/>
      <c r="T822" s="319"/>
      <c r="U822" s="322"/>
      <c r="V822" s="322"/>
      <c r="W822" s="322"/>
      <c r="X822" s="322"/>
      <c r="Y822" s="319"/>
      <c r="Z822" s="136" t="str">
        <f t="shared" si="16"/>
        <v/>
      </c>
      <c r="AA822" s="137" t="str">
        <f t="shared" si="17"/>
        <v/>
      </c>
      <c r="AB822" s="154" t="str">
        <f t="shared" si="18"/>
        <v/>
      </c>
      <c r="AC822" s="322"/>
      <c r="AD822" s="319"/>
      <c r="AE822" s="320"/>
    </row>
    <row r="823" ht="18.0" customHeight="1">
      <c r="A823" s="118" t="str">
        <f t="shared" si="15"/>
        <v/>
      </c>
      <c r="B823" s="109"/>
      <c r="C823" s="119"/>
      <c r="D823" s="119"/>
      <c r="E823" s="330"/>
      <c r="F823" s="121"/>
      <c r="G823" s="153"/>
      <c r="H823" s="153"/>
      <c r="I823" s="153"/>
      <c r="J823" s="112"/>
      <c r="K823" s="153"/>
      <c r="L823" s="114"/>
      <c r="M823" s="151"/>
      <c r="N823" s="152"/>
      <c r="O823" s="150"/>
      <c r="P823" s="114"/>
      <c r="Q823" s="114"/>
      <c r="R823" s="151"/>
      <c r="S823" s="152"/>
      <c r="T823" s="153"/>
      <c r="U823" s="152"/>
      <c r="V823" s="152"/>
      <c r="W823" s="152"/>
      <c r="X823" s="152"/>
      <c r="Y823" s="153"/>
      <c r="Z823" s="125" t="str">
        <f t="shared" si="16"/>
        <v/>
      </c>
      <c r="AA823" s="126" t="str">
        <f t="shared" si="17"/>
        <v/>
      </c>
      <c r="AB823" s="154" t="str">
        <f t="shared" si="18"/>
        <v/>
      </c>
      <c r="AC823" s="152"/>
      <c r="AD823" s="153"/>
      <c r="AE823" s="156"/>
    </row>
    <row r="824" ht="18.0" customHeight="1">
      <c r="A824" s="127" t="str">
        <f t="shared" si="15"/>
        <v/>
      </c>
      <c r="B824" s="128"/>
      <c r="C824" s="129"/>
      <c r="D824" s="129"/>
      <c r="E824" s="325"/>
      <c r="F824" s="131"/>
      <c r="G824" s="319"/>
      <c r="H824" s="319"/>
      <c r="I824" s="319"/>
      <c r="J824" s="132"/>
      <c r="K824" s="319"/>
      <c r="L824" s="135"/>
      <c r="M824" s="321"/>
      <c r="N824" s="322"/>
      <c r="O824" s="150"/>
      <c r="P824" s="135"/>
      <c r="Q824" s="135"/>
      <c r="R824" s="321"/>
      <c r="S824" s="322"/>
      <c r="T824" s="319"/>
      <c r="U824" s="322"/>
      <c r="V824" s="322"/>
      <c r="W824" s="322"/>
      <c r="X824" s="322"/>
      <c r="Y824" s="319"/>
      <c r="Z824" s="136" t="str">
        <f t="shared" si="16"/>
        <v/>
      </c>
      <c r="AA824" s="137" t="str">
        <f t="shared" si="17"/>
        <v/>
      </c>
      <c r="AB824" s="154" t="str">
        <f t="shared" si="18"/>
        <v/>
      </c>
      <c r="AC824" s="322"/>
      <c r="AD824" s="319"/>
      <c r="AE824" s="320"/>
    </row>
    <row r="825" ht="18.0" customHeight="1">
      <c r="A825" s="118" t="str">
        <f t="shared" si="15"/>
        <v/>
      </c>
      <c r="B825" s="109"/>
      <c r="C825" s="119"/>
      <c r="D825" s="119"/>
      <c r="E825" s="330"/>
      <c r="F825" s="121"/>
      <c r="G825" s="153"/>
      <c r="H825" s="153"/>
      <c r="I825" s="153"/>
      <c r="J825" s="112"/>
      <c r="K825" s="153"/>
      <c r="L825" s="114"/>
      <c r="M825" s="151"/>
      <c r="N825" s="152"/>
      <c r="O825" s="150"/>
      <c r="P825" s="114"/>
      <c r="Q825" s="114"/>
      <c r="R825" s="151"/>
      <c r="S825" s="152"/>
      <c r="T825" s="153"/>
      <c r="U825" s="152"/>
      <c r="V825" s="152"/>
      <c r="W825" s="152"/>
      <c r="X825" s="152"/>
      <c r="Y825" s="153"/>
      <c r="Z825" s="125" t="str">
        <f t="shared" si="16"/>
        <v/>
      </c>
      <c r="AA825" s="126" t="str">
        <f t="shared" si="17"/>
        <v/>
      </c>
      <c r="AB825" s="154" t="str">
        <f t="shared" si="18"/>
        <v/>
      </c>
      <c r="AC825" s="152"/>
      <c r="AD825" s="153"/>
      <c r="AE825" s="156"/>
    </row>
    <row r="826" ht="18.0" customHeight="1">
      <c r="A826" s="127" t="str">
        <f t="shared" si="15"/>
        <v/>
      </c>
      <c r="B826" s="128"/>
      <c r="C826" s="129"/>
      <c r="D826" s="129"/>
      <c r="E826" s="325"/>
      <c r="F826" s="131"/>
      <c r="G826" s="319"/>
      <c r="H826" s="319"/>
      <c r="I826" s="319"/>
      <c r="J826" s="132"/>
      <c r="K826" s="319"/>
      <c r="L826" s="135"/>
      <c r="M826" s="321"/>
      <c r="N826" s="322"/>
      <c r="O826" s="150"/>
      <c r="P826" s="135"/>
      <c r="Q826" s="135"/>
      <c r="R826" s="321"/>
      <c r="S826" s="322"/>
      <c r="T826" s="319"/>
      <c r="U826" s="322"/>
      <c r="V826" s="322"/>
      <c r="W826" s="322"/>
      <c r="X826" s="322"/>
      <c r="Y826" s="319"/>
      <c r="Z826" s="136" t="str">
        <f t="shared" si="16"/>
        <v/>
      </c>
      <c r="AA826" s="137" t="str">
        <f t="shared" si="17"/>
        <v/>
      </c>
      <c r="AB826" s="154" t="str">
        <f t="shared" si="18"/>
        <v/>
      </c>
      <c r="AC826" s="322"/>
      <c r="AD826" s="319"/>
      <c r="AE826" s="320"/>
    </row>
    <row r="827" ht="18.0" customHeight="1">
      <c r="A827" s="118" t="str">
        <f t="shared" si="15"/>
        <v/>
      </c>
      <c r="B827" s="109"/>
      <c r="C827" s="119"/>
      <c r="D827" s="119"/>
      <c r="E827" s="330"/>
      <c r="F827" s="121"/>
      <c r="G827" s="153"/>
      <c r="H827" s="153"/>
      <c r="I827" s="153"/>
      <c r="J827" s="112"/>
      <c r="K827" s="153"/>
      <c r="L827" s="114"/>
      <c r="M827" s="151"/>
      <c r="N827" s="152"/>
      <c r="O827" s="150"/>
      <c r="P827" s="114"/>
      <c r="Q827" s="114"/>
      <c r="R827" s="151"/>
      <c r="S827" s="152"/>
      <c r="T827" s="153"/>
      <c r="U827" s="152"/>
      <c r="V827" s="152"/>
      <c r="W827" s="152"/>
      <c r="X827" s="152"/>
      <c r="Y827" s="153"/>
      <c r="Z827" s="125" t="str">
        <f t="shared" si="16"/>
        <v/>
      </c>
      <c r="AA827" s="126" t="str">
        <f t="shared" si="17"/>
        <v/>
      </c>
      <c r="AB827" s="154" t="str">
        <f t="shared" si="18"/>
        <v/>
      </c>
      <c r="AC827" s="152"/>
      <c r="AD827" s="153"/>
      <c r="AE827" s="156"/>
    </row>
    <row r="828" ht="18.0" customHeight="1">
      <c r="A828" s="127" t="str">
        <f t="shared" si="15"/>
        <v/>
      </c>
      <c r="B828" s="128"/>
      <c r="C828" s="129"/>
      <c r="D828" s="129"/>
      <c r="E828" s="325"/>
      <c r="F828" s="131"/>
      <c r="G828" s="319"/>
      <c r="H828" s="319"/>
      <c r="I828" s="319"/>
      <c r="J828" s="132"/>
      <c r="K828" s="319"/>
      <c r="L828" s="135"/>
      <c r="M828" s="321"/>
      <c r="N828" s="322"/>
      <c r="O828" s="150"/>
      <c r="P828" s="135"/>
      <c r="Q828" s="135"/>
      <c r="R828" s="321"/>
      <c r="S828" s="322"/>
      <c r="T828" s="319"/>
      <c r="U828" s="322"/>
      <c r="V828" s="322"/>
      <c r="W828" s="322"/>
      <c r="X828" s="322"/>
      <c r="Y828" s="319"/>
      <c r="Z828" s="136" t="str">
        <f t="shared" si="16"/>
        <v/>
      </c>
      <c r="AA828" s="137" t="str">
        <f t="shared" si="17"/>
        <v/>
      </c>
      <c r="AB828" s="154" t="str">
        <f t="shared" si="18"/>
        <v/>
      </c>
      <c r="AC828" s="322"/>
      <c r="AD828" s="319"/>
      <c r="AE828" s="320"/>
    </row>
    <row r="829" ht="18.0" customHeight="1">
      <c r="A829" s="118" t="str">
        <f t="shared" si="15"/>
        <v/>
      </c>
      <c r="B829" s="109"/>
      <c r="C829" s="119"/>
      <c r="D829" s="119"/>
      <c r="E829" s="330"/>
      <c r="F829" s="121"/>
      <c r="G829" s="153"/>
      <c r="H829" s="153"/>
      <c r="I829" s="153"/>
      <c r="J829" s="112"/>
      <c r="K829" s="153"/>
      <c r="L829" s="114"/>
      <c r="M829" s="151"/>
      <c r="N829" s="152"/>
      <c r="O829" s="150"/>
      <c r="P829" s="114"/>
      <c r="Q829" s="114"/>
      <c r="R829" s="151"/>
      <c r="S829" s="152"/>
      <c r="T829" s="153"/>
      <c r="U829" s="152"/>
      <c r="V829" s="152"/>
      <c r="W829" s="152"/>
      <c r="X829" s="152"/>
      <c r="Y829" s="153"/>
      <c r="Z829" s="125" t="str">
        <f t="shared" si="16"/>
        <v/>
      </c>
      <c r="AA829" s="126" t="str">
        <f t="shared" si="17"/>
        <v/>
      </c>
      <c r="AB829" s="154" t="str">
        <f t="shared" si="18"/>
        <v/>
      </c>
      <c r="AC829" s="152"/>
      <c r="AD829" s="153"/>
      <c r="AE829" s="156"/>
    </row>
    <row r="830" ht="18.0" customHeight="1">
      <c r="A830" s="127" t="str">
        <f t="shared" si="15"/>
        <v/>
      </c>
      <c r="B830" s="128"/>
      <c r="C830" s="129"/>
      <c r="D830" s="129"/>
      <c r="E830" s="325"/>
      <c r="F830" s="131"/>
      <c r="G830" s="319"/>
      <c r="H830" s="319"/>
      <c r="I830" s="319"/>
      <c r="J830" s="132"/>
      <c r="K830" s="319"/>
      <c r="L830" s="135"/>
      <c r="M830" s="321"/>
      <c r="N830" s="322"/>
      <c r="O830" s="150"/>
      <c r="P830" s="135"/>
      <c r="Q830" s="135"/>
      <c r="R830" s="321"/>
      <c r="S830" s="322"/>
      <c r="T830" s="319"/>
      <c r="U830" s="322"/>
      <c r="V830" s="322"/>
      <c r="W830" s="322"/>
      <c r="X830" s="322"/>
      <c r="Y830" s="319"/>
      <c r="Z830" s="136" t="str">
        <f t="shared" si="16"/>
        <v/>
      </c>
      <c r="AA830" s="137" t="str">
        <f t="shared" si="17"/>
        <v/>
      </c>
      <c r="AB830" s="154" t="str">
        <f t="shared" si="18"/>
        <v/>
      </c>
      <c r="AC830" s="322"/>
      <c r="AD830" s="319"/>
      <c r="AE830" s="320"/>
    </row>
    <row r="831" ht="18.0" customHeight="1">
      <c r="A831" s="118" t="str">
        <f t="shared" si="15"/>
        <v/>
      </c>
      <c r="B831" s="109"/>
      <c r="C831" s="119"/>
      <c r="D831" s="119"/>
      <c r="E831" s="330"/>
      <c r="F831" s="121"/>
      <c r="G831" s="153"/>
      <c r="H831" s="153"/>
      <c r="I831" s="153"/>
      <c r="J831" s="112"/>
      <c r="K831" s="153"/>
      <c r="L831" s="114"/>
      <c r="M831" s="151"/>
      <c r="N831" s="152"/>
      <c r="O831" s="150"/>
      <c r="P831" s="114"/>
      <c r="Q831" s="114"/>
      <c r="R831" s="151"/>
      <c r="S831" s="152"/>
      <c r="T831" s="153"/>
      <c r="U831" s="152"/>
      <c r="V831" s="152"/>
      <c r="W831" s="152"/>
      <c r="X831" s="152"/>
      <c r="Y831" s="153"/>
      <c r="Z831" s="125" t="str">
        <f t="shared" si="16"/>
        <v/>
      </c>
      <c r="AA831" s="126" t="str">
        <f t="shared" si="17"/>
        <v/>
      </c>
      <c r="AB831" s="154" t="str">
        <f t="shared" si="18"/>
        <v/>
      </c>
      <c r="AC831" s="152"/>
      <c r="AD831" s="153"/>
      <c r="AE831" s="156"/>
    </row>
    <row r="832" ht="18.0" customHeight="1">
      <c r="A832" s="127" t="str">
        <f t="shared" si="15"/>
        <v/>
      </c>
      <c r="B832" s="128"/>
      <c r="C832" s="129"/>
      <c r="D832" s="129"/>
      <c r="E832" s="325"/>
      <c r="F832" s="131"/>
      <c r="G832" s="319"/>
      <c r="H832" s="319"/>
      <c r="I832" s="319"/>
      <c r="J832" s="132"/>
      <c r="K832" s="319"/>
      <c r="L832" s="135"/>
      <c r="M832" s="321"/>
      <c r="N832" s="322"/>
      <c r="O832" s="150"/>
      <c r="P832" s="135"/>
      <c r="Q832" s="135"/>
      <c r="R832" s="321"/>
      <c r="S832" s="322"/>
      <c r="T832" s="319"/>
      <c r="U832" s="322"/>
      <c r="V832" s="322"/>
      <c r="W832" s="322"/>
      <c r="X832" s="322"/>
      <c r="Y832" s="319"/>
      <c r="Z832" s="136" t="str">
        <f t="shared" si="16"/>
        <v/>
      </c>
      <c r="AA832" s="137" t="str">
        <f t="shared" si="17"/>
        <v/>
      </c>
      <c r="AB832" s="154" t="str">
        <f t="shared" si="18"/>
        <v/>
      </c>
      <c r="AC832" s="322"/>
      <c r="AD832" s="319"/>
      <c r="AE832" s="320"/>
    </row>
    <row r="833" ht="18.0" customHeight="1">
      <c r="A833" s="118" t="str">
        <f t="shared" si="15"/>
        <v/>
      </c>
      <c r="B833" s="109"/>
      <c r="C833" s="119"/>
      <c r="D833" s="119"/>
      <c r="E833" s="330"/>
      <c r="F833" s="121"/>
      <c r="G833" s="153"/>
      <c r="H833" s="153"/>
      <c r="I833" s="153"/>
      <c r="J833" s="112"/>
      <c r="K833" s="153"/>
      <c r="L833" s="114"/>
      <c r="M833" s="151"/>
      <c r="N833" s="152"/>
      <c r="O833" s="150"/>
      <c r="P833" s="114"/>
      <c r="Q833" s="114"/>
      <c r="R833" s="151"/>
      <c r="S833" s="152"/>
      <c r="T833" s="153"/>
      <c r="U833" s="152"/>
      <c r="V833" s="152"/>
      <c r="W833" s="152"/>
      <c r="X833" s="152"/>
      <c r="Y833" s="153"/>
      <c r="Z833" s="125" t="str">
        <f t="shared" si="16"/>
        <v/>
      </c>
      <c r="AA833" s="126" t="str">
        <f t="shared" si="17"/>
        <v/>
      </c>
      <c r="AB833" s="154" t="str">
        <f t="shared" si="18"/>
        <v/>
      </c>
      <c r="AC833" s="152"/>
      <c r="AD833" s="153"/>
      <c r="AE833" s="156"/>
    </row>
    <row r="834" ht="18.0" customHeight="1">
      <c r="A834" s="127" t="str">
        <f t="shared" si="15"/>
        <v/>
      </c>
      <c r="B834" s="128"/>
      <c r="C834" s="129"/>
      <c r="D834" s="129"/>
      <c r="E834" s="325"/>
      <c r="F834" s="131"/>
      <c r="G834" s="319"/>
      <c r="H834" s="319"/>
      <c r="I834" s="319"/>
      <c r="J834" s="132"/>
      <c r="K834" s="319"/>
      <c r="L834" s="135"/>
      <c r="M834" s="321"/>
      <c r="N834" s="322"/>
      <c r="O834" s="150"/>
      <c r="P834" s="135"/>
      <c r="Q834" s="135"/>
      <c r="R834" s="321"/>
      <c r="S834" s="322"/>
      <c r="T834" s="319"/>
      <c r="U834" s="322"/>
      <c r="V834" s="322"/>
      <c r="W834" s="322"/>
      <c r="X834" s="322"/>
      <c r="Y834" s="319"/>
      <c r="Z834" s="136" t="str">
        <f t="shared" si="16"/>
        <v/>
      </c>
      <c r="AA834" s="137" t="str">
        <f t="shared" si="17"/>
        <v/>
      </c>
      <c r="AB834" s="154" t="str">
        <f t="shared" si="18"/>
        <v/>
      </c>
      <c r="AC834" s="322"/>
      <c r="AD834" s="319"/>
      <c r="AE834" s="320"/>
    </row>
    <row r="835" ht="18.0" customHeight="1">
      <c r="A835" s="118" t="str">
        <f t="shared" si="15"/>
        <v/>
      </c>
      <c r="B835" s="109"/>
      <c r="C835" s="119"/>
      <c r="D835" s="119"/>
      <c r="E835" s="330"/>
      <c r="F835" s="121"/>
      <c r="G835" s="153"/>
      <c r="H835" s="153"/>
      <c r="I835" s="153"/>
      <c r="J835" s="112"/>
      <c r="K835" s="153"/>
      <c r="L835" s="114"/>
      <c r="M835" s="151"/>
      <c r="N835" s="152"/>
      <c r="O835" s="150"/>
      <c r="P835" s="114"/>
      <c r="Q835" s="114"/>
      <c r="R835" s="151"/>
      <c r="S835" s="152"/>
      <c r="T835" s="153"/>
      <c r="U835" s="152"/>
      <c r="V835" s="152"/>
      <c r="W835" s="152"/>
      <c r="X835" s="152"/>
      <c r="Y835" s="153"/>
      <c r="Z835" s="125" t="str">
        <f t="shared" si="16"/>
        <v/>
      </c>
      <c r="AA835" s="126" t="str">
        <f t="shared" si="17"/>
        <v/>
      </c>
      <c r="AB835" s="154" t="str">
        <f t="shared" si="18"/>
        <v/>
      </c>
      <c r="AC835" s="152"/>
      <c r="AD835" s="153"/>
      <c r="AE835" s="156"/>
    </row>
    <row r="836" ht="18.0" customHeight="1">
      <c r="A836" s="127" t="str">
        <f t="shared" si="15"/>
        <v/>
      </c>
      <c r="B836" s="128"/>
      <c r="C836" s="129"/>
      <c r="D836" s="129"/>
      <c r="E836" s="325"/>
      <c r="F836" s="131"/>
      <c r="G836" s="319"/>
      <c r="H836" s="319"/>
      <c r="I836" s="319"/>
      <c r="J836" s="132"/>
      <c r="K836" s="319"/>
      <c r="L836" s="135"/>
      <c r="M836" s="321"/>
      <c r="N836" s="322"/>
      <c r="O836" s="150"/>
      <c r="P836" s="135"/>
      <c r="Q836" s="135"/>
      <c r="R836" s="321"/>
      <c r="S836" s="322"/>
      <c r="T836" s="319"/>
      <c r="U836" s="322"/>
      <c r="V836" s="322"/>
      <c r="W836" s="322"/>
      <c r="X836" s="322"/>
      <c r="Y836" s="319"/>
      <c r="Z836" s="136" t="str">
        <f t="shared" si="16"/>
        <v/>
      </c>
      <c r="AA836" s="137" t="str">
        <f t="shared" si="17"/>
        <v/>
      </c>
      <c r="AB836" s="154" t="str">
        <f t="shared" si="18"/>
        <v/>
      </c>
      <c r="AC836" s="322"/>
      <c r="AD836" s="319"/>
      <c r="AE836" s="320"/>
    </row>
    <row r="837" ht="18.0" customHeight="1">
      <c r="A837" s="118" t="str">
        <f t="shared" si="15"/>
        <v/>
      </c>
      <c r="B837" s="109"/>
      <c r="C837" s="119"/>
      <c r="D837" s="119"/>
      <c r="E837" s="330"/>
      <c r="F837" s="121"/>
      <c r="G837" s="153"/>
      <c r="H837" s="153"/>
      <c r="I837" s="153"/>
      <c r="J837" s="112"/>
      <c r="K837" s="153"/>
      <c r="L837" s="114"/>
      <c r="M837" s="151"/>
      <c r="N837" s="152"/>
      <c r="O837" s="150"/>
      <c r="P837" s="114"/>
      <c r="Q837" s="114"/>
      <c r="R837" s="151"/>
      <c r="S837" s="152"/>
      <c r="T837" s="153"/>
      <c r="U837" s="152"/>
      <c r="V837" s="152"/>
      <c r="W837" s="152"/>
      <c r="X837" s="152"/>
      <c r="Y837" s="153"/>
      <c r="Z837" s="125" t="str">
        <f t="shared" si="16"/>
        <v/>
      </c>
      <c r="AA837" s="126" t="str">
        <f t="shared" si="17"/>
        <v/>
      </c>
      <c r="AB837" s="154" t="str">
        <f t="shared" si="18"/>
        <v/>
      </c>
      <c r="AC837" s="152"/>
      <c r="AD837" s="153"/>
      <c r="AE837" s="156"/>
    </row>
    <row r="838" ht="18.0" customHeight="1">
      <c r="A838" s="127" t="str">
        <f t="shared" si="15"/>
        <v/>
      </c>
      <c r="B838" s="128"/>
      <c r="C838" s="129"/>
      <c r="D838" s="129"/>
      <c r="E838" s="325"/>
      <c r="F838" s="131"/>
      <c r="G838" s="319"/>
      <c r="H838" s="319"/>
      <c r="I838" s="319"/>
      <c r="J838" s="132"/>
      <c r="K838" s="319"/>
      <c r="L838" s="135"/>
      <c r="M838" s="321"/>
      <c r="N838" s="322"/>
      <c r="O838" s="150"/>
      <c r="P838" s="135"/>
      <c r="Q838" s="135"/>
      <c r="R838" s="321"/>
      <c r="S838" s="322"/>
      <c r="T838" s="319"/>
      <c r="U838" s="322"/>
      <c r="V838" s="322"/>
      <c r="W838" s="322"/>
      <c r="X838" s="322"/>
      <c r="Y838" s="319"/>
      <c r="Z838" s="136" t="str">
        <f t="shared" si="16"/>
        <v/>
      </c>
      <c r="AA838" s="137" t="str">
        <f t="shared" si="17"/>
        <v/>
      </c>
      <c r="AB838" s="154" t="str">
        <f t="shared" si="18"/>
        <v/>
      </c>
      <c r="AC838" s="322"/>
      <c r="AD838" s="319"/>
      <c r="AE838" s="320"/>
    </row>
    <row r="839" ht="18.0" customHeight="1">
      <c r="A839" s="118" t="str">
        <f t="shared" si="15"/>
        <v/>
      </c>
      <c r="B839" s="109"/>
      <c r="C839" s="119"/>
      <c r="D839" s="119"/>
      <c r="E839" s="330"/>
      <c r="F839" s="121"/>
      <c r="G839" s="153"/>
      <c r="H839" s="153"/>
      <c r="I839" s="153"/>
      <c r="J839" s="112"/>
      <c r="K839" s="153"/>
      <c r="L839" s="114"/>
      <c r="M839" s="151"/>
      <c r="N839" s="152"/>
      <c r="O839" s="150"/>
      <c r="P839" s="114"/>
      <c r="Q839" s="114"/>
      <c r="R839" s="151"/>
      <c r="S839" s="152"/>
      <c r="T839" s="153"/>
      <c r="U839" s="152"/>
      <c r="V839" s="152"/>
      <c r="W839" s="152"/>
      <c r="X839" s="152"/>
      <c r="Y839" s="153"/>
      <c r="Z839" s="125" t="str">
        <f t="shared" si="16"/>
        <v/>
      </c>
      <c r="AA839" s="126" t="str">
        <f t="shared" si="17"/>
        <v/>
      </c>
      <c r="AB839" s="154" t="str">
        <f t="shared" si="18"/>
        <v/>
      </c>
      <c r="AC839" s="152"/>
      <c r="AD839" s="153"/>
      <c r="AE839" s="156"/>
    </row>
    <row r="840" ht="18.0" customHeight="1">
      <c r="A840" s="127" t="str">
        <f t="shared" si="15"/>
        <v/>
      </c>
      <c r="B840" s="128"/>
      <c r="C840" s="129"/>
      <c r="D840" s="129"/>
      <c r="E840" s="325"/>
      <c r="F840" s="131"/>
      <c r="G840" s="319"/>
      <c r="H840" s="319"/>
      <c r="I840" s="319"/>
      <c r="J840" s="132"/>
      <c r="K840" s="319"/>
      <c r="L840" s="135"/>
      <c r="M840" s="321"/>
      <c r="N840" s="322"/>
      <c r="O840" s="150"/>
      <c r="P840" s="135"/>
      <c r="Q840" s="135"/>
      <c r="R840" s="321"/>
      <c r="S840" s="322"/>
      <c r="T840" s="319"/>
      <c r="U840" s="322"/>
      <c r="V840" s="322"/>
      <c r="W840" s="322"/>
      <c r="X840" s="322"/>
      <c r="Y840" s="319"/>
      <c r="Z840" s="136" t="str">
        <f t="shared" si="16"/>
        <v/>
      </c>
      <c r="AA840" s="137" t="str">
        <f t="shared" si="17"/>
        <v/>
      </c>
      <c r="AB840" s="154" t="str">
        <f t="shared" si="18"/>
        <v/>
      </c>
      <c r="AC840" s="322"/>
      <c r="AD840" s="319"/>
      <c r="AE840" s="320"/>
    </row>
    <row r="841" ht="18.0" customHeight="1">
      <c r="A841" s="118" t="str">
        <f t="shared" si="15"/>
        <v/>
      </c>
      <c r="B841" s="109"/>
      <c r="C841" s="119"/>
      <c r="D841" s="119"/>
      <c r="E841" s="330"/>
      <c r="F841" s="121"/>
      <c r="G841" s="153"/>
      <c r="H841" s="153"/>
      <c r="I841" s="153"/>
      <c r="J841" s="112"/>
      <c r="K841" s="153"/>
      <c r="L841" s="114"/>
      <c r="M841" s="151"/>
      <c r="N841" s="152"/>
      <c r="O841" s="150"/>
      <c r="P841" s="114"/>
      <c r="Q841" s="114"/>
      <c r="R841" s="151"/>
      <c r="S841" s="152"/>
      <c r="T841" s="153"/>
      <c r="U841" s="152"/>
      <c r="V841" s="152"/>
      <c r="W841" s="152"/>
      <c r="X841" s="152"/>
      <c r="Y841" s="153"/>
      <c r="Z841" s="125" t="str">
        <f t="shared" si="16"/>
        <v/>
      </c>
      <c r="AA841" s="126" t="str">
        <f t="shared" si="17"/>
        <v/>
      </c>
      <c r="AB841" s="154" t="str">
        <f t="shared" si="18"/>
        <v/>
      </c>
      <c r="AC841" s="152"/>
      <c r="AD841" s="153"/>
      <c r="AE841" s="156"/>
    </row>
    <row r="842" ht="18.0" customHeight="1">
      <c r="A842" s="127" t="str">
        <f t="shared" si="15"/>
        <v/>
      </c>
      <c r="B842" s="128"/>
      <c r="C842" s="129"/>
      <c r="D842" s="129"/>
      <c r="E842" s="325"/>
      <c r="F842" s="131"/>
      <c r="G842" s="319"/>
      <c r="H842" s="319"/>
      <c r="I842" s="319"/>
      <c r="J842" s="132"/>
      <c r="K842" s="319"/>
      <c r="L842" s="135"/>
      <c r="M842" s="321"/>
      <c r="N842" s="322"/>
      <c r="O842" s="150"/>
      <c r="P842" s="135"/>
      <c r="Q842" s="135"/>
      <c r="R842" s="321"/>
      <c r="S842" s="322"/>
      <c r="T842" s="319"/>
      <c r="U842" s="322"/>
      <c r="V842" s="322"/>
      <c r="W842" s="322"/>
      <c r="X842" s="322"/>
      <c r="Y842" s="319"/>
      <c r="Z842" s="136" t="str">
        <f t="shared" si="16"/>
        <v/>
      </c>
      <c r="AA842" s="137" t="str">
        <f t="shared" si="17"/>
        <v/>
      </c>
      <c r="AB842" s="154" t="str">
        <f t="shared" si="18"/>
        <v/>
      </c>
      <c r="AC842" s="322"/>
      <c r="AD842" s="319"/>
      <c r="AE842" s="320"/>
    </row>
    <row r="843" ht="18.0" customHeight="1">
      <c r="A843" s="118" t="str">
        <f t="shared" si="15"/>
        <v/>
      </c>
      <c r="B843" s="109"/>
      <c r="C843" s="119"/>
      <c r="D843" s="119"/>
      <c r="E843" s="330"/>
      <c r="F843" s="121"/>
      <c r="G843" s="153"/>
      <c r="H843" s="153"/>
      <c r="I843" s="153"/>
      <c r="J843" s="112"/>
      <c r="K843" s="153"/>
      <c r="L843" s="114"/>
      <c r="M843" s="151"/>
      <c r="N843" s="152"/>
      <c r="O843" s="150"/>
      <c r="P843" s="114"/>
      <c r="Q843" s="114"/>
      <c r="R843" s="151"/>
      <c r="S843" s="152"/>
      <c r="T843" s="153"/>
      <c r="U843" s="152"/>
      <c r="V843" s="152"/>
      <c r="W843" s="152"/>
      <c r="X843" s="152"/>
      <c r="Y843" s="153"/>
      <c r="Z843" s="125" t="str">
        <f t="shared" si="16"/>
        <v/>
      </c>
      <c r="AA843" s="126" t="str">
        <f t="shared" si="17"/>
        <v/>
      </c>
      <c r="AB843" s="154" t="str">
        <f t="shared" si="18"/>
        <v/>
      </c>
      <c r="AC843" s="152"/>
      <c r="AD843" s="153"/>
      <c r="AE843" s="156"/>
    </row>
    <row r="844" ht="18.0" customHeight="1">
      <c r="A844" s="127" t="str">
        <f t="shared" si="15"/>
        <v/>
      </c>
      <c r="B844" s="128"/>
      <c r="C844" s="129"/>
      <c r="D844" s="129"/>
      <c r="E844" s="325"/>
      <c r="F844" s="131"/>
      <c r="G844" s="319"/>
      <c r="H844" s="319"/>
      <c r="I844" s="319"/>
      <c r="J844" s="132"/>
      <c r="K844" s="319"/>
      <c r="L844" s="135"/>
      <c r="M844" s="321"/>
      <c r="N844" s="322"/>
      <c r="O844" s="150"/>
      <c r="P844" s="135"/>
      <c r="Q844" s="135"/>
      <c r="R844" s="321"/>
      <c r="S844" s="322"/>
      <c r="T844" s="319"/>
      <c r="U844" s="322"/>
      <c r="V844" s="322"/>
      <c r="W844" s="322"/>
      <c r="X844" s="322"/>
      <c r="Y844" s="319"/>
      <c r="Z844" s="136" t="str">
        <f t="shared" si="16"/>
        <v/>
      </c>
      <c r="AA844" s="137" t="str">
        <f t="shared" si="17"/>
        <v/>
      </c>
      <c r="AB844" s="154" t="str">
        <f t="shared" si="18"/>
        <v/>
      </c>
      <c r="AC844" s="322"/>
      <c r="AD844" s="319"/>
      <c r="AE844" s="320"/>
    </row>
    <row r="845" ht="18.0" customHeight="1">
      <c r="A845" s="118" t="str">
        <f t="shared" si="15"/>
        <v/>
      </c>
      <c r="B845" s="109"/>
      <c r="C845" s="119"/>
      <c r="D845" s="119"/>
      <c r="E845" s="330"/>
      <c r="F845" s="121"/>
      <c r="G845" s="153"/>
      <c r="H845" s="153"/>
      <c r="I845" s="153"/>
      <c r="J845" s="112"/>
      <c r="K845" s="153"/>
      <c r="L845" s="114"/>
      <c r="M845" s="151"/>
      <c r="N845" s="152"/>
      <c r="O845" s="150"/>
      <c r="P845" s="114"/>
      <c r="Q845" s="114"/>
      <c r="R845" s="151"/>
      <c r="S845" s="152"/>
      <c r="T845" s="153"/>
      <c r="U845" s="152"/>
      <c r="V845" s="152"/>
      <c r="W845" s="152"/>
      <c r="X845" s="152"/>
      <c r="Y845" s="153"/>
      <c r="Z845" s="125" t="str">
        <f t="shared" si="16"/>
        <v/>
      </c>
      <c r="AA845" s="126" t="str">
        <f t="shared" si="17"/>
        <v/>
      </c>
      <c r="AB845" s="154" t="str">
        <f t="shared" si="18"/>
        <v/>
      </c>
      <c r="AC845" s="152"/>
      <c r="AD845" s="153"/>
      <c r="AE845" s="156"/>
    </row>
    <row r="846" ht="18.0" customHeight="1">
      <c r="A846" s="127" t="str">
        <f t="shared" si="15"/>
        <v/>
      </c>
      <c r="B846" s="128"/>
      <c r="C846" s="129"/>
      <c r="D846" s="129"/>
      <c r="E846" s="325"/>
      <c r="F846" s="131"/>
      <c r="G846" s="319"/>
      <c r="H846" s="319"/>
      <c r="I846" s="319"/>
      <c r="J846" s="132"/>
      <c r="K846" s="319"/>
      <c r="L846" s="135"/>
      <c r="M846" s="321"/>
      <c r="N846" s="322"/>
      <c r="O846" s="150"/>
      <c r="P846" s="135"/>
      <c r="Q846" s="135"/>
      <c r="R846" s="321"/>
      <c r="S846" s="322"/>
      <c r="T846" s="319"/>
      <c r="U846" s="322"/>
      <c r="V846" s="322"/>
      <c r="W846" s="322"/>
      <c r="X846" s="322"/>
      <c r="Y846" s="319"/>
      <c r="Z846" s="136" t="str">
        <f t="shared" si="16"/>
        <v/>
      </c>
      <c r="AA846" s="137" t="str">
        <f t="shared" si="17"/>
        <v/>
      </c>
      <c r="AB846" s="154" t="str">
        <f t="shared" si="18"/>
        <v/>
      </c>
      <c r="AC846" s="322"/>
      <c r="AD846" s="319"/>
      <c r="AE846" s="320"/>
    </row>
    <row r="847" ht="18.0" customHeight="1">
      <c r="A847" s="118" t="str">
        <f t="shared" si="15"/>
        <v/>
      </c>
      <c r="B847" s="109"/>
      <c r="C847" s="119"/>
      <c r="D847" s="119"/>
      <c r="E847" s="330"/>
      <c r="F847" s="121"/>
      <c r="G847" s="153"/>
      <c r="H847" s="153"/>
      <c r="I847" s="153"/>
      <c r="J847" s="112"/>
      <c r="K847" s="153"/>
      <c r="L847" s="114"/>
      <c r="M847" s="151"/>
      <c r="N847" s="152"/>
      <c r="O847" s="150"/>
      <c r="P847" s="114"/>
      <c r="Q847" s="114"/>
      <c r="R847" s="151"/>
      <c r="S847" s="152"/>
      <c r="T847" s="153"/>
      <c r="U847" s="152"/>
      <c r="V847" s="152"/>
      <c r="W847" s="152"/>
      <c r="X847" s="152"/>
      <c r="Y847" s="153"/>
      <c r="Z847" s="125" t="str">
        <f t="shared" si="16"/>
        <v/>
      </c>
      <c r="AA847" s="126" t="str">
        <f t="shared" si="17"/>
        <v/>
      </c>
      <c r="AB847" s="154" t="str">
        <f t="shared" si="18"/>
        <v/>
      </c>
      <c r="AC847" s="152"/>
      <c r="AD847" s="153"/>
      <c r="AE847" s="156"/>
    </row>
    <row r="848" ht="18.0" customHeight="1">
      <c r="A848" s="127" t="str">
        <f t="shared" si="15"/>
        <v/>
      </c>
      <c r="B848" s="128"/>
      <c r="C848" s="129"/>
      <c r="D848" s="129"/>
      <c r="E848" s="325"/>
      <c r="F848" s="131"/>
      <c r="G848" s="319"/>
      <c r="H848" s="319"/>
      <c r="I848" s="319"/>
      <c r="J848" s="132"/>
      <c r="K848" s="319"/>
      <c r="L848" s="135"/>
      <c r="M848" s="321"/>
      <c r="N848" s="322"/>
      <c r="O848" s="150"/>
      <c r="P848" s="135"/>
      <c r="Q848" s="135"/>
      <c r="R848" s="321"/>
      <c r="S848" s="322"/>
      <c r="T848" s="319"/>
      <c r="U848" s="322"/>
      <c r="V848" s="322"/>
      <c r="W848" s="322"/>
      <c r="X848" s="322"/>
      <c r="Y848" s="319"/>
      <c r="Z848" s="136" t="str">
        <f t="shared" si="16"/>
        <v/>
      </c>
      <c r="AA848" s="137" t="str">
        <f t="shared" si="17"/>
        <v/>
      </c>
      <c r="AB848" s="154" t="str">
        <f t="shared" si="18"/>
        <v/>
      </c>
      <c r="AC848" s="322"/>
      <c r="AD848" s="319"/>
      <c r="AE848" s="320"/>
    </row>
    <row r="849" ht="18.0" customHeight="1">
      <c r="A849" s="118" t="str">
        <f t="shared" si="15"/>
        <v/>
      </c>
      <c r="B849" s="109"/>
      <c r="C849" s="119"/>
      <c r="D849" s="119"/>
      <c r="E849" s="330"/>
      <c r="F849" s="121"/>
      <c r="G849" s="153"/>
      <c r="H849" s="153"/>
      <c r="I849" s="153"/>
      <c r="J849" s="112"/>
      <c r="K849" s="153"/>
      <c r="L849" s="114"/>
      <c r="M849" s="151"/>
      <c r="N849" s="152"/>
      <c r="O849" s="150"/>
      <c r="P849" s="114"/>
      <c r="Q849" s="114"/>
      <c r="R849" s="151"/>
      <c r="S849" s="152"/>
      <c r="T849" s="153"/>
      <c r="U849" s="152"/>
      <c r="V849" s="152"/>
      <c r="W849" s="152"/>
      <c r="X849" s="152"/>
      <c r="Y849" s="153"/>
      <c r="Z849" s="125" t="str">
        <f t="shared" si="16"/>
        <v/>
      </c>
      <c r="AA849" s="126" t="str">
        <f t="shared" si="17"/>
        <v/>
      </c>
      <c r="AB849" s="154" t="str">
        <f t="shared" si="18"/>
        <v/>
      </c>
      <c r="AC849" s="152"/>
      <c r="AD849" s="153"/>
      <c r="AE849" s="156"/>
    </row>
    <row r="850" ht="18.0" customHeight="1">
      <c r="A850" s="127" t="str">
        <f t="shared" si="15"/>
        <v/>
      </c>
      <c r="B850" s="128"/>
      <c r="C850" s="129"/>
      <c r="D850" s="129"/>
      <c r="E850" s="325"/>
      <c r="F850" s="131"/>
      <c r="G850" s="319"/>
      <c r="H850" s="319"/>
      <c r="I850" s="319"/>
      <c r="J850" s="132"/>
      <c r="K850" s="319"/>
      <c r="L850" s="135"/>
      <c r="M850" s="321"/>
      <c r="N850" s="322"/>
      <c r="O850" s="150"/>
      <c r="P850" s="135"/>
      <c r="Q850" s="135"/>
      <c r="R850" s="321"/>
      <c r="S850" s="322"/>
      <c r="T850" s="319"/>
      <c r="U850" s="322"/>
      <c r="V850" s="322"/>
      <c r="W850" s="322"/>
      <c r="X850" s="322"/>
      <c r="Y850" s="319"/>
      <c r="Z850" s="136" t="str">
        <f t="shared" si="16"/>
        <v/>
      </c>
      <c r="AA850" s="137" t="str">
        <f t="shared" si="17"/>
        <v/>
      </c>
      <c r="AB850" s="154" t="str">
        <f t="shared" si="18"/>
        <v/>
      </c>
      <c r="AC850" s="322"/>
      <c r="AD850" s="319"/>
      <c r="AE850" s="320"/>
    </row>
    <row r="851" ht="18.0" customHeight="1">
      <c r="A851" s="118" t="str">
        <f t="shared" si="15"/>
        <v/>
      </c>
      <c r="B851" s="109"/>
      <c r="C851" s="119"/>
      <c r="D851" s="119"/>
      <c r="E851" s="330"/>
      <c r="F851" s="121"/>
      <c r="G851" s="153"/>
      <c r="H851" s="153"/>
      <c r="I851" s="153"/>
      <c r="J851" s="112"/>
      <c r="K851" s="153"/>
      <c r="L851" s="114"/>
      <c r="M851" s="151"/>
      <c r="N851" s="152"/>
      <c r="O851" s="150"/>
      <c r="P851" s="114"/>
      <c r="Q851" s="114"/>
      <c r="R851" s="151"/>
      <c r="S851" s="152"/>
      <c r="T851" s="153"/>
      <c r="U851" s="152"/>
      <c r="V851" s="152"/>
      <c r="W851" s="152"/>
      <c r="X851" s="152"/>
      <c r="Y851" s="153"/>
      <c r="Z851" s="125" t="str">
        <f t="shared" si="16"/>
        <v/>
      </c>
      <c r="AA851" s="126" t="str">
        <f t="shared" si="17"/>
        <v/>
      </c>
      <c r="AB851" s="154" t="str">
        <f t="shared" si="18"/>
        <v/>
      </c>
      <c r="AC851" s="152"/>
      <c r="AD851" s="153"/>
      <c r="AE851" s="156"/>
    </row>
    <row r="852" ht="18.0" customHeight="1">
      <c r="A852" s="127" t="str">
        <f t="shared" si="15"/>
        <v/>
      </c>
      <c r="B852" s="128"/>
      <c r="C852" s="129"/>
      <c r="D852" s="129"/>
      <c r="E852" s="325"/>
      <c r="F852" s="131"/>
      <c r="G852" s="319"/>
      <c r="H852" s="319"/>
      <c r="I852" s="319"/>
      <c r="J852" s="132"/>
      <c r="K852" s="319"/>
      <c r="L852" s="135"/>
      <c r="M852" s="321"/>
      <c r="N852" s="322"/>
      <c r="O852" s="150"/>
      <c r="P852" s="135"/>
      <c r="Q852" s="135"/>
      <c r="R852" s="321"/>
      <c r="S852" s="322"/>
      <c r="T852" s="319"/>
      <c r="U852" s="322"/>
      <c r="V852" s="322"/>
      <c r="W852" s="322"/>
      <c r="X852" s="322"/>
      <c r="Y852" s="319"/>
      <c r="Z852" s="136" t="str">
        <f t="shared" si="16"/>
        <v/>
      </c>
      <c r="AA852" s="137" t="str">
        <f t="shared" si="17"/>
        <v/>
      </c>
      <c r="AB852" s="154" t="str">
        <f t="shared" si="18"/>
        <v/>
      </c>
      <c r="AC852" s="322"/>
      <c r="AD852" s="319"/>
      <c r="AE852" s="320"/>
    </row>
    <row r="853" ht="18.0" customHeight="1">
      <c r="A853" s="118" t="str">
        <f t="shared" si="15"/>
        <v/>
      </c>
      <c r="B853" s="109"/>
      <c r="C853" s="119"/>
      <c r="D853" s="119"/>
      <c r="E853" s="330"/>
      <c r="F853" s="121"/>
      <c r="G853" s="153"/>
      <c r="H853" s="153"/>
      <c r="I853" s="153"/>
      <c r="J853" s="112"/>
      <c r="K853" s="153"/>
      <c r="L853" s="114"/>
      <c r="M853" s="151"/>
      <c r="N853" s="152"/>
      <c r="O853" s="150"/>
      <c r="P853" s="114"/>
      <c r="Q853" s="114"/>
      <c r="R853" s="151"/>
      <c r="S853" s="152"/>
      <c r="T853" s="153"/>
      <c r="U853" s="152"/>
      <c r="V853" s="152"/>
      <c r="W853" s="152"/>
      <c r="X853" s="152"/>
      <c r="Y853" s="153"/>
      <c r="Z853" s="125" t="str">
        <f t="shared" si="16"/>
        <v/>
      </c>
      <c r="AA853" s="126" t="str">
        <f t="shared" si="17"/>
        <v/>
      </c>
      <c r="AB853" s="154" t="str">
        <f t="shared" si="18"/>
        <v/>
      </c>
      <c r="AC853" s="152"/>
      <c r="AD853" s="153"/>
      <c r="AE853" s="156"/>
    </row>
    <row r="854" ht="18.0" customHeight="1">
      <c r="A854" s="127" t="str">
        <f t="shared" si="15"/>
        <v/>
      </c>
      <c r="B854" s="128"/>
      <c r="C854" s="129"/>
      <c r="D854" s="129"/>
      <c r="E854" s="325"/>
      <c r="F854" s="131"/>
      <c r="G854" s="319"/>
      <c r="H854" s="319"/>
      <c r="I854" s="319"/>
      <c r="J854" s="132"/>
      <c r="K854" s="319"/>
      <c r="L854" s="135"/>
      <c r="M854" s="321"/>
      <c r="N854" s="322"/>
      <c r="O854" s="150"/>
      <c r="P854" s="135"/>
      <c r="Q854" s="135"/>
      <c r="R854" s="321"/>
      <c r="S854" s="322"/>
      <c r="T854" s="319"/>
      <c r="U854" s="322"/>
      <c r="V854" s="322"/>
      <c r="W854" s="322"/>
      <c r="X854" s="322"/>
      <c r="Y854" s="319"/>
      <c r="Z854" s="136" t="str">
        <f t="shared" si="16"/>
        <v/>
      </c>
      <c r="AA854" s="137" t="str">
        <f t="shared" si="17"/>
        <v/>
      </c>
      <c r="AB854" s="154" t="str">
        <f t="shared" si="18"/>
        <v/>
      </c>
      <c r="AC854" s="322"/>
      <c r="AD854" s="319"/>
      <c r="AE854" s="320"/>
    </row>
    <row r="855" ht="18.0" customHeight="1">
      <c r="A855" s="118" t="str">
        <f t="shared" si="15"/>
        <v/>
      </c>
      <c r="B855" s="109"/>
      <c r="C855" s="119"/>
      <c r="D855" s="119"/>
      <c r="E855" s="330"/>
      <c r="F855" s="121"/>
      <c r="G855" s="153"/>
      <c r="H855" s="153"/>
      <c r="I855" s="153"/>
      <c r="J855" s="112"/>
      <c r="K855" s="153"/>
      <c r="L855" s="114"/>
      <c r="M855" s="151"/>
      <c r="N855" s="152"/>
      <c r="O855" s="150"/>
      <c r="P855" s="114"/>
      <c r="Q855" s="114"/>
      <c r="R855" s="151"/>
      <c r="S855" s="152"/>
      <c r="T855" s="153"/>
      <c r="U855" s="152"/>
      <c r="V855" s="152"/>
      <c r="W855" s="152"/>
      <c r="X855" s="152"/>
      <c r="Y855" s="153"/>
      <c r="Z855" s="125" t="str">
        <f t="shared" si="16"/>
        <v/>
      </c>
      <c r="AA855" s="126" t="str">
        <f t="shared" si="17"/>
        <v/>
      </c>
      <c r="AB855" s="154" t="str">
        <f t="shared" si="18"/>
        <v/>
      </c>
      <c r="AC855" s="152"/>
      <c r="AD855" s="153"/>
      <c r="AE855" s="156"/>
    </row>
    <row r="856" ht="18.0" customHeight="1">
      <c r="A856" s="127" t="str">
        <f t="shared" si="15"/>
        <v/>
      </c>
      <c r="B856" s="128"/>
      <c r="C856" s="129"/>
      <c r="D856" s="129"/>
      <c r="E856" s="325"/>
      <c r="F856" s="131"/>
      <c r="G856" s="319"/>
      <c r="H856" s="319"/>
      <c r="I856" s="319"/>
      <c r="J856" s="132"/>
      <c r="K856" s="319"/>
      <c r="L856" s="135"/>
      <c r="M856" s="321"/>
      <c r="N856" s="322"/>
      <c r="O856" s="150"/>
      <c r="P856" s="135"/>
      <c r="Q856" s="135"/>
      <c r="R856" s="321"/>
      <c r="S856" s="322"/>
      <c r="T856" s="319"/>
      <c r="U856" s="322"/>
      <c r="V856" s="322"/>
      <c r="W856" s="322"/>
      <c r="X856" s="322"/>
      <c r="Y856" s="319"/>
      <c r="Z856" s="136" t="str">
        <f t="shared" si="16"/>
        <v/>
      </c>
      <c r="AA856" s="137" t="str">
        <f t="shared" si="17"/>
        <v/>
      </c>
      <c r="AB856" s="154" t="str">
        <f t="shared" si="18"/>
        <v/>
      </c>
      <c r="AC856" s="322"/>
      <c r="AD856" s="319"/>
      <c r="AE856" s="320"/>
    </row>
    <row r="857" ht="18.0" customHeight="1">
      <c r="A857" s="118" t="str">
        <f t="shared" si="15"/>
        <v/>
      </c>
      <c r="B857" s="109"/>
      <c r="C857" s="119"/>
      <c r="D857" s="119"/>
      <c r="E857" s="330"/>
      <c r="F857" s="121"/>
      <c r="G857" s="153"/>
      <c r="H857" s="153"/>
      <c r="I857" s="153"/>
      <c r="J857" s="112"/>
      <c r="K857" s="153"/>
      <c r="L857" s="114"/>
      <c r="M857" s="151"/>
      <c r="N857" s="152"/>
      <c r="O857" s="150"/>
      <c r="P857" s="114"/>
      <c r="Q857" s="114"/>
      <c r="R857" s="151"/>
      <c r="S857" s="152"/>
      <c r="T857" s="153"/>
      <c r="U857" s="152"/>
      <c r="V857" s="152"/>
      <c r="W857" s="152"/>
      <c r="X857" s="152"/>
      <c r="Y857" s="153"/>
      <c r="Z857" s="125" t="str">
        <f t="shared" si="16"/>
        <v/>
      </c>
      <c r="AA857" s="126" t="str">
        <f t="shared" si="17"/>
        <v/>
      </c>
      <c r="AB857" s="154" t="str">
        <f t="shared" si="18"/>
        <v/>
      </c>
      <c r="AC857" s="152"/>
      <c r="AD857" s="153"/>
      <c r="AE857" s="156"/>
    </row>
    <row r="858" ht="18.0" customHeight="1">
      <c r="A858" s="127" t="str">
        <f t="shared" si="15"/>
        <v/>
      </c>
      <c r="B858" s="128"/>
      <c r="C858" s="129"/>
      <c r="D858" s="129"/>
      <c r="E858" s="325"/>
      <c r="F858" s="131"/>
      <c r="G858" s="319"/>
      <c r="H858" s="319"/>
      <c r="I858" s="319"/>
      <c r="J858" s="132"/>
      <c r="K858" s="319"/>
      <c r="L858" s="135"/>
      <c r="M858" s="321"/>
      <c r="N858" s="322"/>
      <c r="O858" s="150"/>
      <c r="P858" s="135"/>
      <c r="Q858" s="135"/>
      <c r="R858" s="321"/>
      <c r="S858" s="322"/>
      <c r="T858" s="319"/>
      <c r="U858" s="322"/>
      <c r="V858" s="322"/>
      <c r="W858" s="322"/>
      <c r="X858" s="322"/>
      <c r="Y858" s="319"/>
      <c r="Z858" s="136" t="str">
        <f t="shared" si="16"/>
        <v/>
      </c>
      <c r="AA858" s="137" t="str">
        <f t="shared" si="17"/>
        <v/>
      </c>
      <c r="AB858" s="154" t="str">
        <f t="shared" si="18"/>
        <v/>
      </c>
      <c r="AC858" s="322"/>
      <c r="AD858" s="319"/>
      <c r="AE858" s="320"/>
    </row>
    <row r="859" ht="18.0" customHeight="1">
      <c r="A859" s="118" t="str">
        <f t="shared" si="15"/>
        <v/>
      </c>
      <c r="B859" s="109"/>
      <c r="C859" s="119"/>
      <c r="D859" s="119"/>
      <c r="E859" s="330"/>
      <c r="F859" s="121"/>
      <c r="G859" s="153"/>
      <c r="H859" s="153"/>
      <c r="I859" s="153"/>
      <c r="J859" s="112"/>
      <c r="K859" s="153"/>
      <c r="L859" s="114"/>
      <c r="M859" s="151"/>
      <c r="N859" s="152"/>
      <c r="O859" s="150"/>
      <c r="P859" s="114"/>
      <c r="Q859" s="114"/>
      <c r="R859" s="151"/>
      <c r="S859" s="152"/>
      <c r="T859" s="153"/>
      <c r="U859" s="152"/>
      <c r="V859" s="152"/>
      <c r="W859" s="152"/>
      <c r="X859" s="152"/>
      <c r="Y859" s="153"/>
      <c r="Z859" s="125" t="str">
        <f t="shared" si="16"/>
        <v/>
      </c>
      <c r="AA859" s="126" t="str">
        <f t="shared" si="17"/>
        <v/>
      </c>
      <c r="AB859" s="154" t="str">
        <f t="shared" si="18"/>
        <v/>
      </c>
      <c r="AC859" s="152"/>
      <c r="AD859" s="153"/>
      <c r="AE859" s="156"/>
    </row>
    <row r="860" ht="18.0" customHeight="1">
      <c r="A860" s="127" t="str">
        <f t="shared" si="15"/>
        <v/>
      </c>
      <c r="B860" s="128"/>
      <c r="C860" s="129"/>
      <c r="D860" s="129"/>
      <c r="E860" s="325"/>
      <c r="F860" s="131"/>
      <c r="G860" s="319"/>
      <c r="H860" s="319"/>
      <c r="I860" s="319"/>
      <c r="J860" s="132"/>
      <c r="K860" s="319"/>
      <c r="L860" s="135"/>
      <c r="M860" s="321"/>
      <c r="N860" s="322"/>
      <c r="O860" s="150"/>
      <c r="P860" s="135"/>
      <c r="Q860" s="135"/>
      <c r="R860" s="321"/>
      <c r="S860" s="322"/>
      <c r="T860" s="319"/>
      <c r="U860" s="322"/>
      <c r="V860" s="322"/>
      <c r="W860" s="322"/>
      <c r="X860" s="322"/>
      <c r="Y860" s="319"/>
      <c r="Z860" s="136" t="str">
        <f t="shared" si="16"/>
        <v/>
      </c>
      <c r="AA860" s="137" t="str">
        <f t="shared" si="17"/>
        <v/>
      </c>
      <c r="AB860" s="154" t="str">
        <f t="shared" si="18"/>
        <v/>
      </c>
      <c r="AC860" s="322"/>
      <c r="AD860" s="319"/>
      <c r="AE860" s="320"/>
    </row>
    <row r="861" ht="18.0" customHeight="1">
      <c r="A861" s="118" t="str">
        <f t="shared" si="15"/>
        <v/>
      </c>
      <c r="B861" s="109"/>
      <c r="C861" s="119"/>
      <c r="D861" s="119"/>
      <c r="E861" s="330"/>
      <c r="F861" s="121"/>
      <c r="G861" s="153"/>
      <c r="H861" s="153"/>
      <c r="I861" s="153"/>
      <c r="J861" s="112"/>
      <c r="K861" s="153"/>
      <c r="L861" s="114"/>
      <c r="M861" s="151"/>
      <c r="N861" s="152"/>
      <c r="O861" s="150"/>
      <c r="P861" s="114"/>
      <c r="Q861" s="114"/>
      <c r="R861" s="151"/>
      <c r="S861" s="152"/>
      <c r="T861" s="153"/>
      <c r="U861" s="152"/>
      <c r="V861" s="152"/>
      <c r="W861" s="152"/>
      <c r="X861" s="152"/>
      <c r="Y861" s="153"/>
      <c r="Z861" s="125" t="str">
        <f t="shared" si="16"/>
        <v/>
      </c>
      <c r="AA861" s="126" t="str">
        <f t="shared" si="17"/>
        <v/>
      </c>
      <c r="AB861" s="154" t="str">
        <f t="shared" si="18"/>
        <v/>
      </c>
      <c r="AC861" s="152"/>
      <c r="AD861" s="153"/>
      <c r="AE861" s="156"/>
    </row>
    <row r="862" ht="18.0" customHeight="1">
      <c r="A862" s="127" t="str">
        <f t="shared" si="15"/>
        <v/>
      </c>
      <c r="B862" s="128"/>
      <c r="C862" s="129"/>
      <c r="D862" s="129"/>
      <c r="E862" s="325"/>
      <c r="F862" s="131"/>
      <c r="G862" s="319"/>
      <c r="H862" s="319"/>
      <c r="I862" s="319"/>
      <c r="J862" s="132"/>
      <c r="K862" s="319"/>
      <c r="L862" s="135"/>
      <c r="M862" s="321"/>
      <c r="N862" s="322"/>
      <c r="O862" s="150"/>
      <c r="P862" s="135"/>
      <c r="Q862" s="135"/>
      <c r="R862" s="321"/>
      <c r="S862" s="322"/>
      <c r="T862" s="319"/>
      <c r="U862" s="322"/>
      <c r="V862" s="322"/>
      <c r="W862" s="322"/>
      <c r="X862" s="322"/>
      <c r="Y862" s="319"/>
      <c r="Z862" s="136" t="str">
        <f t="shared" si="16"/>
        <v/>
      </c>
      <c r="AA862" s="137" t="str">
        <f t="shared" si="17"/>
        <v/>
      </c>
      <c r="AB862" s="154" t="str">
        <f t="shared" si="18"/>
        <v/>
      </c>
      <c r="AC862" s="322"/>
      <c r="AD862" s="319"/>
      <c r="AE862" s="320"/>
    </row>
    <row r="863" ht="18.0" customHeight="1">
      <c r="A863" s="118" t="str">
        <f t="shared" si="15"/>
        <v/>
      </c>
      <c r="B863" s="109"/>
      <c r="C863" s="119"/>
      <c r="D863" s="119"/>
      <c r="E863" s="330"/>
      <c r="F863" s="121"/>
      <c r="G863" s="153"/>
      <c r="H863" s="153"/>
      <c r="I863" s="153"/>
      <c r="J863" s="112"/>
      <c r="K863" s="153"/>
      <c r="L863" s="114"/>
      <c r="M863" s="151"/>
      <c r="N863" s="152"/>
      <c r="O863" s="150"/>
      <c r="P863" s="114"/>
      <c r="Q863" s="114"/>
      <c r="R863" s="151"/>
      <c r="S863" s="152"/>
      <c r="T863" s="153"/>
      <c r="U863" s="152"/>
      <c r="V863" s="152"/>
      <c r="W863" s="152"/>
      <c r="X863" s="152"/>
      <c r="Y863" s="153"/>
      <c r="Z863" s="125" t="str">
        <f t="shared" si="16"/>
        <v/>
      </c>
      <c r="AA863" s="126" t="str">
        <f t="shared" si="17"/>
        <v/>
      </c>
      <c r="AB863" s="154" t="str">
        <f t="shared" si="18"/>
        <v/>
      </c>
      <c r="AC863" s="152"/>
      <c r="AD863" s="153"/>
      <c r="AE863" s="156"/>
    </row>
    <row r="864" ht="18.0" customHeight="1">
      <c r="A864" s="127" t="str">
        <f t="shared" si="15"/>
        <v/>
      </c>
      <c r="B864" s="128"/>
      <c r="C864" s="129"/>
      <c r="D864" s="129"/>
      <c r="E864" s="325"/>
      <c r="F864" s="131"/>
      <c r="G864" s="319"/>
      <c r="H864" s="319"/>
      <c r="I864" s="319"/>
      <c r="J864" s="132"/>
      <c r="K864" s="319"/>
      <c r="L864" s="135"/>
      <c r="M864" s="321"/>
      <c r="N864" s="322"/>
      <c r="O864" s="150"/>
      <c r="P864" s="135"/>
      <c r="Q864" s="135"/>
      <c r="R864" s="321"/>
      <c r="S864" s="322"/>
      <c r="T864" s="319"/>
      <c r="U864" s="322"/>
      <c r="V864" s="322"/>
      <c r="W864" s="322"/>
      <c r="X864" s="322"/>
      <c r="Y864" s="319"/>
      <c r="Z864" s="136" t="str">
        <f t="shared" si="16"/>
        <v/>
      </c>
      <c r="AA864" s="137" t="str">
        <f t="shared" si="17"/>
        <v/>
      </c>
      <c r="AB864" s="154" t="str">
        <f t="shared" si="18"/>
        <v/>
      </c>
      <c r="AC864" s="322"/>
      <c r="AD864" s="319"/>
      <c r="AE864" s="320"/>
    </row>
    <row r="865" ht="18.0" customHeight="1">
      <c r="A865" s="118" t="str">
        <f t="shared" si="15"/>
        <v/>
      </c>
      <c r="B865" s="109"/>
      <c r="C865" s="119"/>
      <c r="D865" s="119"/>
      <c r="E865" s="330"/>
      <c r="F865" s="121"/>
      <c r="G865" s="153"/>
      <c r="H865" s="153"/>
      <c r="I865" s="153"/>
      <c r="J865" s="112"/>
      <c r="K865" s="153"/>
      <c r="L865" s="114"/>
      <c r="M865" s="151"/>
      <c r="N865" s="152"/>
      <c r="O865" s="150"/>
      <c r="P865" s="114"/>
      <c r="Q865" s="114"/>
      <c r="R865" s="151"/>
      <c r="S865" s="152"/>
      <c r="T865" s="153"/>
      <c r="U865" s="152"/>
      <c r="V865" s="152"/>
      <c r="W865" s="152"/>
      <c r="X865" s="152"/>
      <c r="Y865" s="153"/>
      <c r="Z865" s="125" t="str">
        <f t="shared" si="16"/>
        <v/>
      </c>
      <c r="AA865" s="126" t="str">
        <f t="shared" si="17"/>
        <v/>
      </c>
      <c r="AB865" s="154" t="str">
        <f t="shared" si="18"/>
        <v/>
      </c>
      <c r="AC865" s="152"/>
      <c r="AD865" s="153"/>
      <c r="AE865" s="156"/>
    </row>
    <row r="866" ht="18.0" customHeight="1">
      <c r="A866" s="127" t="str">
        <f t="shared" si="15"/>
        <v/>
      </c>
      <c r="B866" s="128"/>
      <c r="C866" s="129"/>
      <c r="D866" s="129"/>
      <c r="E866" s="325"/>
      <c r="F866" s="131"/>
      <c r="G866" s="319"/>
      <c r="H866" s="319"/>
      <c r="I866" s="319"/>
      <c r="J866" s="132"/>
      <c r="K866" s="319"/>
      <c r="L866" s="135"/>
      <c r="M866" s="321"/>
      <c r="N866" s="322"/>
      <c r="O866" s="150"/>
      <c r="P866" s="135"/>
      <c r="Q866" s="135"/>
      <c r="R866" s="321"/>
      <c r="S866" s="322"/>
      <c r="T866" s="319"/>
      <c r="U866" s="322"/>
      <c r="V866" s="322"/>
      <c r="W866" s="322"/>
      <c r="X866" s="322"/>
      <c r="Y866" s="319"/>
      <c r="Z866" s="136" t="str">
        <f t="shared" si="16"/>
        <v/>
      </c>
      <c r="AA866" s="137" t="str">
        <f t="shared" si="17"/>
        <v/>
      </c>
      <c r="AB866" s="154" t="str">
        <f t="shared" si="18"/>
        <v/>
      </c>
      <c r="AC866" s="322"/>
      <c r="AD866" s="319"/>
      <c r="AE866" s="320"/>
    </row>
    <row r="867" ht="18.0" customHeight="1">
      <c r="A867" s="118" t="str">
        <f t="shared" si="15"/>
        <v/>
      </c>
      <c r="B867" s="109"/>
      <c r="C867" s="119"/>
      <c r="D867" s="119"/>
      <c r="E867" s="330"/>
      <c r="F867" s="121"/>
      <c r="G867" s="153"/>
      <c r="H867" s="153"/>
      <c r="I867" s="153"/>
      <c r="J867" s="112"/>
      <c r="K867" s="153"/>
      <c r="L867" s="114"/>
      <c r="M867" s="151"/>
      <c r="N867" s="152"/>
      <c r="O867" s="150"/>
      <c r="P867" s="114"/>
      <c r="Q867" s="114"/>
      <c r="R867" s="151"/>
      <c r="S867" s="152"/>
      <c r="T867" s="153"/>
      <c r="U867" s="152"/>
      <c r="V867" s="152"/>
      <c r="W867" s="152"/>
      <c r="X867" s="152"/>
      <c r="Y867" s="153"/>
      <c r="Z867" s="125" t="str">
        <f t="shared" si="16"/>
        <v/>
      </c>
      <c r="AA867" s="126" t="str">
        <f t="shared" si="17"/>
        <v/>
      </c>
      <c r="AB867" s="154" t="str">
        <f t="shared" si="18"/>
        <v/>
      </c>
      <c r="AC867" s="152"/>
      <c r="AD867" s="153"/>
      <c r="AE867" s="156"/>
    </row>
    <row r="868" ht="18.0" customHeight="1">
      <c r="A868" s="127" t="str">
        <f t="shared" si="15"/>
        <v/>
      </c>
      <c r="B868" s="128"/>
      <c r="C868" s="129"/>
      <c r="D868" s="129"/>
      <c r="E868" s="325"/>
      <c r="F868" s="131"/>
      <c r="G868" s="319"/>
      <c r="H868" s="319"/>
      <c r="I868" s="319"/>
      <c r="J868" s="132"/>
      <c r="K868" s="319"/>
      <c r="L868" s="135"/>
      <c r="M868" s="321"/>
      <c r="N868" s="322"/>
      <c r="O868" s="150"/>
      <c r="P868" s="135"/>
      <c r="Q868" s="135"/>
      <c r="R868" s="321"/>
      <c r="S868" s="322"/>
      <c r="T868" s="319"/>
      <c r="U868" s="322"/>
      <c r="V868" s="322"/>
      <c r="W868" s="322"/>
      <c r="X868" s="322"/>
      <c r="Y868" s="319"/>
      <c r="Z868" s="136" t="str">
        <f t="shared" si="16"/>
        <v/>
      </c>
      <c r="AA868" s="137" t="str">
        <f t="shared" si="17"/>
        <v/>
      </c>
      <c r="AB868" s="154" t="str">
        <f t="shared" si="18"/>
        <v/>
      </c>
      <c r="AC868" s="322"/>
      <c r="AD868" s="319"/>
      <c r="AE868" s="320"/>
    </row>
    <row r="869" ht="18.0" customHeight="1">
      <c r="A869" s="118" t="str">
        <f t="shared" si="15"/>
        <v/>
      </c>
      <c r="B869" s="109"/>
      <c r="C869" s="119"/>
      <c r="D869" s="119"/>
      <c r="E869" s="330"/>
      <c r="F869" s="121"/>
      <c r="G869" s="153"/>
      <c r="H869" s="153"/>
      <c r="I869" s="153"/>
      <c r="J869" s="112"/>
      <c r="K869" s="153"/>
      <c r="L869" s="114"/>
      <c r="M869" s="151"/>
      <c r="N869" s="152"/>
      <c r="O869" s="150"/>
      <c r="P869" s="114"/>
      <c r="Q869" s="114"/>
      <c r="R869" s="151"/>
      <c r="S869" s="152"/>
      <c r="T869" s="153"/>
      <c r="U869" s="152"/>
      <c r="V869" s="152"/>
      <c r="W869" s="152"/>
      <c r="X869" s="152"/>
      <c r="Y869" s="153"/>
      <c r="Z869" s="125" t="str">
        <f t="shared" si="16"/>
        <v/>
      </c>
      <c r="AA869" s="126" t="str">
        <f t="shared" si="17"/>
        <v/>
      </c>
      <c r="AB869" s="154" t="str">
        <f t="shared" si="18"/>
        <v/>
      </c>
      <c r="AC869" s="152"/>
      <c r="AD869" s="153"/>
      <c r="AE869" s="156"/>
    </row>
    <row r="870" ht="18.0" customHeight="1">
      <c r="A870" s="127" t="str">
        <f t="shared" si="15"/>
        <v/>
      </c>
      <c r="B870" s="128"/>
      <c r="C870" s="129"/>
      <c r="D870" s="129"/>
      <c r="E870" s="325"/>
      <c r="F870" s="131"/>
      <c r="G870" s="319"/>
      <c r="H870" s="319"/>
      <c r="I870" s="319"/>
      <c r="J870" s="132"/>
      <c r="K870" s="319"/>
      <c r="L870" s="135"/>
      <c r="M870" s="321"/>
      <c r="N870" s="322"/>
      <c r="O870" s="150"/>
      <c r="P870" s="135"/>
      <c r="Q870" s="135"/>
      <c r="R870" s="321"/>
      <c r="S870" s="322"/>
      <c r="T870" s="319"/>
      <c r="U870" s="322"/>
      <c r="V870" s="322"/>
      <c r="W870" s="322"/>
      <c r="X870" s="322"/>
      <c r="Y870" s="319"/>
      <c r="Z870" s="136" t="str">
        <f t="shared" si="16"/>
        <v/>
      </c>
      <c r="AA870" s="137" t="str">
        <f t="shared" si="17"/>
        <v/>
      </c>
      <c r="AB870" s="154" t="str">
        <f t="shared" si="18"/>
        <v/>
      </c>
      <c r="AC870" s="322"/>
      <c r="AD870" s="319"/>
      <c r="AE870" s="320"/>
    </row>
    <row r="871" ht="18.0" customHeight="1">
      <c r="A871" s="118" t="str">
        <f t="shared" si="15"/>
        <v/>
      </c>
      <c r="B871" s="109"/>
      <c r="C871" s="119"/>
      <c r="D871" s="119"/>
      <c r="E871" s="330"/>
      <c r="F871" s="121"/>
      <c r="G871" s="153"/>
      <c r="H871" s="153"/>
      <c r="I871" s="153"/>
      <c r="J871" s="112"/>
      <c r="K871" s="153"/>
      <c r="L871" s="114"/>
      <c r="M871" s="151"/>
      <c r="N871" s="152"/>
      <c r="O871" s="150"/>
      <c r="P871" s="114"/>
      <c r="Q871" s="114"/>
      <c r="R871" s="151"/>
      <c r="S871" s="152"/>
      <c r="T871" s="153"/>
      <c r="U871" s="152"/>
      <c r="V871" s="152"/>
      <c r="W871" s="152"/>
      <c r="X871" s="152"/>
      <c r="Y871" s="153"/>
      <c r="Z871" s="125" t="str">
        <f t="shared" si="16"/>
        <v/>
      </c>
      <c r="AA871" s="126" t="str">
        <f t="shared" si="17"/>
        <v/>
      </c>
      <c r="AB871" s="154" t="str">
        <f t="shared" si="18"/>
        <v/>
      </c>
      <c r="AC871" s="152"/>
      <c r="AD871" s="153"/>
      <c r="AE871" s="156"/>
    </row>
    <row r="872" ht="18.0" customHeight="1">
      <c r="A872" s="127" t="str">
        <f t="shared" si="15"/>
        <v/>
      </c>
      <c r="B872" s="128"/>
      <c r="C872" s="129"/>
      <c r="D872" s="129"/>
      <c r="E872" s="325"/>
      <c r="F872" s="131"/>
      <c r="G872" s="319"/>
      <c r="H872" s="319"/>
      <c r="I872" s="319"/>
      <c r="J872" s="132"/>
      <c r="K872" s="319"/>
      <c r="L872" s="135"/>
      <c r="M872" s="321"/>
      <c r="N872" s="322"/>
      <c r="O872" s="150"/>
      <c r="P872" s="135"/>
      <c r="Q872" s="135"/>
      <c r="R872" s="321"/>
      <c r="S872" s="322"/>
      <c r="T872" s="319"/>
      <c r="U872" s="322"/>
      <c r="V872" s="322"/>
      <c r="W872" s="322"/>
      <c r="X872" s="322"/>
      <c r="Y872" s="319"/>
      <c r="Z872" s="136" t="str">
        <f t="shared" si="16"/>
        <v/>
      </c>
      <c r="AA872" s="137" t="str">
        <f t="shared" si="17"/>
        <v/>
      </c>
      <c r="AB872" s="154" t="str">
        <f t="shared" si="18"/>
        <v/>
      </c>
      <c r="AC872" s="322"/>
      <c r="AD872" s="319"/>
      <c r="AE872" s="320"/>
    </row>
    <row r="873" ht="18.0" customHeight="1">
      <c r="A873" s="118" t="str">
        <f t="shared" si="15"/>
        <v/>
      </c>
      <c r="B873" s="109"/>
      <c r="C873" s="119"/>
      <c r="D873" s="119"/>
      <c r="E873" s="330"/>
      <c r="F873" s="121"/>
      <c r="G873" s="153"/>
      <c r="H873" s="153"/>
      <c r="I873" s="153"/>
      <c r="J873" s="112"/>
      <c r="K873" s="153"/>
      <c r="L873" s="114"/>
      <c r="M873" s="151"/>
      <c r="N873" s="152"/>
      <c r="O873" s="150"/>
      <c r="P873" s="114"/>
      <c r="Q873" s="114"/>
      <c r="R873" s="151"/>
      <c r="S873" s="152"/>
      <c r="T873" s="153"/>
      <c r="U873" s="152"/>
      <c r="V873" s="152"/>
      <c r="W873" s="152"/>
      <c r="X873" s="152"/>
      <c r="Y873" s="153"/>
      <c r="Z873" s="125" t="str">
        <f t="shared" si="16"/>
        <v/>
      </c>
      <c r="AA873" s="126" t="str">
        <f t="shared" si="17"/>
        <v/>
      </c>
      <c r="AB873" s="154" t="str">
        <f t="shared" si="18"/>
        <v/>
      </c>
      <c r="AC873" s="152"/>
      <c r="AD873" s="153"/>
      <c r="AE873" s="156"/>
    </row>
    <row r="874" ht="18.0" customHeight="1">
      <c r="A874" s="127" t="str">
        <f t="shared" si="15"/>
        <v/>
      </c>
      <c r="B874" s="128"/>
      <c r="C874" s="129"/>
      <c r="D874" s="129"/>
      <c r="E874" s="325"/>
      <c r="F874" s="131"/>
      <c r="G874" s="319"/>
      <c r="H874" s="319"/>
      <c r="I874" s="319"/>
      <c r="J874" s="132"/>
      <c r="K874" s="319"/>
      <c r="L874" s="135"/>
      <c r="M874" s="321"/>
      <c r="N874" s="322"/>
      <c r="O874" s="150"/>
      <c r="P874" s="135"/>
      <c r="Q874" s="135"/>
      <c r="R874" s="321"/>
      <c r="S874" s="322"/>
      <c r="T874" s="319"/>
      <c r="U874" s="322"/>
      <c r="V874" s="322"/>
      <c r="W874" s="322"/>
      <c r="X874" s="322"/>
      <c r="Y874" s="319"/>
      <c r="Z874" s="136" t="str">
        <f t="shared" si="16"/>
        <v/>
      </c>
      <c r="AA874" s="137" t="str">
        <f t="shared" si="17"/>
        <v/>
      </c>
      <c r="AB874" s="154" t="str">
        <f t="shared" si="18"/>
        <v/>
      </c>
      <c r="AC874" s="322"/>
      <c r="AD874" s="319"/>
      <c r="AE874" s="320"/>
    </row>
    <row r="875" ht="18.0" customHeight="1">
      <c r="A875" s="118" t="str">
        <f t="shared" si="15"/>
        <v/>
      </c>
      <c r="B875" s="109"/>
      <c r="C875" s="119"/>
      <c r="D875" s="119"/>
      <c r="E875" s="330"/>
      <c r="F875" s="121"/>
      <c r="G875" s="153"/>
      <c r="H875" s="153"/>
      <c r="I875" s="153"/>
      <c r="J875" s="112"/>
      <c r="K875" s="153"/>
      <c r="L875" s="114"/>
      <c r="M875" s="151"/>
      <c r="N875" s="152"/>
      <c r="O875" s="150"/>
      <c r="P875" s="114"/>
      <c r="Q875" s="114"/>
      <c r="R875" s="151"/>
      <c r="S875" s="152"/>
      <c r="T875" s="153"/>
      <c r="U875" s="152"/>
      <c r="V875" s="152"/>
      <c r="W875" s="152"/>
      <c r="X875" s="152"/>
      <c r="Y875" s="153"/>
      <c r="Z875" s="125" t="str">
        <f t="shared" si="16"/>
        <v/>
      </c>
      <c r="AA875" s="126" t="str">
        <f t="shared" si="17"/>
        <v/>
      </c>
      <c r="AB875" s="154" t="str">
        <f t="shared" si="18"/>
        <v/>
      </c>
      <c r="AC875" s="152"/>
      <c r="AD875" s="153"/>
      <c r="AE875" s="156"/>
    </row>
    <row r="876" ht="18.0" customHeight="1">
      <c r="A876" s="127" t="str">
        <f t="shared" si="15"/>
        <v/>
      </c>
      <c r="B876" s="128"/>
      <c r="C876" s="129"/>
      <c r="D876" s="129"/>
      <c r="E876" s="325"/>
      <c r="F876" s="131"/>
      <c r="G876" s="319"/>
      <c r="H876" s="319"/>
      <c r="I876" s="319"/>
      <c r="J876" s="132"/>
      <c r="K876" s="319"/>
      <c r="L876" s="135"/>
      <c r="M876" s="321"/>
      <c r="N876" s="322"/>
      <c r="O876" s="150"/>
      <c r="P876" s="135"/>
      <c r="Q876" s="135"/>
      <c r="R876" s="321"/>
      <c r="S876" s="322"/>
      <c r="T876" s="319"/>
      <c r="U876" s="322"/>
      <c r="V876" s="322"/>
      <c r="W876" s="322"/>
      <c r="X876" s="322"/>
      <c r="Y876" s="319"/>
      <c r="Z876" s="136" t="str">
        <f t="shared" si="16"/>
        <v/>
      </c>
      <c r="AA876" s="137" t="str">
        <f t="shared" si="17"/>
        <v/>
      </c>
      <c r="AB876" s="154" t="str">
        <f t="shared" si="18"/>
        <v/>
      </c>
      <c r="AC876" s="322"/>
      <c r="AD876" s="319"/>
      <c r="AE876" s="320"/>
    </row>
    <row r="877" ht="18.0" customHeight="1">
      <c r="A877" s="118" t="str">
        <f t="shared" si="15"/>
        <v/>
      </c>
      <c r="B877" s="109"/>
      <c r="C877" s="119"/>
      <c r="D877" s="119"/>
      <c r="E877" s="330"/>
      <c r="F877" s="121"/>
      <c r="G877" s="153"/>
      <c r="H877" s="153"/>
      <c r="I877" s="153"/>
      <c r="J877" s="112"/>
      <c r="K877" s="153"/>
      <c r="L877" s="114"/>
      <c r="M877" s="151"/>
      <c r="N877" s="152"/>
      <c r="O877" s="150"/>
      <c r="P877" s="114"/>
      <c r="Q877" s="114"/>
      <c r="R877" s="151"/>
      <c r="S877" s="152"/>
      <c r="T877" s="153"/>
      <c r="U877" s="152"/>
      <c r="V877" s="152"/>
      <c r="W877" s="152"/>
      <c r="X877" s="152"/>
      <c r="Y877" s="153"/>
      <c r="Z877" s="125" t="str">
        <f t="shared" si="16"/>
        <v/>
      </c>
      <c r="AA877" s="126" t="str">
        <f t="shared" si="17"/>
        <v/>
      </c>
      <c r="AB877" s="154" t="str">
        <f t="shared" si="18"/>
        <v/>
      </c>
      <c r="AC877" s="152"/>
      <c r="AD877" s="153"/>
      <c r="AE877" s="156"/>
    </row>
    <row r="878" ht="18.0" customHeight="1">
      <c r="A878" s="127" t="str">
        <f t="shared" si="15"/>
        <v/>
      </c>
      <c r="B878" s="128"/>
      <c r="C878" s="129"/>
      <c r="D878" s="129"/>
      <c r="E878" s="325"/>
      <c r="F878" s="131"/>
      <c r="G878" s="319"/>
      <c r="H878" s="319"/>
      <c r="I878" s="319"/>
      <c r="J878" s="132"/>
      <c r="K878" s="319"/>
      <c r="L878" s="135"/>
      <c r="M878" s="321"/>
      <c r="N878" s="322"/>
      <c r="O878" s="150"/>
      <c r="P878" s="135"/>
      <c r="Q878" s="135"/>
      <c r="R878" s="321"/>
      <c r="S878" s="322"/>
      <c r="T878" s="319"/>
      <c r="U878" s="322"/>
      <c r="V878" s="322"/>
      <c r="W878" s="322"/>
      <c r="X878" s="322"/>
      <c r="Y878" s="319"/>
      <c r="Z878" s="136" t="str">
        <f t="shared" si="16"/>
        <v/>
      </c>
      <c r="AA878" s="137" t="str">
        <f t="shared" si="17"/>
        <v/>
      </c>
      <c r="AB878" s="154" t="str">
        <f t="shared" si="18"/>
        <v/>
      </c>
      <c r="AC878" s="322"/>
      <c r="AD878" s="319"/>
      <c r="AE878" s="320"/>
    </row>
    <row r="879" ht="18.0" customHeight="1">
      <c r="A879" s="118" t="str">
        <f t="shared" si="15"/>
        <v/>
      </c>
      <c r="B879" s="109"/>
      <c r="C879" s="119"/>
      <c r="D879" s="119"/>
      <c r="E879" s="330"/>
      <c r="F879" s="121"/>
      <c r="G879" s="153"/>
      <c r="H879" s="153"/>
      <c r="I879" s="153"/>
      <c r="J879" s="112"/>
      <c r="K879" s="153"/>
      <c r="L879" s="114"/>
      <c r="M879" s="151"/>
      <c r="N879" s="152"/>
      <c r="O879" s="150"/>
      <c r="P879" s="114"/>
      <c r="Q879" s="114"/>
      <c r="R879" s="151"/>
      <c r="S879" s="152"/>
      <c r="T879" s="153"/>
      <c r="U879" s="152"/>
      <c r="V879" s="152"/>
      <c r="W879" s="152"/>
      <c r="X879" s="152"/>
      <c r="Y879" s="153"/>
      <c r="Z879" s="125" t="str">
        <f t="shared" si="16"/>
        <v/>
      </c>
      <c r="AA879" s="126" t="str">
        <f t="shared" si="17"/>
        <v/>
      </c>
      <c r="AB879" s="154" t="str">
        <f t="shared" si="18"/>
        <v/>
      </c>
      <c r="AC879" s="152"/>
      <c r="AD879" s="153"/>
      <c r="AE879" s="156"/>
    </row>
    <row r="880" ht="18.0" customHeight="1">
      <c r="A880" s="127" t="str">
        <f t="shared" si="15"/>
        <v/>
      </c>
      <c r="B880" s="128"/>
      <c r="C880" s="129"/>
      <c r="D880" s="129"/>
      <c r="E880" s="325"/>
      <c r="F880" s="131"/>
      <c r="G880" s="319"/>
      <c r="H880" s="319"/>
      <c r="I880" s="319"/>
      <c r="J880" s="132"/>
      <c r="K880" s="319"/>
      <c r="L880" s="135"/>
      <c r="M880" s="321"/>
      <c r="N880" s="322"/>
      <c r="O880" s="150"/>
      <c r="P880" s="135"/>
      <c r="Q880" s="135"/>
      <c r="R880" s="321"/>
      <c r="S880" s="322"/>
      <c r="T880" s="319"/>
      <c r="U880" s="322"/>
      <c r="V880" s="322"/>
      <c r="W880" s="322"/>
      <c r="X880" s="322"/>
      <c r="Y880" s="319"/>
      <c r="Z880" s="136" t="str">
        <f t="shared" si="16"/>
        <v/>
      </c>
      <c r="AA880" s="137" t="str">
        <f t="shared" si="17"/>
        <v/>
      </c>
      <c r="AB880" s="154" t="str">
        <f t="shared" si="18"/>
        <v/>
      </c>
      <c r="AC880" s="322"/>
      <c r="AD880" s="319"/>
      <c r="AE880" s="320"/>
    </row>
    <row r="881" ht="18.0" customHeight="1">
      <c r="A881" s="118" t="str">
        <f t="shared" si="15"/>
        <v/>
      </c>
      <c r="B881" s="109"/>
      <c r="C881" s="119"/>
      <c r="D881" s="119"/>
      <c r="E881" s="330"/>
      <c r="F881" s="121"/>
      <c r="G881" s="153"/>
      <c r="H881" s="153"/>
      <c r="I881" s="153"/>
      <c r="J881" s="112"/>
      <c r="K881" s="153"/>
      <c r="L881" s="114"/>
      <c r="M881" s="151"/>
      <c r="N881" s="152"/>
      <c r="O881" s="150"/>
      <c r="P881" s="114"/>
      <c r="Q881" s="114"/>
      <c r="R881" s="151"/>
      <c r="S881" s="152"/>
      <c r="T881" s="153"/>
      <c r="U881" s="152"/>
      <c r="V881" s="152"/>
      <c r="W881" s="152"/>
      <c r="X881" s="152"/>
      <c r="Y881" s="153"/>
      <c r="Z881" s="125" t="str">
        <f t="shared" si="16"/>
        <v/>
      </c>
      <c r="AA881" s="126" t="str">
        <f t="shared" si="17"/>
        <v/>
      </c>
      <c r="AB881" s="154" t="str">
        <f t="shared" si="18"/>
        <v/>
      </c>
      <c r="AC881" s="152"/>
      <c r="AD881" s="153"/>
      <c r="AE881" s="156"/>
    </row>
    <row r="882" ht="18.0" customHeight="1">
      <c r="A882" s="127" t="str">
        <f t="shared" si="15"/>
        <v/>
      </c>
      <c r="B882" s="128"/>
      <c r="C882" s="129"/>
      <c r="D882" s="129"/>
      <c r="E882" s="325"/>
      <c r="F882" s="131"/>
      <c r="G882" s="319"/>
      <c r="H882" s="319"/>
      <c r="I882" s="319"/>
      <c r="J882" s="132"/>
      <c r="K882" s="319"/>
      <c r="L882" s="135"/>
      <c r="M882" s="321"/>
      <c r="N882" s="322"/>
      <c r="O882" s="150"/>
      <c r="P882" s="135"/>
      <c r="Q882" s="135"/>
      <c r="R882" s="321"/>
      <c r="S882" s="322"/>
      <c r="T882" s="319"/>
      <c r="U882" s="322"/>
      <c r="V882" s="322"/>
      <c r="W882" s="322"/>
      <c r="X882" s="322"/>
      <c r="Y882" s="319"/>
      <c r="Z882" s="136" t="str">
        <f t="shared" si="16"/>
        <v/>
      </c>
      <c r="AA882" s="137" t="str">
        <f t="shared" si="17"/>
        <v/>
      </c>
      <c r="AB882" s="154" t="str">
        <f t="shared" si="18"/>
        <v/>
      </c>
      <c r="AC882" s="322"/>
      <c r="AD882" s="319"/>
      <c r="AE882" s="320"/>
    </row>
    <row r="883" ht="18.0" customHeight="1">
      <c r="A883" s="118" t="str">
        <f t="shared" si="15"/>
        <v/>
      </c>
      <c r="B883" s="109"/>
      <c r="C883" s="119"/>
      <c r="D883" s="119"/>
      <c r="E883" s="330"/>
      <c r="F883" s="121"/>
      <c r="G883" s="153"/>
      <c r="H883" s="153"/>
      <c r="I883" s="153"/>
      <c r="J883" s="112"/>
      <c r="K883" s="153"/>
      <c r="L883" s="114"/>
      <c r="M883" s="151"/>
      <c r="N883" s="152"/>
      <c r="O883" s="150"/>
      <c r="P883" s="114"/>
      <c r="Q883" s="114"/>
      <c r="R883" s="151"/>
      <c r="S883" s="152"/>
      <c r="T883" s="153"/>
      <c r="U883" s="152"/>
      <c r="V883" s="152"/>
      <c r="W883" s="152"/>
      <c r="X883" s="152"/>
      <c r="Y883" s="153"/>
      <c r="Z883" s="125" t="str">
        <f t="shared" si="16"/>
        <v/>
      </c>
      <c r="AA883" s="126" t="str">
        <f t="shared" si="17"/>
        <v/>
      </c>
      <c r="AB883" s="154" t="str">
        <f t="shared" si="18"/>
        <v/>
      </c>
      <c r="AC883" s="152"/>
      <c r="AD883" s="153"/>
      <c r="AE883" s="156"/>
    </row>
    <row r="884" ht="18.0" customHeight="1">
      <c r="A884" s="127" t="str">
        <f t="shared" si="15"/>
        <v/>
      </c>
      <c r="B884" s="128"/>
      <c r="C884" s="129"/>
      <c r="D884" s="129"/>
      <c r="E884" s="325"/>
      <c r="F884" s="131"/>
      <c r="G884" s="319"/>
      <c r="H884" s="319"/>
      <c r="I884" s="319"/>
      <c r="J884" s="132"/>
      <c r="K884" s="319"/>
      <c r="L884" s="135"/>
      <c r="M884" s="321"/>
      <c r="N884" s="322"/>
      <c r="O884" s="150"/>
      <c r="P884" s="135"/>
      <c r="Q884" s="135"/>
      <c r="R884" s="321"/>
      <c r="S884" s="322"/>
      <c r="T884" s="319"/>
      <c r="U884" s="322"/>
      <c r="V884" s="322"/>
      <c r="W884" s="322"/>
      <c r="X884" s="322"/>
      <c r="Y884" s="319"/>
      <c r="Z884" s="136" t="str">
        <f t="shared" si="16"/>
        <v/>
      </c>
      <c r="AA884" s="137" t="str">
        <f t="shared" si="17"/>
        <v/>
      </c>
      <c r="AB884" s="154" t="str">
        <f t="shared" si="18"/>
        <v/>
      </c>
      <c r="AC884" s="322"/>
      <c r="AD884" s="319"/>
      <c r="AE884" s="320"/>
    </row>
    <row r="885" ht="18.0" customHeight="1">
      <c r="A885" s="118" t="str">
        <f t="shared" si="15"/>
        <v/>
      </c>
      <c r="B885" s="109"/>
      <c r="C885" s="119"/>
      <c r="D885" s="119"/>
      <c r="E885" s="330"/>
      <c r="F885" s="121"/>
      <c r="G885" s="153"/>
      <c r="H885" s="153"/>
      <c r="I885" s="153"/>
      <c r="J885" s="112"/>
      <c r="K885" s="153"/>
      <c r="L885" s="114"/>
      <c r="M885" s="151"/>
      <c r="N885" s="152"/>
      <c r="O885" s="150"/>
      <c r="P885" s="114"/>
      <c r="Q885" s="114"/>
      <c r="R885" s="151"/>
      <c r="S885" s="152"/>
      <c r="T885" s="153"/>
      <c r="U885" s="152"/>
      <c r="V885" s="152"/>
      <c r="W885" s="152"/>
      <c r="X885" s="152"/>
      <c r="Y885" s="153"/>
      <c r="Z885" s="125" t="str">
        <f t="shared" si="16"/>
        <v/>
      </c>
      <c r="AA885" s="126" t="str">
        <f t="shared" si="17"/>
        <v/>
      </c>
      <c r="AB885" s="154" t="str">
        <f t="shared" si="18"/>
        <v/>
      </c>
      <c r="AC885" s="152"/>
      <c r="AD885" s="153"/>
      <c r="AE885" s="156"/>
    </row>
    <row r="886" ht="18.0" customHeight="1">
      <c r="A886" s="127" t="str">
        <f t="shared" si="15"/>
        <v/>
      </c>
      <c r="B886" s="128"/>
      <c r="C886" s="129"/>
      <c r="D886" s="129"/>
      <c r="E886" s="325"/>
      <c r="F886" s="131"/>
      <c r="G886" s="319"/>
      <c r="H886" s="319"/>
      <c r="I886" s="319"/>
      <c r="J886" s="132"/>
      <c r="K886" s="319"/>
      <c r="L886" s="135"/>
      <c r="M886" s="321"/>
      <c r="N886" s="322"/>
      <c r="O886" s="150"/>
      <c r="P886" s="135"/>
      <c r="Q886" s="135"/>
      <c r="R886" s="321"/>
      <c r="S886" s="322"/>
      <c r="T886" s="319"/>
      <c r="U886" s="322"/>
      <c r="V886" s="322"/>
      <c r="W886" s="322"/>
      <c r="X886" s="322"/>
      <c r="Y886" s="319"/>
      <c r="Z886" s="136" t="str">
        <f t="shared" si="16"/>
        <v/>
      </c>
      <c r="AA886" s="137" t="str">
        <f t="shared" si="17"/>
        <v/>
      </c>
      <c r="AB886" s="154" t="str">
        <f t="shared" si="18"/>
        <v/>
      </c>
      <c r="AC886" s="322"/>
      <c r="AD886" s="319"/>
      <c r="AE886" s="320"/>
    </row>
    <row r="887" ht="18.0" customHeight="1">
      <c r="A887" s="118" t="str">
        <f t="shared" si="15"/>
        <v/>
      </c>
      <c r="B887" s="109"/>
      <c r="C887" s="119"/>
      <c r="D887" s="119"/>
      <c r="E887" s="330"/>
      <c r="F887" s="121"/>
      <c r="G887" s="153"/>
      <c r="H887" s="153"/>
      <c r="I887" s="153"/>
      <c r="J887" s="112"/>
      <c r="K887" s="153"/>
      <c r="L887" s="114"/>
      <c r="M887" s="151"/>
      <c r="N887" s="152"/>
      <c r="O887" s="150"/>
      <c r="P887" s="114"/>
      <c r="Q887" s="114"/>
      <c r="R887" s="151"/>
      <c r="S887" s="152"/>
      <c r="T887" s="153"/>
      <c r="U887" s="152"/>
      <c r="V887" s="152"/>
      <c r="W887" s="152"/>
      <c r="X887" s="152"/>
      <c r="Y887" s="153"/>
      <c r="Z887" s="125" t="str">
        <f t="shared" si="16"/>
        <v/>
      </c>
      <c r="AA887" s="126" t="str">
        <f t="shared" si="17"/>
        <v/>
      </c>
      <c r="AB887" s="154" t="str">
        <f t="shared" si="18"/>
        <v/>
      </c>
      <c r="AC887" s="152"/>
      <c r="AD887" s="153"/>
      <c r="AE887" s="156"/>
    </row>
    <row r="888" ht="18.0" customHeight="1">
      <c r="A888" s="127" t="str">
        <f t="shared" si="15"/>
        <v/>
      </c>
      <c r="B888" s="128"/>
      <c r="C888" s="129"/>
      <c r="D888" s="129"/>
      <c r="E888" s="325"/>
      <c r="F888" s="131"/>
      <c r="G888" s="319"/>
      <c r="H888" s="319"/>
      <c r="I888" s="319"/>
      <c r="J888" s="132"/>
      <c r="K888" s="319"/>
      <c r="L888" s="135"/>
      <c r="M888" s="321"/>
      <c r="N888" s="322"/>
      <c r="O888" s="150"/>
      <c r="P888" s="135"/>
      <c r="Q888" s="135"/>
      <c r="R888" s="321"/>
      <c r="S888" s="322"/>
      <c r="T888" s="319"/>
      <c r="U888" s="322"/>
      <c r="V888" s="322"/>
      <c r="W888" s="322"/>
      <c r="X888" s="322"/>
      <c r="Y888" s="319"/>
      <c r="Z888" s="136" t="str">
        <f t="shared" si="16"/>
        <v/>
      </c>
      <c r="AA888" s="137" t="str">
        <f t="shared" si="17"/>
        <v/>
      </c>
      <c r="AB888" s="154" t="str">
        <f t="shared" si="18"/>
        <v/>
      </c>
      <c r="AC888" s="322"/>
      <c r="AD888" s="319"/>
      <c r="AE888" s="320"/>
    </row>
    <row r="889" ht="18.0" customHeight="1">
      <c r="A889" s="118" t="str">
        <f t="shared" si="15"/>
        <v/>
      </c>
      <c r="B889" s="109"/>
      <c r="C889" s="119"/>
      <c r="D889" s="119"/>
      <c r="E889" s="330"/>
      <c r="F889" s="121"/>
      <c r="G889" s="153"/>
      <c r="H889" s="153"/>
      <c r="I889" s="153"/>
      <c r="J889" s="112"/>
      <c r="K889" s="153"/>
      <c r="L889" s="114"/>
      <c r="M889" s="151"/>
      <c r="N889" s="152"/>
      <c r="O889" s="150"/>
      <c r="P889" s="114"/>
      <c r="Q889" s="114"/>
      <c r="R889" s="151"/>
      <c r="S889" s="152"/>
      <c r="T889" s="153"/>
      <c r="U889" s="152"/>
      <c r="V889" s="152"/>
      <c r="W889" s="152"/>
      <c r="X889" s="152"/>
      <c r="Y889" s="153"/>
      <c r="Z889" s="125" t="str">
        <f t="shared" si="16"/>
        <v/>
      </c>
      <c r="AA889" s="126" t="str">
        <f t="shared" si="17"/>
        <v/>
      </c>
      <c r="AB889" s="154" t="str">
        <f t="shared" si="18"/>
        <v/>
      </c>
      <c r="AC889" s="152"/>
      <c r="AD889" s="153"/>
      <c r="AE889" s="156"/>
    </row>
    <row r="890" ht="18.0" customHeight="1">
      <c r="A890" s="127" t="str">
        <f t="shared" si="15"/>
        <v/>
      </c>
      <c r="B890" s="128"/>
      <c r="C890" s="129"/>
      <c r="D890" s="129"/>
      <c r="E890" s="325"/>
      <c r="F890" s="131"/>
      <c r="G890" s="319"/>
      <c r="H890" s="319"/>
      <c r="I890" s="319"/>
      <c r="J890" s="132"/>
      <c r="K890" s="319"/>
      <c r="L890" s="135"/>
      <c r="M890" s="321"/>
      <c r="N890" s="322"/>
      <c r="O890" s="150"/>
      <c r="P890" s="135"/>
      <c r="Q890" s="135"/>
      <c r="R890" s="321"/>
      <c r="S890" s="322"/>
      <c r="T890" s="319"/>
      <c r="U890" s="322"/>
      <c r="V890" s="322"/>
      <c r="W890" s="322"/>
      <c r="X890" s="322"/>
      <c r="Y890" s="319"/>
      <c r="Z890" s="136" t="str">
        <f t="shared" si="16"/>
        <v/>
      </c>
      <c r="AA890" s="137" t="str">
        <f t="shared" si="17"/>
        <v/>
      </c>
      <c r="AB890" s="154" t="str">
        <f t="shared" si="18"/>
        <v/>
      </c>
      <c r="AC890" s="322"/>
      <c r="AD890" s="319"/>
      <c r="AE890" s="320"/>
    </row>
    <row r="891" ht="18.0" customHeight="1">
      <c r="A891" s="118" t="str">
        <f t="shared" si="15"/>
        <v/>
      </c>
      <c r="B891" s="109"/>
      <c r="C891" s="119"/>
      <c r="D891" s="119"/>
      <c r="E891" s="330"/>
      <c r="F891" s="121"/>
      <c r="G891" s="153"/>
      <c r="H891" s="153"/>
      <c r="I891" s="153"/>
      <c r="J891" s="112"/>
      <c r="K891" s="153"/>
      <c r="L891" s="114"/>
      <c r="M891" s="151"/>
      <c r="N891" s="152"/>
      <c r="O891" s="150"/>
      <c r="P891" s="114"/>
      <c r="Q891" s="114"/>
      <c r="R891" s="151"/>
      <c r="S891" s="152"/>
      <c r="T891" s="153"/>
      <c r="U891" s="152"/>
      <c r="V891" s="152"/>
      <c r="W891" s="152"/>
      <c r="X891" s="152"/>
      <c r="Y891" s="153"/>
      <c r="Z891" s="125" t="str">
        <f t="shared" si="16"/>
        <v/>
      </c>
      <c r="AA891" s="126" t="str">
        <f t="shared" si="17"/>
        <v/>
      </c>
      <c r="AB891" s="154" t="str">
        <f t="shared" si="18"/>
        <v/>
      </c>
      <c r="AC891" s="152"/>
      <c r="AD891" s="153"/>
      <c r="AE891" s="156"/>
    </row>
    <row r="892" ht="18.0" customHeight="1">
      <c r="A892" s="127" t="str">
        <f t="shared" si="15"/>
        <v/>
      </c>
      <c r="B892" s="128"/>
      <c r="C892" s="129"/>
      <c r="D892" s="129"/>
      <c r="E892" s="325"/>
      <c r="F892" s="131"/>
      <c r="G892" s="319"/>
      <c r="H892" s="319"/>
      <c r="I892" s="319"/>
      <c r="J892" s="132"/>
      <c r="K892" s="319"/>
      <c r="L892" s="135"/>
      <c r="M892" s="321"/>
      <c r="N892" s="322"/>
      <c r="O892" s="150"/>
      <c r="P892" s="135"/>
      <c r="Q892" s="135"/>
      <c r="R892" s="321"/>
      <c r="S892" s="322"/>
      <c r="T892" s="319"/>
      <c r="U892" s="322"/>
      <c r="V892" s="322"/>
      <c r="W892" s="322"/>
      <c r="X892" s="322"/>
      <c r="Y892" s="319"/>
      <c r="Z892" s="136" t="str">
        <f t="shared" si="16"/>
        <v/>
      </c>
      <c r="AA892" s="137" t="str">
        <f t="shared" si="17"/>
        <v/>
      </c>
      <c r="AB892" s="154" t="str">
        <f t="shared" si="18"/>
        <v/>
      </c>
      <c r="AC892" s="322"/>
      <c r="AD892" s="319"/>
      <c r="AE892" s="320"/>
    </row>
    <row r="893" ht="18.0" customHeight="1">
      <c r="A893" s="118" t="str">
        <f t="shared" si="15"/>
        <v/>
      </c>
      <c r="B893" s="109"/>
      <c r="C893" s="119"/>
      <c r="D893" s="119"/>
      <c r="E893" s="330"/>
      <c r="F893" s="121"/>
      <c r="G893" s="153"/>
      <c r="H893" s="153"/>
      <c r="I893" s="153"/>
      <c r="J893" s="112"/>
      <c r="K893" s="153"/>
      <c r="L893" s="114"/>
      <c r="M893" s="151"/>
      <c r="N893" s="152"/>
      <c r="O893" s="150"/>
      <c r="P893" s="114"/>
      <c r="Q893" s="114"/>
      <c r="R893" s="151"/>
      <c r="S893" s="152"/>
      <c r="T893" s="153"/>
      <c r="U893" s="152"/>
      <c r="V893" s="152"/>
      <c r="W893" s="152"/>
      <c r="X893" s="152"/>
      <c r="Y893" s="153"/>
      <c r="Z893" s="125" t="str">
        <f t="shared" si="16"/>
        <v/>
      </c>
      <c r="AA893" s="126" t="str">
        <f t="shared" si="17"/>
        <v/>
      </c>
      <c r="AB893" s="154" t="str">
        <f t="shared" si="18"/>
        <v/>
      </c>
      <c r="AC893" s="152"/>
      <c r="AD893" s="153"/>
      <c r="AE893" s="156"/>
    </row>
    <row r="894" ht="18.0" customHeight="1">
      <c r="A894" s="127" t="str">
        <f t="shared" si="15"/>
        <v/>
      </c>
      <c r="B894" s="128"/>
      <c r="C894" s="129"/>
      <c r="D894" s="129"/>
      <c r="E894" s="325"/>
      <c r="F894" s="131"/>
      <c r="G894" s="319"/>
      <c r="H894" s="319"/>
      <c r="I894" s="319"/>
      <c r="J894" s="132"/>
      <c r="K894" s="319"/>
      <c r="L894" s="135"/>
      <c r="M894" s="321"/>
      <c r="N894" s="322"/>
      <c r="O894" s="150"/>
      <c r="P894" s="135"/>
      <c r="Q894" s="135"/>
      <c r="R894" s="321"/>
      <c r="S894" s="322"/>
      <c r="T894" s="319"/>
      <c r="U894" s="322"/>
      <c r="V894" s="322"/>
      <c r="W894" s="322"/>
      <c r="X894" s="322"/>
      <c r="Y894" s="319"/>
      <c r="Z894" s="136" t="str">
        <f t="shared" si="16"/>
        <v/>
      </c>
      <c r="AA894" s="137" t="str">
        <f t="shared" si="17"/>
        <v/>
      </c>
      <c r="AB894" s="154" t="str">
        <f t="shared" si="18"/>
        <v/>
      </c>
      <c r="AC894" s="322"/>
      <c r="AD894" s="319"/>
      <c r="AE894" s="320"/>
    </row>
    <row r="895" ht="18.0" customHeight="1">
      <c r="A895" s="118" t="str">
        <f t="shared" si="15"/>
        <v/>
      </c>
      <c r="B895" s="109"/>
      <c r="C895" s="119"/>
      <c r="D895" s="119"/>
      <c r="E895" s="330"/>
      <c r="F895" s="121"/>
      <c r="G895" s="153"/>
      <c r="H895" s="153"/>
      <c r="I895" s="153"/>
      <c r="J895" s="112"/>
      <c r="K895" s="153"/>
      <c r="L895" s="114"/>
      <c r="M895" s="151"/>
      <c r="N895" s="152"/>
      <c r="O895" s="150"/>
      <c r="P895" s="114"/>
      <c r="Q895" s="114"/>
      <c r="R895" s="151"/>
      <c r="S895" s="152"/>
      <c r="T895" s="153"/>
      <c r="U895" s="152"/>
      <c r="V895" s="152"/>
      <c r="W895" s="152"/>
      <c r="X895" s="152"/>
      <c r="Y895" s="153"/>
      <c r="Z895" s="125" t="str">
        <f t="shared" si="16"/>
        <v/>
      </c>
      <c r="AA895" s="126" t="str">
        <f t="shared" si="17"/>
        <v/>
      </c>
      <c r="AB895" s="154" t="str">
        <f t="shared" si="18"/>
        <v/>
      </c>
      <c r="AC895" s="152"/>
      <c r="AD895" s="153"/>
      <c r="AE895" s="156"/>
    </row>
    <row r="896" ht="18.0" customHeight="1">
      <c r="A896" s="127" t="str">
        <f t="shared" si="15"/>
        <v/>
      </c>
      <c r="B896" s="128"/>
      <c r="C896" s="129"/>
      <c r="D896" s="129"/>
      <c r="E896" s="325"/>
      <c r="F896" s="131"/>
      <c r="G896" s="319"/>
      <c r="H896" s="319"/>
      <c r="I896" s="319"/>
      <c r="J896" s="132"/>
      <c r="K896" s="319"/>
      <c r="L896" s="135"/>
      <c r="M896" s="321"/>
      <c r="N896" s="322"/>
      <c r="O896" s="150"/>
      <c r="P896" s="135"/>
      <c r="Q896" s="135"/>
      <c r="R896" s="321"/>
      <c r="S896" s="322"/>
      <c r="T896" s="319"/>
      <c r="U896" s="322"/>
      <c r="V896" s="322"/>
      <c r="W896" s="322"/>
      <c r="X896" s="322"/>
      <c r="Y896" s="319"/>
      <c r="Z896" s="136" t="str">
        <f t="shared" si="16"/>
        <v/>
      </c>
      <c r="AA896" s="137" t="str">
        <f t="shared" si="17"/>
        <v/>
      </c>
      <c r="AB896" s="154" t="str">
        <f t="shared" si="18"/>
        <v/>
      </c>
      <c r="AC896" s="322"/>
      <c r="AD896" s="319"/>
      <c r="AE896" s="320"/>
    </row>
    <row r="897" ht="18.0" customHeight="1">
      <c r="A897" s="118" t="str">
        <f t="shared" si="15"/>
        <v/>
      </c>
      <c r="B897" s="109"/>
      <c r="C897" s="119"/>
      <c r="D897" s="119"/>
      <c r="E897" s="330"/>
      <c r="F897" s="121"/>
      <c r="G897" s="153"/>
      <c r="H897" s="153"/>
      <c r="I897" s="153"/>
      <c r="J897" s="112"/>
      <c r="K897" s="153"/>
      <c r="L897" s="114"/>
      <c r="M897" s="151"/>
      <c r="N897" s="152"/>
      <c r="O897" s="150"/>
      <c r="P897" s="114"/>
      <c r="Q897" s="114"/>
      <c r="R897" s="151"/>
      <c r="S897" s="152"/>
      <c r="T897" s="153"/>
      <c r="U897" s="152"/>
      <c r="V897" s="152"/>
      <c r="W897" s="152"/>
      <c r="X897" s="152"/>
      <c r="Y897" s="153"/>
      <c r="Z897" s="125" t="str">
        <f t="shared" si="16"/>
        <v/>
      </c>
      <c r="AA897" s="126" t="str">
        <f t="shared" si="17"/>
        <v/>
      </c>
      <c r="AB897" s="154" t="str">
        <f t="shared" si="18"/>
        <v/>
      </c>
      <c r="AC897" s="152"/>
      <c r="AD897" s="153"/>
      <c r="AE897" s="156"/>
    </row>
    <row r="898" ht="18.0" customHeight="1">
      <c r="A898" s="127" t="str">
        <f t="shared" si="15"/>
        <v/>
      </c>
      <c r="B898" s="128"/>
      <c r="C898" s="129"/>
      <c r="D898" s="129"/>
      <c r="E898" s="325"/>
      <c r="F898" s="131"/>
      <c r="G898" s="319"/>
      <c r="H898" s="319"/>
      <c r="I898" s="319"/>
      <c r="J898" s="132"/>
      <c r="K898" s="319"/>
      <c r="L898" s="135"/>
      <c r="M898" s="321"/>
      <c r="N898" s="322"/>
      <c r="O898" s="150"/>
      <c r="P898" s="135"/>
      <c r="Q898" s="135"/>
      <c r="R898" s="321"/>
      <c r="S898" s="322"/>
      <c r="T898" s="319"/>
      <c r="U898" s="322"/>
      <c r="V898" s="322"/>
      <c r="W898" s="322"/>
      <c r="X898" s="322"/>
      <c r="Y898" s="319"/>
      <c r="Z898" s="136" t="str">
        <f t="shared" si="16"/>
        <v/>
      </c>
      <c r="AA898" s="137" t="str">
        <f t="shared" si="17"/>
        <v/>
      </c>
      <c r="AB898" s="154" t="str">
        <f t="shared" si="18"/>
        <v/>
      </c>
      <c r="AC898" s="322"/>
      <c r="AD898" s="319"/>
      <c r="AE898" s="320"/>
    </row>
    <row r="899" ht="18.0" customHeight="1">
      <c r="A899" s="118" t="str">
        <f t="shared" si="15"/>
        <v/>
      </c>
      <c r="B899" s="109"/>
      <c r="C899" s="119"/>
      <c r="D899" s="119"/>
      <c r="E899" s="330"/>
      <c r="F899" s="121"/>
      <c r="G899" s="153"/>
      <c r="H899" s="153"/>
      <c r="I899" s="153"/>
      <c r="J899" s="112"/>
      <c r="K899" s="153"/>
      <c r="L899" s="114"/>
      <c r="M899" s="151"/>
      <c r="N899" s="152"/>
      <c r="O899" s="150"/>
      <c r="P899" s="114"/>
      <c r="Q899" s="114"/>
      <c r="R899" s="151"/>
      <c r="S899" s="152"/>
      <c r="T899" s="153"/>
      <c r="U899" s="152"/>
      <c r="V899" s="152"/>
      <c r="W899" s="152"/>
      <c r="X899" s="152"/>
      <c r="Y899" s="153"/>
      <c r="Z899" s="125" t="str">
        <f t="shared" si="16"/>
        <v/>
      </c>
      <c r="AA899" s="126" t="str">
        <f t="shared" si="17"/>
        <v/>
      </c>
      <c r="AB899" s="154" t="str">
        <f t="shared" si="18"/>
        <v/>
      </c>
      <c r="AC899" s="152"/>
      <c r="AD899" s="153"/>
      <c r="AE899" s="156"/>
    </row>
    <row r="900" ht="18.0" customHeight="1">
      <c r="A900" s="127" t="str">
        <f t="shared" si="15"/>
        <v/>
      </c>
      <c r="B900" s="128"/>
      <c r="C900" s="129"/>
      <c r="D900" s="129"/>
      <c r="E900" s="325"/>
      <c r="F900" s="131"/>
      <c r="G900" s="319"/>
      <c r="H900" s="319"/>
      <c r="I900" s="319"/>
      <c r="J900" s="132"/>
      <c r="K900" s="319"/>
      <c r="L900" s="135"/>
      <c r="M900" s="321"/>
      <c r="N900" s="322"/>
      <c r="O900" s="150"/>
      <c r="P900" s="135"/>
      <c r="Q900" s="135"/>
      <c r="R900" s="321"/>
      <c r="S900" s="322"/>
      <c r="T900" s="319"/>
      <c r="U900" s="322"/>
      <c r="V900" s="322"/>
      <c r="W900" s="322"/>
      <c r="X900" s="322"/>
      <c r="Y900" s="319"/>
      <c r="Z900" s="136" t="str">
        <f t="shared" si="16"/>
        <v/>
      </c>
      <c r="AA900" s="137" t="str">
        <f t="shared" si="17"/>
        <v/>
      </c>
      <c r="AB900" s="154" t="str">
        <f t="shared" si="18"/>
        <v/>
      </c>
      <c r="AC900" s="322"/>
      <c r="AD900" s="319"/>
      <c r="AE900" s="320"/>
    </row>
    <row r="901" ht="18.0" customHeight="1">
      <c r="A901" s="118" t="str">
        <f t="shared" si="15"/>
        <v/>
      </c>
      <c r="B901" s="109"/>
      <c r="C901" s="119"/>
      <c r="D901" s="119"/>
      <c r="E901" s="330"/>
      <c r="F901" s="121"/>
      <c r="G901" s="153"/>
      <c r="H901" s="153"/>
      <c r="I901" s="153"/>
      <c r="J901" s="112"/>
      <c r="K901" s="153"/>
      <c r="L901" s="114"/>
      <c r="M901" s="151"/>
      <c r="N901" s="152"/>
      <c r="O901" s="150"/>
      <c r="P901" s="114"/>
      <c r="Q901" s="114"/>
      <c r="R901" s="151"/>
      <c r="S901" s="152"/>
      <c r="T901" s="153"/>
      <c r="U901" s="152"/>
      <c r="V901" s="152"/>
      <c r="W901" s="152"/>
      <c r="X901" s="152"/>
      <c r="Y901" s="153"/>
      <c r="Z901" s="125" t="str">
        <f t="shared" si="16"/>
        <v/>
      </c>
      <c r="AA901" s="126" t="str">
        <f t="shared" si="17"/>
        <v/>
      </c>
      <c r="AB901" s="154" t="str">
        <f t="shared" si="18"/>
        <v/>
      </c>
      <c r="AC901" s="152"/>
      <c r="AD901" s="153"/>
      <c r="AE901" s="156"/>
    </row>
    <row r="902" ht="18.0" customHeight="1">
      <c r="A902" s="127" t="str">
        <f t="shared" si="15"/>
        <v/>
      </c>
      <c r="B902" s="128"/>
      <c r="C902" s="129"/>
      <c r="D902" s="129"/>
      <c r="E902" s="325"/>
      <c r="F902" s="131"/>
      <c r="G902" s="319"/>
      <c r="H902" s="319"/>
      <c r="I902" s="319"/>
      <c r="J902" s="132"/>
      <c r="K902" s="319"/>
      <c r="L902" s="135"/>
      <c r="M902" s="321"/>
      <c r="N902" s="322"/>
      <c r="O902" s="150"/>
      <c r="P902" s="135"/>
      <c r="Q902" s="135"/>
      <c r="R902" s="321"/>
      <c r="S902" s="322"/>
      <c r="T902" s="319"/>
      <c r="U902" s="322"/>
      <c r="V902" s="322"/>
      <c r="W902" s="322"/>
      <c r="X902" s="322"/>
      <c r="Y902" s="319"/>
      <c r="Z902" s="136" t="str">
        <f t="shared" si="16"/>
        <v/>
      </c>
      <c r="AA902" s="137" t="str">
        <f t="shared" si="17"/>
        <v/>
      </c>
      <c r="AB902" s="154" t="str">
        <f t="shared" si="18"/>
        <v/>
      </c>
      <c r="AC902" s="322"/>
      <c r="AD902" s="319"/>
      <c r="AE902" s="320"/>
    </row>
    <row r="903" ht="18.0" customHeight="1">
      <c r="A903" s="118" t="str">
        <f t="shared" si="15"/>
        <v/>
      </c>
      <c r="B903" s="109"/>
      <c r="C903" s="119"/>
      <c r="D903" s="119"/>
      <c r="E903" s="330"/>
      <c r="F903" s="121"/>
      <c r="G903" s="153"/>
      <c r="H903" s="153"/>
      <c r="I903" s="153"/>
      <c r="J903" s="112"/>
      <c r="K903" s="153"/>
      <c r="L903" s="114"/>
      <c r="M903" s="151"/>
      <c r="N903" s="152"/>
      <c r="O903" s="150"/>
      <c r="P903" s="114"/>
      <c r="Q903" s="114"/>
      <c r="R903" s="151"/>
      <c r="S903" s="152"/>
      <c r="T903" s="153"/>
      <c r="U903" s="152"/>
      <c r="V903" s="152"/>
      <c r="W903" s="152"/>
      <c r="X903" s="152"/>
      <c r="Y903" s="153"/>
      <c r="Z903" s="125" t="str">
        <f t="shared" si="16"/>
        <v/>
      </c>
      <c r="AA903" s="126" t="str">
        <f t="shared" si="17"/>
        <v/>
      </c>
      <c r="AB903" s="154" t="str">
        <f t="shared" si="18"/>
        <v/>
      </c>
      <c r="AC903" s="152"/>
      <c r="AD903" s="153"/>
      <c r="AE903" s="156"/>
    </row>
    <row r="904" ht="18.0" customHeight="1">
      <c r="A904" s="127" t="str">
        <f t="shared" si="15"/>
        <v/>
      </c>
      <c r="B904" s="128"/>
      <c r="C904" s="129"/>
      <c r="D904" s="129"/>
      <c r="E904" s="325"/>
      <c r="F904" s="131"/>
      <c r="G904" s="319"/>
      <c r="H904" s="319"/>
      <c r="I904" s="319"/>
      <c r="J904" s="132"/>
      <c r="K904" s="319"/>
      <c r="L904" s="135"/>
      <c r="M904" s="321"/>
      <c r="N904" s="322"/>
      <c r="O904" s="150"/>
      <c r="P904" s="135"/>
      <c r="Q904" s="135"/>
      <c r="R904" s="321"/>
      <c r="S904" s="322"/>
      <c r="T904" s="319"/>
      <c r="U904" s="322"/>
      <c r="V904" s="322"/>
      <c r="W904" s="322"/>
      <c r="X904" s="322"/>
      <c r="Y904" s="319"/>
      <c r="Z904" s="136" t="str">
        <f t="shared" si="16"/>
        <v/>
      </c>
      <c r="AA904" s="137" t="str">
        <f t="shared" si="17"/>
        <v/>
      </c>
      <c r="AB904" s="154" t="str">
        <f t="shared" si="18"/>
        <v/>
      </c>
      <c r="AC904" s="322"/>
      <c r="AD904" s="319"/>
      <c r="AE904" s="320"/>
    </row>
    <row r="905" ht="18.0" customHeight="1">
      <c r="A905" s="118" t="str">
        <f t="shared" si="15"/>
        <v/>
      </c>
      <c r="B905" s="109"/>
      <c r="C905" s="119"/>
      <c r="D905" s="119"/>
      <c r="E905" s="330"/>
      <c r="F905" s="121"/>
      <c r="G905" s="153"/>
      <c r="H905" s="153"/>
      <c r="I905" s="153"/>
      <c r="J905" s="112"/>
      <c r="K905" s="153"/>
      <c r="L905" s="114"/>
      <c r="M905" s="151"/>
      <c r="N905" s="152"/>
      <c r="O905" s="150"/>
      <c r="P905" s="114"/>
      <c r="Q905" s="114"/>
      <c r="R905" s="151"/>
      <c r="S905" s="152"/>
      <c r="T905" s="153"/>
      <c r="U905" s="152"/>
      <c r="V905" s="152"/>
      <c r="W905" s="152"/>
      <c r="X905" s="152"/>
      <c r="Y905" s="153"/>
      <c r="Z905" s="125" t="str">
        <f t="shared" si="16"/>
        <v/>
      </c>
      <c r="AA905" s="126" t="str">
        <f t="shared" si="17"/>
        <v/>
      </c>
      <c r="AB905" s="154" t="str">
        <f t="shared" si="18"/>
        <v/>
      </c>
      <c r="AC905" s="152"/>
      <c r="AD905" s="153"/>
      <c r="AE905" s="156"/>
    </row>
    <row r="906" ht="18.0" customHeight="1">
      <c r="A906" s="127" t="str">
        <f t="shared" si="15"/>
        <v/>
      </c>
      <c r="B906" s="128"/>
      <c r="C906" s="129"/>
      <c r="D906" s="129"/>
      <c r="E906" s="325"/>
      <c r="F906" s="131"/>
      <c r="G906" s="319"/>
      <c r="H906" s="319"/>
      <c r="I906" s="319"/>
      <c r="J906" s="132"/>
      <c r="K906" s="319"/>
      <c r="L906" s="135"/>
      <c r="M906" s="321"/>
      <c r="N906" s="322"/>
      <c r="O906" s="150"/>
      <c r="P906" s="135"/>
      <c r="Q906" s="135"/>
      <c r="R906" s="321"/>
      <c r="S906" s="322"/>
      <c r="T906" s="319"/>
      <c r="U906" s="322"/>
      <c r="V906" s="322"/>
      <c r="W906" s="322"/>
      <c r="X906" s="322"/>
      <c r="Y906" s="319"/>
      <c r="Z906" s="136" t="str">
        <f t="shared" si="16"/>
        <v/>
      </c>
      <c r="AA906" s="137" t="str">
        <f t="shared" si="17"/>
        <v/>
      </c>
      <c r="AB906" s="154" t="str">
        <f t="shared" si="18"/>
        <v/>
      </c>
      <c r="AC906" s="322"/>
      <c r="AD906" s="319"/>
      <c r="AE906" s="320"/>
    </row>
    <row r="907" ht="18.0" customHeight="1">
      <c r="A907" s="118" t="str">
        <f t="shared" si="15"/>
        <v/>
      </c>
      <c r="B907" s="109"/>
      <c r="C907" s="119"/>
      <c r="D907" s="119"/>
      <c r="E907" s="330"/>
      <c r="F907" s="121"/>
      <c r="G907" s="153"/>
      <c r="H907" s="153"/>
      <c r="I907" s="153"/>
      <c r="J907" s="112"/>
      <c r="K907" s="153"/>
      <c r="L907" s="114"/>
      <c r="M907" s="151"/>
      <c r="N907" s="152"/>
      <c r="O907" s="150"/>
      <c r="P907" s="114"/>
      <c r="Q907" s="114"/>
      <c r="R907" s="151"/>
      <c r="S907" s="152"/>
      <c r="T907" s="153"/>
      <c r="U907" s="152"/>
      <c r="V907" s="152"/>
      <c r="W907" s="152"/>
      <c r="X907" s="152"/>
      <c r="Y907" s="153"/>
      <c r="Z907" s="125" t="str">
        <f t="shared" si="16"/>
        <v/>
      </c>
      <c r="AA907" s="126" t="str">
        <f t="shared" si="17"/>
        <v/>
      </c>
      <c r="AB907" s="154" t="str">
        <f t="shared" si="18"/>
        <v/>
      </c>
      <c r="AC907" s="152"/>
      <c r="AD907" s="153"/>
      <c r="AE907" s="156"/>
    </row>
    <row r="908" ht="18.0" customHeight="1">
      <c r="A908" s="127" t="str">
        <f t="shared" si="15"/>
        <v/>
      </c>
      <c r="B908" s="128"/>
      <c r="C908" s="129"/>
      <c r="D908" s="129"/>
      <c r="E908" s="325"/>
      <c r="F908" s="131"/>
      <c r="G908" s="319"/>
      <c r="H908" s="319"/>
      <c r="I908" s="319"/>
      <c r="J908" s="132"/>
      <c r="K908" s="319"/>
      <c r="L908" s="135"/>
      <c r="M908" s="321"/>
      <c r="N908" s="322"/>
      <c r="O908" s="150"/>
      <c r="P908" s="135"/>
      <c r="Q908" s="135"/>
      <c r="R908" s="321"/>
      <c r="S908" s="322"/>
      <c r="T908" s="319"/>
      <c r="U908" s="322"/>
      <c r="V908" s="322"/>
      <c r="W908" s="322"/>
      <c r="X908" s="322"/>
      <c r="Y908" s="319"/>
      <c r="Z908" s="136" t="str">
        <f t="shared" si="16"/>
        <v/>
      </c>
      <c r="AA908" s="137" t="str">
        <f t="shared" si="17"/>
        <v/>
      </c>
      <c r="AB908" s="154" t="str">
        <f t="shared" si="18"/>
        <v/>
      </c>
      <c r="AC908" s="322"/>
      <c r="AD908" s="319"/>
      <c r="AE908" s="320"/>
    </row>
    <row r="909" ht="18.0" customHeight="1">
      <c r="A909" s="118" t="str">
        <f t="shared" si="15"/>
        <v/>
      </c>
      <c r="B909" s="109"/>
      <c r="C909" s="119"/>
      <c r="D909" s="119"/>
      <c r="E909" s="330"/>
      <c r="F909" s="121"/>
      <c r="G909" s="153"/>
      <c r="H909" s="153"/>
      <c r="I909" s="153"/>
      <c r="J909" s="112"/>
      <c r="K909" s="153"/>
      <c r="L909" s="114"/>
      <c r="M909" s="151"/>
      <c r="N909" s="152"/>
      <c r="O909" s="150"/>
      <c r="P909" s="114"/>
      <c r="Q909" s="114"/>
      <c r="R909" s="151"/>
      <c r="S909" s="152"/>
      <c r="T909" s="153"/>
      <c r="U909" s="152"/>
      <c r="V909" s="152"/>
      <c r="W909" s="152"/>
      <c r="X909" s="152"/>
      <c r="Y909" s="153"/>
      <c r="Z909" s="125" t="str">
        <f t="shared" si="16"/>
        <v/>
      </c>
      <c r="AA909" s="126" t="str">
        <f t="shared" si="17"/>
        <v/>
      </c>
      <c r="AB909" s="154" t="str">
        <f t="shared" si="18"/>
        <v/>
      </c>
      <c r="AC909" s="152"/>
      <c r="AD909" s="153"/>
      <c r="AE909" s="156"/>
    </row>
    <row r="910" ht="18.0" customHeight="1">
      <c r="A910" s="127" t="str">
        <f t="shared" si="15"/>
        <v/>
      </c>
      <c r="B910" s="128"/>
      <c r="C910" s="129"/>
      <c r="D910" s="129"/>
      <c r="E910" s="325"/>
      <c r="F910" s="131"/>
      <c r="G910" s="319"/>
      <c r="H910" s="319"/>
      <c r="I910" s="319"/>
      <c r="J910" s="132"/>
      <c r="K910" s="319"/>
      <c r="L910" s="135"/>
      <c r="M910" s="321"/>
      <c r="N910" s="322"/>
      <c r="O910" s="150"/>
      <c r="P910" s="135"/>
      <c r="Q910" s="135"/>
      <c r="R910" s="321"/>
      <c r="S910" s="322"/>
      <c r="T910" s="319"/>
      <c r="U910" s="322"/>
      <c r="V910" s="322"/>
      <c r="W910" s="322"/>
      <c r="X910" s="322"/>
      <c r="Y910" s="319"/>
      <c r="Z910" s="136" t="str">
        <f t="shared" si="16"/>
        <v/>
      </c>
      <c r="AA910" s="137" t="str">
        <f t="shared" si="17"/>
        <v/>
      </c>
      <c r="AB910" s="154" t="str">
        <f t="shared" si="18"/>
        <v/>
      </c>
      <c r="AC910" s="322"/>
      <c r="AD910" s="319"/>
      <c r="AE910" s="320"/>
    </row>
    <row r="911" ht="18.0" customHeight="1">
      <c r="A911" s="118" t="str">
        <f t="shared" si="15"/>
        <v/>
      </c>
      <c r="B911" s="109"/>
      <c r="C911" s="119"/>
      <c r="D911" s="119"/>
      <c r="E911" s="330"/>
      <c r="F911" s="121"/>
      <c r="G911" s="153"/>
      <c r="H911" s="153"/>
      <c r="I911" s="153"/>
      <c r="J911" s="112"/>
      <c r="K911" s="153"/>
      <c r="L911" s="114"/>
      <c r="M911" s="151"/>
      <c r="N911" s="152"/>
      <c r="O911" s="150"/>
      <c r="P911" s="114"/>
      <c r="Q911" s="114"/>
      <c r="R911" s="151"/>
      <c r="S911" s="152"/>
      <c r="T911" s="153"/>
      <c r="U911" s="152"/>
      <c r="V911" s="152"/>
      <c r="W911" s="152"/>
      <c r="X911" s="152"/>
      <c r="Y911" s="153"/>
      <c r="Z911" s="125" t="str">
        <f t="shared" si="16"/>
        <v/>
      </c>
      <c r="AA911" s="126" t="str">
        <f t="shared" si="17"/>
        <v/>
      </c>
      <c r="AB911" s="154" t="str">
        <f t="shared" si="18"/>
        <v/>
      </c>
      <c r="AC911" s="152"/>
      <c r="AD911" s="153"/>
      <c r="AE911" s="156"/>
    </row>
    <row r="912" ht="18.0" customHeight="1">
      <c r="A912" s="127" t="str">
        <f t="shared" si="15"/>
        <v/>
      </c>
      <c r="B912" s="128"/>
      <c r="C912" s="129"/>
      <c r="D912" s="129"/>
      <c r="E912" s="325"/>
      <c r="F912" s="131"/>
      <c r="G912" s="319"/>
      <c r="H912" s="319"/>
      <c r="I912" s="319"/>
      <c r="J912" s="132"/>
      <c r="K912" s="319"/>
      <c r="L912" s="135"/>
      <c r="M912" s="321"/>
      <c r="N912" s="322"/>
      <c r="O912" s="150"/>
      <c r="P912" s="135"/>
      <c r="Q912" s="135"/>
      <c r="R912" s="321"/>
      <c r="S912" s="322"/>
      <c r="T912" s="319"/>
      <c r="U912" s="322"/>
      <c r="V912" s="322"/>
      <c r="W912" s="322"/>
      <c r="X912" s="322"/>
      <c r="Y912" s="319"/>
      <c r="Z912" s="136" t="str">
        <f t="shared" si="16"/>
        <v/>
      </c>
      <c r="AA912" s="137" t="str">
        <f t="shared" si="17"/>
        <v/>
      </c>
      <c r="AB912" s="154" t="str">
        <f t="shared" si="18"/>
        <v/>
      </c>
      <c r="AC912" s="322"/>
      <c r="AD912" s="319"/>
      <c r="AE912" s="320"/>
    </row>
    <row r="913" ht="18.0" customHeight="1">
      <c r="A913" s="118" t="str">
        <f t="shared" si="15"/>
        <v/>
      </c>
      <c r="B913" s="109"/>
      <c r="C913" s="119"/>
      <c r="D913" s="119"/>
      <c r="E913" s="330"/>
      <c r="F913" s="121"/>
      <c r="G913" s="153"/>
      <c r="H913" s="153"/>
      <c r="I913" s="153"/>
      <c r="J913" s="112"/>
      <c r="K913" s="153"/>
      <c r="L913" s="114"/>
      <c r="M913" s="151"/>
      <c r="N913" s="152"/>
      <c r="O913" s="150"/>
      <c r="P913" s="114"/>
      <c r="Q913" s="114"/>
      <c r="R913" s="151"/>
      <c r="S913" s="152"/>
      <c r="T913" s="153"/>
      <c r="U913" s="152"/>
      <c r="V913" s="152"/>
      <c r="W913" s="152"/>
      <c r="X913" s="152"/>
      <c r="Y913" s="153"/>
      <c r="Z913" s="125" t="str">
        <f t="shared" si="16"/>
        <v/>
      </c>
      <c r="AA913" s="126" t="str">
        <f t="shared" si="17"/>
        <v/>
      </c>
      <c r="AB913" s="154" t="str">
        <f t="shared" si="18"/>
        <v/>
      </c>
      <c r="AC913" s="152"/>
      <c r="AD913" s="153"/>
      <c r="AE913" s="156"/>
    </row>
    <row r="914" ht="18.0" customHeight="1">
      <c r="A914" s="127" t="str">
        <f t="shared" si="15"/>
        <v/>
      </c>
      <c r="B914" s="128"/>
      <c r="C914" s="129"/>
      <c r="D914" s="129"/>
      <c r="E914" s="325"/>
      <c r="F914" s="131"/>
      <c r="G914" s="319"/>
      <c r="H914" s="319"/>
      <c r="I914" s="319"/>
      <c r="J914" s="132"/>
      <c r="K914" s="319"/>
      <c r="L914" s="135"/>
      <c r="M914" s="321"/>
      <c r="N914" s="322"/>
      <c r="O914" s="150"/>
      <c r="P914" s="135"/>
      <c r="Q914" s="135"/>
      <c r="R914" s="321"/>
      <c r="S914" s="322"/>
      <c r="T914" s="319"/>
      <c r="U914" s="322"/>
      <c r="V914" s="322"/>
      <c r="W914" s="322"/>
      <c r="X914" s="322"/>
      <c r="Y914" s="319"/>
      <c r="Z914" s="136" t="str">
        <f t="shared" si="16"/>
        <v/>
      </c>
      <c r="AA914" s="137" t="str">
        <f t="shared" si="17"/>
        <v/>
      </c>
      <c r="AB914" s="154" t="str">
        <f t="shared" si="18"/>
        <v/>
      </c>
      <c r="AC914" s="322"/>
      <c r="AD914" s="319"/>
      <c r="AE914" s="320"/>
    </row>
    <row r="915" ht="18.0" customHeight="1">
      <c r="A915" s="118" t="str">
        <f t="shared" si="15"/>
        <v/>
      </c>
      <c r="B915" s="109"/>
      <c r="C915" s="119"/>
      <c r="D915" s="119"/>
      <c r="E915" s="330"/>
      <c r="F915" s="121"/>
      <c r="G915" s="153"/>
      <c r="H915" s="153"/>
      <c r="I915" s="153"/>
      <c r="J915" s="112"/>
      <c r="K915" s="153"/>
      <c r="L915" s="114"/>
      <c r="M915" s="151"/>
      <c r="N915" s="152"/>
      <c r="O915" s="150"/>
      <c r="P915" s="114"/>
      <c r="Q915" s="114"/>
      <c r="R915" s="151"/>
      <c r="S915" s="152"/>
      <c r="T915" s="153"/>
      <c r="U915" s="152"/>
      <c r="V915" s="152"/>
      <c r="W915" s="152"/>
      <c r="X915" s="152"/>
      <c r="Y915" s="153"/>
      <c r="Z915" s="125" t="str">
        <f t="shared" si="16"/>
        <v/>
      </c>
      <c r="AA915" s="126" t="str">
        <f t="shared" si="17"/>
        <v/>
      </c>
      <c r="AB915" s="154" t="str">
        <f t="shared" si="18"/>
        <v/>
      </c>
      <c r="AC915" s="152"/>
      <c r="AD915" s="153"/>
      <c r="AE915" s="156"/>
    </row>
    <row r="916" ht="18.0" customHeight="1">
      <c r="A916" s="127" t="str">
        <f t="shared" si="15"/>
        <v/>
      </c>
      <c r="B916" s="128"/>
      <c r="C916" s="129"/>
      <c r="D916" s="129"/>
      <c r="E916" s="325"/>
      <c r="F916" s="131"/>
      <c r="G916" s="319"/>
      <c r="H916" s="319"/>
      <c r="I916" s="319"/>
      <c r="J916" s="132"/>
      <c r="K916" s="319"/>
      <c r="L916" s="135"/>
      <c r="M916" s="321"/>
      <c r="N916" s="322"/>
      <c r="O916" s="150"/>
      <c r="P916" s="135"/>
      <c r="Q916" s="135"/>
      <c r="R916" s="321"/>
      <c r="S916" s="322"/>
      <c r="T916" s="319"/>
      <c r="U916" s="322"/>
      <c r="V916" s="322"/>
      <c r="W916" s="322"/>
      <c r="X916" s="322"/>
      <c r="Y916" s="319"/>
      <c r="Z916" s="136" t="str">
        <f t="shared" si="16"/>
        <v/>
      </c>
      <c r="AA916" s="137" t="str">
        <f t="shared" si="17"/>
        <v/>
      </c>
      <c r="AB916" s="154" t="str">
        <f t="shared" si="18"/>
        <v/>
      </c>
      <c r="AC916" s="322"/>
      <c r="AD916" s="319"/>
      <c r="AE916" s="320"/>
    </row>
    <row r="917" ht="18.0" customHeight="1">
      <c r="A917" s="118" t="str">
        <f t="shared" si="15"/>
        <v/>
      </c>
      <c r="B917" s="109"/>
      <c r="C917" s="119"/>
      <c r="D917" s="119"/>
      <c r="E917" s="330"/>
      <c r="F917" s="121"/>
      <c r="G917" s="153"/>
      <c r="H917" s="153"/>
      <c r="I917" s="153"/>
      <c r="J917" s="112"/>
      <c r="K917" s="153"/>
      <c r="L917" s="114"/>
      <c r="M917" s="151"/>
      <c r="N917" s="152"/>
      <c r="O917" s="150"/>
      <c r="P917" s="114"/>
      <c r="Q917" s="114"/>
      <c r="R917" s="151"/>
      <c r="S917" s="152"/>
      <c r="T917" s="153"/>
      <c r="U917" s="152"/>
      <c r="V917" s="152"/>
      <c r="W917" s="152"/>
      <c r="X917" s="152"/>
      <c r="Y917" s="153"/>
      <c r="Z917" s="125" t="str">
        <f t="shared" si="16"/>
        <v/>
      </c>
      <c r="AA917" s="126" t="str">
        <f t="shared" si="17"/>
        <v/>
      </c>
      <c r="AB917" s="154" t="str">
        <f t="shared" si="18"/>
        <v/>
      </c>
      <c r="AC917" s="152"/>
      <c r="AD917" s="153"/>
      <c r="AE917" s="156"/>
    </row>
    <row r="918" ht="18.0" customHeight="1">
      <c r="A918" s="127" t="str">
        <f t="shared" si="15"/>
        <v/>
      </c>
      <c r="B918" s="128"/>
      <c r="C918" s="129"/>
      <c r="D918" s="129"/>
      <c r="E918" s="325"/>
      <c r="F918" s="131"/>
      <c r="G918" s="319"/>
      <c r="H918" s="319"/>
      <c r="I918" s="319"/>
      <c r="J918" s="132"/>
      <c r="K918" s="319"/>
      <c r="L918" s="135"/>
      <c r="M918" s="321"/>
      <c r="N918" s="322"/>
      <c r="O918" s="150"/>
      <c r="P918" s="135"/>
      <c r="Q918" s="135"/>
      <c r="R918" s="321"/>
      <c r="S918" s="322"/>
      <c r="T918" s="319"/>
      <c r="U918" s="322"/>
      <c r="V918" s="322"/>
      <c r="W918" s="322"/>
      <c r="X918" s="322"/>
      <c r="Y918" s="319"/>
      <c r="Z918" s="136" t="str">
        <f t="shared" si="16"/>
        <v/>
      </c>
      <c r="AA918" s="137" t="str">
        <f t="shared" si="17"/>
        <v/>
      </c>
      <c r="AB918" s="154" t="str">
        <f t="shared" si="18"/>
        <v/>
      </c>
      <c r="AC918" s="322"/>
      <c r="AD918" s="319"/>
      <c r="AE918" s="320"/>
    </row>
    <row r="919" ht="18.0" customHeight="1">
      <c r="A919" s="118" t="str">
        <f t="shared" si="15"/>
        <v/>
      </c>
      <c r="B919" s="109"/>
      <c r="C919" s="119"/>
      <c r="D919" s="119"/>
      <c r="E919" s="330"/>
      <c r="F919" s="121"/>
      <c r="G919" s="153"/>
      <c r="H919" s="153"/>
      <c r="I919" s="153"/>
      <c r="J919" s="112"/>
      <c r="K919" s="153"/>
      <c r="L919" s="114"/>
      <c r="M919" s="151"/>
      <c r="N919" s="152"/>
      <c r="O919" s="150"/>
      <c r="P919" s="114"/>
      <c r="Q919" s="114"/>
      <c r="R919" s="151"/>
      <c r="S919" s="152"/>
      <c r="T919" s="153"/>
      <c r="U919" s="152"/>
      <c r="V919" s="152"/>
      <c r="W919" s="152"/>
      <c r="X919" s="152"/>
      <c r="Y919" s="153"/>
      <c r="Z919" s="125" t="str">
        <f t="shared" si="16"/>
        <v/>
      </c>
      <c r="AA919" s="126" t="str">
        <f t="shared" si="17"/>
        <v/>
      </c>
      <c r="AB919" s="154" t="str">
        <f t="shared" si="18"/>
        <v/>
      </c>
      <c r="AC919" s="152"/>
      <c r="AD919" s="153"/>
      <c r="AE919" s="156"/>
    </row>
    <row r="920" ht="18.0" customHeight="1">
      <c r="A920" s="127" t="str">
        <f t="shared" si="15"/>
        <v/>
      </c>
      <c r="B920" s="128"/>
      <c r="C920" s="129"/>
      <c r="D920" s="129"/>
      <c r="E920" s="325"/>
      <c r="F920" s="131"/>
      <c r="G920" s="319"/>
      <c r="H920" s="319"/>
      <c r="I920" s="319"/>
      <c r="J920" s="132"/>
      <c r="K920" s="319"/>
      <c r="L920" s="135"/>
      <c r="M920" s="321"/>
      <c r="N920" s="322"/>
      <c r="O920" s="150"/>
      <c r="P920" s="135"/>
      <c r="Q920" s="135"/>
      <c r="R920" s="321"/>
      <c r="S920" s="322"/>
      <c r="T920" s="319"/>
      <c r="U920" s="322"/>
      <c r="V920" s="322"/>
      <c r="W920" s="322"/>
      <c r="X920" s="322"/>
      <c r="Y920" s="319"/>
      <c r="Z920" s="136" t="str">
        <f t="shared" si="16"/>
        <v/>
      </c>
      <c r="AA920" s="137" t="str">
        <f t="shared" si="17"/>
        <v/>
      </c>
      <c r="AB920" s="154" t="str">
        <f t="shared" si="18"/>
        <v/>
      </c>
      <c r="AC920" s="322"/>
      <c r="AD920" s="319"/>
      <c r="AE920" s="320"/>
    </row>
    <row r="921" ht="18.0" customHeight="1">
      <c r="A921" s="118" t="str">
        <f t="shared" si="15"/>
        <v/>
      </c>
      <c r="B921" s="109"/>
      <c r="C921" s="119"/>
      <c r="D921" s="119"/>
      <c r="E921" s="330"/>
      <c r="F921" s="121"/>
      <c r="G921" s="153"/>
      <c r="H921" s="153"/>
      <c r="I921" s="153"/>
      <c r="J921" s="112"/>
      <c r="K921" s="153"/>
      <c r="L921" s="114"/>
      <c r="M921" s="151"/>
      <c r="N921" s="152"/>
      <c r="O921" s="150"/>
      <c r="P921" s="114"/>
      <c r="Q921" s="114"/>
      <c r="R921" s="151"/>
      <c r="S921" s="152"/>
      <c r="T921" s="153"/>
      <c r="U921" s="152"/>
      <c r="V921" s="152"/>
      <c r="W921" s="152"/>
      <c r="X921" s="152"/>
      <c r="Y921" s="153"/>
      <c r="Z921" s="125" t="str">
        <f t="shared" si="16"/>
        <v/>
      </c>
      <c r="AA921" s="126" t="str">
        <f t="shared" si="17"/>
        <v/>
      </c>
      <c r="AB921" s="154" t="str">
        <f t="shared" si="18"/>
        <v/>
      </c>
      <c r="AC921" s="152"/>
      <c r="AD921" s="153"/>
      <c r="AE921" s="156"/>
    </row>
    <row r="922" ht="18.0" customHeight="1">
      <c r="A922" s="127" t="str">
        <f t="shared" si="15"/>
        <v/>
      </c>
      <c r="B922" s="128"/>
      <c r="C922" s="129"/>
      <c r="D922" s="129"/>
      <c r="E922" s="325"/>
      <c r="F922" s="131"/>
      <c r="G922" s="319"/>
      <c r="H922" s="319"/>
      <c r="I922" s="319"/>
      <c r="J922" s="132"/>
      <c r="K922" s="319"/>
      <c r="L922" s="135"/>
      <c r="M922" s="321"/>
      <c r="N922" s="322"/>
      <c r="O922" s="150"/>
      <c r="P922" s="135"/>
      <c r="Q922" s="135"/>
      <c r="R922" s="321"/>
      <c r="S922" s="322"/>
      <c r="T922" s="319"/>
      <c r="U922" s="322"/>
      <c r="V922" s="322"/>
      <c r="W922" s="322"/>
      <c r="X922" s="322"/>
      <c r="Y922" s="319"/>
      <c r="Z922" s="136" t="str">
        <f t="shared" si="16"/>
        <v/>
      </c>
      <c r="AA922" s="137" t="str">
        <f t="shared" si="17"/>
        <v/>
      </c>
      <c r="AB922" s="154" t="str">
        <f t="shared" si="18"/>
        <v/>
      </c>
      <c r="AC922" s="322"/>
      <c r="AD922" s="319"/>
      <c r="AE922" s="320"/>
    </row>
    <row r="923" ht="18.0" customHeight="1">
      <c r="A923" s="118" t="str">
        <f t="shared" si="15"/>
        <v/>
      </c>
      <c r="B923" s="109"/>
      <c r="C923" s="119"/>
      <c r="D923" s="119"/>
      <c r="E923" s="330"/>
      <c r="F923" s="121"/>
      <c r="G923" s="153"/>
      <c r="H923" s="153"/>
      <c r="I923" s="153"/>
      <c r="J923" s="112"/>
      <c r="K923" s="153"/>
      <c r="L923" s="114"/>
      <c r="M923" s="151"/>
      <c r="N923" s="152"/>
      <c r="O923" s="150"/>
      <c r="P923" s="114"/>
      <c r="Q923" s="114"/>
      <c r="R923" s="151"/>
      <c r="S923" s="152"/>
      <c r="T923" s="153"/>
      <c r="U923" s="152"/>
      <c r="V923" s="152"/>
      <c r="W923" s="152"/>
      <c r="X923" s="152"/>
      <c r="Y923" s="153"/>
      <c r="Z923" s="125" t="str">
        <f t="shared" si="16"/>
        <v/>
      </c>
      <c r="AA923" s="126" t="str">
        <f t="shared" si="17"/>
        <v/>
      </c>
      <c r="AB923" s="154" t="str">
        <f t="shared" si="18"/>
        <v/>
      </c>
      <c r="AC923" s="152"/>
      <c r="AD923" s="153"/>
      <c r="AE923" s="156"/>
    </row>
    <row r="924" ht="18.0" customHeight="1">
      <c r="A924" s="127" t="str">
        <f t="shared" si="15"/>
        <v/>
      </c>
      <c r="B924" s="128"/>
      <c r="C924" s="129"/>
      <c r="D924" s="129"/>
      <c r="E924" s="325"/>
      <c r="F924" s="131"/>
      <c r="G924" s="319"/>
      <c r="H924" s="319"/>
      <c r="I924" s="319"/>
      <c r="J924" s="132"/>
      <c r="K924" s="319"/>
      <c r="L924" s="135"/>
      <c r="M924" s="321"/>
      <c r="N924" s="322"/>
      <c r="O924" s="150"/>
      <c r="P924" s="135"/>
      <c r="Q924" s="135"/>
      <c r="R924" s="321"/>
      <c r="S924" s="322"/>
      <c r="T924" s="319"/>
      <c r="U924" s="322"/>
      <c r="V924" s="322"/>
      <c r="W924" s="322"/>
      <c r="X924" s="322"/>
      <c r="Y924" s="319"/>
      <c r="Z924" s="136" t="str">
        <f t="shared" si="16"/>
        <v/>
      </c>
      <c r="AA924" s="137" t="str">
        <f t="shared" si="17"/>
        <v/>
      </c>
      <c r="AB924" s="154" t="str">
        <f t="shared" si="18"/>
        <v/>
      </c>
      <c r="AC924" s="322"/>
      <c r="AD924" s="319"/>
      <c r="AE924" s="320"/>
    </row>
    <row r="925" ht="18.0" customHeight="1">
      <c r="A925" s="118" t="str">
        <f t="shared" si="15"/>
        <v/>
      </c>
      <c r="B925" s="109"/>
      <c r="C925" s="119"/>
      <c r="D925" s="119"/>
      <c r="E925" s="330"/>
      <c r="F925" s="121"/>
      <c r="G925" s="153"/>
      <c r="H925" s="153"/>
      <c r="I925" s="153"/>
      <c r="J925" s="112"/>
      <c r="K925" s="153"/>
      <c r="L925" s="114"/>
      <c r="M925" s="151"/>
      <c r="N925" s="152"/>
      <c r="O925" s="150"/>
      <c r="P925" s="114"/>
      <c r="Q925" s="114"/>
      <c r="R925" s="151"/>
      <c r="S925" s="152"/>
      <c r="T925" s="153"/>
      <c r="U925" s="152"/>
      <c r="V925" s="152"/>
      <c r="W925" s="152"/>
      <c r="X925" s="152"/>
      <c r="Y925" s="153"/>
      <c r="Z925" s="125" t="str">
        <f t="shared" si="16"/>
        <v/>
      </c>
      <c r="AA925" s="126" t="str">
        <f t="shared" si="17"/>
        <v/>
      </c>
      <c r="AB925" s="154" t="str">
        <f t="shared" si="18"/>
        <v/>
      </c>
      <c r="AC925" s="152"/>
      <c r="AD925" s="153"/>
      <c r="AE925" s="156"/>
    </row>
    <row r="926" ht="18.0" customHeight="1">
      <c r="A926" s="127" t="str">
        <f t="shared" si="15"/>
        <v/>
      </c>
      <c r="B926" s="128"/>
      <c r="C926" s="129"/>
      <c r="D926" s="129"/>
      <c r="E926" s="325"/>
      <c r="F926" s="131"/>
      <c r="G926" s="319"/>
      <c r="H926" s="319"/>
      <c r="I926" s="319"/>
      <c r="J926" s="132"/>
      <c r="K926" s="319"/>
      <c r="L926" s="135"/>
      <c r="M926" s="321"/>
      <c r="N926" s="322"/>
      <c r="O926" s="150"/>
      <c r="P926" s="135"/>
      <c r="Q926" s="135"/>
      <c r="R926" s="321"/>
      <c r="S926" s="322"/>
      <c r="T926" s="319"/>
      <c r="U926" s="322"/>
      <c r="V926" s="322"/>
      <c r="W926" s="322"/>
      <c r="X926" s="322"/>
      <c r="Y926" s="319"/>
      <c r="Z926" s="136" t="str">
        <f t="shared" si="16"/>
        <v/>
      </c>
      <c r="AA926" s="137" t="str">
        <f t="shared" si="17"/>
        <v/>
      </c>
      <c r="AB926" s="154" t="str">
        <f t="shared" si="18"/>
        <v/>
      </c>
      <c r="AC926" s="322"/>
      <c r="AD926" s="319"/>
      <c r="AE926" s="320"/>
    </row>
    <row r="927" ht="18.0" customHeight="1">
      <c r="A927" s="118" t="str">
        <f t="shared" si="15"/>
        <v/>
      </c>
      <c r="B927" s="109"/>
      <c r="C927" s="119"/>
      <c r="D927" s="119"/>
      <c r="E927" s="330"/>
      <c r="F927" s="121"/>
      <c r="G927" s="153"/>
      <c r="H927" s="153"/>
      <c r="I927" s="153"/>
      <c r="J927" s="112"/>
      <c r="K927" s="153"/>
      <c r="L927" s="114"/>
      <c r="M927" s="151"/>
      <c r="N927" s="152"/>
      <c r="O927" s="150"/>
      <c r="P927" s="114"/>
      <c r="Q927" s="114"/>
      <c r="R927" s="151"/>
      <c r="S927" s="152"/>
      <c r="T927" s="153"/>
      <c r="U927" s="152"/>
      <c r="V927" s="152"/>
      <c r="W927" s="152"/>
      <c r="X927" s="152"/>
      <c r="Y927" s="153"/>
      <c r="Z927" s="125" t="str">
        <f t="shared" si="16"/>
        <v/>
      </c>
      <c r="AA927" s="126" t="str">
        <f t="shared" si="17"/>
        <v/>
      </c>
      <c r="AB927" s="154" t="str">
        <f t="shared" si="18"/>
        <v/>
      </c>
      <c r="AC927" s="152"/>
      <c r="AD927" s="153"/>
      <c r="AE927" s="156"/>
    </row>
    <row r="928" ht="18.0" customHeight="1">
      <c r="A928" s="127" t="str">
        <f t="shared" si="15"/>
        <v/>
      </c>
      <c r="B928" s="128"/>
      <c r="C928" s="129"/>
      <c r="D928" s="129"/>
      <c r="E928" s="325"/>
      <c r="F928" s="131"/>
      <c r="G928" s="319"/>
      <c r="H928" s="319"/>
      <c r="I928" s="319"/>
      <c r="J928" s="132"/>
      <c r="K928" s="319"/>
      <c r="L928" s="135"/>
      <c r="M928" s="321"/>
      <c r="N928" s="322"/>
      <c r="O928" s="150"/>
      <c r="P928" s="135"/>
      <c r="Q928" s="135"/>
      <c r="R928" s="321"/>
      <c r="S928" s="322"/>
      <c r="T928" s="319"/>
      <c r="U928" s="322"/>
      <c r="V928" s="322"/>
      <c r="W928" s="322"/>
      <c r="X928" s="322"/>
      <c r="Y928" s="319"/>
      <c r="Z928" s="136" t="str">
        <f t="shared" si="16"/>
        <v/>
      </c>
      <c r="AA928" s="137" t="str">
        <f t="shared" si="17"/>
        <v/>
      </c>
      <c r="AB928" s="154" t="str">
        <f t="shared" si="18"/>
        <v/>
      </c>
      <c r="AC928" s="322"/>
      <c r="AD928" s="319"/>
      <c r="AE928" s="320"/>
    </row>
    <row r="929" ht="18.0" customHeight="1">
      <c r="A929" s="118" t="str">
        <f t="shared" si="15"/>
        <v/>
      </c>
      <c r="B929" s="109"/>
      <c r="C929" s="119"/>
      <c r="D929" s="119"/>
      <c r="E929" s="330"/>
      <c r="F929" s="121"/>
      <c r="G929" s="153"/>
      <c r="H929" s="153"/>
      <c r="I929" s="153"/>
      <c r="J929" s="112"/>
      <c r="K929" s="153"/>
      <c r="L929" s="114"/>
      <c r="M929" s="151"/>
      <c r="N929" s="152"/>
      <c r="O929" s="150"/>
      <c r="P929" s="114"/>
      <c r="Q929" s="114"/>
      <c r="R929" s="151"/>
      <c r="S929" s="152"/>
      <c r="T929" s="153"/>
      <c r="U929" s="152"/>
      <c r="V929" s="152"/>
      <c r="W929" s="152"/>
      <c r="X929" s="152"/>
      <c r="Y929" s="153"/>
      <c r="Z929" s="125" t="str">
        <f t="shared" si="16"/>
        <v/>
      </c>
      <c r="AA929" s="126" t="str">
        <f t="shared" si="17"/>
        <v/>
      </c>
      <c r="AB929" s="154" t="str">
        <f t="shared" si="18"/>
        <v/>
      </c>
      <c r="AC929" s="152"/>
      <c r="AD929" s="153"/>
      <c r="AE929" s="156"/>
    </row>
    <row r="930" ht="18.0" customHeight="1">
      <c r="A930" s="127" t="str">
        <f t="shared" si="15"/>
        <v/>
      </c>
      <c r="B930" s="128"/>
      <c r="C930" s="129"/>
      <c r="D930" s="129"/>
      <c r="E930" s="325"/>
      <c r="F930" s="131"/>
      <c r="G930" s="319"/>
      <c r="H930" s="319"/>
      <c r="I930" s="319"/>
      <c r="J930" s="132"/>
      <c r="K930" s="319"/>
      <c r="L930" s="135"/>
      <c r="M930" s="321"/>
      <c r="N930" s="322"/>
      <c r="O930" s="150"/>
      <c r="P930" s="135"/>
      <c r="Q930" s="135"/>
      <c r="R930" s="321"/>
      <c r="S930" s="322"/>
      <c r="T930" s="319"/>
      <c r="U930" s="322"/>
      <c r="V930" s="322"/>
      <c r="W930" s="322"/>
      <c r="X930" s="322"/>
      <c r="Y930" s="319"/>
      <c r="Z930" s="136" t="str">
        <f t="shared" si="16"/>
        <v/>
      </c>
      <c r="AA930" s="137" t="str">
        <f t="shared" si="17"/>
        <v/>
      </c>
      <c r="AB930" s="154" t="str">
        <f t="shared" si="18"/>
        <v/>
      </c>
      <c r="AC930" s="322"/>
      <c r="AD930" s="319"/>
      <c r="AE930" s="320"/>
    </row>
    <row r="931" ht="18.0" customHeight="1">
      <c r="A931" s="118" t="str">
        <f t="shared" si="15"/>
        <v/>
      </c>
      <c r="B931" s="109"/>
      <c r="C931" s="119"/>
      <c r="D931" s="119"/>
      <c r="E931" s="330"/>
      <c r="F931" s="121"/>
      <c r="G931" s="153"/>
      <c r="H931" s="153"/>
      <c r="I931" s="153"/>
      <c r="J931" s="112"/>
      <c r="K931" s="153"/>
      <c r="L931" s="114"/>
      <c r="M931" s="151"/>
      <c r="N931" s="152"/>
      <c r="O931" s="150"/>
      <c r="P931" s="114"/>
      <c r="Q931" s="114"/>
      <c r="R931" s="151"/>
      <c r="S931" s="152"/>
      <c r="T931" s="153"/>
      <c r="U931" s="152"/>
      <c r="V931" s="152"/>
      <c r="W931" s="152"/>
      <c r="X931" s="152"/>
      <c r="Y931" s="153"/>
      <c r="Z931" s="125" t="str">
        <f t="shared" si="16"/>
        <v/>
      </c>
      <c r="AA931" s="126" t="str">
        <f t="shared" si="17"/>
        <v/>
      </c>
      <c r="AB931" s="154" t="str">
        <f t="shared" si="18"/>
        <v/>
      </c>
      <c r="AC931" s="152"/>
      <c r="AD931" s="153"/>
      <c r="AE931" s="156"/>
    </row>
    <row r="932" ht="18.0" customHeight="1">
      <c r="A932" s="127" t="str">
        <f t="shared" si="15"/>
        <v/>
      </c>
      <c r="B932" s="128"/>
      <c r="C932" s="129"/>
      <c r="D932" s="129"/>
      <c r="E932" s="325"/>
      <c r="F932" s="131"/>
      <c r="G932" s="319"/>
      <c r="H932" s="319"/>
      <c r="I932" s="319"/>
      <c r="J932" s="132"/>
      <c r="K932" s="319"/>
      <c r="L932" s="135"/>
      <c r="M932" s="321"/>
      <c r="N932" s="322"/>
      <c r="O932" s="150"/>
      <c r="P932" s="135"/>
      <c r="Q932" s="135"/>
      <c r="R932" s="321"/>
      <c r="S932" s="322"/>
      <c r="T932" s="319"/>
      <c r="U932" s="322"/>
      <c r="V932" s="322"/>
      <c r="W932" s="322"/>
      <c r="X932" s="322"/>
      <c r="Y932" s="319"/>
      <c r="Z932" s="136" t="str">
        <f t="shared" si="16"/>
        <v/>
      </c>
      <c r="AA932" s="137" t="str">
        <f t="shared" si="17"/>
        <v/>
      </c>
      <c r="AB932" s="154" t="str">
        <f t="shared" si="18"/>
        <v/>
      </c>
      <c r="AC932" s="322"/>
      <c r="AD932" s="319"/>
      <c r="AE932" s="320"/>
    </row>
    <row r="933" ht="18.0" customHeight="1">
      <c r="A933" s="118" t="str">
        <f t="shared" si="15"/>
        <v/>
      </c>
      <c r="B933" s="109"/>
      <c r="C933" s="119"/>
      <c r="D933" s="119"/>
      <c r="E933" s="330"/>
      <c r="F933" s="121"/>
      <c r="G933" s="153"/>
      <c r="H933" s="153"/>
      <c r="I933" s="153"/>
      <c r="J933" s="112"/>
      <c r="K933" s="153"/>
      <c r="L933" s="114"/>
      <c r="M933" s="151"/>
      <c r="N933" s="152"/>
      <c r="O933" s="150"/>
      <c r="P933" s="114"/>
      <c r="Q933" s="114"/>
      <c r="R933" s="151"/>
      <c r="S933" s="152"/>
      <c r="T933" s="153"/>
      <c r="U933" s="152"/>
      <c r="V933" s="152"/>
      <c r="W933" s="152"/>
      <c r="X933" s="152"/>
      <c r="Y933" s="153"/>
      <c r="Z933" s="125" t="str">
        <f t="shared" si="16"/>
        <v/>
      </c>
      <c r="AA933" s="126" t="str">
        <f t="shared" si="17"/>
        <v/>
      </c>
      <c r="AB933" s="154" t="str">
        <f t="shared" si="18"/>
        <v/>
      </c>
      <c r="AC933" s="152"/>
      <c r="AD933" s="153"/>
      <c r="AE933" s="156"/>
    </row>
    <row r="934" ht="18.0" customHeight="1">
      <c r="A934" s="127" t="str">
        <f t="shared" si="15"/>
        <v/>
      </c>
      <c r="B934" s="128"/>
      <c r="C934" s="129"/>
      <c r="D934" s="129"/>
      <c r="E934" s="325"/>
      <c r="F934" s="131"/>
      <c r="G934" s="319"/>
      <c r="H934" s="319"/>
      <c r="I934" s="319"/>
      <c r="J934" s="132"/>
      <c r="K934" s="319"/>
      <c r="L934" s="135"/>
      <c r="M934" s="321"/>
      <c r="N934" s="322"/>
      <c r="O934" s="150"/>
      <c r="P934" s="135"/>
      <c r="Q934" s="135"/>
      <c r="R934" s="321"/>
      <c r="S934" s="322"/>
      <c r="T934" s="319"/>
      <c r="U934" s="322"/>
      <c r="V934" s="322"/>
      <c r="W934" s="322"/>
      <c r="X934" s="322"/>
      <c r="Y934" s="319"/>
      <c r="Z934" s="136" t="str">
        <f t="shared" si="16"/>
        <v/>
      </c>
      <c r="AA934" s="137" t="str">
        <f t="shared" si="17"/>
        <v/>
      </c>
      <c r="AB934" s="154" t="str">
        <f t="shared" si="18"/>
        <v/>
      </c>
      <c r="AC934" s="322"/>
      <c r="AD934" s="319"/>
      <c r="AE934" s="320"/>
    </row>
    <row r="935" ht="18.0" customHeight="1">
      <c r="A935" s="118" t="str">
        <f t="shared" si="15"/>
        <v/>
      </c>
      <c r="B935" s="109"/>
      <c r="C935" s="119"/>
      <c r="D935" s="119"/>
      <c r="E935" s="330"/>
      <c r="F935" s="121"/>
      <c r="G935" s="153"/>
      <c r="H935" s="153"/>
      <c r="I935" s="153"/>
      <c r="J935" s="112"/>
      <c r="K935" s="153"/>
      <c r="L935" s="114"/>
      <c r="M935" s="151"/>
      <c r="N935" s="152"/>
      <c r="O935" s="150"/>
      <c r="P935" s="114"/>
      <c r="Q935" s="114"/>
      <c r="R935" s="151"/>
      <c r="S935" s="152"/>
      <c r="T935" s="153"/>
      <c r="U935" s="152"/>
      <c r="V935" s="152"/>
      <c r="W935" s="152"/>
      <c r="X935" s="152"/>
      <c r="Y935" s="153"/>
      <c r="Z935" s="125" t="str">
        <f t="shared" si="16"/>
        <v/>
      </c>
      <c r="AA935" s="126" t="str">
        <f t="shared" si="17"/>
        <v/>
      </c>
      <c r="AB935" s="154" t="str">
        <f t="shared" si="18"/>
        <v/>
      </c>
      <c r="AC935" s="152"/>
      <c r="AD935" s="153"/>
      <c r="AE935" s="156"/>
    </row>
    <row r="936" ht="18.0" customHeight="1">
      <c r="A936" s="127" t="str">
        <f t="shared" si="15"/>
        <v/>
      </c>
      <c r="B936" s="128"/>
      <c r="C936" s="129"/>
      <c r="D936" s="129"/>
      <c r="E936" s="325"/>
      <c r="F936" s="131"/>
      <c r="G936" s="319"/>
      <c r="H936" s="319"/>
      <c r="I936" s="319"/>
      <c r="J936" s="132"/>
      <c r="K936" s="319"/>
      <c r="L936" s="135"/>
      <c r="M936" s="321"/>
      <c r="N936" s="322"/>
      <c r="O936" s="150"/>
      <c r="P936" s="135"/>
      <c r="Q936" s="135"/>
      <c r="R936" s="321"/>
      <c r="S936" s="322"/>
      <c r="T936" s="319"/>
      <c r="U936" s="322"/>
      <c r="V936" s="322"/>
      <c r="W936" s="322"/>
      <c r="X936" s="322"/>
      <c r="Y936" s="319"/>
      <c r="Z936" s="136" t="str">
        <f t="shared" si="16"/>
        <v/>
      </c>
      <c r="AA936" s="137" t="str">
        <f t="shared" si="17"/>
        <v/>
      </c>
      <c r="AB936" s="154" t="str">
        <f t="shared" si="18"/>
        <v/>
      </c>
      <c r="AC936" s="322"/>
      <c r="AD936" s="319"/>
      <c r="AE936" s="320"/>
    </row>
    <row r="937" ht="18.0" customHeight="1">
      <c r="A937" s="118" t="str">
        <f t="shared" si="15"/>
        <v/>
      </c>
      <c r="B937" s="109"/>
      <c r="C937" s="119"/>
      <c r="D937" s="119"/>
      <c r="E937" s="330"/>
      <c r="F937" s="121"/>
      <c r="G937" s="153"/>
      <c r="H937" s="153"/>
      <c r="I937" s="153"/>
      <c r="J937" s="112"/>
      <c r="K937" s="153"/>
      <c r="L937" s="114"/>
      <c r="M937" s="151"/>
      <c r="N937" s="152"/>
      <c r="O937" s="150"/>
      <c r="P937" s="114"/>
      <c r="Q937" s="114"/>
      <c r="R937" s="151"/>
      <c r="S937" s="152"/>
      <c r="T937" s="153"/>
      <c r="U937" s="152"/>
      <c r="V937" s="152"/>
      <c r="W937" s="152"/>
      <c r="X937" s="152"/>
      <c r="Y937" s="153"/>
      <c r="Z937" s="125" t="str">
        <f t="shared" si="16"/>
        <v/>
      </c>
      <c r="AA937" s="126" t="str">
        <f t="shared" si="17"/>
        <v/>
      </c>
      <c r="AB937" s="154" t="str">
        <f t="shared" si="18"/>
        <v/>
      </c>
      <c r="AC937" s="152"/>
      <c r="AD937" s="153"/>
      <c r="AE937" s="156"/>
    </row>
    <row r="938" ht="18.0" customHeight="1">
      <c r="A938" s="127" t="str">
        <f t="shared" si="15"/>
        <v/>
      </c>
      <c r="B938" s="128"/>
      <c r="C938" s="129"/>
      <c r="D938" s="129"/>
      <c r="E938" s="325"/>
      <c r="F938" s="131"/>
      <c r="G938" s="319"/>
      <c r="H938" s="319"/>
      <c r="I938" s="319"/>
      <c r="J938" s="132"/>
      <c r="K938" s="319"/>
      <c r="L938" s="135"/>
      <c r="M938" s="321"/>
      <c r="N938" s="322"/>
      <c r="O938" s="150"/>
      <c r="P938" s="135"/>
      <c r="Q938" s="135"/>
      <c r="R938" s="321"/>
      <c r="S938" s="322"/>
      <c r="T938" s="319"/>
      <c r="U938" s="322"/>
      <c r="V938" s="322"/>
      <c r="W938" s="322"/>
      <c r="X938" s="322"/>
      <c r="Y938" s="319"/>
      <c r="Z938" s="136" t="str">
        <f t="shared" si="16"/>
        <v/>
      </c>
      <c r="AA938" s="137" t="str">
        <f t="shared" si="17"/>
        <v/>
      </c>
      <c r="AB938" s="154" t="str">
        <f t="shared" si="18"/>
        <v/>
      </c>
      <c r="AC938" s="322"/>
      <c r="AD938" s="319"/>
      <c r="AE938" s="320"/>
    </row>
    <row r="939" ht="18.0" customHeight="1">
      <c r="A939" s="118" t="str">
        <f t="shared" si="15"/>
        <v/>
      </c>
      <c r="B939" s="109"/>
      <c r="C939" s="119"/>
      <c r="D939" s="119"/>
      <c r="E939" s="330"/>
      <c r="F939" s="121"/>
      <c r="G939" s="153"/>
      <c r="H939" s="153"/>
      <c r="I939" s="153"/>
      <c r="J939" s="112"/>
      <c r="K939" s="153"/>
      <c r="L939" s="114"/>
      <c r="M939" s="151"/>
      <c r="N939" s="152"/>
      <c r="O939" s="150"/>
      <c r="P939" s="114"/>
      <c r="Q939" s="114"/>
      <c r="R939" s="151"/>
      <c r="S939" s="152"/>
      <c r="T939" s="153"/>
      <c r="U939" s="152"/>
      <c r="V939" s="152"/>
      <c r="W939" s="152"/>
      <c r="X939" s="152"/>
      <c r="Y939" s="153"/>
      <c r="Z939" s="125" t="str">
        <f t="shared" si="16"/>
        <v/>
      </c>
      <c r="AA939" s="126" t="str">
        <f t="shared" si="17"/>
        <v/>
      </c>
      <c r="AB939" s="154" t="str">
        <f t="shared" si="18"/>
        <v/>
      </c>
      <c r="AC939" s="152"/>
      <c r="AD939" s="153"/>
      <c r="AE939" s="156"/>
    </row>
    <row r="940" ht="18.0" customHeight="1">
      <c r="A940" s="127" t="str">
        <f t="shared" si="15"/>
        <v/>
      </c>
      <c r="B940" s="128"/>
      <c r="C940" s="129"/>
      <c r="D940" s="129"/>
      <c r="E940" s="325"/>
      <c r="F940" s="131"/>
      <c r="G940" s="319"/>
      <c r="H940" s="319"/>
      <c r="I940" s="319"/>
      <c r="J940" s="132"/>
      <c r="K940" s="319"/>
      <c r="L940" s="135"/>
      <c r="M940" s="321"/>
      <c r="N940" s="322"/>
      <c r="O940" s="150"/>
      <c r="P940" s="135"/>
      <c r="Q940" s="135"/>
      <c r="R940" s="321"/>
      <c r="S940" s="322"/>
      <c r="T940" s="319"/>
      <c r="U940" s="322"/>
      <c r="V940" s="322"/>
      <c r="W940" s="322"/>
      <c r="X940" s="322"/>
      <c r="Y940" s="319"/>
      <c r="Z940" s="136" t="str">
        <f t="shared" si="16"/>
        <v/>
      </c>
      <c r="AA940" s="137" t="str">
        <f t="shared" si="17"/>
        <v/>
      </c>
      <c r="AB940" s="154" t="str">
        <f t="shared" si="18"/>
        <v/>
      </c>
      <c r="AC940" s="322"/>
      <c r="AD940" s="319"/>
      <c r="AE940" s="320"/>
    </row>
    <row r="941" ht="18.0" customHeight="1">
      <c r="A941" s="118" t="str">
        <f t="shared" si="15"/>
        <v/>
      </c>
      <c r="B941" s="109"/>
      <c r="C941" s="119"/>
      <c r="D941" s="119"/>
      <c r="E941" s="330"/>
      <c r="F941" s="121"/>
      <c r="G941" s="153"/>
      <c r="H941" s="153"/>
      <c r="I941" s="153"/>
      <c r="J941" s="112"/>
      <c r="K941" s="153"/>
      <c r="L941" s="114"/>
      <c r="M941" s="151"/>
      <c r="N941" s="152"/>
      <c r="O941" s="150"/>
      <c r="P941" s="114"/>
      <c r="Q941" s="114"/>
      <c r="R941" s="151"/>
      <c r="S941" s="152"/>
      <c r="T941" s="153"/>
      <c r="U941" s="152"/>
      <c r="V941" s="152"/>
      <c r="W941" s="152"/>
      <c r="X941" s="152"/>
      <c r="Y941" s="153"/>
      <c r="Z941" s="125" t="str">
        <f t="shared" si="16"/>
        <v/>
      </c>
      <c r="AA941" s="126" t="str">
        <f t="shared" si="17"/>
        <v/>
      </c>
      <c r="AB941" s="154" t="str">
        <f t="shared" si="18"/>
        <v/>
      </c>
      <c r="AC941" s="152"/>
      <c r="AD941" s="153"/>
      <c r="AE941" s="156"/>
    </row>
    <row r="942" ht="18.0" customHeight="1">
      <c r="A942" s="127" t="str">
        <f t="shared" si="15"/>
        <v/>
      </c>
      <c r="B942" s="128"/>
      <c r="C942" s="129"/>
      <c r="D942" s="129"/>
      <c r="E942" s="325"/>
      <c r="F942" s="131"/>
      <c r="G942" s="319"/>
      <c r="H942" s="319"/>
      <c r="I942" s="319"/>
      <c r="J942" s="132"/>
      <c r="K942" s="319"/>
      <c r="L942" s="135"/>
      <c r="M942" s="321"/>
      <c r="N942" s="322"/>
      <c r="O942" s="150"/>
      <c r="P942" s="135"/>
      <c r="Q942" s="135"/>
      <c r="R942" s="321"/>
      <c r="S942" s="322"/>
      <c r="T942" s="319"/>
      <c r="U942" s="322"/>
      <c r="V942" s="322"/>
      <c r="W942" s="322"/>
      <c r="X942" s="322"/>
      <c r="Y942" s="319"/>
      <c r="Z942" s="136" t="str">
        <f t="shared" si="16"/>
        <v/>
      </c>
      <c r="AA942" s="137" t="str">
        <f t="shared" si="17"/>
        <v/>
      </c>
      <c r="AB942" s="154" t="str">
        <f t="shared" si="18"/>
        <v/>
      </c>
      <c r="AC942" s="322"/>
      <c r="AD942" s="319"/>
      <c r="AE942" s="320"/>
    </row>
    <row r="943" ht="18.0" customHeight="1">
      <c r="A943" s="118" t="str">
        <f t="shared" si="15"/>
        <v/>
      </c>
      <c r="B943" s="109"/>
      <c r="C943" s="119"/>
      <c r="D943" s="119"/>
      <c r="E943" s="330"/>
      <c r="F943" s="121"/>
      <c r="G943" s="153"/>
      <c r="H943" s="153"/>
      <c r="I943" s="153"/>
      <c r="J943" s="112"/>
      <c r="K943" s="153"/>
      <c r="L943" s="114"/>
      <c r="M943" s="151"/>
      <c r="N943" s="152"/>
      <c r="O943" s="150"/>
      <c r="P943" s="114"/>
      <c r="Q943" s="114"/>
      <c r="R943" s="151"/>
      <c r="S943" s="152"/>
      <c r="T943" s="153"/>
      <c r="U943" s="152"/>
      <c r="V943" s="152"/>
      <c r="W943" s="152"/>
      <c r="X943" s="152"/>
      <c r="Y943" s="153"/>
      <c r="Z943" s="125" t="str">
        <f t="shared" si="16"/>
        <v/>
      </c>
      <c r="AA943" s="126" t="str">
        <f t="shared" si="17"/>
        <v/>
      </c>
      <c r="AB943" s="154" t="str">
        <f t="shared" si="18"/>
        <v/>
      </c>
      <c r="AC943" s="152"/>
      <c r="AD943" s="153"/>
      <c r="AE943" s="156"/>
    </row>
    <row r="944" ht="18.0" customHeight="1">
      <c r="A944" s="127" t="str">
        <f t="shared" si="15"/>
        <v/>
      </c>
      <c r="B944" s="128"/>
      <c r="C944" s="129"/>
      <c r="D944" s="129"/>
      <c r="E944" s="325"/>
      <c r="F944" s="131"/>
      <c r="G944" s="319"/>
      <c r="H944" s="319"/>
      <c r="I944" s="319"/>
      <c r="J944" s="132"/>
      <c r="K944" s="319"/>
      <c r="L944" s="135"/>
      <c r="M944" s="321"/>
      <c r="N944" s="322"/>
      <c r="O944" s="150"/>
      <c r="P944" s="135"/>
      <c r="Q944" s="135"/>
      <c r="R944" s="321"/>
      <c r="S944" s="322"/>
      <c r="T944" s="319"/>
      <c r="U944" s="322"/>
      <c r="V944" s="322"/>
      <c r="W944" s="322"/>
      <c r="X944" s="322"/>
      <c r="Y944" s="319"/>
      <c r="Z944" s="136" t="str">
        <f t="shared" si="16"/>
        <v/>
      </c>
      <c r="AA944" s="137" t="str">
        <f t="shared" si="17"/>
        <v/>
      </c>
      <c r="AB944" s="154" t="str">
        <f t="shared" si="18"/>
        <v/>
      </c>
      <c r="AC944" s="322"/>
      <c r="AD944" s="319"/>
      <c r="AE944" s="320"/>
    </row>
    <row r="945" ht="18.0" customHeight="1">
      <c r="A945" s="118" t="str">
        <f t="shared" si="15"/>
        <v/>
      </c>
      <c r="B945" s="109"/>
      <c r="C945" s="119"/>
      <c r="D945" s="119"/>
      <c r="E945" s="330"/>
      <c r="F945" s="121"/>
      <c r="G945" s="153"/>
      <c r="H945" s="153"/>
      <c r="I945" s="153"/>
      <c r="J945" s="112"/>
      <c r="K945" s="153"/>
      <c r="L945" s="114"/>
      <c r="M945" s="151"/>
      <c r="N945" s="152"/>
      <c r="O945" s="150"/>
      <c r="P945" s="114"/>
      <c r="Q945" s="114"/>
      <c r="R945" s="151"/>
      <c r="S945" s="152"/>
      <c r="T945" s="153"/>
      <c r="U945" s="152"/>
      <c r="V945" s="152"/>
      <c r="W945" s="152"/>
      <c r="X945" s="152"/>
      <c r="Y945" s="153"/>
      <c r="Z945" s="125" t="str">
        <f t="shared" si="16"/>
        <v/>
      </c>
      <c r="AA945" s="126" t="str">
        <f t="shared" si="17"/>
        <v/>
      </c>
      <c r="AB945" s="154" t="str">
        <f t="shared" si="18"/>
        <v/>
      </c>
      <c r="AC945" s="152"/>
      <c r="AD945" s="153"/>
      <c r="AE945" s="156"/>
    </row>
    <row r="946" ht="18.0" customHeight="1">
      <c r="A946" s="127" t="str">
        <f t="shared" si="15"/>
        <v/>
      </c>
      <c r="B946" s="128"/>
      <c r="C946" s="129"/>
      <c r="D946" s="129"/>
      <c r="E946" s="325"/>
      <c r="F946" s="131"/>
      <c r="G946" s="319"/>
      <c r="H946" s="319"/>
      <c r="I946" s="319"/>
      <c r="J946" s="132"/>
      <c r="K946" s="319"/>
      <c r="L946" s="135"/>
      <c r="M946" s="321"/>
      <c r="N946" s="322"/>
      <c r="O946" s="150"/>
      <c r="P946" s="135"/>
      <c r="Q946" s="135"/>
      <c r="R946" s="321"/>
      <c r="S946" s="322"/>
      <c r="T946" s="319"/>
      <c r="U946" s="322"/>
      <c r="V946" s="322"/>
      <c r="W946" s="322"/>
      <c r="X946" s="322"/>
      <c r="Y946" s="319"/>
      <c r="Z946" s="136" t="str">
        <f t="shared" si="16"/>
        <v/>
      </c>
      <c r="AA946" s="137" t="str">
        <f t="shared" si="17"/>
        <v/>
      </c>
      <c r="AB946" s="154" t="str">
        <f t="shared" si="18"/>
        <v/>
      </c>
      <c r="AC946" s="322"/>
      <c r="AD946" s="319"/>
      <c r="AE946" s="320"/>
    </row>
    <row r="947" ht="18.0" customHeight="1">
      <c r="A947" s="118" t="str">
        <f t="shared" si="15"/>
        <v/>
      </c>
      <c r="B947" s="109"/>
      <c r="C947" s="119"/>
      <c r="D947" s="119"/>
      <c r="E947" s="330"/>
      <c r="F947" s="121"/>
      <c r="G947" s="153"/>
      <c r="H947" s="153"/>
      <c r="I947" s="153"/>
      <c r="J947" s="112"/>
      <c r="K947" s="153"/>
      <c r="L947" s="114"/>
      <c r="M947" s="151"/>
      <c r="N947" s="152"/>
      <c r="O947" s="150"/>
      <c r="P947" s="114"/>
      <c r="Q947" s="114"/>
      <c r="R947" s="151"/>
      <c r="S947" s="152"/>
      <c r="T947" s="153"/>
      <c r="U947" s="152"/>
      <c r="V947" s="152"/>
      <c r="W947" s="152"/>
      <c r="X947" s="152"/>
      <c r="Y947" s="153"/>
      <c r="Z947" s="125" t="str">
        <f t="shared" si="16"/>
        <v/>
      </c>
      <c r="AA947" s="126" t="str">
        <f t="shared" si="17"/>
        <v/>
      </c>
      <c r="AB947" s="154" t="str">
        <f t="shared" si="18"/>
        <v/>
      </c>
      <c r="AC947" s="152"/>
      <c r="AD947" s="153"/>
      <c r="AE947" s="156"/>
    </row>
    <row r="948" ht="18.0" customHeight="1">
      <c r="A948" s="127" t="str">
        <f t="shared" si="15"/>
        <v/>
      </c>
      <c r="B948" s="128"/>
      <c r="C948" s="129"/>
      <c r="D948" s="129"/>
      <c r="E948" s="325"/>
      <c r="F948" s="131"/>
      <c r="G948" s="319"/>
      <c r="H948" s="319"/>
      <c r="I948" s="319"/>
      <c r="J948" s="132"/>
      <c r="K948" s="319"/>
      <c r="L948" s="135"/>
      <c r="M948" s="321"/>
      <c r="N948" s="322"/>
      <c r="O948" s="150"/>
      <c r="P948" s="135"/>
      <c r="Q948" s="135"/>
      <c r="R948" s="321"/>
      <c r="S948" s="322"/>
      <c r="T948" s="319"/>
      <c r="U948" s="322"/>
      <c r="V948" s="322"/>
      <c r="W948" s="322"/>
      <c r="X948" s="322"/>
      <c r="Y948" s="319"/>
      <c r="Z948" s="136" t="str">
        <f t="shared" si="16"/>
        <v/>
      </c>
      <c r="AA948" s="137" t="str">
        <f t="shared" si="17"/>
        <v/>
      </c>
      <c r="AB948" s="154" t="str">
        <f t="shared" si="18"/>
        <v/>
      </c>
      <c r="AC948" s="322"/>
      <c r="AD948" s="319"/>
      <c r="AE948" s="320"/>
    </row>
    <row r="949" ht="18.0" customHeight="1">
      <c r="A949" s="118" t="str">
        <f t="shared" si="15"/>
        <v/>
      </c>
      <c r="B949" s="109"/>
      <c r="C949" s="119"/>
      <c r="D949" s="119"/>
      <c r="E949" s="330"/>
      <c r="F949" s="121"/>
      <c r="G949" s="153"/>
      <c r="H949" s="153"/>
      <c r="I949" s="153"/>
      <c r="J949" s="112"/>
      <c r="K949" s="153"/>
      <c r="L949" s="114"/>
      <c r="M949" s="151"/>
      <c r="N949" s="152"/>
      <c r="O949" s="150"/>
      <c r="P949" s="114"/>
      <c r="Q949" s="114"/>
      <c r="R949" s="151"/>
      <c r="S949" s="152"/>
      <c r="T949" s="153"/>
      <c r="U949" s="152"/>
      <c r="V949" s="152"/>
      <c r="W949" s="152"/>
      <c r="X949" s="152"/>
      <c r="Y949" s="153"/>
      <c r="Z949" s="125" t="str">
        <f t="shared" si="16"/>
        <v/>
      </c>
      <c r="AA949" s="126" t="str">
        <f t="shared" si="17"/>
        <v/>
      </c>
      <c r="AB949" s="154" t="str">
        <f t="shared" si="18"/>
        <v/>
      </c>
      <c r="AC949" s="152"/>
      <c r="AD949" s="153"/>
      <c r="AE949" s="156"/>
    </row>
    <row r="950" ht="18.0" customHeight="1">
      <c r="A950" s="127" t="str">
        <f t="shared" si="15"/>
        <v/>
      </c>
      <c r="B950" s="128"/>
      <c r="C950" s="129"/>
      <c r="D950" s="129"/>
      <c r="E950" s="325"/>
      <c r="F950" s="131"/>
      <c r="G950" s="319"/>
      <c r="H950" s="319"/>
      <c r="I950" s="319"/>
      <c r="J950" s="132"/>
      <c r="K950" s="319"/>
      <c r="L950" s="135"/>
      <c r="M950" s="321"/>
      <c r="N950" s="322"/>
      <c r="O950" s="150"/>
      <c r="P950" s="135"/>
      <c r="Q950" s="135"/>
      <c r="R950" s="321"/>
      <c r="S950" s="322"/>
      <c r="T950" s="319"/>
      <c r="U950" s="322"/>
      <c r="V950" s="322"/>
      <c r="W950" s="322"/>
      <c r="X950" s="322"/>
      <c r="Y950" s="319"/>
      <c r="Z950" s="136" t="str">
        <f t="shared" si="16"/>
        <v/>
      </c>
      <c r="AA950" s="137" t="str">
        <f t="shared" si="17"/>
        <v/>
      </c>
      <c r="AB950" s="154" t="str">
        <f t="shared" si="18"/>
        <v/>
      </c>
      <c r="AC950" s="322"/>
      <c r="AD950" s="319"/>
      <c r="AE950" s="320"/>
    </row>
    <row r="951" ht="18.0" customHeight="1">
      <c r="A951" s="118" t="str">
        <f t="shared" si="15"/>
        <v/>
      </c>
      <c r="B951" s="109"/>
      <c r="C951" s="119"/>
      <c r="D951" s="119"/>
      <c r="E951" s="330"/>
      <c r="F951" s="121"/>
      <c r="G951" s="153"/>
      <c r="H951" s="153"/>
      <c r="I951" s="153"/>
      <c r="J951" s="112"/>
      <c r="K951" s="153"/>
      <c r="L951" s="114"/>
      <c r="M951" s="151"/>
      <c r="N951" s="152"/>
      <c r="O951" s="150"/>
      <c r="P951" s="114"/>
      <c r="Q951" s="114"/>
      <c r="R951" s="151"/>
      <c r="S951" s="152"/>
      <c r="T951" s="153"/>
      <c r="U951" s="152"/>
      <c r="V951" s="152"/>
      <c r="W951" s="152"/>
      <c r="X951" s="152"/>
      <c r="Y951" s="153"/>
      <c r="Z951" s="125" t="str">
        <f t="shared" si="16"/>
        <v/>
      </c>
      <c r="AA951" s="126" t="str">
        <f t="shared" si="17"/>
        <v/>
      </c>
      <c r="AB951" s="154" t="str">
        <f t="shared" si="18"/>
        <v/>
      </c>
      <c r="AC951" s="152"/>
      <c r="AD951" s="153"/>
      <c r="AE951" s="156"/>
    </row>
    <row r="952" ht="18.0" customHeight="1">
      <c r="A952" s="127" t="str">
        <f t="shared" si="15"/>
        <v/>
      </c>
      <c r="B952" s="128"/>
      <c r="C952" s="129"/>
      <c r="D952" s="129"/>
      <c r="E952" s="325"/>
      <c r="F952" s="131"/>
      <c r="G952" s="319"/>
      <c r="H952" s="319"/>
      <c r="I952" s="319"/>
      <c r="J952" s="132"/>
      <c r="K952" s="319"/>
      <c r="L952" s="135"/>
      <c r="M952" s="321"/>
      <c r="N952" s="322"/>
      <c r="O952" s="150"/>
      <c r="P952" s="135"/>
      <c r="Q952" s="135"/>
      <c r="R952" s="321"/>
      <c r="S952" s="322"/>
      <c r="T952" s="319"/>
      <c r="U952" s="322"/>
      <c r="V952" s="322"/>
      <c r="W952" s="322"/>
      <c r="X952" s="322"/>
      <c r="Y952" s="319"/>
      <c r="Z952" s="136" t="str">
        <f t="shared" si="16"/>
        <v/>
      </c>
      <c r="AA952" s="137" t="str">
        <f t="shared" si="17"/>
        <v/>
      </c>
      <c r="AB952" s="154" t="str">
        <f t="shared" si="18"/>
        <v/>
      </c>
      <c r="AC952" s="322"/>
      <c r="AD952" s="319"/>
      <c r="AE952" s="320"/>
    </row>
    <row r="953" ht="18.0" customHeight="1">
      <c r="A953" s="118" t="str">
        <f t="shared" si="15"/>
        <v/>
      </c>
      <c r="B953" s="109"/>
      <c r="C953" s="119"/>
      <c r="D953" s="119"/>
      <c r="E953" s="330"/>
      <c r="F953" s="121"/>
      <c r="G953" s="153"/>
      <c r="H953" s="153"/>
      <c r="I953" s="153"/>
      <c r="J953" s="112"/>
      <c r="K953" s="153"/>
      <c r="L953" s="114"/>
      <c r="M953" s="151"/>
      <c r="N953" s="152"/>
      <c r="O953" s="150"/>
      <c r="P953" s="114"/>
      <c r="Q953" s="114"/>
      <c r="R953" s="151"/>
      <c r="S953" s="152"/>
      <c r="T953" s="153"/>
      <c r="U953" s="152"/>
      <c r="V953" s="152"/>
      <c r="W953" s="152"/>
      <c r="X953" s="152"/>
      <c r="Y953" s="153"/>
      <c r="Z953" s="125" t="str">
        <f t="shared" si="16"/>
        <v/>
      </c>
      <c r="AA953" s="126" t="str">
        <f t="shared" si="17"/>
        <v/>
      </c>
      <c r="AB953" s="154" t="str">
        <f t="shared" si="18"/>
        <v/>
      </c>
      <c r="AC953" s="152"/>
      <c r="AD953" s="153"/>
      <c r="AE953" s="156"/>
    </row>
    <row r="954" ht="18.0" customHeight="1">
      <c r="A954" s="127" t="str">
        <f t="shared" si="15"/>
        <v/>
      </c>
      <c r="B954" s="128"/>
      <c r="C954" s="129"/>
      <c r="D954" s="129"/>
      <c r="E954" s="325"/>
      <c r="F954" s="131"/>
      <c r="G954" s="319"/>
      <c r="H954" s="319"/>
      <c r="I954" s="319"/>
      <c r="J954" s="132"/>
      <c r="K954" s="319"/>
      <c r="L954" s="135"/>
      <c r="M954" s="321"/>
      <c r="N954" s="322"/>
      <c r="O954" s="150"/>
      <c r="P954" s="135"/>
      <c r="Q954" s="135"/>
      <c r="R954" s="321"/>
      <c r="S954" s="322"/>
      <c r="T954" s="319"/>
      <c r="U954" s="322"/>
      <c r="V954" s="322"/>
      <c r="W954" s="322"/>
      <c r="X954" s="322"/>
      <c r="Y954" s="319"/>
      <c r="Z954" s="136" t="str">
        <f t="shared" si="16"/>
        <v/>
      </c>
      <c r="AA954" s="137" t="str">
        <f t="shared" si="17"/>
        <v/>
      </c>
      <c r="AB954" s="154" t="str">
        <f t="shared" si="18"/>
        <v/>
      </c>
      <c r="AC954" s="322"/>
      <c r="AD954" s="319"/>
      <c r="AE954" s="320"/>
    </row>
    <row r="955" ht="18.0" customHeight="1">
      <c r="A955" s="118" t="str">
        <f t="shared" si="15"/>
        <v/>
      </c>
      <c r="B955" s="109"/>
      <c r="C955" s="119"/>
      <c r="D955" s="119"/>
      <c r="E955" s="330"/>
      <c r="F955" s="121"/>
      <c r="G955" s="153"/>
      <c r="H955" s="153"/>
      <c r="I955" s="153"/>
      <c r="J955" s="112"/>
      <c r="K955" s="153"/>
      <c r="L955" s="114"/>
      <c r="M955" s="151"/>
      <c r="N955" s="152"/>
      <c r="O955" s="150"/>
      <c r="P955" s="114"/>
      <c r="Q955" s="114"/>
      <c r="R955" s="151"/>
      <c r="S955" s="152"/>
      <c r="T955" s="153"/>
      <c r="U955" s="152"/>
      <c r="V955" s="152"/>
      <c r="W955" s="152"/>
      <c r="X955" s="152"/>
      <c r="Y955" s="153"/>
      <c r="Z955" s="125" t="str">
        <f t="shared" si="16"/>
        <v/>
      </c>
      <c r="AA955" s="126" t="str">
        <f t="shared" si="17"/>
        <v/>
      </c>
      <c r="AB955" s="154" t="str">
        <f t="shared" si="18"/>
        <v/>
      </c>
      <c r="AC955" s="152"/>
      <c r="AD955" s="153"/>
      <c r="AE955" s="156"/>
    </row>
    <row r="956" ht="18.0" customHeight="1">
      <c r="A956" s="127" t="str">
        <f t="shared" si="15"/>
        <v/>
      </c>
      <c r="B956" s="128"/>
      <c r="C956" s="129"/>
      <c r="D956" s="129"/>
      <c r="E956" s="325"/>
      <c r="F956" s="131"/>
      <c r="G956" s="319"/>
      <c r="H956" s="319"/>
      <c r="I956" s="319"/>
      <c r="J956" s="132"/>
      <c r="K956" s="319"/>
      <c r="L956" s="135"/>
      <c r="M956" s="321"/>
      <c r="N956" s="322"/>
      <c r="O956" s="150"/>
      <c r="P956" s="135"/>
      <c r="Q956" s="135"/>
      <c r="R956" s="321"/>
      <c r="S956" s="322"/>
      <c r="T956" s="319"/>
      <c r="U956" s="322"/>
      <c r="V956" s="322"/>
      <c r="W956" s="322"/>
      <c r="X956" s="322"/>
      <c r="Y956" s="319"/>
      <c r="Z956" s="136" t="str">
        <f t="shared" si="16"/>
        <v/>
      </c>
      <c r="AA956" s="137" t="str">
        <f t="shared" si="17"/>
        <v/>
      </c>
      <c r="AB956" s="154" t="str">
        <f t="shared" si="18"/>
        <v/>
      </c>
      <c r="AC956" s="322"/>
      <c r="AD956" s="319"/>
      <c r="AE956" s="320"/>
    </row>
    <row r="957" ht="18.0" customHeight="1">
      <c r="A957" s="118" t="str">
        <f t="shared" si="15"/>
        <v/>
      </c>
      <c r="B957" s="109"/>
      <c r="C957" s="119"/>
      <c r="D957" s="119"/>
      <c r="E957" s="330"/>
      <c r="F957" s="121"/>
      <c r="G957" s="153"/>
      <c r="H957" s="153"/>
      <c r="I957" s="153"/>
      <c r="J957" s="112"/>
      <c r="K957" s="153"/>
      <c r="L957" s="114"/>
      <c r="M957" s="151"/>
      <c r="N957" s="152"/>
      <c r="O957" s="150"/>
      <c r="P957" s="114"/>
      <c r="Q957" s="114"/>
      <c r="R957" s="151"/>
      <c r="S957" s="152"/>
      <c r="T957" s="153"/>
      <c r="U957" s="152"/>
      <c r="V957" s="152"/>
      <c r="W957" s="152"/>
      <c r="X957" s="152"/>
      <c r="Y957" s="153"/>
      <c r="Z957" s="125" t="str">
        <f t="shared" si="16"/>
        <v/>
      </c>
      <c r="AA957" s="126" t="str">
        <f t="shared" si="17"/>
        <v/>
      </c>
      <c r="AB957" s="154" t="str">
        <f t="shared" si="18"/>
        <v/>
      </c>
      <c r="AC957" s="152"/>
      <c r="AD957" s="153"/>
      <c r="AE957" s="156"/>
    </row>
    <row r="958" ht="18.0" customHeight="1">
      <c r="A958" s="127" t="str">
        <f t="shared" si="15"/>
        <v/>
      </c>
      <c r="B958" s="128"/>
      <c r="C958" s="129"/>
      <c r="D958" s="129"/>
      <c r="E958" s="325"/>
      <c r="F958" s="131"/>
      <c r="G958" s="319"/>
      <c r="H958" s="319"/>
      <c r="I958" s="319"/>
      <c r="J958" s="132"/>
      <c r="K958" s="319"/>
      <c r="L958" s="135"/>
      <c r="M958" s="321"/>
      <c r="N958" s="322"/>
      <c r="O958" s="150"/>
      <c r="P958" s="135"/>
      <c r="Q958" s="135"/>
      <c r="R958" s="321"/>
      <c r="S958" s="322"/>
      <c r="T958" s="319"/>
      <c r="U958" s="322"/>
      <c r="V958" s="322"/>
      <c r="W958" s="322"/>
      <c r="X958" s="322"/>
      <c r="Y958" s="319"/>
      <c r="Z958" s="136" t="str">
        <f t="shared" si="16"/>
        <v/>
      </c>
      <c r="AA958" s="137" t="str">
        <f t="shared" si="17"/>
        <v/>
      </c>
      <c r="AB958" s="154" t="str">
        <f t="shared" si="18"/>
        <v/>
      </c>
      <c r="AC958" s="322"/>
      <c r="AD958" s="319"/>
      <c r="AE958" s="320"/>
    </row>
    <row r="959" ht="18.0" customHeight="1">
      <c r="A959" s="118" t="str">
        <f t="shared" si="15"/>
        <v/>
      </c>
      <c r="B959" s="109"/>
      <c r="C959" s="119"/>
      <c r="D959" s="119"/>
      <c r="E959" s="330"/>
      <c r="F959" s="121"/>
      <c r="G959" s="153"/>
      <c r="H959" s="153"/>
      <c r="I959" s="153"/>
      <c r="J959" s="112"/>
      <c r="K959" s="153"/>
      <c r="L959" s="114"/>
      <c r="M959" s="151"/>
      <c r="N959" s="152"/>
      <c r="O959" s="150"/>
      <c r="P959" s="114"/>
      <c r="Q959" s="114"/>
      <c r="R959" s="151"/>
      <c r="S959" s="152"/>
      <c r="T959" s="153"/>
      <c r="U959" s="152"/>
      <c r="V959" s="152"/>
      <c r="W959" s="152"/>
      <c r="X959" s="152"/>
      <c r="Y959" s="153"/>
      <c r="Z959" s="125" t="str">
        <f t="shared" si="16"/>
        <v/>
      </c>
      <c r="AA959" s="126" t="str">
        <f t="shared" si="17"/>
        <v/>
      </c>
      <c r="AB959" s="154" t="str">
        <f t="shared" si="18"/>
        <v/>
      </c>
      <c r="AC959" s="152"/>
      <c r="AD959" s="153"/>
      <c r="AE959" s="156"/>
    </row>
    <row r="960" ht="18.0" customHeight="1">
      <c r="A960" s="127" t="str">
        <f t="shared" si="15"/>
        <v/>
      </c>
      <c r="B960" s="128"/>
      <c r="C960" s="129"/>
      <c r="D960" s="129"/>
      <c r="E960" s="325"/>
      <c r="F960" s="131"/>
      <c r="G960" s="319"/>
      <c r="H960" s="319"/>
      <c r="I960" s="319"/>
      <c r="J960" s="132"/>
      <c r="K960" s="319"/>
      <c r="L960" s="135"/>
      <c r="M960" s="321"/>
      <c r="N960" s="322"/>
      <c r="O960" s="150"/>
      <c r="P960" s="135"/>
      <c r="Q960" s="135"/>
      <c r="R960" s="321"/>
      <c r="S960" s="322"/>
      <c r="T960" s="319"/>
      <c r="U960" s="322"/>
      <c r="V960" s="322"/>
      <c r="W960" s="322"/>
      <c r="X960" s="322"/>
      <c r="Y960" s="319"/>
      <c r="Z960" s="136" t="str">
        <f t="shared" si="16"/>
        <v/>
      </c>
      <c r="AA960" s="137" t="str">
        <f t="shared" si="17"/>
        <v/>
      </c>
      <c r="AB960" s="154" t="str">
        <f t="shared" si="18"/>
        <v/>
      </c>
      <c r="AC960" s="322"/>
      <c r="AD960" s="319"/>
      <c r="AE960" s="320"/>
    </row>
    <row r="961" ht="18.0" customHeight="1">
      <c r="A961" s="118" t="str">
        <f t="shared" si="15"/>
        <v/>
      </c>
      <c r="B961" s="109"/>
      <c r="C961" s="119"/>
      <c r="D961" s="119"/>
      <c r="E961" s="330"/>
      <c r="F961" s="121"/>
      <c r="G961" s="153"/>
      <c r="H961" s="153"/>
      <c r="I961" s="153"/>
      <c r="J961" s="112"/>
      <c r="K961" s="153"/>
      <c r="L961" s="114"/>
      <c r="M961" s="151"/>
      <c r="N961" s="152"/>
      <c r="O961" s="150"/>
      <c r="P961" s="114"/>
      <c r="Q961" s="114"/>
      <c r="R961" s="151"/>
      <c r="S961" s="152"/>
      <c r="T961" s="153"/>
      <c r="U961" s="152"/>
      <c r="V961" s="152"/>
      <c r="W961" s="152"/>
      <c r="X961" s="152"/>
      <c r="Y961" s="153"/>
      <c r="Z961" s="125" t="str">
        <f t="shared" si="16"/>
        <v/>
      </c>
      <c r="AA961" s="126" t="str">
        <f t="shared" si="17"/>
        <v/>
      </c>
      <c r="AB961" s="154" t="str">
        <f t="shared" si="18"/>
        <v/>
      </c>
      <c r="AC961" s="152"/>
      <c r="AD961" s="153"/>
      <c r="AE961" s="156"/>
    </row>
    <row r="962" ht="18.0" customHeight="1">
      <c r="A962" s="127" t="str">
        <f t="shared" si="15"/>
        <v/>
      </c>
      <c r="B962" s="128"/>
      <c r="C962" s="129"/>
      <c r="D962" s="129"/>
      <c r="E962" s="325"/>
      <c r="F962" s="131"/>
      <c r="G962" s="319"/>
      <c r="H962" s="319"/>
      <c r="I962" s="319"/>
      <c r="J962" s="132"/>
      <c r="K962" s="319"/>
      <c r="L962" s="135"/>
      <c r="M962" s="321"/>
      <c r="N962" s="322"/>
      <c r="O962" s="150"/>
      <c r="P962" s="135"/>
      <c r="Q962" s="135"/>
      <c r="R962" s="321"/>
      <c r="S962" s="322"/>
      <c r="T962" s="319"/>
      <c r="U962" s="322"/>
      <c r="V962" s="322"/>
      <c r="W962" s="322"/>
      <c r="X962" s="322"/>
      <c r="Y962" s="319"/>
      <c r="Z962" s="136" t="str">
        <f t="shared" si="16"/>
        <v/>
      </c>
      <c r="AA962" s="137" t="str">
        <f t="shared" si="17"/>
        <v/>
      </c>
      <c r="AB962" s="154" t="str">
        <f t="shared" si="18"/>
        <v/>
      </c>
      <c r="AC962" s="322"/>
      <c r="AD962" s="319"/>
      <c r="AE962" s="320"/>
    </row>
    <row r="963" ht="18.0" customHeight="1">
      <c r="A963" s="118" t="str">
        <f t="shared" si="15"/>
        <v/>
      </c>
      <c r="B963" s="109"/>
      <c r="C963" s="119"/>
      <c r="D963" s="119"/>
      <c r="E963" s="330"/>
      <c r="F963" s="121"/>
      <c r="G963" s="153"/>
      <c r="H963" s="153"/>
      <c r="I963" s="153"/>
      <c r="J963" s="112"/>
      <c r="K963" s="153"/>
      <c r="L963" s="114"/>
      <c r="M963" s="151"/>
      <c r="N963" s="152"/>
      <c r="O963" s="150"/>
      <c r="P963" s="114"/>
      <c r="Q963" s="114"/>
      <c r="R963" s="151"/>
      <c r="S963" s="152"/>
      <c r="T963" s="153"/>
      <c r="U963" s="152"/>
      <c r="V963" s="152"/>
      <c r="W963" s="152"/>
      <c r="X963" s="152"/>
      <c r="Y963" s="153"/>
      <c r="Z963" s="125" t="str">
        <f t="shared" si="16"/>
        <v/>
      </c>
      <c r="AA963" s="126" t="str">
        <f t="shared" si="17"/>
        <v/>
      </c>
      <c r="AB963" s="154" t="str">
        <f t="shared" si="18"/>
        <v/>
      </c>
      <c r="AC963" s="152"/>
      <c r="AD963" s="153"/>
      <c r="AE963" s="156"/>
    </row>
    <row r="964" ht="18.0" customHeight="1">
      <c r="A964" s="127" t="str">
        <f t="shared" si="15"/>
        <v/>
      </c>
      <c r="B964" s="128"/>
      <c r="C964" s="129"/>
      <c r="D964" s="129"/>
      <c r="E964" s="325"/>
      <c r="F964" s="131"/>
      <c r="G964" s="319"/>
      <c r="H964" s="319"/>
      <c r="I964" s="319"/>
      <c r="J964" s="132"/>
      <c r="K964" s="319"/>
      <c r="L964" s="135"/>
      <c r="M964" s="321"/>
      <c r="N964" s="322"/>
      <c r="O964" s="150"/>
      <c r="P964" s="135"/>
      <c r="Q964" s="135"/>
      <c r="R964" s="321"/>
      <c r="S964" s="322"/>
      <c r="T964" s="319"/>
      <c r="U964" s="322"/>
      <c r="V964" s="322"/>
      <c r="W964" s="322"/>
      <c r="X964" s="322"/>
      <c r="Y964" s="319"/>
      <c r="Z964" s="136" t="str">
        <f t="shared" si="16"/>
        <v/>
      </c>
      <c r="AA964" s="137" t="str">
        <f t="shared" si="17"/>
        <v/>
      </c>
      <c r="AB964" s="154" t="str">
        <f t="shared" si="18"/>
        <v/>
      </c>
      <c r="AC964" s="322"/>
      <c r="AD964" s="319"/>
      <c r="AE964" s="320"/>
    </row>
    <row r="965" ht="18.0" customHeight="1">
      <c r="A965" s="118" t="str">
        <f t="shared" si="15"/>
        <v/>
      </c>
      <c r="B965" s="109"/>
      <c r="C965" s="119"/>
      <c r="D965" s="119"/>
      <c r="E965" s="330"/>
      <c r="F965" s="121"/>
      <c r="G965" s="153"/>
      <c r="H965" s="153"/>
      <c r="I965" s="153"/>
      <c r="J965" s="112"/>
      <c r="K965" s="153"/>
      <c r="L965" s="114"/>
      <c r="M965" s="151"/>
      <c r="N965" s="152"/>
      <c r="O965" s="150"/>
      <c r="P965" s="114"/>
      <c r="Q965" s="114"/>
      <c r="R965" s="151"/>
      <c r="S965" s="152"/>
      <c r="T965" s="153"/>
      <c r="U965" s="152"/>
      <c r="V965" s="152"/>
      <c r="W965" s="152"/>
      <c r="X965" s="152"/>
      <c r="Y965" s="153"/>
      <c r="Z965" s="125" t="str">
        <f t="shared" si="16"/>
        <v/>
      </c>
      <c r="AA965" s="126" t="str">
        <f t="shared" si="17"/>
        <v/>
      </c>
      <c r="AB965" s="154" t="str">
        <f t="shared" si="18"/>
        <v/>
      </c>
      <c r="AC965" s="152"/>
      <c r="AD965" s="153"/>
      <c r="AE965" s="156"/>
    </row>
    <row r="966" ht="18.0" customHeight="1">
      <c r="A966" s="127" t="str">
        <f t="shared" si="15"/>
        <v/>
      </c>
      <c r="B966" s="128"/>
      <c r="C966" s="129"/>
      <c r="D966" s="129"/>
      <c r="E966" s="325"/>
      <c r="F966" s="131"/>
      <c r="G966" s="319"/>
      <c r="H966" s="319"/>
      <c r="I966" s="319"/>
      <c r="J966" s="132"/>
      <c r="K966" s="319"/>
      <c r="L966" s="135"/>
      <c r="M966" s="321"/>
      <c r="N966" s="322"/>
      <c r="O966" s="150"/>
      <c r="P966" s="135"/>
      <c r="Q966" s="135"/>
      <c r="R966" s="321"/>
      <c r="S966" s="322"/>
      <c r="T966" s="319"/>
      <c r="U966" s="322"/>
      <c r="V966" s="322"/>
      <c r="W966" s="322"/>
      <c r="X966" s="322"/>
      <c r="Y966" s="319"/>
      <c r="Z966" s="136" t="str">
        <f t="shared" si="16"/>
        <v/>
      </c>
      <c r="AA966" s="137" t="str">
        <f t="shared" si="17"/>
        <v/>
      </c>
      <c r="AB966" s="154" t="str">
        <f t="shared" si="18"/>
        <v/>
      </c>
      <c r="AC966" s="322"/>
      <c r="AD966" s="319"/>
      <c r="AE966" s="320"/>
    </row>
    <row r="967" ht="18.0" customHeight="1">
      <c r="A967" s="118" t="str">
        <f t="shared" si="15"/>
        <v/>
      </c>
      <c r="B967" s="109"/>
      <c r="C967" s="119"/>
      <c r="D967" s="119"/>
      <c r="E967" s="330"/>
      <c r="F967" s="121"/>
      <c r="G967" s="153"/>
      <c r="H967" s="153"/>
      <c r="I967" s="153"/>
      <c r="J967" s="112"/>
      <c r="K967" s="153"/>
      <c r="L967" s="114"/>
      <c r="M967" s="151"/>
      <c r="N967" s="152"/>
      <c r="O967" s="150"/>
      <c r="P967" s="114"/>
      <c r="Q967" s="114"/>
      <c r="R967" s="151"/>
      <c r="S967" s="152"/>
      <c r="T967" s="153"/>
      <c r="U967" s="152"/>
      <c r="V967" s="152"/>
      <c r="W967" s="152"/>
      <c r="X967" s="152"/>
      <c r="Y967" s="153"/>
      <c r="Z967" s="125" t="str">
        <f t="shared" si="16"/>
        <v/>
      </c>
      <c r="AA967" s="126" t="str">
        <f t="shared" si="17"/>
        <v/>
      </c>
      <c r="AB967" s="154" t="str">
        <f t="shared" si="18"/>
        <v/>
      </c>
      <c r="AC967" s="152"/>
      <c r="AD967" s="153"/>
      <c r="AE967" s="156"/>
    </row>
    <row r="968" ht="18.0" customHeight="1">
      <c r="A968" s="127" t="str">
        <f t="shared" si="15"/>
        <v/>
      </c>
      <c r="B968" s="128"/>
      <c r="C968" s="129"/>
      <c r="D968" s="129"/>
      <c r="E968" s="325"/>
      <c r="F968" s="131"/>
      <c r="G968" s="319"/>
      <c r="H968" s="319"/>
      <c r="I968" s="319"/>
      <c r="J968" s="132"/>
      <c r="K968" s="319"/>
      <c r="L968" s="135"/>
      <c r="M968" s="321"/>
      <c r="N968" s="322"/>
      <c r="O968" s="150"/>
      <c r="P968" s="135"/>
      <c r="Q968" s="135"/>
      <c r="R968" s="321"/>
      <c r="S968" s="322"/>
      <c r="T968" s="319"/>
      <c r="U968" s="322"/>
      <c r="V968" s="322"/>
      <c r="W968" s="322"/>
      <c r="X968" s="322"/>
      <c r="Y968" s="319"/>
      <c r="Z968" s="136" t="str">
        <f t="shared" si="16"/>
        <v/>
      </c>
      <c r="AA968" s="137" t="str">
        <f t="shared" si="17"/>
        <v/>
      </c>
      <c r="AB968" s="154" t="str">
        <f t="shared" si="18"/>
        <v/>
      </c>
      <c r="AC968" s="322"/>
      <c r="AD968" s="319"/>
      <c r="AE968" s="320"/>
    </row>
    <row r="969" ht="18.0" customHeight="1">
      <c r="A969" s="118" t="str">
        <f t="shared" si="15"/>
        <v/>
      </c>
      <c r="B969" s="109"/>
      <c r="C969" s="119"/>
      <c r="D969" s="119"/>
      <c r="E969" s="330"/>
      <c r="F969" s="121"/>
      <c r="G969" s="153"/>
      <c r="H969" s="153"/>
      <c r="I969" s="153"/>
      <c r="J969" s="112"/>
      <c r="K969" s="153"/>
      <c r="L969" s="114"/>
      <c r="M969" s="151"/>
      <c r="N969" s="152"/>
      <c r="O969" s="150"/>
      <c r="P969" s="114"/>
      <c r="Q969" s="114"/>
      <c r="R969" s="151"/>
      <c r="S969" s="152"/>
      <c r="T969" s="153"/>
      <c r="U969" s="152"/>
      <c r="V969" s="152"/>
      <c r="W969" s="152"/>
      <c r="X969" s="152"/>
      <c r="Y969" s="153"/>
      <c r="Z969" s="125" t="str">
        <f t="shared" si="16"/>
        <v/>
      </c>
      <c r="AA969" s="126" t="str">
        <f t="shared" si="17"/>
        <v/>
      </c>
      <c r="AB969" s="154" t="str">
        <f t="shared" si="18"/>
        <v/>
      </c>
      <c r="AC969" s="152"/>
      <c r="AD969" s="153"/>
      <c r="AE969" s="156"/>
    </row>
    <row r="970" ht="18.0" customHeight="1">
      <c r="A970" s="127" t="str">
        <f t="shared" si="15"/>
        <v/>
      </c>
      <c r="B970" s="128"/>
      <c r="C970" s="129"/>
      <c r="D970" s="129"/>
      <c r="E970" s="325"/>
      <c r="F970" s="131"/>
      <c r="G970" s="319"/>
      <c r="H970" s="319"/>
      <c r="I970" s="319"/>
      <c r="J970" s="132"/>
      <c r="K970" s="319"/>
      <c r="L970" s="135"/>
      <c r="M970" s="321"/>
      <c r="N970" s="322"/>
      <c r="O970" s="150"/>
      <c r="P970" s="135"/>
      <c r="Q970" s="135"/>
      <c r="R970" s="321"/>
      <c r="S970" s="322"/>
      <c r="T970" s="319"/>
      <c r="U970" s="322"/>
      <c r="V970" s="322"/>
      <c r="W970" s="322"/>
      <c r="X970" s="322"/>
      <c r="Y970" s="319"/>
      <c r="Z970" s="136" t="str">
        <f t="shared" si="16"/>
        <v/>
      </c>
      <c r="AA970" s="137" t="str">
        <f t="shared" si="17"/>
        <v/>
      </c>
      <c r="AB970" s="154" t="str">
        <f t="shared" si="18"/>
        <v/>
      </c>
      <c r="AC970" s="322"/>
      <c r="AD970" s="319"/>
      <c r="AE970" s="320"/>
    </row>
    <row r="971" ht="18.0" customHeight="1">
      <c r="A971" s="118" t="str">
        <f t="shared" si="15"/>
        <v/>
      </c>
      <c r="B971" s="109"/>
      <c r="C971" s="119"/>
      <c r="D971" s="119"/>
      <c r="E971" s="330"/>
      <c r="F971" s="121"/>
      <c r="G971" s="153"/>
      <c r="H971" s="153"/>
      <c r="I971" s="153"/>
      <c r="J971" s="112"/>
      <c r="K971" s="153"/>
      <c r="L971" s="114"/>
      <c r="M971" s="151"/>
      <c r="N971" s="152"/>
      <c r="O971" s="150"/>
      <c r="P971" s="114"/>
      <c r="Q971" s="114"/>
      <c r="R971" s="151"/>
      <c r="S971" s="152"/>
      <c r="T971" s="153"/>
      <c r="U971" s="152"/>
      <c r="V971" s="152"/>
      <c r="W971" s="152"/>
      <c r="X971" s="152"/>
      <c r="Y971" s="153"/>
      <c r="Z971" s="125" t="str">
        <f t="shared" si="16"/>
        <v/>
      </c>
      <c r="AA971" s="126" t="str">
        <f t="shared" si="17"/>
        <v/>
      </c>
      <c r="AB971" s="154" t="str">
        <f t="shared" si="18"/>
        <v/>
      </c>
      <c r="AC971" s="152"/>
      <c r="AD971" s="153"/>
      <c r="AE971" s="156"/>
    </row>
    <row r="972" ht="18.0" customHeight="1">
      <c r="A972" s="127" t="str">
        <f t="shared" si="15"/>
        <v/>
      </c>
      <c r="B972" s="128"/>
      <c r="C972" s="129"/>
      <c r="D972" s="129"/>
      <c r="E972" s="325"/>
      <c r="F972" s="131"/>
      <c r="G972" s="319"/>
      <c r="H972" s="319"/>
      <c r="I972" s="319"/>
      <c r="J972" s="132"/>
      <c r="K972" s="319"/>
      <c r="L972" s="135"/>
      <c r="M972" s="321"/>
      <c r="N972" s="322"/>
      <c r="O972" s="150"/>
      <c r="P972" s="135"/>
      <c r="Q972" s="135"/>
      <c r="R972" s="321"/>
      <c r="S972" s="322"/>
      <c r="T972" s="319"/>
      <c r="U972" s="322"/>
      <c r="V972" s="322"/>
      <c r="W972" s="322"/>
      <c r="X972" s="322"/>
      <c r="Y972" s="319"/>
      <c r="Z972" s="136" t="str">
        <f t="shared" si="16"/>
        <v/>
      </c>
      <c r="AA972" s="137" t="str">
        <f t="shared" si="17"/>
        <v/>
      </c>
      <c r="AB972" s="154" t="str">
        <f t="shared" si="18"/>
        <v/>
      </c>
      <c r="AC972" s="322"/>
      <c r="AD972" s="319"/>
      <c r="AE972" s="320"/>
    </row>
    <row r="973" ht="18.0" customHeight="1">
      <c r="A973" s="118" t="str">
        <f t="shared" si="15"/>
        <v/>
      </c>
      <c r="B973" s="109"/>
      <c r="C973" s="119"/>
      <c r="D973" s="119"/>
      <c r="E973" s="330"/>
      <c r="F973" s="121"/>
      <c r="G973" s="153"/>
      <c r="H973" s="153"/>
      <c r="I973" s="153"/>
      <c r="J973" s="112"/>
      <c r="K973" s="153"/>
      <c r="L973" s="114"/>
      <c r="M973" s="151"/>
      <c r="N973" s="152"/>
      <c r="O973" s="150"/>
      <c r="P973" s="114"/>
      <c r="Q973" s="114"/>
      <c r="R973" s="151"/>
      <c r="S973" s="152"/>
      <c r="T973" s="153"/>
      <c r="U973" s="152"/>
      <c r="V973" s="152"/>
      <c r="W973" s="152"/>
      <c r="X973" s="152"/>
      <c r="Y973" s="153"/>
      <c r="Z973" s="125" t="str">
        <f t="shared" si="16"/>
        <v/>
      </c>
      <c r="AA973" s="126" t="str">
        <f t="shared" si="17"/>
        <v/>
      </c>
      <c r="AB973" s="154" t="str">
        <f t="shared" si="18"/>
        <v/>
      </c>
      <c r="AC973" s="152"/>
      <c r="AD973" s="153"/>
      <c r="AE973" s="156"/>
    </row>
    <row r="974" ht="18.0" customHeight="1">
      <c r="A974" s="127" t="str">
        <f t="shared" si="15"/>
        <v/>
      </c>
      <c r="B974" s="128"/>
      <c r="C974" s="129"/>
      <c r="D974" s="129"/>
      <c r="E974" s="325"/>
      <c r="F974" s="131"/>
      <c r="G974" s="319"/>
      <c r="H974" s="319"/>
      <c r="I974" s="319"/>
      <c r="J974" s="132"/>
      <c r="K974" s="319"/>
      <c r="L974" s="135"/>
      <c r="M974" s="321"/>
      <c r="N974" s="322"/>
      <c r="O974" s="150"/>
      <c r="P974" s="135"/>
      <c r="Q974" s="135"/>
      <c r="R974" s="321"/>
      <c r="S974" s="322"/>
      <c r="T974" s="319"/>
      <c r="U974" s="322"/>
      <c r="V974" s="322"/>
      <c r="W974" s="322"/>
      <c r="X974" s="322"/>
      <c r="Y974" s="319"/>
      <c r="Z974" s="136" t="str">
        <f t="shared" si="16"/>
        <v/>
      </c>
      <c r="AA974" s="137" t="str">
        <f t="shared" si="17"/>
        <v/>
      </c>
      <c r="AB974" s="154" t="str">
        <f t="shared" si="18"/>
        <v/>
      </c>
      <c r="AC974" s="322"/>
      <c r="AD974" s="319"/>
      <c r="AE974" s="320"/>
    </row>
    <row r="975" ht="18.0" customHeight="1">
      <c r="A975" s="118" t="str">
        <f t="shared" si="15"/>
        <v/>
      </c>
      <c r="B975" s="109"/>
      <c r="C975" s="119"/>
      <c r="D975" s="119"/>
      <c r="E975" s="330"/>
      <c r="F975" s="121"/>
      <c r="G975" s="153"/>
      <c r="H975" s="153"/>
      <c r="I975" s="153"/>
      <c r="J975" s="112"/>
      <c r="K975" s="153"/>
      <c r="L975" s="114"/>
      <c r="M975" s="151"/>
      <c r="N975" s="152"/>
      <c r="O975" s="150"/>
      <c r="P975" s="114"/>
      <c r="Q975" s="114"/>
      <c r="R975" s="151"/>
      <c r="S975" s="152"/>
      <c r="T975" s="153"/>
      <c r="U975" s="152"/>
      <c r="V975" s="152"/>
      <c r="W975" s="152"/>
      <c r="X975" s="152"/>
      <c r="Y975" s="153"/>
      <c r="Z975" s="125" t="str">
        <f t="shared" si="16"/>
        <v/>
      </c>
      <c r="AA975" s="126" t="str">
        <f t="shared" si="17"/>
        <v/>
      </c>
      <c r="AB975" s="154" t="str">
        <f t="shared" si="18"/>
        <v/>
      </c>
      <c r="AC975" s="152"/>
      <c r="AD975" s="153"/>
      <c r="AE975" s="156"/>
    </row>
    <row r="976" ht="18.0" customHeight="1">
      <c r="A976" s="127" t="str">
        <f t="shared" si="15"/>
        <v/>
      </c>
      <c r="B976" s="128"/>
      <c r="C976" s="129"/>
      <c r="D976" s="129"/>
      <c r="E976" s="325"/>
      <c r="F976" s="131"/>
      <c r="G976" s="319"/>
      <c r="H976" s="319"/>
      <c r="I976" s="319"/>
      <c r="J976" s="132"/>
      <c r="K976" s="319"/>
      <c r="L976" s="135"/>
      <c r="M976" s="321"/>
      <c r="N976" s="322"/>
      <c r="O976" s="150"/>
      <c r="P976" s="135"/>
      <c r="Q976" s="135"/>
      <c r="R976" s="321"/>
      <c r="S976" s="322"/>
      <c r="T976" s="319"/>
      <c r="U976" s="322"/>
      <c r="V976" s="322"/>
      <c r="W976" s="322"/>
      <c r="X976" s="322"/>
      <c r="Y976" s="319"/>
      <c r="Z976" s="136" t="str">
        <f t="shared" si="16"/>
        <v/>
      </c>
      <c r="AA976" s="137" t="str">
        <f t="shared" si="17"/>
        <v/>
      </c>
      <c r="AB976" s="154" t="str">
        <f t="shared" si="18"/>
        <v/>
      </c>
      <c r="AC976" s="322"/>
      <c r="AD976" s="319"/>
      <c r="AE976" s="320"/>
    </row>
    <row r="977" ht="18.0" customHeight="1">
      <c r="A977" s="118" t="str">
        <f t="shared" si="15"/>
        <v/>
      </c>
      <c r="B977" s="109"/>
      <c r="C977" s="119"/>
      <c r="D977" s="119"/>
      <c r="E977" s="330"/>
      <c r="F977" s="121"/>
      <c r="G977" s="153"/>
      <c r="H977" s="153"/>
      <c r="I977" s="153"/>
      <c r="J977" s="112"/>
      <c r="K977" s="153"/>
      <c r="L977" s="114"/>
      <c r="M977" s="151"/>
      <c r="N977" s="152"/>
      <c r="O977" s="150"/>
      <c r="P977" s="114"/>
      <c r="Q977" s="114"/>
      <c r="R977" s="151"/>
      <c r="S977" s="152"/>
      <c r="T977" s="153"/>
      <c r="U977" s="152"/>
      <c r="V977" s="152"/>
      <c r="W977" s="152"/>
      <c r="X977" s="152"/>
      <c r="Y977" s="153"/>
      <c r="Z977" s="125" t="str">
        <f t="shared" si="16"/>
        <v/>
      </c>
      <c r="AA977" s="126" t="str">
        <f t="shared" si="17"/>
        <v/>
      </c>
      <c r="AB977" s="154" t="str">
        <f t="shared" si="18"/>
        <v/>
      </c>
      <c r="AC977" s="152"/>
      <c r="AD977" s="153"/>
      <c r="AE977" s="156"/>
    </row>
    <row r="978" ht="18.0" customHeight="1">
      <c r="A978" s="127" t="str">
        <f t="shared" si="15"/>
        <v/>
      </c>
      <c r="B978" s="128"/>
      <c r="C978" s="129"/>
      <c r="D978" s="129"/>
      <c r="E978" s="325"/>
      <c r="F978" s="131"/>
      <c r="G978" s="319"/>
      <c r="H978" s="319"/>
      <c r="I978" s="319"/>
      <c r="J978" s="132"/>
      <c r="K978" s="319"/>
      <c r="L978" s="135"/>
      <c r="M978" s="321"/>
      <c r="N978" s="322"/>
      <c r="O978" s="150"/>
      <c r="P978" s="135"/>
      <c r="Q978" s="135"/>
      <c r="R978" s="321"/>
      <c r="S978" s="322"/>
      <c r="T978" s="319"/>
      <c r="U978" s="322"/>
      <c r="V978" s="322"/>
      <c r="W978" s="322"/>
      <c r="X978" s="322"/>
      <c r="Y978" s="319"/>
      <c r="Z978" s="136" t="str">
        <f t="shared" si="16"/>
        <v/>
      </c>
      <c r="AA978" s="137" t="str">
        <f t="shared" si="17"/>
        <v/>
      </c>
      <c r="AB978" s="154" t="str">
        <f t="shared" si="18"/>
        <v/>
      </c>
      <c r="AC978" s="322"/>
      <c r="AD978" s="319"/>
      <c r="AE978" s="320"/>
    </row>
    <row r="979" ht="18.0" customHeight="1">
      <c r="A979" s="118" t="str">
        <f t="shared" si="15"/>
        <v/>
      </c>
      <c r="B979" s="109"/>
      <c r="C979" s="119"/>
      <c r="D979" s="119"/>
      <c r="E979" s="330"/>
      <c r="F979" s="121"/>
      <c r="G979" s="153"/>
      <c r="H979" s="153"/>
      <c r="I979" s="153"/>
      <c r="J979" s="112"/>
      <c r="K979" s="153"/>
      <c r="L979" s="114"/>
      <c r="M979" s="151"/>
      <c r="N979" s="152"/>
      <c r="O979" s="150"/>
      <c r="P979" s="114"/>
      <c r="Q979" s="114"/>
      <c r="R979" s="151"/>
      <c r="S979" s="152"/>
      <c r="T979" s="153"/>
      <c r="U979" s="152"/>
      <c r="V979" s="152"/>
      <c r="W979" s="152"/>
      <c r="X979" s="152"/>
      <c r="Y979" s="153"/>
      <c r="Z979" s="125" t="str">
        <f t="shared" si="16"/>
        <v/>
      </c>
      <c r="AA979" s="126" t="str">
        <f t="shared" si="17"/>
        <v/>
      </c>
      <c r="AB979" s="154" t="str">
        <f t="shared" si="18"/>
        <v/>
      </c>
      <c r="AC979" s="152"/>
      <c r="AD979" s="153"/>
      <c r="AE979" s="156"/>
    </row>
    <row r="980" ht="18.0" customHeight="1">
      <c r="A980" s="127" t="str">
        <f t="shared" si="15"/>
        <v/>
      </c>
      <c r="B980" s="128"/>
      <c r="C980" s="129"/>
      <c r="D980" s="129"/>
      <c r="E980" s="325"/>
      <c r="F980" s="131"/>
      <c r="G980" s="319"/>
      <c r="H980" s="319"/>
      <c r="I980" s="319"/>
      <c r="J980" s="132"/>
      <c r="K980" s="319"/>
      <c r="L980" s="135"/>
      <c r="M980" s="321"/>
      <c r="N980" s="322"/>
      <c r="O980" s="150"/>
      <c r="P980" s="135"/>
      <c r="Q980" s="135"/>
      <c r="R980" s="321"/>
      <c r="S980" s="322"/>
      <c r="T980" s="319"/>
      <c r="U980" s="322"/>
      <c r="V980" s="322"/>
      <c r="W980" s="322"/>
      <c r="X980" s="322"/>
      <c r="Y980" s="319"/>
      <c r="Z980" s="136" t="str">
        <f t="shared" si="16"/>
        <v/>
      </c>
      <c r="AA980" s="137" t="str">
        <f t="shared" si="17"/>
        <v/>
      </c>
      <c r="AB980" s="154" t="str">
        <f t="shared" si="18"/>
        <v/>
      </c>
      <c r="AC980" s="322"/>
      <c r="AD980" s="319"/>
      <c r="AE980" s="320"/>
    </row>
    <row r="981" ht="18.0" customHeight="1">
      <c r="A981" s="118" t="str">
        <f t="shared" si="15"/>
        <v/>
      </c>
      <c r="B981" s="109"/>
      <c r="C981" s="119"/>
      <c r="D981" s="119"/>
      <c r="E981" s="330"/>
      <c r="F981" s="121"/>
      <c r="G981" s="153"/>
      <c r="H981" s="153"/>
      <c r="I981" s="153"/>
      <c r="J981" s="112"/>
      <c r="K981" s="153"/>
      <c r="L981" s="114"/>
      <c r="M981" s="151"/>
      <c r="N981" s="152"/>
      <c r="O981" s="150"/>
      <c r="P981" s="114"/>
      <c r="Q981" s="114"/>
      <c r="R981" s="151"/>
      <c r="S981" s="152"/>
      <c r="T981" s="153"/>
      <c r="U981" s="152"/>
      <c r="V981" s="152"/>
      <c r="W981" s="152"/>
      <c r="X981" s="152"/>
      <c r="Y981" s="153"/>
      <c r="Z981" s="125" t="str">
        <f t="shared" si="16"/>
        <v/>
      </c>
      <c r="AA981" s="126" t="str">
        <f t="shared" si="17"/>
        <v/>
      </c>
      <c r="AB981" s="154" t="str">
        <f t="shared" si="18"/>
        <v/>
      </c>
      <c r="AC981" s="152"/>
      <c r="AD981" s="153"/>
      <c r="AE981" s="156"/>
    </row>
    <row r="982" ht="18.0" customHeight="1">
      <c r="A982" s="127" t="str">
        <f t="shared" si="15"/>
        <v/>
      </c>
      <c r="B982" s="128"/>
      <c r="C982" s="129"/>
      <c r="D982" s="129"/>
      <c r="E982" s="325"/>
      <c r="F982" s="131"/>
      <c r="G982" s="319"/>
      <c r="H982" s="319"/>
      <c r="I982" s="319"/>
      <c r="J982" s="132"/>
      <c r="K982" s="319"/>
      <c r="L982" s="135"/>
      <c r="M982" s="321"/>
      <c r="N982" s="322"/>
      <c r="O982" s="150"/>
      <c r="P982" s="135"/>
      <c r="Q982" s="135"/>
      <c r="R982" s="321"/>
      <c r="S982" s="322"/>
      <c r="T982" s="319"/>
      <c r="U982" s="322"/>
      <c r="V982" s="322"/>
      <c r="W982" s="322"/>
      <c r="X982" s="322"/>
      <c r="Y982" s="319"/>
      <c r="Z982" s="136" t="str">
        <f t="shared" si="16"/>
        <v/>
      </c>
      <c r="AA982" s="137" t="str">
        <f t="shared" si="17"/>
        <v/>
      </c>
      <c r="AB982" s="154" t="str">
        <f t="shared" si="18"/>
        <v/>
      </c>
      <c r="AC982" s="322"/>
      <c r="AD982" s="319"/>
      <c r="AE982" s="320"/>
    </row>
    <row r="983" ht="18.0" customHeight="1">
      <c r="A983" s="118" t="str">
        <f t="shared" si="15"/>
        <v/>
      </c>
      <c r="B983" s="109"/>
      <c r="C983" s="119"/>
      <c r="D983" s="119"/>
      <c r="E983" s="330"/>
      <c r="F983" s="121"/>
      <c r="G983" s="153"/>
      <c r="H983" s="153"/>
      <c r="I983" s="153"/>
      <c r="J983" s="112"/>
      <c r="K983" s="153"/>
      <c r="L983" s="114"/>
      <c r="M983" s="151"/>
      <c r="N983" s="152"/>
      <c r="O983" s="150"/>
      <c r="P983" s="114"/>
      <c r="Q983" s="114"/>
      <c r="R983" s="151"/>
      <c r="S983" s="152"/>
      <c r="T983" s="153"/>
      <c r="U983" s="152"/>
      <c r="V983" s="152"/>
      <c r="W983" s="152"/>
      <c r="X983" s="152"/>
      <c r="Y983" s="153"/>
      <c r="Z983" s="125" t="str">
        <f t="shared" si="16"/>
        <v/>
      </c>
      <c r="AA983" s="126" t="str">
        <f t="shared" si="17"/>
        <v/>
      </c>
      <c r="AB983" s="154" t="str">
        <f t="shared" si="18"/>
        <v/>
      </c>
      <c r="AC983" s="152"/>
      <c r="AD983" s="153"/>
      <c r="AE983" s="156"/>
    </row>
    <row r="984" ht="18.0" customHeight="1">
      <c r="A984" s="127" t="str">
        <f t="shared" si="15"/>
        <v/>
      </c>
      <c r="B984" s="128"/>
      <c r="C984" s="129"/>
      <c r="D984" s="129"/>
      <c r="E984" s="325"/>
      <c r="F984" s="131"/>
      <c r="G984" s="319"/>
      <c r="H984" s="319"/>
      <c r="I984" s="319"/>
      <c r="J984" s="132"/>
      <c r="K984" s="319"/>
      <c r="L984" s="135"/>
      <c r="M984" s="321"/>
      <c r="N984" s="322"/>
      <c r="O984" s="150"/>
      <c r="P984" s="135"/>
      <c r="Q984" s="135"/>
      <c r="R984" s="321"/>
      <c r="S984" s="322"/>
      <c r="T984" s="319"/>
      <c r="U984" s="322"/>
      <c r="V984" s="322"/>
      <c r="W984" s="322"/>
      <c r="X984" s="322"/>
      <c r="Y984" s="319"/>
      <c r="Z984" s="136" t="str">
        <f t="shared" si="16"/>
        <v/>
      </c>
      <c r="AA984" s="137" t="str">
        <f t="shared" si="17"/>
        <v/>
      </c>
      <c r="AB984" s="154" t="str">
        <f t="shared" si="18"/>
        <v/>
      </c>
      <c r="AC984" s="322"/>
      <c r="AD984" s="319"/>
      <c r="AE984" s="320"/>
    </row>
    <row r="985" ht="18.0" customHeight="1">
      <c r="A985" s="118" t="str">
        <f t="shared" si="15"/>
        <v/>
      </c>
      <c r="B985" s="109"/>
      <c r="C985" s="119"/>
      <c r="D985" s="119"/>
      <c r="E985" s="330"/>
      <c r="F985" s="121"/>
      <c r="G985" s="153"/>
      <c r="H985" s="153"/>
      <c r="I985" s="153"/>
      <c r="J985" s="112"/>
      <c r="K985" s="153"/>
      <c r="L985" s="114"/>
      <c r="M985" s="151"/>
      <c r="N985" s="152"/>
      <c r="O985" s="150"/>
      <c r="P985" s="114"/>
      <c r="Q985" s="114"/>
      <c r="R985" s="151"/>
      <c r="S985" s="152"/>
      <c r="T985" s="153"/>
      <c r="U985" s="152"/>
      <c r="V985" s="152"/>
      <c r="W985" s="152"/>
      <c r="X985" s="152"/>
      <c r="Y985" s="153"/>
      <c r="Z985" s="125" t="str">
        <f t="shared" si="16"/>
        <v/>
      </c>
      <c r="AA985" s="126" t="str">
        <f t="shared" si="17"/>
        <v/>
      </c>
      <c r="AB985" s="154" t="str">
        <f t="shared" si="18"/>
        <v/>
      </c>
      <c r="AC985" s="152"/>
      <c r="AD985" s="153"/>
      <c r="AE985" s="156"/>
    </row>
    <row r="986" ht="18.0" customHeight="1">
      <c r="A986" s="127" t="str">
        <f t="shared" si="15"/>
        <v/>
      </c>
      <c r="B986" s="128"/>
      <c r="C986" s="129"/>
      <c r="D986" s="129"/>
      <c r="E986" s="325"/>
      <c r="F986" s="131"/>
      <c r="G986" s="319"/>
      <c r="H986" s="319"/>
      <c r="I986" s="319"/>
      <c r="J986" s="132"/>
      <c r="K986" s="319"/>
      <c r="L986" s="135"/>
      <c r="M986" s="321"/>
      <c r="N986" s="322"/>
      <c r="O986" s="150"/>
      <c r="P986" s="135"/>
      <c r="Q986" s="135"/>
      <c r="R986" s="321"/>
      <c r="S986" s="322"/>
      <c r="T986" s="319"/>
      <c r="U986" s="322"/>
      <c r="V986" s="322"/>
      <c r="W986" s="322"/>
      <c r="X986" s="322"/>
      <c r="Y986" s="319"/>
      <c r="Z986" s="136" t="str">
        <f t="shared" si="16"/>
        <v/>
      </c>
      <c r="AA986" s="137" t="str">
        <f t="shared" si="17"/>
        <v/>
      </c>
      <c r="AB986" s="154" t="str">
        <f t="shared" si="18"/>
        <v/>
      </c>
      <c r="AC986" s="322"/>
      <c r="AD986" s="319"/>
      <c r="AE986" s="320"/>
    </row>
    <row r="987" ht="18.0" customHeight="1">
      <c r="A987" s="118" t="str">
        <f t="shared" si="15"/>
        <v/>
      </c>
      <c r="B987" s="109"/>
      <c r="C987" s="119"/>
      <c r="D987" s="119"/>
      <c r="E987" s="330"/>
      <c r="F987" s="121"/>
      <c r="G987" s="153"/>
      <c r="H987" s="153"/>
      <c r="I987" s="153"/>
      <c r="J987" s="112"/>
      <c r="K987" s="153"/>
      <c r="L987" s="114"/>
      <c r="M987" s="151"/>
      <c r="N987" s="152"/>
      <c r="O987" s="150"/>
      <c r="P987" s="114"/>
      <c r="Q987" s="114"/>
      <c r="R987" s="151"/>
      <c r="S987" s="152"/>
      <c r="T987" s="153"/>
      <c r="U987" s="152"/>
      <c r="V987" s="152"/>
      <c r="W987" s="152"/>
      <c r="X987" s="152"/>
      <c r="Y987" s="153"/>
      <c r="Z987" s="125" t="str">
        <f t="shared" si="16"/>
        <v/>
      </c>
      <c r="AA987" s="126" t="str">
        <f t="shared" si="17"/>
        <v/>
      </c>
      <c r="AB987" s="154" t="str">
        <f t="shared" si="18"/>
        <v/>
      </c>
      <c r="AC987" s="152"/>
      <c r="AD987" s="153"/>
      <c r="AE987" s="156"/>
    </row>
    <row r="988" ht="18.0" customHeight="1">
      <c r="A988" s="127" t="str">
        <f t="shared" si="15"/>
        <v/>
      </c>
      <c r="B988" s="128"/>
      <c r="C988" s="129"/>
      <c r="D988" s="129"/>
      <c r="E988" s="325"/>
      <c r="F988" s="131"/>
      <c r="G988" s="319"/>
      <c r="H988" s="319"/>
      <c r="I988" s="319"/>
      <c r="J988" s="132"/>
      <c r="K988" s="319"/>
      <c r="L988" s="135"/>
      <c r="M988" s="321"/>
      <c r="N988" s="322"/>
      <c r="O988" s="150"/>
      <c r="P988" s="135"/>
      <c r="Q988" s="135"/>
      <c r="R988" s="321"/>
      <c r="S988" s="322"/>
      <c r="T988" s="319"/>
      <c r="U988" s="322"/>
      <c r="V988" s="322"/>
      <c r="W988" s="322"/>
      <c r="X988" s="322"/>
      <c r="Y988" s="319"/>
      <c r="Z988" s="136" t="str">
        <f t="shared" si="16"/>
        <v/>
      </c>
      <c r="AA988" s="137" t="str">
        <f t="shared" si="17"/>
        <v/>
      </c>
      <c r="AB988" s="154" t="str">
        <f t="shared" si="18"/>
        <v/>
      </c>
      <c r="AC988" s="322"/>
      <c r="AD988" s="319"/>
      <c r="AE988" s="320"/>
    </row>
    <row r="989" ht="18.0" customHeight="1">
      <c r="A989" s="118" t="str">
        <f t="shared" si="15"/>
        <v/>
      </c>
      <c r="B989" s="109"/>
      <c r="C989" s="119"/>
      <c r="D989" s="119"/>
      <c r="E989" s="330"/>
      <c r="F989" s="121"/>
      <c r="G989" s="153"/>
      <c r="H989" s="153"/>
      <c r="I989" s="153"/>
      <c r="J989" s="112"/>
      <c r="K989" s="153"/>
      <c r="L989" s="114"/>
      <c r="M989" s="151"/>
      <c r="N989" s="152"/>
      <c r="O989" s="150"/>
      <c r="P989" s="114"/>
      <c r="Q989" s="114"/>
      <c r="R989" s="151"/>
      <c r="S989" s="152"/>
      <c r="T989" s="153"/>
      <c r="U989" s="152"/>
      <c r="V989" s="152"/>
      <c r="W989" s="152"/>
      <c r="X989" s="152"/>
      <c r="Y989" s="153"/>
      <c r="Z989" s="125" t="str">
        <f t="shared" si="16"/>
        <v/>
      </c>
      <c r="AA989" s="126" t="str">
        <f t="shared" si="17"/>
        <v/>
      </c>
      <c r="AB989" s="154" t="str">
        <f t="shared" si="18"/>
        <v/>
      </c>
      <c r="AC989" s="152"/>
      <c r="AD989" s="153"/>
      <c r="AE989" s="156"/>
    </row>
    <row r="990" ht="18.0" customHeight="1">
      <c r="A990" s="127" t="str">
        <f t="shared" si="15"/>
        <v/>
      </c>
      <c r="B990" s="128"/>
      <c r="C990" s="129"/>
      <c r="D990" s="129"/>
      <c r="E990" s="325"/>
      <c r="F990" s="131"/>
      <c r="G990" s="319"/>
      <c r="H990" s="319"/>
      <c r="I990" s="319"/>
      <c r="J990" s="132"/>
      <c r="K990" s="319"/>
      <c r="L990" s="135"/>
      <c r="M990" s="321"/>
      <c r="N990" s="322"/>
      <c r="O990" s="150"/>
      <c r="P990" s="135"/>
      <c r="Q990" s="135"/>
      <c r="R990" s="321"/>
      <c r="S990" s="322"/>
      <c r="T990" s="319"/>
      <c r="U990" s="322"/>
      <c r="V990" s="322"/>
      <c r="W990" s="322"/>
      <c r="X990" s="322"/>
      <c r="Y990" s="319"/>
      <c r="Z990" s="136" t="str">
        <f t="shared" si="16"/>
        <v/>
      </c>
      <c r="AA990" s="137" t="str">
        <f t="shared" si="17"/>
        <v/>
      </c>
      <c r="AB990" s="154" t="str">
        <f t="shared" si="18"/>
        <v/>
      </c>
      <c r="AC990" s="322"/>
      <c r="AD990" s="319"/>
      <c r="AE990" s="320"/>
    </row>
    <row r="991" ht="18.0" customHeight="1">
      <c r="A991" s="118" t="str">
        <f t="shared" si="15"/>
        <v/>
      </c>
      <c r="B991" s="109"/>
      <c r="C991" s="119"/>
      <c r="D991" s="119"/>
      <c r="E991" s="330"/>
      <c r="F991" s="121"/>
      <c r="G991" s="153"/>
      <c r="H991" s="153"/>
      <c r="I991" s="153"/>
      <c r="J991" s="112"/>
      <c r="K991" s="153"/>
      <c r="L991" s="114"/>
      <c r="M991" s="151"/>
      <c r="N991" s="152"/>
      <c r="O991" s="150"/>
      <c r="P991" s="114"/>
      <c r="Q991" s="114"/>
      <c r="R991" s="151"/>
      <c r="S991" s="152"/>
      <c r="T991" s="153"/>
      <c r="U991" s="152"/>
      <c r="V991" s="152"/>
      <c r="W991" s="152"/>
      <c r="X991" s="152"/>
      <c r="Y991" s="153"/>
      <c r="Z991" s="125" t="str">
        <f t="shared" si="16"/>
        <v/>
      </c>
      <c r="AA991" s="126" t="str">
        <f t="shared" si="17"/>
        <v/>
      </c>
      <c r="AB991" s="154" t="str">
        <f t="shared" si="18"/>
        <v/>
      </c>
      <c r="AC991" s="152"/>
      <c r="AD991" s="153"/>
      <c r="AE991" s="156"/>
    </row>
    <row r="992" ht="18.0" customHeight="1">
      <c r="A992" s="127" t="str">
        <f t="shared" si="15"/>
        <v/>
      </c>
      <c r="B992" s="128"/>
      <c r="C992" s="129"/>
      <c r="D992" s="129"/>
      <c r="E992" s="325"/>
      <c r="F992" s="131"/>
      <c r="G992" s="319"/>
      <c r="H992" s="319"/>
      <c r="I992" s="319"/>
      <c r="J992" s="132"/>
      <c r="K992" s="319"/>
      <c r="L992" s="135"/>
      <c r="M992" s="321"/>
      <c r="N992" s="322"/>
      <c r="O992" s="150"/>
      <c r="P992" s="135"/>
      <c r="Q992" s="135"/>
      <c r="R992" s="321"/>
      <c r="S992" s="322"/>
      <c r="T992" s="319"/>
      <c r="U992" s="322"/>
      <c r="V992" s="322"/>
      <c r="W992" s="322"/>
      <c r="X992" s="322"/>
      <c r="Y992" s="319"/>
      <c r="Z992" s="136" t="str">
        <f t="shared" si="16"/>
        <v/>
      </c>
      <c r="AA992" s="137" t="str">
        <f t="shared" si="17"/>
        <v/>
      </c>
      <c r="AB992" s="154" t="str">
        <f t="shared" si="18"/>
        <v/>
      </c>
      <c r="AC992" s="322"/>
      <c r="AD992" s="319"/>
      <c r="AE992" s="320"/>
    </row>
    <row r="993" ht="18.0" customHeight="1">
      <c r="A993" s="118" t="str">
        <f t="shared" si="15"/>
        <v/>
      </c>
      <c r="B993" s="109"/>
      <c r="C993" s="119"/>
      <c r="D993" s="119"/>
      <c r="E993" s="330"/>
      <c r="F993" s="121"/>
      <c r="G993" s="153"/>
      <c r="H993" s="153"/>
      <c r="I993" s="153"/>
      <c r="J993" s="112"/>
      <c r="K993" s="153"/>
      <c r="L993" s="114"/>
      <c r="M993" s="151"/>
      <c r="N993" s="152"/>
      <c r="O993" s="150"/>
      <c r="P993" s="114"/>
      <c r="Q993" s="114"/>
      <c r="R993" s="151"/>
      <c r="S993" s="152"/>
      <c r="T993" s="153"/>
      <c r="U993" s="152"/>
      <c r="V993" s="152"/>
      <c r="W993" s="152"/>
      <c r="X993" s="152"/>
      <c r="Y993" s="153"/>
      <c r="Z993" s="125" t="str">
        <f t="shared" si="16"/>
        <v/>
      </c>
      <c r="AA993" s="126" t="str">
        <f t="shared" si="17"/>
        <v/>
      </c>
      <c r="AB993" s="154" t="str">
        <f t="shared" si="18"/>
        <v/>
      </c>
      <c r="AC993" s="152"/>
      <c r="AD993" s="153"/>
      <c r="AE993" s="156"/>
    </row>
    <row r="994" ht="18.0" customHeight="1">
      <c r="A994" s="127" t="str">
        <f t="shared" si="15"/>
        <v/>
      </c>
      <c r="B994" s="128"/>
      <c r="C994" s="129"/>
      <c r="D994" s="129"/>
      <c r="E994" s="325"/>
      <c r="F994" s="131"/>
      <c r="G994" s="319"/>
      <c r="H994" s="319"/>
      <c r="I994" s="319"/>
      <c r="J994" s="132"/>
      <c r="K994" s="319"/>
      <c r="L994" s="135"/>
      <c r="M994" s="321"/>
      <c r="N994" s="322"/>
      <c r="O994" s="150"/>
      <c r="P994" s="135"/>
      <c r="Q994" s="135"/>
      <c r="R994" s="321"/>
      <c r="S994" s="322"/>
      <c r="T994" s="319"/>
      <c r="U994" s="322"/>
      <c r="V994" s="322"/>
      <c r="W994" s="322"/>
      <c r="X994" s="322"/>
      <c r="Y994" s="319"/>
      <c r="Z994" s="136" t="str">
        <f t="shared" si="16"/>
        <v/>
      </c>
      <c r="AA994" s="137" t="str">
        <f t="shared" si="17"/>
        <v/>
      </c>
      <c r="AB994" s="154" t="str">
        <f t="shared" si="18"/>
        <v/>
      </c>
      <c r="AC994" s="322"/>
      <c r="AD994" s="319"/>
      <c r="AE994" s="320"/>
    </row>
    <row r="995" ht="18.0" customHeight="1">
      <c r="A995" s="118" t="str">
        <f t="shared" si="15"/>
        <v/>
      </c>
      <c r="B995" s="109"/>
      <c r="C995" s="119"/>
      <c r="D995" s="119"/>
      <c r="E995" s="330"/>
      <c r="F995" s="121"/>
      <c r="G995" s="153"/>
      <c r="H995" s="153"/>
      <c r="I995" s="153"/>
      <c r="J995" s="112"/>
      <c r="K995" s="153"/>
      <c r="L995" s="114"/>
      <c r="M995" s="151"/>
      <c r="N995" s="152"/>
      <c r="O995" s="150"/>
      <c r="P995" s="114"/>
      <c r="Q995" s="114"/>
      <c r="R995" s="151"/>
      <c r="S995" s="152"/>
      <c r="T995" s="153"/>
      <c r="U995" s="152"/>
      <c r="V995" s="152"/>
      <c r="W995" s="152"/>
      <c r="X995" s="152"/>
      <c r="Y995" s="153"/>
      <c r="Z995" s="125" t="str">
        <f t="shared" si="16"/>
        <v/>
      </c>
      <c r="AA995" s="126" t="str">
        <f t="shared" si="17"/>
        <v/>
      </c>
      <c r="AB995" s="154" t="str">
        <f t="shared" si="18"/>
        <v/>
      </c>
      <c r="AC995" s="152"/>
      <c r="AD995" s="153"/>
      <c r="AE995" s="156"/>
    </row>
    <row r="996" ht="18.0" customHeight="1">
      <c r="A996" s="127" t="str">
        <f t="shared" si="15"/>
        <v/>
      </c>
      <c r="B996" s="128"/>
      <c r="C996" s="129"/>
      <c r="D996" s="129"/>
      <c r="E996" s="325"/>
      <c r="F996" s="131"/>
      <c r="G996" s="319"/>
      <c r="H996" s="319"/>
      <c r="I996" s="319"/>
      <c r="J996" s="132"/>
      <c r="K996" s="319"/>
      <c r="L996" s="135"/>
      <c r="M996" s="321"/>
      <c r="N996" s="322"/>
      <c r="O996" s="150"/>
      <c r="P996" s="135"/>
      <c r="Q996" s="135"/>
      <c r="R996" s="321"/>
      <c r="S996" s="322"/>
      <c r="T996" s="319"/>
      <c r="U996" s="322"/>
      <c r="V996" s="322"/>
      <c r="W996" s="322"/>
      <c r="X996" s="322"/>
      <c r="Y996" s="319"/>
      <c r="Z996" s="136" t="str">
        <f t="shared" si="16"/>
        <v/>
      </c>
      <c r="AA996" s="137" t="str">
        <f t="shared" si="17"/>
        <v/>
      </c>
      <c r="AB996" s="154" t="str">
        <f t="shared" si="18"/>
        <v/>
      </c>
      <c r="AC996" s="322"/>
      <c r="AD996" s="319"/>
      <c r="AE996" s="320"/>
    </row>
    <row r="997" ht="18.0" customHeight="1">
      <c r="A997" s="118" t="str">
        <f t="shared" si="15"/>
        <v/>
      </c>
      <c r="B997" s="109"/>
      <c r="C997" s="119"/>
      <c r="D997" s="119"/>
      <c r="E997" s="330"/>
      <c r="F997" s="121"/>
      <c r="G997" s="153"/>
      <c r="H997" s="153"/>
      <c r="I997" s="153"/>
      <c r="J997" s="112"/>
      <c r="K997" s="153"/>
      <c r="L997" s="114"/>
      <c r="M997" s="151"/>
      <c r="N997" s="152"/>
      <c r="O997" s="150"/>
      <c r="P997" s="114"/>
      <c r="Q997" s="114"/>
      <c r="R997" s="151"/>
      <c r="S997" s="152"/>
      <c r="T997" s="153"/>
      <c r="U997" s="152"/>
      <c r="V997" s="152"/>
      <c r="W997" s="152"/>
      <c r="X997" s="152"/>
      <c r="Y997" s="153"/>
      <c r="Z997" s="125" t="str">
        <f t="shared" si="16"/>
        <v/>
      </c>
      <c r="AA997" s="126" t="str">
        <f t="shared" si="17"/>
        <v/>
      </c>
      <c r="AB997" s="154" t="str">
        <f t="shared" si="18"/>
        <v/>
      </c>
      <c r="AC997" s="152"/>
      <c r="AD997" s="153"/>
      <c r="AE997" s="156"/>
    </row>
    <row r="998" ht="18.0" customHeight="1">
      <c r="A998" s="127" t="str">
        <f t="shared" si="15"/>
        <v/>
      </c>
      <c r="B998" s="128"/>
      <c r="C998" s="129"/>
      <c r="D998" s="129"/>
      <c r="E998" s="325"/>
      <c r="F998" s="131"/>
      <c r="G998" s="319"/>
      <c r="H998" s="319"/>
      <c r="I998" s="319"/>
      <c r="J998" s="132"/>
      <c r="K998" s="319"/>
      <c r="L998" s="135"/>
      <c r="M998" s="321"/>
      <c r="N998" s="322"/>
      <c r="O998" s="150"/>
      <c r="P998" s="135"/>
      <c r="Q998" s="135"/>
      <c r="R998" s="321"/>
      <c r="S998" s="322"/>
      <c r="T998" s="319"/>
      <c r="U998" s="322"/>
      <c r="V998" s="322"/>
      <c r="W998" s="322"/>
      <c r="X998" s="322"/>
      <c r="Y998" s="319"/>
      <c r="Z998" s="136" t="str">
        <f t="shared" si="16"/>
        <v/>
      </c>
      <c r="AA998" s="137" t="str">
        <f t="shared" si="17"/>
        <v/>
      </c>
      <c r="AB998" s="154" t="str">
        <f t="shared" si="18"/>
        <v/>
      </c>
      <c r="AC998" s="322"/>
      <c r="AD998" s="319"/>
      <c r="AE998" s="320"/>
    </row>
    <row r="999" ht="18.0" customHeight="1">
      <c r="A999" s="118" t="str">
        <f t="shared" si="15"/>
        <v/>
      </c>
      <c r="B999" s="109"/>
      <c r="C999" s="119"/>
      <c r="D999" s="119"/>
      <c r="E999" s="330"/>
      <c r="F999" s="121"/>
      <c r="G999" s="153"/>
      <c r="H999" s="153"/>
      <c r="I999" s="153"/>
      <c r="J999" s="112"/>
      <c r="K999" s="153"/>
      <c r="L999" s="114"/>
      <c r="M999" s="151"/>
      <c r="N999" s="152"/>
      <c r="O999" s="150"/>
      <c r="P999" s="114"/>
      <c r="Q999" s="114"/>
      <c r="R999" s="151"/>
      <c r="S999" s="152"/>
      <c r="T999" s="153"/>
      <c r="U999" s="152"/>
      <c r="V999" s="152"/>
      <c r="W999" s="152"/>
      <c r="X999" s="152"/>
      <c r="Y999" s="153"/>
      <c r="Z999" s="125" t="str">
        <f t="shared" si="16"/>
        <v/>
      </c>
      <c r="AA999" s="126" t="str">
        <f t="shared" si="17"/>
        <v/>
      </c>
      <c r="AB999" s="154" t="str">
        <f t="shared" si="18"/>
        <v/>
      </c>
      <c r="AC999" s="152"/>
      <c r="AD999" s="153"/>
      <c r="AE999" s="156"/>
    </row>
    <row r="1000" ht="18.0" customHeight="1">
      <c r="A1000" s="127" t="str">
        <f t="shared" si="15"/>
        <v/>
      </c>
      <c r="B1000" s="128"/>
      <c r="C1000" s="129"/>
      <c r="D1000" s="129"/>
      <c r="E1000" s="325"/>
      <c r="F1000" s="131"/>
      <c r="G1000" s="319"/>
      <c r="H1000" s="319"/>
      <c r="I1000" s="319"/>
      <c r="J1000" s="132"/>
      <c r="K1000" s="319"/>
      <c r="L1000" s="135"/>
      <c r="M1000" s="321"/>
      <c r="N1000" s="322"/>
      <c r="O1000" s="150"/>
      <c r="P1000" s="135"/>
      <c r="Q1000" s="135"/>
      <c r="R1000" s="321"/>
      <c r="S1000" s="322"/>
      <c r="T1000" s="319"/>
      <c r="U1000" s="322"/>
      <c r="V1000" s="322"/>
      <c r="W1000" s="322"/>
      <c r="X1000" s="322"/>
      <c r="Y1000" s="319"/>
      <c r="Z1000" s="136" t="str">
        <f t="shared" si="16"/>
        <v/>
      </c>
      <c r="AA1000" s="137" t="str">
        <f t="shared" si="17"/>
        <v/>
      </c>
      <c r="AB1000" s="154" t="str">
        <f t="shared" si="18"/>
        <v/>
      </c>
      <c r="AC1000" s="322"/>
      <c r="AD1000" s="319"/>
      <c r="AE1000" s="320"/>
    </row>
    <row r="1001" ht="18.0" customHeight="1">
      <c r="A1001" s="118" t="str">
        <f t="shared" si="15"/>
        <v/>
      </c>
      <c r="B1001" s="109"/>
      <c r="C1001" s="119"/>
      <c r="D1001" s="119"/>
      <c r="E1001" s="330"/>
      <c r="F1001" s="121"/>
      <c r="G1001" s="153"/>
      <c r="H1001" s="153"/>
      <c r="I1001" s="153"/>
      <c r="J1001" s="112"/>
      <c r="K1001" s="153"/>
      <c r="L1001" s="114"/>
      <c r="M1001" s="151"/>
      <c r="N1001" s="152"/>
      <c r="O1001" s="150"/>
      <c r="P1001" s="114"/>
      <c r="Q1001" s="114"/>
      <c r="R1001" s="151"/>
      <c r="S1001" s="152"/>
      <c r="T1001" s="153"/>
      <c r="U1001" s="152"/>
      <c r="V1001" s="152"/>
      <c r="W1001" s="152"/>
      <c r="X1001" s="152"/>
      <c r="Y1001" s="153"/>
      <c r="Z1001" s="125" t="str">
        <f t="shared" si="16"/>
        <v/>
      </c>
      <c r="AA1001" s="126" t="str">
        <f t="shared" si="17"/>
        <v/>
      </c>
      <c r="AB1001" s="154" t="str">
        <f t="shared" si="18"/>
        <v/>
      </c>
      <c r="AC1001" s="152"/>
      <c r="AD1001" s="153"/>
      <c r="AE1001" s="156"/>
    </row>
    <row r="1002" ht="18.0" customHeight="1">
      <c r="A1002" s="127" t="str">
        <f t="shared" si="15"/>
        <v/>
      </c>
      <c r="B1002" s="128"/>
      <c r="C1002" s="129"/>
      <c r="D1002" s="129"/>
      <c r="E1002" s="325"/>
      <c r="F1002" s="131"/>
      <c r="G1002" s="319"/>
      <c r="H1002" s="319"/>
      <c r="I1002" s="319"/>
      <c r="J1002" s="132"/>
      <c r="K1002" s="319"/>
      <c r="L1002" s="135"/>
      <c r="M1002" s="321"/>
      <c r="N1002" s="322"/>
      <c r="O1002" s="150"/>
      <c r="P1002" s="135"/>
      <c r="Q1002" s="135"/>
      <c r="R1002" s="321"/>
      <c r="S1002" s="322"/>
      <c r="T1002" s="319"/>
      <c r="U1002" s="322"/>
      <c r="V1002" s="322"/>
      <c r="W1002" s="322"/>
      <c r="X1002" s="322"/>
      <c r="Y1002" s="319"/>
      <c r="Z1002" s="136" t="str">
        <f t="shared" si="16"/>
        <v/>
      </c>
      <c r="AA1002" s="137" t="str">
        <f t="shared" si="17"/>
        <v/>
      </c>
      <c r="AB1002" s="154" t="str">
        <f t="shared" si="18"/>
        <v/>
      </c>
      <c r="AC1002" s="322"/>
      <c r="AD1002" s="319"/>
      <c r="AE1002" s="320"/>
    </row>
    <row r="1003" ht="18.0" customHeight="1">
      <c r="A1003" s="118" t="str">
        <f t="shared" si="15"/>
        <v/>
      </c>
      <c r="B1003" s="109"/>
      <c r="C1003" s="119"/>
      <c r="D1003" s="119"/>
      <c r="E1003" s="330"/>
      <c r="F1003" s="121"/>
      <c r="G1003" s="153"/>
      <c r="H1003" s="153"/>
      <c r="I1003" s="153"/>
      <c r="J1003" s="112"/>
      <c r="K1003" s="153"/>
      <c r="L1003" s="114"/>
      <c r="M1003" s="151"/>
      <c r="N1003" s="152"/>
      <c r="O1003" s="150"/>
      <c r="P1003" s="114"/>
      <c r="Q1003" s="114"/>
      <c r="R1003" s="151"/>
      <c r="S1003" s="152"/>
      <c r="T1003" s="153"/>
      <c r="U1003" s="152"/>
      <c r="V1003" s="152"/>
      <c r="W1003" s="152"/>
      <c r="X1003" s="152"/>
      <c r="Y1003" s="153"/>
      <c r="Z1003" s="125" t="str">
        <f t="shared" si="16"/>
        <v/>
      </c>
      <c r="AA1003" s="126" t="str">
        <f t="shared" si="17"/>
        <v/>
      </c>
      <c r="AB1003" s="154" t="str">
        <f t="shared" si="18"/>
        <v/>
      </c>
      <c r="AC1003" s="152"/>
      <c r="AD1003" s="153"/>
      <c r="AE1003" s="156"/>
    </row>
    <row r="1004" ht="18.0" customHeight="1">
      <c r="A1004" s="127" t="str">
        <f t="shared" si="15"/>
        <v/>
      </c>
      <c r="B1004" s="128"/>
      <c r="C1004" s="129"/>
      <c r="D1004" s="129"/>
      <c r="E1004" s="325"/>
      <c r="F1004" s="131"/>
      <c r="G1004" s="319"/>
      <c r="H1004" s="319"/>
      <c r="I1004" s="319"/>
      <c r="J1004" s="132"/>
      <c r="K1004" s="319"/>
      <c r="L1004" s="135"/>
      <c r="M1004" s="321"/>
      <c r="N1004" s="322"/>
      <c r="O1004" s="150"/>
      <c r="P1004" s="135"/>
      <c r="Q1004" s="135"/>
      <c r="R1004" s="321"/>
      <c r="S1004" s="322"/>
      <c r="T1004" s="319"/>
      <c r="U1004" s="322"/>
      <c r="V1004" s="322"/>
      <c r="W1004" s="322"/>
      <c r="X1004" s="322"/>
      <c r="Y1004" s="319"/>
      <c r="Z1004" s="136" t="str">
        <f t="shared" si="16"/>
        <v/>
      </c>
      <c r="AA1004" s="137" t="str">
        <f t="shared" si="17"/>
        <v/>
      </c>
      <c r="AB1004" s="154" t="str">
        <f t="shared" si="18"/>
        <v/>
      </c>
      <c r="AC1004" s="322"/>
      <c r="AD1004" s="319"/>
      <c r="AE1004" s="320"/>
    </row>
    <row r="1005" ht="18.0" customHeight="1">
      <c r="A1005" s="118" t="str">
        <f t="shared" si="15"/>
        <v/>
      </c>
      <c r="B1005" s="109"/>
      <c r="C1005" s="119"/>
      <c r="D1005" s="119"/>
      <c r="E1005" s="330"/>
      <c r="F1005" s="121"/>
      <c r="G1005" s="153"/>
      <c r="H1005" s="153"/>
      <c r="I1005" s="153"/>
      <c r="J1005" s="112"/>
      <c r="K1005" s="153"/>
      <c r="L1005" s="114"/>
      <c r="M1005" s="151"/>
      <c r="N1005" s="152"/>
      <c r="O1005" s="150"/>
      <c r="P1005" s="114"/>
      <c r="Q1005" s="114"/>
      <c r="R1005" s="151"/>
      <c r="S1005" s="152"/>
      <c r="T1005" s="153"/>
      <c r="U1005" s="152"/>
      <c r="V1005" s="152"/>
      <c r="W1005" s="152"/>
      <c r="X1005" s="152"/>
      <c r="Y1005" s="153"/>
      <c r="Z1005" s="125" t="str">
        <f t="shared" si="16"/>
        <v/>
      </c>
      <c r="AA1005" s="126" t="str">
        <f t="shared" si="17"/>
        <v/>
      </c>
      <c r="AB1005" s="154" t="str">
        <f t="shared" si="18"/>
        <v/>
      </c>
      <c r="AC1005" s="152"/>
      <c r="AD1005" s="153"/>
      <c r="AE1005" s="156"/>
    </row>
    <row r="1006" ht="18.0" customHeight="1">
      <c r="A1006" s="127" t="str">
        <f t="shared" si="15"/>
        <v/>
      </c>
      <c r="B1006" s="128"/>
      <c r="C1006" s="129"/>
      <c r="D1006" s="129"/>
      <c r="E1006" s="325"/>
      <c r="F1006" s="131"/>
      <c r="G1006" s="319"/>
      <c r="H1006" s="319"/>
      <c r="I1006" s="319"/>
      <c r="J1006" s="132"/>
      <c r="K1006" s="319"/>
      <c r="L1006" s="135"/>
      <c r="M1006" s="321"/>
      <c r="N1006" s="322"/>
      <c r="O1006" s="150"/>
      <c r="P1006" s="135"/>
      <c r="Q1006" s="135"/>
      <c r="R1006" s="321"/>
      <c r="S1006" s="322"/>
      <c r="T1006" s="319"/>
      <c r="U1006" s="322"/>
      <c r="V1006" s="322"/>
      <c r="W1006" s="322"/>
      <c r="X1006" s="322"/>
      <c r="Y1006" s="319"/>
      <c r="Z1006" s="136" t="str">
        <f t="shared" si="16"/>
        <v/>
      </c>
      <c r="AA1006" s="137" t="str">
        <f t="shared" si="17"/>
        <v/>
      </c>
      <c r="AB1006" s="154" t="str">
        <f t="shared" si="18"/>
        <v/>
      </c>
      <c r="AC1006" s="322"/>
      <c r="AD1006" s="319"/>
      <c r="AE1006" s="320"/>
    </row>
    <row r="1007" ht="18.0" customHeight="1">
      <c r="A1007" s="118" t="str">
        <f t="shared" si="15"/>
        <v/>
      </c>
      <c r="B1007" s="109"/>
      <c r="C1007" s="119"/>
      <c r="D1007" s="119"/>
      <c r="E1007" s="330"/>
      <c r="F1007" s="121"/>
      <c r="G1007" s="153"/>
      <c r="H1007" s="153"/>
      <c r="I1007" s="153"/>
      <c r="J1007" s="112"/>
      <c r="K1007" s="153"/>
      <c r="L1007" s="114"/>
      <c r="M1007" s="151"/>
      <c r="N1007" s="152"/>
      <c r="O1007" s="150"/>
      <c r="P1007" s="114"/>
      <c r="Q1007" s="114"/>
      <c r="R1007" s="151"/>
      <c r="S1007" s="152"/>
      <c r="T1007" s="153"/>
      <c r="U1007" s="152"/>
      <c r="V1007" s="152"/>
      <c r="W1007" s="152"/>
      <c r="X1007" s="152"/>
      <c r="Y1007" s="153"/>
      <c r="Z1007" s="125" t="str">
        <f t="shared" si="16"/>
        <v/>
      </c>
      <c r="AA1007" s="126" t="str">
        <f t="shared" si="17"/>
        <v/>
      </c>
      <c r="AB1007" s="154" t="str">
        <f t="shared" si="18"/>
        <v/>
      </c>
      <c r="AC1007" s="152"/>
      <c r="AD1007" s="153"/>
      <c r="AE1007" s="156"/>
    </row>
    <row r="1008" ht="18.0" customHeight="1">
      <c r="A1008" s="127" t="str">
        <f t="shared" si="15"/>
        <v/>
      </c>
      <c r="B1008" s="128"/>
      <c r="C1008" s="129"/>
      <c r="D1008" s="129"/>
      <c r="E1008" s="325"/>
      <c r="F1008" s="131"/>
      <c r="G1008" s="319"/>
      <c r="H1008" s="319"/>
      <c r="I1008" s="319"/>
      <c r="J1008" s="132"/>
      <c r="K1008" s="319"/>
      <c r="L1008" s="135"/>
      <c r="M1008" s="321"/>
      <c r="N1008" s="322"/>
      <c r="O1008" s="150"/>
      <c r="P1008" s="135"/>
      <c r="Q1008" s="135"/>
      <c r="R1008" s="321"/>
      <c r="S1008" s="322"/>
      <c r="T1008" s="319"/>
      <c r="U1008" s="322"/>
      <c r="V1008" s="322"/>
      <c r="W1008" s="322"/>
      <c r="X1008" s="322"/>
      <c r="Y1008" s="319"/>
      <c r="Z1008" s="136" t="str">
        <f t="shared" si="16"/>
        <v/>
      </c>
      <c r="AA1008" s="137" t="str">
        <f t="shared" si="17"/>
        <v/>
      </c>
      <c r="AB1008" s="154" t="str">
        <f t="shared" si="18"/>
        <v/>
      </c>
      <c r="AC1008" s="322"/>
      <c r="AD1008" s="319"/>
      <c r="AE1008" s="320"/>
    </row>
    <row r="1009" ht="18.0" customHeight="1">
      <c r="A1009" s="118" t="str">
        <f t="shared" si="15"/>
        <v/>
      </c>
      <c r="B1009" s="109"/>
      <c r="C1009" s="119"/>
      <c r="D1009" s="119"/>
      <c r="E1009" s="330"/>
      <c r="F1009" s="121"/>
      <c r="G1009" s="153"/>
      <c r="H1009" s="153"/>
      <c r="I1009" s="153"/>
      <c r="J1009" s="112"/>
      <c r="K1009" s="153"/>
      <c r="L1009" s="114"/>
      <c r="M1009" s="151"/>
      <c r="N1009" s="152"/>
      <c r="O1009" s="150"/>
      <c r="P1009" s="114"/>
      <c r="Q1009" s="114"/>
      <c r="R1009" s="151"/>
      <c r="S1009" s="152"/>
      <c r="T1009" s="153"/>
      <c r="U1009" s="152"/>
      <c r="V1009" s="152"/>
      <c r="W1009" s="152"/>
      <c r="X1009" s="152"/>
      <c r="Y1009" s="153"/>
      <c r="Z1009" s="125" t="str">
        <f t="shared" si="16"/>
        <v/>
      </c>
      <c r="AA1009" s="126" t="str">
        <f t="shared" si="17"/>
        <v/>
      </c>
      <c r="AB1009" s="154" t="str">
        <f t="shared" si="18"/>
        <v/>
      </c>
      <c r="AC1009" s="152"/>
      <c r="AD1009" s="153"/>
      <c r="AE1009" s="156"/>
    </row>
    <row r="1010" ht="18.0" customHeight="1">
      <c r="A1010" s="127" t="str">
        <f t="shared" si="15"/>
        <v/>
      </c>
      <c r="B1010" s="128"/>
      <c r="C1010" s="129"/>
      <c r="D1010" s="129"/>
      <c r="E1010" s="325"/>
      <c r="F1010" s="131"/>
      <c r="G1010" s="319"/>
      <c r="H1010" s="319"/>
      <c r="I1010" s="319"/>
      <c r="J1010" s="132"/>
      <c r="K1010" s="319"/>
      <c r="L1010" s="135"/>
      <c r="M1010" s="321"/>
      <c r="N1010" s="322"/>
      <c r="O1010" s="150"/>
      <c r="P1010" s="135"/>
      <c r="Q1010" s="135"/>
      <c r="R1010" s="321"/>
      <c r="S1010" s="322"/>
      <c r="T1010" s="319"/>
      <c r="U1010" s="322"/>
      <c r="V1010" s="322"/>
      <c r="W1010" s="322"/>
      <c r="X1010" s="322"/>
      <c r="Y1010" s="319"/>
      <c r="Z1010" s="136" t="str">
        <f t="shared" si="16"/>
        <v/>
      </c>
      <c r="AA1010" s="137" t="str">
        <f t="shared" si="17"/>
        <v/>
      </c>
      <c r="AB1010" s="154" t="str">
        <f t="shared" si="18"/>
        <v/>
      </c>
      <c r="AC1010" s="322"/>
      <c r="AD1010" s="319"/>
      <c r="AE1010" s="320"/>
    </row>
    <row r="1011" ht="18.0" customHeight="1">
      <c r="A1011" s="118" t="str">
        <f t="shared" si="15"/>
        <v/>
      </c>
      <c r="B1011" s="109"/>
      <c r="C1011" s="119"/>
      <c r="D1011" s="119"/>
      <c r="E1011" s="330"/>
      <c r="F1011" s="121"/>
      <c r="G1011" s="153"/>
      <c r="H1011" s="153"/>
      <c r="I1011" s="153"/>
      <c r="J1011" s="112"/>
      <c r="K1011" s="153"/>
      <c r="L1011" s="114"/>
      <c r="M1011" s="151"/>
      <c r="N1011" s="152"/>
      <c r="O1011" s="150"/>
      <c r="P1011" s="114"/>
      <c r="Q1011" s="114"/>
      <c r="R1011" s="151"/>
      <c r="S1011" s="152"/>
      <c r="T1011" s="153"/>
      <c r="U1011" s="152"/>
      <c r="V1011" s="152"/>
      <c r="W1011" s="152"/>
      <c r="X1011" s="152"/>
      <c r="Y1011" s="153"/>
      <c r="Z1011" s="125" t="str">
        <f t="shared" si="16"/>
        <v/>
      </c>
      <c r="AA1011" s="126" t="str">
        <f t="shared" si="17"/>
        <v/>
      </c>
      <c r="AB1011" s="154" t="str">
        <f t="shared" si="18"/>
        <v/>
      </c>
      <c r="AC1011" s="152"/>
      <c r="AD1011" s="153"/>
      <c r="AE1011" s="156"/>
    </row>
    <row r="1012" ht="18.0" customHeight="1">
      <c r="A1012" s="127" t="str">
        <f t="shared" si="15"/>
        <v/>
      </c>
      <c r="B1012" s="128"/>
      <c r="C1012" s="129"/>
      <c r="D1012" s="129"/>
      <c r="E1012" s="325"/>
      <c r="F1012" s="131"/>
      <c r="G1012" s="319"/>
      <c r="H1012" s="319"/>
      <c r="I1012" s="319"/>
      <c r="J1012" s="132"/>
      <c r="K1012" s="319"/>
      <c r="L1012" s="135"/>
      <c r="M1012" s="321"/>
      <c r="N1012" s="322"/>
      <c r="O1012" s="150"/>
      <c r="P1012" s="135"/>
      <c r="Q1012" s="135"/>
      <c r="R1012" s="321"/>
      <c r="S1012" s="322"/>
      <c r="T1012" s="319"/>
      <c r="U1012" s="322"/>
      <c r="V1012" s="322"/>
      <c r="W1012" s="322"/>
      <c r="X1012" s="322"/>
      <c r="Y1012" s="319"/>
      <c r="Z1012" s="136" t="str">
        <f t="shared" si="16"/>
        <v/>
      </c>
      <c r="AA1012" s="137" t="str">
        <f t="shared" si="17"/>
        <v/>
      </c>
      <c r="AB1012" s="154" t="str">
        <f t="shared" si="18"/>
        <v/>
      </c>
      <c r="AC1012" s="322"/>
      <c r="AD1012" s="319"/>
      <c r="AE1012" s="320"/>
    </row>
    <row r="1013" ht="18.0" customHeight="1">
      <c r="A1013" s="118" t="str">
        <f t="shared" si="15"/>
        <v/>
      </c>
      <c r="B1013" s="109"/>
      <c r="C1013" s="119"/>
      <c r="D1013" s="119"/>
      <c r="E1013" s="330"/>
      <c r="F1013" s="121"/>
      <c r="G1013" s="153"/>
      <c r="H1013" s="153"/>
      <c r="I1013" s="153"/>
      <c r="J1013" s="112"/>
      <c r="K1013" s="153"/>
      <c r="L1013" s="114"/>
      <c r="M1013" s="151"/>
      <c r="N1013" s="152"/>
      <c r="O1013" s="150"/>
      <c r="P1013" s="114"/>
      <c r="Q1013" s="114"/>
      <c r="R1013" s="151"/>
      <c r="S1013" s="152"/>
      <c r="T1013" s="153"/>
      <c r="U1013" s="152"/>
      <c r="V1013" s="152"/>
      <c r="W1013" s="152"/>
      <c r="X1013" s="152"/>
      <c r="Y1013" s="153"/>
      <c r="Z1013" s="125" t="str">
        <f t="shared" si="16"/>
        <v/>
      </c>
      <c r="AA1013" s="126" t="str">
        <f t="shared" si="17"/>
        <v/>
      </c>
      <c r="AB1013" s="154" t="str">
        <f t="shared" si="18"/>
        <v/>
      </c>
      <c r="AC1013" s="152"/>
      <c r="AD1013" s="153"/>
      <c r="AE1013" s="156"/>
    </row>
    <row r="1014" ht="18.0" customHeight="1">
      <c r="A1014" s="127" t="str">
        <f t="shared" si="15"/>
        <v/>
      </c>
      <c r="B1014" s="128"/>
      <c r="C1014" s="129"/>
      <c r="D1014" s="129"/>
      <c r="E1014" s="325"/>
      <c r="F1014" s="131"/>
      <c r="G1014" s="319"/>
      <c r="H1014" s="319"/>
      <c r="I1014" s="319"/>
      <c r="J1014" s="132"/>
      <c r="K1014" s="319"/>
      <c r="L1014" s="135"/>
      <c r="M1014" s="321"/>
      <c r="N1014" s="322"/>
      <c r="O1014" s="150"/>
      <c r="P1014" s="135"/>
      <c r="Q1014" s="135"/>
      <c r="R1014" s="321"/>
      <c r="S1014" s="322"/>
      <c r="T1014" s="319"/>
      <c r="U1014" s="322"/>
      <c r="V1014" s="322"/>
      <c r="W1014" s="322"/>
      <c r="X1014" s="322"/>
      <c r="Y1014" s="319"/>
      <c r="Z1014" s="136" t="str">
        <f t="shared" si="16"/>
        <v/>
      </c>
      <c r="AA1014" s="137" t="str">
        <f t="shared" si="17"/>
        <v/>
      </c>
      <c r="AB1014" s="154" t="str">
        <f t="shared" si="18"/>
        <v/>
      </c>
      <c r="AC1014" s="322"/>
      <c r="AD1014" s="319"/>
      <c r="AE1014" s="320"/>
    </row>
    <row r="1015" ht="18.0" customHeight="1">
      <c r="A1015" s="118" t="str">
        <f t="shared" si="15"/>
        <v/>
      </c>
      <c r="B1015" s="109"/>
      <c r="C1015" s="119"/>
      <c r="D1015" s="119"/>
      <c r="E1015" s="330"/>
      <c r="F1015" s="121"/>
      <c r="G1015" s="153"/>
      <c r="H1015" s="153"/>
      <c r="I1015" s="153"/>
      <c r="J1015" s="112"/>
      <c r="K1015" s="153"/>
      <c r="L1015" s="114"/>
      <c r="M1015" s="151"/>
      <c r="N1015" s="152"/>
      <c r="O1015" s="150"/>
      <c r="P1015" s="114"/>
      <c r="Q1015" s="114"/>
      <c r="R1015" s="151"/>
      <c r="S1015" s="152"/>
      <c r="T1015" s="153"/>
      <c r="U1015" s="152"/>
      <c r="V1015" s="152"/>
      <c r="W1015" s="152"/>
      <c r="X1015" s="152"/>
      <c r="Y1015" s="153"/>
      <c r="Z1015" s="125" t="str">
        <f t="shared" si="16"/>
        <v/>
      </c>
      <c r="AA1015" s="126" t="str">
        <f t="shared" si="17"/>
        <v/>
      </c>
      <c r="AB1015" s="154" t="str">
        <f t="shared" si="18"/>
        <v/>
      </c>
      <c r="AC1015" s="152"/>
      <c r="AD1015" s="153"/>
      <c r="AE1015" s="156"/>
    </row>
    <row r="1016" ht="18.0" customHeight="1">
      <c r="A1016" s="127" t="str">
        <f t="shared" si="15"/>
        <v/>
      </c>
      <c r="B1016" s="128"/>
      <c r="C1016" s="129"/>
      <c r="D1016" s="129"/>
      <c r="E1016" s="325"/>
      <c r="F1016" s="131"/>
      <c r="G1016" s="319"/>
      <c r="H1016" s="319"/>
      <c r="I1016" s="319"/>
      <c r="J1016" s="132"/>
      <c r="K1016" s="319"/>
      <c r="L1016" s="135"/>
      <c r="M1016" s="321"/>
      <c r="N1016" s="322"/>
      <c r="O1016" s="150"/>
      <c r="P1016" s="135"/>
      <c r="Q1016" s="135"/>
      <c r="R1016" s="321"/>
      <c r="S1016" s="322"/>
      <c r="T1016" s="319"/>
      <c r="U1016" s="322"/>
      <c r="V1016" s="322"/>
      <c r="W1016" s="322"/>
      <c r="X1016" s="322"/>
      <c r="Y1016" s="319"/>
      <c r="Z1016" s="136" t="str">
        <f t="shared" si="16"/>
        <v/>
      </c>
      <c r="AA1016" s="137" t="str">
        <f t="shared" si="17"/>
        <v/>
      </c>
      <c r="AB1016" s="154" t="str">
        <f t="shared" si="18"/>
        <v/>
      </c>
      <c r="AC1016" s="322"/>
      <c r="AD1016" s="319"/>
      <c r="AE1016" s="320"/>
    </row>
    <row r="1017" ht="18.0" customHeight="1">
      <c r="A1017" s="118" t="str">
        <f t="shared" si="15"/>
        <v/>
      </c>
      <c r="B1017" s="109"/>
      <c r="C1017" s="119"/>
      <c r="D1017" s="119"/>
      <c r="E1017" s="330"/>
      <c r="F1017" s="121"/>
      <c r="G1017" s="153"/>
      <c r="H1017" s="153"/>
      <c r="I1017" s="153"/>
      <c r="J1017" s="112"/>
      <c r="K1017" s="153"/>
      <c r="L1017" s="114"/>
      <c r="M1017" s="151"/>
      <c r="N1017" s="152"/>
      <c r="O1017" s="150"/>
      <c r="P1017" s="114"/>
      <c r="Q1017" s="114"/>
      <c r="R1017" s="151"/>
      <c r="S1017" s="152"/>
      <c r="T1017" s="153"/>
      <c r="U1017" s="152"/>
      <c r="V1017" s="152"/>
      <c r="W1017" s="152"/>
      <c r="X1017" s="152"/>
      <c r="Y1017" s="153"/>
      <c r="Z1017" s="125" t="str">
        <f t="shared" si="16"/>
        <v/>
      </c>
      <c r="AA1017" s="126" t="str">
        <f t="shared" si="17"/>
        <v/>
      </c>
      <c r="AB1017" s="154" t="str">
        <f t="shared" si="18"/>
        <v/>
      </c>
      <c r="AC1017" s="152"/>
      <c r="AD1017" s="153"/>
      <c r="AE1017" s="156"/>
    </row>
    <row r="1018" ht="18.0" customHeight="1">
      <c r="A1018" s="127" t="str">
        <f t="shared" si="15"/>
        <v/>
      </c>
      <c r="B1018" s="128"/>
      <c r="C1018" s="129"/>
      <c r="D1018" s="129"/>
      <c r="E1018" s="325"/>
      <c r="F1018" s="131"/>
      <c r="G1018" s="319"/>
      <c r="H1018" s="319"/>
      <c r="I1018" s="319"/>
      <c r="J1018" s="132"/>
      <c r="K1018" s="319"/>
      <c r="L1018" s="135"/>
      <c r="M1018" s="321"/>
      <c r="N1018" s="322"/>
      <c r="O1018" s="150"/>
      <c r="P1018" s="135"/>
      <c r="Q1018" s="135"/>
      <c r="R1018" s="321"/>
      <c r="S1018" s="322"/>
      <c r="T1018" s="319"/>
      <c r="U1018" s="322"/>
      <c r="V1018" s="322"/>
      <c r="W1018" s="322"/>
      <c r="X1018" s="322"/>
      <c r="Y1018" s="319"/>
      <c r="Z1018" s="136" t="str">
        <f t="shared" si="16"/>
        <v/>
      </c>
      <c r="AA1018" s="137" t="str">
        <f t="shared" si="17"/>
        <v/>
      </c>
      <c r="AB1018" s="138" t="str">
        <f t="shared" ref="AB1018:AB1996" si="19">IF(C1018="","",IF(AND(R1018&lt;&gt;"",S1018&lt;&gt;"",U1018&lt;&gt;"",V1018&lt;&gt;"",W1018&lt;&gt;""),"✓ Complete","⚠ MISSING: "&amp;IF(R1018="","Call Date, ","")&amp;IF(S1018="","Modality, ","")&amp;IF(U1018="","Budget, ","")&amp;IF(V1018="","Timeline, ","")&amp;IF(W1018="","Decision Maker","")))</f>
        <v/>
      </c>
      <c r="AC1018" s="322"/>
      <c r="AD1018" s="319"/>
      <c r="AE1018" s="320"/>
    </row>
    <row r="1019" ht="18.0" customHeight="1">
      <c r="A1019" s="118" t="str">
        <f t="shared" si="15"/>
        <v/>
      </c>
      <c r="B1019" s="109"/>
      <c r="C1019" s="119"/>
      <c r="D1019" s="119"/>
      <c r="E1019" s="330"/>
      <c r="F1019" s="121"/>
      <c r="G1019" s="153"/>
      <c r="H1019" s="153"/>
      <c r="I1019" s="153"/>
      <c r="J1019" s="112"/>
      <c r="K1019" s="153"/>
      <c r="L1019" s="114"/>
      <c r="M1019" s="151"/>
      <c r="N1019" s="152"/>
      <c r="O1019" s="150"/>
      <c r="P1019" s="114"/>
      <c r="Q1019" s="114"/>
      <c r="R1019" s="151"/>
      <c r="S1019" s="152"/>
      <c r="T1019" s="153"/>
      <c r="U1019" s="152"/>
      <c r="V1019" s="152"/>
      <c r="W1019" s="152"/>
      <c r="X1019" s="152"/>
      <c r="Y1019" s="153"/>
      <c r="Z1019" s="125" t="str">
        <f t="shared" si="16"/>
        <v/>
      </c>
      <c r="AA1019" s="126" t="str">
        <f t="shared" si="17"/>
        <v/>
      </c>
      <c r="AB1019" s="117" t="str">
        <f t="shared" si="19"/>
        <v/>
      </c>
      <c r="AC1019" s="152"/>
      <c r="AD1019" s="153"/>
      <c r="AE1019" s="156"/>
    </row>
    <row r="1020" ht="18.0" customHeight="1">
      <c r="A1020" s="127" t="str">
        <f t="shared" si="15"/>
        <v/>
      </c>
      <c r="B1020" s="128"/>
      <c r="C1020" s="129"/>
      <c r="D1020" s="129"/>
      <c r="E1020" s="325"/>
      <c r="F1020" s="131"/>
      <c r="G1020" s="319"/>
      <c r="H1020" s="319"/>
      <c r="I1020" s="319"/>
      <c r="J1020" s="132"/>
      <c r="K1020" s="319"/>
      <c r="L1020" s="135"/>
      <c r="M1020" s="321"/>
      <c r="N1020" s="322"/>
      <c r="O1020" s="150"/>
      <c r="P1020" s="135"/>
      <c r="Q1020" s="135"/>
      <c r="R1020" s="321"/>
      <c r="S1020" s="322"/>
      <c r="T1020" s="319"/>
      <c r="U1020" s="322"/>
      <c r="V1020" s="322"/>
      <c r="W1020" s="322"/>
      <c r="X1020" s="322"/>
      <c r="Y1020" s="319"/>
      <c r="Z1020" s="136" t="str">
        <f t="shared" si="16"/>
        <v/>
      </c>
      <c r="AA1020" s="137" t="str">
        <f t="shared" si="17"/>
        <v/>
      </c>
      <c r="AB1020" s="138" t="str">
        <f t="shared" si="19"/>
        <v/>
      </c>
      <c r="AC1020" s="322"/>
      <c r="AD1020" s="319"/>
      <c r="AE1020" s="320"/>
    </row>
    <row r="1021" ht="18.0" customHeight="1">
      <c r="A1021" s="118" t="str">
        <f t="shared" si="15"/>
        <v/>
      </c>
      <c r="B1021" s="109"/>
      <c r="C1021" s="119"/>
      <c r="D1021" s="119"/>
      <c r="E1021" s="330"/>
      <c r="F1021" s="121"/>
      <c r="G1021" s="153"/>
      <c r="H1021" s="153"/>
      <c r="I1021" s="153"/>
      <c r="J1021" s="112"/>
      <c r="K1021" s="153"/>
      <c r="L1021" s="114"/>
      <c r="M1021" s="151"/>
      <c r="N1021" s="152"/>
      <c r="O1021" s="150"/>
      <c r="P1021" s="114"/>
      <c r="Q1021" s="114"/>
      <c r="R1021" s="151"/>
      <c r="S1021" s="152"/>
      <c r="T1021" s="153"/>
      <c r="U1021" s="152"/>
      <c r="V1021" s="152"/>
      <c r="W1021" s="152"/>
      <c r="X1021" s="152"/>
      <c r="Y1021" s="153"/>
      <c r="Z1021" s="125" t="str">
        <f t="shared" si="16"/>
        <v/>
      </c>
      <c r="AA1021" s="126" t="str">
        <f t="shared" si="17"/>
        <v/>
      </c>
      <c r="AB1021" s="117" t="str">
        <f t="shared" si="19"/>
        <v/>
      </c>
      <c r="AC1021" s="152"/>
      <c r="AD1021" s="153"/>
      <c r="AE1021" s="156"/>
    </row>
    <row r="1022" ht="18.0" customHeight="1">
      <c r="A1022" s="127" t="str">
        <f t="shared" si="15"/>
        <v/>
      </c>
      <c r="B1022" s="128"/>
      <c r="C1022" s="129"/>
      <c r="D1022" s="129"/>
      <c r="E1022" s="325"/>
      <c r="F1022" s="131"/>
      <c r="G1022" s="319"/>
      <c r="H1022" s="319"/>
      <c r="I1022" s="319"/>
      <c r="J1022" s="132"/>
      <c r="K1022" s="319"/>
      <c r="L1022" s="135"/>
      <c r="M1022" s="321"/>
      <c r="N1022" s="322"/>
      <c r="O1022" s="150"/>
      <c r="P1022" s="135"/>
      <c r="Q1022" s="135"/>
      <c r="R1022" s="321"/>
      <c r="S1022" s="322"/>
      <c r="T1022" s="319"/>
      <c r="U1022" s="322"/>
      <c r="V1022" s="322"/>
      <c r="W1022" s="322"/>
      <c r="X1022" s="322"/>
      <c r="Y1022" s="319"/>
      <c r="Z1022" s="136" t="str">
        <f t="shared" si="16"/>
        <v/>
      </c>
      <c r="AA1022" s="137" t="str">
        <f t="shared" si="17"/>
        <v/>
      </c>
      <c r="AB1022" s="138" t="str">
        <f t="shared" si="19"/>
        <v/>
      </c>
      <c r="AC1022" s="322"/>
      <c r="AD1022" s="319"/>
      <c r="AE1022" s="320"/>
    </row>
    <row r="1023" ht="18.0" customHeight="1">
      <c r="A1023" s="118" t="str">
        <f t="shared" si="15"/>
        <v/>
      </c>
      <c r="B1023" s="109"/>
      <c r="C1023" s="119"/>
      <c r="D1023" s="119"/>
      <c r="E1023" s="330"/>
      <c r="F1023" s="121"/>
      <c r="G1023" s="153"/>
      <c r="H1023" s="153"/>
      <c r="I1023" s="153"/>
      <c r="J1023" s="112"/>
      <c r="K1023" s="153"/>
      <c r="L1023" s="114"/>
      <c r="M1023" s="151"/>
      <c r="N1023" s="152"/>
      <c r="O1023" s="150"/>
      <c r="P1023" s="114"/>
      <c r="Q1023" s="114"/>
      <c r="R1023" s="151"/>
      <c r="S1023" s="152"/>
      <c r="T1023" s="153"/>
      <c r="U1023" s="152"/>
      <c r="V1023" s="152"/>
      <c r="W1023" s="152"/>
      <c r="X1023" s="152"/>
      <c r="Y1023" s="153"/>
      <c r="Z1023" s="125" t="str">
        <f t="shared" si="16"/>
        <v/>
      </c>
      <c r="AA1023" s="126" t="str">
        <f t="shared" si="17"/>
        <v/>
      </c>
      <c r="AB1023" s="117" t="str">
        <f t="shared" si="19"/>
        <v/>
      </c>
      <c r="AC1023" s="152"/>
      <c r="AD1023" s="153"/>
      <c r="AE1023" s="156"/>
    </row>
    <row r="1024" ht="18.0" customHeight="1">
      <c r="A1024" s="127" t="str">
        <f t="shared" si="15"/>
        <v/>
      </c>
      <c r="B1024" s="128"/>
      <c r="C1024" s="129"/>
      <c r="D1024" s="129"/>
      <c r="E1024" s="325"/>
      <c r="F1024" s="131"/>
      <c r="G1024" s="319"/>
      <c r="H1024" s="319"/>
      <c r="I1024" s="319"/>
      <c r="J1024" s="132"/>
      <c r="K1024" s="319"/>
      <c r="L1024" s="135"/>
      <c r="M1024" s="321"/>
      <c r="N1024" s="322"/>
      <c r="O1024" s="150"/>
      <c r="P1024" s="135"/>
      <c r="Q1024" s="135"/>
      <c r="R1024" s="321"/>
      <c r="S1024" s="322"/>
      <c r="T1024" s="319"/>
      <c r="U1024" s="322"/>
      <c r="V1024" s="322"/>
      <c r="W1024" s="322"/>
      <c r="X1024" s="322"/>
      <c r="Y1024" s="319"/>
      <c r="Z1024" s="136" t="str">
        <f t="shared" si="16"/>
        <v/>
      </c>
      <c r="AA1024" s="137" t="str">
        <f t="shared" si="17"/>
        <v/>
      </c>
      <c r="AB1024" s="138" t="str">
        <f t="shared" si="19"/>
        <v/>
      </c>
      <c r="AC1024" s="322"/>
      <c r="AD1024" s="319"/>
      <c r="AE1024" s="320"/>
    </row>
    <row r="1025" ht="18.0" customHeight="1">
      <c r="A1025" s="118" t="str">
        <f t="shared" si="15"/>
        <v/>
      </c>
      <c r="B1025" s="109"/>
      <c r="C1025" s="119"/>
      <c r="D1025" s="119"/>
      <c r="E1025" s="330"/>
      <c r="F1025" s="121"/>
      <c r="G1025" s="153"/>
      <c r="H1025" s="153"/>
      <c r="I1025" s="153"/>
      <c r="J1025" s="112"/>
      <c r="K1025" s="153"/>
      <c r="L1025" s="114"/>
      <c r="M1025" s="151"/>
      <c r="N1025" s="152"/>
      <c r="O1025" s="150"/>
      <c r="P1025" s="114"/>
      <c r="Q1025" s="114"/>
      <c r="R1025" s="151"/>
      <c r="S1025" s="152"/>
      <c r="T1025" s="153"/>
      <c r="U1025" s="152"/>
      <c r="V1025" s="152"/>
      <c r="W1025" s="152"/>
      <c r="X1025" s="152"/>
      <c r="Y1025" s="153"/>
      <c r="Z1025" s="125" t="str">
        <f t="shared" si="16"/>
        <v/>
      </c>
      <c r="AA1025" s="126" t="str">
        <f t="shared" si="17"/>
        <v/>
      </c>
      <c r="AB1025" s="117" t="str">
        <f t="shared" si="19"/>
        <v/>
      </c>
      <c r="AC1025" s="152"/>
      <c r="AD1025" s="153"/>
      <c r="AE1025" s="156"/>
    </row>
    <row r="1026" ht="18.0" customHeight="1">
      <c r="A1026" s="127" t="str">
        <f t="shared" si="15"/>
        <v/>
      </c>
      <c r="B1026" s="128"/>
      <c r="C1026" s="129"/>
      <c r="D1026" s="129"/>
      <c r="E1026" s="325"/>
      <c r="F1026" s="131"/>
      <c r="G1026" s="319"/>
      <c r="H1026" s="319"/>
      <c r="I1026" s="319"/>
      <c r="J1026" s="132"/>
      <c r="K1026" s="319"/>
      <c r="L1026" s="135"/>
      <c r="M1026" s="321"/>
      <c r="N1026" s="322"/>
      <c r="O1026" s="150"/>
      <c r="P1026" s="135"/>
      <c r="Q1026" s="135"/>
      <c r="R1026" s="321"/>
      <c r="S1026" s="322"/>
      <c r="T1026" s="319"/>
      <c r="U1026" s="322"/>
      <c r="V1026" s="322"/>
      <c r="W1026" s="322"/>
      <c r="X1026" s="322"/>
      <c r="Y1026" s="319"/>
      <c r="Z1026" s="136" t="str">
        <f t="shared" si="16"/>
        <v/>
      </c>
      <c r="AA1026" s="137" t="str">
        <f t="shared" si="17"/>
        <v/>
      </c>
      <c r="AB1026" s="138" t="str">
        <f t="shared" si="19"/>
        <v/>
      </c>
      <c r="AC1026" s="322"/>
      <c r="AD1026" s="319"/>
      <c r="AE1026" s="320"/>
    </row>
    <row r="1027" ht="18.0" customHeight="1">
      <c r="A1027" s="118" t="str">
        <f t="shared" si="15"/>
        <v/>
      </c>
      <c r="B1027" s="109"/>
      <c r="C1027" s="119"/>
      <c r="D1027" s="119"/>
      <c r="E1027" s="330"/>
      <c r="F1027" s="121"/>
      <c r="G1027" s="153"/>
      <c r="H1027" s="153"/>
      <c r="I1027" s="153"/>
      <c r="J1027" s="112"/>
      <c r="K1027" s="153"/>
      <c r="L1027" s="114"/>
      <c r="M1027" s="151"/>
      <c r="N1027" s="152"/>
      <c r="O1027" s="150"/>
      <c r="P1027" s="114"/>
      <c r="Q1027" s="114"/>
      <c r="R1027" s="151"/>
      <c r="S1027" s="152"/>
      <c r="T1027" s="153"/>
      <c r="U1027" s="152"/>
      <c r="V1027" s="152"/>
      <c r="W1027" s="152"/>
      <c r="X1027" s="152"/>
      <c r="Y1027" s="153"/>
      <c r="Z1027" s="125" t="str">
        <f t="shared" si="16"/>
        <v/>
      </c>
      <c r="AA1027" s="126" t="str">
        <f t="shared" si="17"/>
        <v/>
      </c>
      <c r="AB1027" s="117" t="str">
        <f t="shared" si="19"/>
        <v/>
      </c>
      <c r="AC1027" s="152"/>
      <c r="AD1027" s="153"/>
      <c r="AE1027" s="156"/>
    </row>
    <row r="1028" ht="18.0" customHeight="1">
      <c r="A1028" s="127" t="str">
        <f t="shared" si="15"/>
        <v/>
      </c>
      <c r="B1028" s="128"/>
      <c r="C1028" s="129"/>
      <c r="D1028" s="129"/>
      <c r="E1028" s="325"/>
      <c r="F1028" s="131"/>
      <c r="G1028" s="319"/>
      <c r="H1028" s="319"/>
      <c r="I1028" s="319"/>
      <c r="J1028" s="132"/>
      <c r="K1028" s="319"/>
      <c r="L1028" s="135"/>
      <c r="M1028" s="321"/>
      <c r="N1028" s="322"/>
      <c r="O1028" s="150"/>
      <c r="P1028" s="135"/>
      <c r="Q1028" s="135"/>
      <c r="R1028" s="321"/>
      <c r="S1028" s="322"/>
      <c r="T1028" s="319"/>
      <c r="U1028" s="322"/>
      <c r="V1028" s="322"/>
      <c r="W1028" s="322"/>
      <c r="X1028" s="322"/>
      <c r="Y1028" s="319"/>
      <c r="Z1028" s="136" t="str">
        <f t="shared" si="16"/>
        <v/>
      </c>
      <c r="AA1028" s="137" t="str">
        <f t="shared" si="17"/>
        <v/>
      </c>
      <c r="AB1028" s="138" t="str">
        <f t="shared" si="19"/>
        <v/>
      </c>
      <c r="AC1028" s="322"/>
      <c r="AD1028" s="319"/>
      <c r="AE1028" s="320"/>
    </row>
    <row r="1029" ht="18.0" customHeight="1">
      <c r="A1029" s="118" t="str">
        <f t="shared" si="15"/>
        <v/>
      </c>
      <c r="B1029" s="109"/>
      <c r="C1029" s="119"/>
      <c r="D1029" s="119"/>
      <c r="E1029" s="330"/>
      <c r="F1029" s="121"/>
      <c r="G1029" s="153"/>
      <c r="H1029" s="153"/>
      <c r="I1029" s="153"/>
      <c r="J1029" s="112"/>
      <c r="K1029" s="153"/>
      <c r="L1029" s="114"/>
      <c r="M1029" s="151"/>
      <c r="N1029" s="152"/>
      <c r="O1029" s="150"/>
      <c r="P1029" s="114"/>
      <c r="Q1029" s="114"/>
      <c r="R1029" s="151"/>
      <c r="S1029" s="152"/>
      <c r="T1029" s="153"/>
      <c r="U1029" s="152"/>
      <c r="V1029" s="152"/>
      <c r="W1029" s="152"/>
      <c r="X1029" s="152"/>
      <c r="Y1029" s="153"/>
      <c r="Z1029" s="125" t="str">
        <f t="shared" si="16"/>
        <v/>
      </c>
      <c r="AA1029" s="126" t="str">
        <f t="shared" si="17"/>
        <v/>
      </c>
      <c r="AB1029" s="117" t="str">
        <f t="shared" si="19"/>
        <v/>
      </c>
      <c r="AC1029" s="152"/>
      <c r="AD1029" s="153"/>
      <c r="AE1029" s="156"/>
    </row>
    <row r="1030" ht="18.0" customHeight="1">
      <c r="A1030" s="127" t="str">
        <f t="shared" si="15"/>
        <v/>
      </c>
      <c r="B1030" s="128"/>
      <c r="C1030" s="129"/>
      <c r="D1030" s="129"/>
      <c r="E1030" s="325"/>
      <c r="F1030" s="131"/>
      <c r="G1030" s="319"/>
      <c r="H1030" s="319"/>
      <c r="I1030" s="319"/>
      <c r="J1030" s="132"/>
      <c r="K1030" s="319"/>
      <c r="L1030" s="135"/>
      <c r="M1030" s="321"/>
      <c r="N1030" s="322"/>
      <c r="O1030" s="150"/>
      <c r="P1030" s="135"/>
      <c r="Q1030" s="135"/>
      <c r="R1030" s="321"/>
      <c r="S1030" s="322"/>
      <c r="T1030" s="319"/>
      <c r="U1030" s="322"/>
      <c r="V1030" s="322"/>
      <c r="W1030" s="322"/>
      <c r="X1030" s="322"/>
      <c r="Y1030" s="319"/>
      <c r="Z1030" s="136" t="str">
        <f t="shared" si="16"/>
        <v/>
      </c>
      <c r="AA1030" s="137" t="str">
        <f t="shared" si="17"/>
        <v/>
      </c>
      <c r="AB1030" s="138" t="str">
        <f t="shared" si="19"/>
        <v/>
      </c>
      <c r="AC1030" s="322"/>
      <c r="AD1030" s="319"/>
      <c r="AE1030" s="320"/>
    </row>
    <row r="1031" ht="18.0" customHeight="1">
      <c r="A1031" s="118" t="str">
        <f t="shared" si="15"/>
        <v/>
      </c>
      <c r="B1031" s="109"/>
      <c r="C1031" s="119"/>
      <c r="D1031" s="119"/>
      <c r="E1031" s="330"/>
      <c r="F1031" s="121"/>
      <c r="G1031" s="153"/>
      <c r="H1031" s="153"/>
      <c r="I1031" s="153"/>
      <c r="J1031" s="112"/>
      <c r="K1031" s="153"/>
      <c r="L1031" s="114"/>
      <c r="M1031" s="151"/>
      <c r="N1031" s="152"/>
      <c r="O1031" s="150"/>
      <c r="P1031" s="114"/>
      <c r="Q1031" s="114"/>
      <c r="R1031" s="151"/>
      <c r="S1031" s="152"/>
      <c r="T1031" s="153"/>
      <c r="U1031" s="152"/>
      <c r="V1031" s="152"/>
      <c r="W1031" s="152"/>
      <c r="X1031" s="152"/>
      <c r="Y1031" s="153"/>
      <c r="Z1031" s="125" t="str">
        <f t="shared" si="16"/>
        <v/>
      </c>
      <c r="AA1031" s="126" t="str">
        <f t="shared" si="17"/>
        <v/>
      </c>
      <c r="AB1031" s="117" t="str">
        <f t="shared" si="19"/>
        <v/>
      </c>
      <c r="AC1031" s="152"/>
      <c r="AD1031" s="153"/>
      <c r="AE1031" s="156"/>
    </row>
    <row r="1032" ht="18.0" customHeight="1">
      <c r="A1032" s="127" t="str">
        <f t="shared" si="15"/>
        <v/>
      </c>
      <c r="B1032" s="128"/>
      <c r="C1032" s="129"/>
      <c r="D1032" s="129"/>
      <c r="E1032" s="325"/>
      <c r="F1032" s="131"/>
      <c r="G1032" s="319"/>
      <c r="H1032" s="319"/>
      <c r="I1032" s="319"/>
      <c r="J1032" s="132"/>
      <c r="K1032" s="319"/>
      <c r="L1032" s="135"/>
      <c r="M1032" s="321"/>
      <c r="N1032" s="322"/>
      <c r="O1032" s="150"/>
      <c r="P1032" s="135"/>
      <c r="Q1032" s="135"/>
      <c r="R1032" s="321"/>
      <c r="S1032" s="322"/>
      <c r="T1032" s="319"/>
      <c r="U1032" s="322"/>
      <c r="V1032" s="322"/>
      <c r="W1032" s="322"/>
      <c r="X1032" s="322"/>
      <c r="Y1032" s="319"/>
      <c r="Z1032" s="136" t="str">
        <f t="shared" si="16"/>
        <v/>
      </c>
      <c r="AA1032" s="137" t="str">
        <f t="shared" si="17"/>
        <v/>
      </c>
      <c r="AB1032" s="138" t="str">
        <f t="shared" si="19"/>
        <v/>
      </c>
      <c r="AC1032" s="322"/>
      <c r="AD1032" s="319"/>
      <c r="AE1032" s="320"/>
    </row>
    <row r="1033" ht="18.0" customHeight="1">
      <c r="A1033" s="118" t="str">
        <f t="shared" si="15"/>
        <v/>
      </c>
      <c r="B1033" s="109"/>
      <c r="C1033" s="119"/>
      <c r="D1033" s="119"/>
      <c r="E1033" s="330"/>
      <c r="F1033" s="121"/>
      <c r="G1033" s="153"/>
      <c r="H1033" s="153"/>
      <c r="I1033" s="153"/>
      <c r="J1033" s="112"/>
      <c r="K1033" s="153"/>
      <c r="L1033" s="114"/>
      <c r="M1033" s="151"/>
      <c r="N1033" s="152"/>
      <c r="O1033" s="150"/>
      <c r="P1033" s="114"/>
      <c r="Q1033" s="114"/>
      <c r="R1033" s="151"/>
      <c r="S1033" s="152"/>
      <c r="T1033" s="153"/>
      <c r="U1033" s="152"/>
      <c r="V1033" s="152"/>
      <c r="W1033" s="152"/>
      <c r="X1033" s="152"/>
      <c r="Y1033" s="153"/>
      <c r="Z1033" s="125" t="str">
        <f t="shared" si="16"/>
        <v/>
      </c>
      <c r="AA1033" s="126" t="str">
        <f t="shared" si="17"/>
        <v/>
      </c>
      <c r="AB1033" s="117" t="str">
        <f t="shared" si="19"/>
        <v/>
      </c>
      <c r="AC1033" s="152"/>
      <c r="AD1033" s="153"/>
      <c r="AE1033" s="156"/>
    </row>
    <row r="1034" ht="18.0" customHeight="1">
      <c r="A1034" s="127" t="str">
        <f t="shared" si="15"/>
        <v/>
      </c>
      <c r="B1034" s="128"/>
      <c r="C1034" s="129"/>
      <c r="D1034" s="129"/>
      <c r="E1034" s="325"/>
      <c r="F1034" s="131"/>
      <c r="G1034" s="319"/>
      <c r="H1034" s="319"/>
      <c r="I1034" s="319"/>
      <c r="J1034" s="132"/>
      <c r="K1034" s="319"/>
      <c r="L1034" s="135"/>
      <c r="M1034" s="321"/>
      <c r="N1034" s="322"/>
      <c r="O1034" s="150"/>
      <c r="P1034" s="135"/>
      <c r="Q1034" s="135"/>
      <c r="R1034" s="321"/>
      <c r="S1034" s="322"/>
      <c r="T1034" s="319"/>
      <c r="U1034" s="322"/>
      <c r="V1034" s="322"/>
      <c r="W1034" s="322"/>
      <c r="X1034" s="322"/>
      <c r="Y1034" s="319"/>
      <c r="Z1034" s="136" t="str">
        <f t="shared" si="16"/>
        <v/>
      </c>
      <c r="AA1034" s="137" t="str">
        <f t="shared" si="17"/>
        <v/>
      </c>
      <c r="AB1034" s="138" t="str">
        <f t="shared" si="19"/>
        <v/>
      </c>
      <c r="AC1034" s="322"/>
      <c r="AD1034" s="319"/>
      <c r="AE1034" s="320"/>
    </row>
    <row r="1035" ht="18.0" customHeight="1">
      <c r="A1035" s="118" t="str">
        <f t="shared" si="15"/>
        <v/>
      </c>
      <c r="B1035" s="109"/>
      <c r="C1035" s="119"/>
      <c r="D1035" s="119"/>
      <c r="E1035" s="330"/>
      <c r="F1035" s="121"/>
      <c r="G1035" s="153"/>
      <c r="H1035" s="153"/>
      <c r="I1035" s="153"/>
      <c r="J1035" s="112"/>
      <c r="K1035" s="153"/>
      <c r="L1035" s="114"/>
      <c r="M1035" s="151"/>
      <c r="N1035" s="152"/>
      <c r="O1035" s="150"/>
      <c r="P1035" s="114"/>
      <c r="Q1035" s="114"/>
      <c r="R1035" s="151"/>
      <c r="S1035" s="152"/>
      <c r="T1035" s="153"/>
      <c r="U1035" s="152"/>
      <c r="V1035" s="152"/>
      <c r="W1035" s="152"/>
      <c r="X1035" s="152"/>
      <c r="Y1035" s="153"/>
      <c r="Z1035" s="125" t="str">
        <f t="shared" si="16"/>
        <v/>
      </c>
      <c r="AA1035" s="126" t="str">
        <f t="shared" si="17"/>
        <v/>
      </c>
      <c r="AB1035" s="117" t="str">
        <f t="shared" si="19"/>
        <v/>
      </c>
      <c r="AC1035" s="152"/>
      <c r="AD1035" s="153"/>
      <c r="AE1035" s="156"/>
    </row>
    <row r="1036" ht="18.0" customHeight="1">
      <c r="A1036" s="127" t="str">
        <f t="shared" si="15"/>
        <v/>
      </c>
      <c r="B1036" s="128"/>
      <c r="C1036" s="129"/>
      <c r="D1036" s="129"/>
      <c r="E1036" s="325"/>
      <c r="F1036" s="131"/>
      <c r="G1036" s="319"/>
      <c r="H1036" s="319"/>
      <c r="I1036" s="319"/>
      <c r="J1036" s="132"/>
      <c r="K1036" s="319"/>
      <c r="L1036" s="135"/>
      <c r="M1036" s="321"/>
      <c r="N1036" s="322"/>
      <c r="O1036" s="150"/>
      <c r="P1036" s="135"/>
      <c r="Q1036" s="135"/>
      <c r="R1036" s="321"/>
      <c r="S1036" s="322"/>
      <c r="T1036" s="319"/>
      <c r="U1036" s="322"/>
      <c r="V1036" s="322"/>
      <c r="W1036" s="322"/>
      <c r="X1036" s="322"/>
      <c r="Y1036" s="319"/>
      <c r="Z1036" s="136" t="str">
        <f t="shared" si="16"/>
        <v/>
      </c>
      <c r="AA1036" s="137" t="str">
        <f t="shared" si="17"/>
        <v/>
      </c>
      <c r="AB1036" s="138" t="str">
        <f t="shared" si="19"/>
        <v/>
      </c>
      <c r="AC1036" s="322"/>
      <c r="AD1036" s="319"/>
      <c r="AE1036" s="320"/>
    </row>
    <row r="1037" ht="18.0" customHeight="1">
      <c r="A1037" s="118" t="str">
        <f t="shared" si="15"/>
        <v/>
      </c>
      <c r="B1037" s="109"/>
      <c r="C1037" s="119"/>
      <c r="D1037" s="119"/>
      <c r="E1037" s="330"/>
      <c r="F1037" s="121"/>
      <c r="G1037" s="153"/>
      <c r="H1037" s="153"/>
      <c r="I1037" s="153"/>
      <c r="J1037" s="112"/>
      <c r="K1037" s="153"/>
      <c r="L1037" s="114"/>
      <c r="M1037" s="151"/>
      <c r="N1037" s="152"/>
      <c r="O1037" s="150"/>
      <c r="P1037" s="114"/>
      <c r="Q1037" s="114"/>
      <c r="R1037" s="151"/>
      <c r="S1037" s="152"/>
      <c r="T1037" s="153"/>
      <c r="U1037" s="152"/>
      <c r="V1037" s="152"/>
      <c r="W1037" s="152"/>
      <c r="X1037" s="152"/>
      <c r="Y1037" s="153"/>
      <c r="Z1037" s="125" t="str">
        <f t="shared" si="16"/>
        <v/>
      </c>
      <c r="AA1037" s="126" t="str">
        <f t="shared" si="17"/>
        <v/>
      </c>
      <c r="AB1037" s="117" t="str">
        <f t="shared" si="19"/>
        <v/>
      </c>
      <c r="AC1037" s="152"/>
      <c r="AD1037" s="153"/>
      <c r="AE1037" s="156"/>
    </row>
    <row r="1038" ht="18.0" customHeight="1">
      <c r="A1038" s="127" t="str">
        <f t="shared" si="15"/>
        <v/>
      </c>
      <c r="B1038" s="128"/>
      <c r="C1038" s="129"/>
      <c r="D1038" s="129"/>
      <c r="E1038" s="325"/>
      <c r="F1038" s="131"/>
      <c r="G1038" s="319"/>
      <c r="H1038" s="319"/>
      <c r="I1038" s="319"/>
      <c r="J1038" s="132"/>
      <c r="K1038" s="319"/>
      <c r="L1038" s="135"/>
      <c r="M1038" s="321"/>
      <c r="N1038" s="322"/>
      <c r="O1038" s="150"/>
      <c r="P1038" s="135"/>
      <c r="Q1038" s="135"/>
      <c r="R1038" s="321"/>
      <c r="S1038" s="322"/>
      <c r="T1038" s="319"/>
      <c r="U1038" s="322"/>
      <c r="V1038" s="322"/>
      <c r="W1038" s="322"/>
      <c r="X1038" s="322"/>
      <c r="Y1038" s="319"/>
      <c r="Z1038" s="136" t="str">
        <f t="shared" si="16"/>
        <v/>
      </c>
      <c r="AA1038" s="137" t="str">
        <f t="shared" si="17"/>
        <v/>
      </c>
      <c r="AB1038" s="138" t="str">
        <f t="shared" si="19"/>
        <v/>
      </c>
      <c r="AC1038" s="322"/>
      <c r="AD1038" s="319"/>
      <c r="AE1038" s="320"/>
    </row>
    <row r="1039" ht="18.0" customHeight="1">
      <c r="A1039" s="118" t="str">
        <f t="shared" si="15"/>
        <v/>
      </c>
      <c r="B1039" s="109"/>
      <c r="C1039" s="119"/>
      <c r="D1039" s="119"/>
      <c r="E1039" s="330"/>
      <c r="F1039" s="121"/>
      <c r="G1039" s="153"/>
      <c r="H1039" s="153"/>
      <c r="I1039" s="153"/>
      <c r="J1039" s="112"/>
      <c r="K1039" s="153"/>
      <c r="L1039" s="114"/>
      <c r="M1039" s="151"/>
      <c r="N1039" s="152"/>
      <c r="O1039" s="150"/>
      <c r="P1039" s="114"/>
      <c r="Q1039" s="114"/>
      <c r="R1039" s="151"/>
      <c r="S1039" s="152"/>
      <c r="T1039" s="153"/>
      <c r="U1039" s="152"/>
      <c r="V1039" s="152"/>
      <c r="W1039" s="152"/>
      <c r="X1039" s="152"/>
      <c r="Y1039" s="153"/>
      <c r="Z1039" s="125" t="str">
        <f t="shared" si="16"/>
        <v/>
      </c>
      <c r="AA1039" s="126" t="str">
        <f t="shared" si="17"/>
        <v/>
      </c>
      <c r="AB1039" s="117" t="str">
        <f t="shared" si="19"/>
        <v/>
      </c>
      <c r="AC1039" s="152"/>
      <c r="AD1039" s="153"/>
      <c r="AE1039" s="156"/>
    </row>
    <row r="1040" ht="18.0" customHeight="1">
      <c r="A1040" s="127" t="str">
        <f t="shared" si="15"/>
        <v/>
      </c>
      <c r="B1040" s="128"/>
      <c r="C1040" s="129"/>
      <c r="D1040" s="129"/>
      <c r="E1040" s="325"/>
      <c r="F1040" s="131"/>
      <c r="G1040" s="319"/>
      <c r="H1040" s="319"/>
      <c r="I1040" s="319"/>
      <c r="J1040" s="132"/>
      <c r="K1040" s="319"/>
      <c r="L1040" s="135"/>
      <c r="M1040" s="321"/>
      <c r="N1040" s="322"/>
      <c r="O1040" s="150"/>
      <c r="P1040" s="135"/>
      <c r="Q1040" s="135"/>
      <c r="R1040" s="321"/>
      <c r="S1040" s="322"/>
      <c r="T1040" s="319"/>
      <c r="U1040" s="322"/>
      <c r="V1040" s="322"/>
      <c r="W1040" s="322"/>
      <c r="X1040" s="322"/>
      <c r="Y1040" s="319"/>
      <c r="Z1040" s="136" t="str">
        <f t="shared" si="16"/>
        <v/>
      </c>
      <c r="AA1040" s="137" t="str">
        <f t="shared" si="17"/>
        <v/>
      </c>
      <c r="AB1040" s="138" t="str">
        <f t="shared" si="19"/>
        <v/>
      </c>
      <c r="AC1040" s="322"/>
      <c r="AD1040" s="319"/>
      <c r="AE1040" s="320"/>
    </row>
    <row r="1041" ht="18.0" customHeight="1">
      <c r="A1041" s="118" t="str">
        <f t="shared" si="15"/>
        <v/>
      </c>
      <c r="B1041" s="109"/>
      <c r="C1041" s="119"/>
      <c r="D1041" s="119"/>
      <c r="E1041" s="330"/>
      <c r="F1041" s="121"/>
      <c r="G1041" s="153"/>
      <c r="H1041" s="153"/>
      <c r="I1041" s="153"/>
      <c r="J1041" s="112"/>
      <c r="K1041" s="153"/>
      <c r="L1041" s="114"/>
      <c r="M1041" s="151"/>
      <c r="N1041" s="152"/>
      <c r="O1041" s="150"/>
      <c r="P1041" s="114"/>
      <c r="Q1041" s="114"/>
      <c r="R1041" s="151"/>
      <c r="S1041" s="152"/>
      <c r="T1041" s="153"/>
      <c r="U1041" s="152"/>
      <c r="V1041" s="152"/>
      <c r="W1041" s="152"/>
      <c r="X1041" s="152"/>
      <c r="Y1041" s="153"/>
      <c r="Z1041" s="125" t="str">
        <f t="shared" si="16"/>
        <v/>
      </c>
      <c r="AA1041" s="126" t="str">
        <f t="shared" si="17"/>
        <v/>
      </c>
      <c r="AB1041" s="117" t="str">
        <f t="shared" si="19"/>
        <v/>
      </c>
      <c r="AC1041" s="152"/>
      <c r="AD1041" s="153"/>
      <c r="AE1041" s="156"/>
    </row>
    <row r="1042" ht="18.0" customHeight="1">
      <c r="A1042" s="127" t="str">
        <f t="shared" si="15"/>
        <v/>
      </c>
      <c r="B1042" s="128"/>
      <c r="C1042" s="129"/>
      <c r="D1042" s="129"/>
      <c r="E1042" s="325"/>
      <c r="F1042" s="131"/>
      <c r="G1042" s="319"/>
      <c r="H1042" s="319"/>
      <c r="I1042" s="319"/>
      <c r="J1042" s="132"/>
      <c r="K1042" s="319"/>
      <c r="L1042" s="135"/>
      <c r="M1042" s="321"/>
      <c r="N1042" s="322"/>
      <c r="O1042" s="150"/>
      <c r="P1042" s="135"/>
      <c r="Q1042" s="135"/>
      <c r="R1042" s="321"/>
      <c r="S1042" s="322"/>
      <c r="T1042" s="319"/>
      <c r="U1042" s="322"/>
      <c r="V1042" s="322"/>
      <c r="W1042" s="322"/>
      <c r="X1042" s="322"/>
      <c r="Y1042" s="319"/>
      <c r="Z1042" s="136" t="str">
        <f t="shared" si="16"/>
        <v/>
      </c>
      <c r="AA1042" s="137" t="str">
        <f t="shared" si="17"/>
        <v/>
      </c>
      <c r="AB1042" s="138" t="str">
        <f t="shared" si="19"/>
        <v/>
      </c>
      <c r="AC1042" s="322"/>
      <c r="AD1042" s="319"/>
      <c r="AE1042" s="320"/>
    </row>
    <row r="1043" ht="18.0" customHeight="1">
      <c r="A1043" s="118" t="str">
        <f t="shared" si="15"/>
        <v/>
      </c>
      <c r="B1043" s="109"/>
      <c r="C1043" s="119"/>
      <c r="D1043" s="119"/>
      <c r="E1043" s="330"/>
      <c r="F1043" s="121"/>
      <c r="G1043" s="153"/>
      <c r="H1043" s="153"/>
      <c r="I1043" s="153"/>
      <c r="J1043" s="112"/>
      <c r="K1043" s="153"/>
      <c r="L1043" s="114"/>
      <c r="M1043" s="151"/>
      <c r="N1043" s="152"/>
      <c r="O1043" s="150"/>
      <c r="P1043" s="114"/>
      <c r="Q1043" s="114"/>
      <c r="R1043" s="151"/>
      <c r="S1043" s="152"/>
      <c r="T1043" s="153"/>
      <c r="U1043" s="152"/>
      <c r="V1043" s="152"/>
      <c r="W1043" s="152"/>
      <c r="X1043" s="152"/>
      <c r="Y1043" s="153"/>
      <c r="Z1043" s="125" t="str">
        <f t="shared" si="16"/>
        <v/>
      </c>
      <c r="AA1043" s="126" t="str">
        <f t="shared" si="17"/>
        <v/>
      </c>
      <c r="AB1043" s="117" t="str">
        <f t="shared" si="19"/>
        <v/>
      </c>
      <c r="AC1043" s="152"/>
      <c r="AD1043" s="153"/>
      <c r="AE1043" s="156"/>
    </row>
    <row r="1044" ht="18.0" customHeight="1">
      <c r="A1044" s="127" t="str">
        <f t="shared" si="15"/>
        <v/>
      </c>
      <c r="B1044" s="128"/>
      <c r="C1044" s="129"/>
      <c r="D1044" s="129"/>
      <c r="E1044" s="325"/>
      <c r="F1044" s="131"/>
      <c r="G1044" s="319"/>
      <c r="H1044" s="319"/>
      <c r="I1044" s="319"/>
      <c r="J1044" s="132"/>
      <c r="K1044" s="319"/>
      <c r="L1044" s="135"/>
      <c r="M1044" s="321"/>
      <c r="N1044" s="322"/>
      <c r="O1044" s="150"/>
      <c r="P1044" s="135"/>
      <c r="Q1044" s="135"/>
      <c r="R1044" s="321"/>
      <c r="S1044" s="322"/>
      <c r="T1044" s="319"/>
      <c r="U1044" s="322"/>
      <c r="V1044" s="322"/>
      <c r="W1044" s="322"/>
      <c r="X1044" s="322"/>
      <c r="Y1044" s="319"/>
      <c r="Z1044" s="136" t="str">
        <f t="shared" si="16"/>
        <v/>
      </c>
      <c r="AA1044" s="137" t="str">
        <f t="shared" si="17"/>
        <v/>
      </c>
      <c r="AB1044" s="138" t="str">
        <f t="shared" si="19"/>
        <v/>
      </c>
      <c r="AC1044" s="322"/>
      <c r="AD1044" s="319"/>
      <c r="AE1044" s="320"/>
    </row>
    <row r="1045" ht="18.0" customHeight="1">
      <c r="A1045" s="118" t="str">
        <f t="shared" si="15"/>
        <v/>
      </c>
      <c r="B1045" s="109"/>
      <c r="C1045" s="119"/>
      <c r="D1045" s="119"/>
      <c r="E1045" s="330"/>
      <c r="F1045" s="121"/>
      <c r="G1045" s="153"/>
      <c r="H1045" s="153"/>
      <c r="I1045" s="153"/>
      <c r="J1045" s="112"/>
      <c r="K1045" s="153"/>
      <c r="L1045" s="114"/>
      <c r="M1045" s="151"/>
      <c r="N1045" s="152"/>
      <c r="O1045" s="150"/>
      <c r="P1045" s="114"/>
      <c r="Q1045" s="114"/>
      <c r="R1045" s="151"/>
      <c r="S1045" s="152"/>
      <c r="T1045" s="153"/>
      <c r="U1045" s="152"/>
      <c r="V1045" s="152"/>
      <c r="W1045" s="152"/>
      <c r="X1045" s="152"/>
      <c r="Y1045" s="153"/>
      <c r="Z1045" s="125" t="str">
        <f t="shared" si="16"/>
        <v/>
      </c>
      <c r="AA1045" s="126" t="str">
        <f t="shared" si="17"/>
        <v/>
      </c>
      <c r="AB1045" s="117" t="str">
        <f t="shared" si="19"/>
        <v/>
      </c>
      <c r="AC1045" s="152"/>
      <c r="AD1045" s="153"/>
      <c r="AE1045" s="156"/>
    </row>
    <row r="1046" ht="18.0" customHeight="1">
      <c r="A1046" s="127" t="str">
        <f t="shared" si="15"/>
        <v/>
      </c>
      <c r="B1046" s="128"/>
      <c r="C1046" s="129"/>
      <c r="D1046" s="129"/>
      <c r="E1046" s="325"/>
      <c r="F1046" s="131"/>
      <c r="G1046" s="319"/>
      <c r="H1046" s="319"/>
      <c r="I1046" s="319"/>
      <c r="J1046" s="132"/>
      <c r="K1046" s="319"/>
      <c r="L1046" s="135"/>
      <c r="M1046" s="321"/>
      <c r="N1046" s="322"/>
      <c r="O1046" s="150"/>
      <c r="P1046" s="135"/>
      <c r="Q1046" s="135"/>
      <c r="R1046" s="321"/>
      <c r="S1046" s="322"/>
      <c r="T1046" s="319"/>
      <c r="U1046" s="322"/>
      <c r="V1046" s="322"/>
      <c r="W1046" s="322"/>
      <c r="X1046" s="322"/>
      <c r="Y1046" s="319"/>
      <c r="Z1046" s="136" t="str">
        <f t="shared" si="16"/>
        <v/>
      </c>
      <c r="AA1046" s="137" t="str">
        <f t="shared" si="17"/>
        <v/>
      </c>
      <c r="AB1046" s="138" t="str">
        <f t="shared" si="19"/>
        <v/>
      </c>
      <c r="AC1046" s="322"/>
      <c r="AD1046" s="319"/>
      <c r="AE1046" s="320"/>
    </row>
    <row r="1047" ht="18.0" customHeight="1">
      <c r="A1047" s="118" t="str">
        <f t="shared" si="15"/>
        <v/>
      </c>
      <c r="B1047" s="109"/>
      <c r="C1047" s="119"/>
      <c r="D1047" s="119"/>
      <c r="E1047" s="330"/>
      <c r="F1047" s="121"/>
      <c r="G1047" s="153"/>
      <c r="H1047" s="153"/>
      <c r="I1047" s="153"/>
      <c r="J1047" s="112"/>
      <c r="K1047" s="153"/>
      <c r="L1047" s="114"/>
      <c r="M1047" s="151"/>
      <c r="N1047" s="152"/>
      <c r="O1047" s="150"/>
      <c r="P1047" s="114"/>
      <c r="Q1047" s="114"/>
      <c r="R1047" s="151"/>
      <c r="S1047" s="152"/>
      <c r="T1047" s="153"/>
      <c r="U1047" s="152"/>
      <c r="V1047" s="152"/>
      <c r="W1047" s="152"/>
      <c r="X1047" s="152"/>
      <c r="Y1047" s="153"/>
      <c r="Z1047" s="125" t="str">
        <f t="shared" si="16"/>
        <v/>
      </c>
      <c r="AA1047" s="126" t="str">
        <f t="shared" si="17"/>
        <v/>
      </c>
      <c r="AB1047" s="117" t="str">
        <f t="shared" si="19"/>
        <v/>
      </c>
      <c r="AC1047" s="152"/>
      <c r="AD1047" s="153"/>
      <c r="AE1047" s="156"/>
    </row>
    <row r="1048" ht="18.0" customHeight="1">
      <c r="A1048" s="127" t="str">
        <f t="shared" si="15"/>
        <v/>
      </c>
      <c r="B1048" s="128"/>
      <c r="C1048" s="129"/>
      <c r="D1048" s="129"/>
      <c r="E1048" s="325"/>
      <c r="F1048" s="131"/>
      <c r="G1048" s="319"/>
      <c r="H1048" s="319"/>
      <c r="I1048" s="319"/>
      <c r="J1048" s="132"/>
      <c r="K1048" s="319"/>
      <c r="L1048" s="135"/>
      <c r="M1048" s="321"/>
      <c r="N1048" s="322"/>
      <c r="O1048" s="150"/>
      <c r="P1048" s="135"/>
      <c r="Q1048" s="135"/>
      <c r="R1048" s="321"/>
      <c r="S1048" s="322"/>
      <c r="T1048" s="319"/>
      <c r="U1048" s="322"/>
      <c r="V1048" s="322"/>
      <c r="W1048" s="322"/>
      <c r="X1048" s="322"/>
      <c r="Y1048" s="319"/>
      <c r="Z1048" s="136" t="str">
        <f t="shared" si="16"/>
        <v/>
      </c>
      <c r="AA1048" s="137" t="str">
        <f t="shared" si="17"/>
        <v/>
      </c>
      <c r="AB1048" s="138" t="str">
        <f t="shared" si="19"/>
        <v/>
      </c>
      <c r="AC1048" s="322"/>
      <c r="AD1048" s="319"/>
      <c r="AE1048" s="320"/>
    </row>
    <row r="1049" ht="18.0" customHeight="1">
      <c r="A1049" s="118" t="str">
        <f t="shared" si="15"/>
        <v/>
      </c>
      <c r="B1049" s="109"/>
      <c r="C1049" s="119"/>
      <c r="D1049" s="119"/>
      <c r="E1049" s="330"/>
      <c r="F1049" s="121"/>
      <c r="G1049" s="153"/>
      <c r="H1049" s="153"/>
      <c r="I1049" s="153"/>
      <c r="J1049" s="112"/>
      <c r="K1049" s="153"/>
      <c r="L1049" s="114"/>
      <c r="M1049" s="151"/>
      <c r="N1049" s="152"/>
      <c r="O1049" s="150"/>
      <c r="P1049" s="114"/>
      <c r="Q1049" s="114"/>
      <c r="R1049" s="151"/>
      <c r="S1049" s="152"/>
      <c r="T1049" s="153"/>
      <c r="U1049" s="152"/>
      <c r="V1049" s="152"/>
      <c r="W1049" s="152"/>
      <c r="X1049" s="152"/>
      <c r="Y1049" s="153"/>
      <c r="Z1049" s="125" t="str">
        <f t="shared" si="16"/>
        <v/>
      </c>
      <c r="AA1049" s="126" t="str">
        <f t="shared" si="17"/>
        <v/>
      </c>
      <c r="AB1049" s="117" t="str">
        <f t="shared" si="19"/>
        <v/>
      </c>
      <c r="AC1049" s="152"/>
      <c r="AD1049" s="153"/>
      <c r="AE1049" s="156"/>
    </row>
    <row r="1050" ht="18.0" customHeight="1">
      <c r="A1050" s="127" t="str">
        <f t="shared" si="15"/>
        <v/>
      </c>
      <c r="B1050" s="128"/>
      <c r="C1050" s="129"/>
      <c r="D1050" s="129"/>
      <c r="E1050" s="325"/>
      <c r="F1050" s="131"/>
      <c r="G1050" s="319"/>
      <c r="H1050" s="319"/>
      <c r="I1050" s="319"/>
      <c r="J1050" s="132"/>
      <c r="K1050" s="319"/>
      <c r="L1050" s="135"/>
      <c r="M1050" s="321"/>
      <c r="N1050" s="322"/>
      <c r="O1050" s="150"/>
      <c r="P1050" s="135"/>
      <c r="Q1050" s="135"/>
      <c r="R1050" s="321"/>
      <c r="S1050" s="322"/>
      <c r="T1050" s="319"/>
      <c r="U1050" s="322"/>
      <c r="V1050" s="322"/>
      <c r="W1050" s="322"/>
      <c r="X1050" s="322"/>
      <c r="Y1050" s="319"/>
      <c r="Z1050" s="136" t="str">
        <f t="shared" si="16"/>
        <v/>
      </c>
      <c r="AA1050" s="137" t="str">
        <f t="shared" si="17"/>
        <v/>
      </c>
      <c r="AB1050" s="138" t="str">
        <f t="shared" si="19"/>
        <v/>
      </c>
      <c r="AC1050" s="322"/>
      <c r="AD1050" s="319"/>
      <c r="AE1050" s="320"/>
    </row>
    <row r="1051" ht="18.0" customHeight="1">
      <c r="A1051" s="118" t="str">
        <f t="shared" si="15"/>
        <v/>
      </c>
      <c r="B1051" s="109"/>
      <c r="C1051" s="119"/>
      <c r="D1051" s="119"/>
      <c r="E1051" s="330"/>
      <c r="F1051" s="121"/>
      <c r="G1051" s="153"/>
      <c r="H1051" s="153"/>
      <c r="I1051" s="153"/>
      <c r="J1051" s="112"/>
      <c r="K1051" s="153"/>
      <c r="L1051" s="114"/>
      <c r="M1051" s="151"/>
      <c r="N1051" s="152"/>
      <c r="O1051" s="150"/>
      <c r="P1051" s="114"/>
      <c r="Q1051" s="114"/>
      <c r="R1051" s="151"/>
      <c r="S1051" s="152"/>
      <c r="T1051" s="153"/>
      <c r="U1051" s="152"/>
      <c r="V1051" s="152"/>
      <c r="W1051" s="152"/>
      <c r="X1051" s="152"/>
      <c r="Y1051" s="153"/>
      <c r="Z1051" s="125" t="str">
        <f t="shared" si="16"/>
        <v/>
      </c>
      <c r="AA1051" s="126" t="str">
        <f t="shared" si="17"/>
        <v/>
      </c>
      <c r="AB1051" s="117" t="str">
        <f t="shared" si="19"/>
        <v/>
      </c>
      <c r="AC1051" s="152"/>
      <c r="AD1051" s="153"/>
      <c r="AE1051" s="156"/>
    </row>
    <row r="1052" ht="18.0" customHeight="1">
      <c r="A1052" s="127" t="str">
        <f t="shared" si="15"/>
        <v/>
      </c>
      <c r="B1052" s="128"/>
      <c r="C1052" s="129"/>
      <c r="D1052" s="129"/>
      <c r="E1052" s="325"/>
      <c r="F1052" s="131"/>
      <c r="G1052" s="319"/>
      <c r="H1052" s="319"/>
      <c r="I1052" s="319"/>
      <c r="J1052" s="132"/>
      <c r="K1052" s="319"/>
      <c r="L1052" s="135"/>
      <c r="M1052" s="321"/>
      <c r="N1052" s="322"/>
      <c r="O1052" s="150"/>
      <c r="P1052" s="135"/>
      <c r="Q1052" s="135"/>
      <c r="R1052" s="321"/>
      <c r="S1052" s="322"/>
      <c r="T1052" s="319"/>
      <c r="U1052" s="322"/>
      <c r="V1052" s="322"/>
      <c r="W1052" s="322"/>
      <c r="X1052" s="322"/>
      <c r="Y1052" s="319"/>
      <c r="Z1052" s="136" t="str">
        <f t="shared" si="16"/>
        <v/>
      </c>
      <c r="AA1052" s="137" t="str">
        <f t="shared" si="17"/>
        <v/>
      </c>
      <c r="AB1052" s="138" t="str">
        <f t="shared" si="19"/>
        <v/>
      </c>
      <c r="AC1052" s="322"/>
      <c r="AD1052" s="319"/>
      <c r="AE1052" s="320"/>
    </row>
    <row r="1053" ht="18.0" customHeight="1">
      <c r="A1053" s="118" t="str">
        <f t="shared" si="15"/>
        <v/>
      </c>
      <c r="B1053" s="109"/>
      <c r="C1053" s="119"/>
      <c r="D1053" s="119"/>
      <c r="E1053" s="330"/>
      <c r="F1053" s="121"/>
      <c r="G1053" s="153"/>
      <c r="H1053" s="153"/>
      <c r="I1053" s="153"/>
      <c r="J1053" s="112"/>
      <c r="K1053" s="153"/>
      <c r="L1053" s="114"/>
      <c r="M1053" s="151"/>
      <c r="N1053" s="152"/>
      <c r="O1053" s="150"/>
      <c r="P1053" s="114"/>
      <c r="Q1053" s="114"/>
      <c r="R1053" s="151"/>
      <c r="S1053" s="152"/>
      <c r="T1053" s="153"/>
      <c r="U1053" s="152"/>
      <c r="V1053" s="152"/>
      <c r="W1053" s="152"/>
      <c r="X1053" s="152"/>
      <c r="Y1053" s="153"/>
      <c r="Z1053" s="125" t="str">
        <f t="shared" si="16"/>
        <v/>
      </c>
      <c r="AA1053" s="126" t="str">
        <f t="shared" si="17"/>
        <v/>
      </c>
      <c r="AB1053" s="117" t="str">
        <f t="shared" si="19"/>
        <v/>
      </c>
      <c r="AC1053" s="152"/>
      <c r="AD1053" s="153"/>
      <c r="AE1053" s="156"/>
    </row>
    <row r="1054" ht="18.0" customHeight="1">
      <c r="A1054" s="127" t="str">
        <f t="shared" si="15"/>
        <v/>
      </c>
      <c r="B1054" s="128"/>
      <c r="C1054" s="129"/>
      <c r="D1054" s="129"/>
      <c r="E1054" s="325"/>
      <c r="F1054" s="131"/>
      <c r="G1054" s="319"/>
      <c r="H1054" s="319"/>
      <c r="I1054" s="319"/>
      <c r="J1054" s="132"/>
      <c r="K1054" s="319"/>
      <c r="L1054" s="135"/>
      <c r="M1054" s="321"/>
      <c r="N1054" s="322"/>
      <c r="O1054" s="150"/>
      <c r="P1054" s="135"/>
      <c r="Q1054" s="135"/>
      <c r="R1054" s="321"/>
      <c r="S1054" s="322"/>
      <c r="T1054" s="319"/>
      <c r="U1054" s="322"/>
      <c r="V1054" s="322"/>
      <c r="W1054" s="322"/>
      <c r="X1054" s="322"/>
      <c r="Y1054" s="319"/>
      <c r="Z1054" s="136" t="str">
        <f t="shared" si="16"/>
        <v/>
      </c>
      <c r="AA1054" s="137" t="str">
        <f t="shared" si="17"/>
        <v/>
      </c>
      <c r="AB1054" s="138" t="str">
        <f t="shared" si="19"/>
        <v/>
      </c>
      <c r="AC1054" s="322"/>
      <c r="AD1054" s="319"/>
      <c r="AE1054" s="320"/>
    </row>
    <row r="1055" ht="18.0" customHeight="1">
      <c r="A1055" s="118" t="str">
        <f t="shared" si="15"/>
        <v/>
      </c>
      <c r="B1055" s="109"/>
      <c r="C1055" s="119"/>
      <c r="D1055" s="119"/>
      <c r="E1055" s="330"/>
      <c r="F1055" s="121"/>
      <c r="G1055" s="153"/>
      <c r="H1055" s="153"/>
      <c r="I1055" s="153"/>
      <c r="J1055" s="112"/>
      <c r="K1055" s="153"/>
      <c r="L1055" s="114"/>
      <c r="M1055" s="151"/>
      <c r="N1055" s="152"/>
      <c r="O1055" s="150"/>
      <c r="P1055" s="114"/>
      <c r="Q1055" s="114"/>
      <c r="R1055" s="151"/>
      <c r="S1055" s="152"/>
      <c r="T1055" s="153"/>
      <c r="U1055" s="152"/>
      <c r="V1055" s="152"/>
      <c r="W1055" s="152"/>
      <c r="X1055" s="152"/>
      <c r="Y1055" s="153"/>
      <c r="Z1055" s="125" t="str">
        <f t="shared" si="16"/>
        <v/>
      </c>
      <c r="AA1055" s="126" t="str">
        <f t="shared" si="17"/>
        <v/>
      </c>
      <c r="AB1055" s="117" t="str">
        <f t="shared" si="19"/>
        <v/>
      </c>
      <c r="AC1055" s="152"/>
      <c r="AD1055" s="153"/>
      <c r="AE1055" s="156"/>
    </row>
    <row r="1056" ht="18.0" customHeight="1">
      <c r="A1056" s="127" t="str">
        <f t="shared" si="15"/>
        <v/>
      </c>
      <c r="B1056" s="128"/>
      <c r="C1056" s="129"/>
      <c r="D1056" s="129"/>
      <c r="E1056" s="325"/>
      <c r="F1056" s="131"/>
      <c r="G1056" s="319"/>
      <c r="H1056" s="319"/>
      <c r="I1056" s="319"/>
      <c r="J1056" s="132"/>
      <c r="K1056" s="319"/>
      <c r="L1056" s="135"/>
      <c r="M1056" s="321"/>
      <c r="N1056" s="322"/>
      <c r="O1056" s="150"/>
      <c r="P1056" s="135"/>
      <c r="Q1056" s="135"/>
      <c r="R1056" s="321"/>
      <c r="S1056" s="322"/>
      <c r="T1056" s="319"/>
      <c r="U1056" s="322"/>
      <c r="V1056" s="322"/>
      <c r="W1056" s="322"/>
      <c r="X1056" s="322"/>
      <c r="Y1056" s="319"/>
      <c r="Z1056" s="136" t="str">
        <f t="shared" si="16"/>
        <v/>
      </c>
      <c r="AA1056" s="137" t="str">
        <f t="shared" si="17"/>
        <v/>
      </c>
      <c r="AB1056" s="138" t="str">
        <f t="shared" si="19"/>
        <v/>
      </c>
      <c r="AC1056" s="322"/>
      <c r="AD1056" s="319"/>
      <c r="AE1056" s="320"/>
    </row>
    <row r="1057" ht="18.0" customHeight="1">
      <c r="A1057" s="118" t="str">
        <f t="shared" si="15"/>
        <v/>
      </c>
      <c r="B1057" s="109"/>
      <c r="C1057" s="119"/>
      <c r="D1057" s="119"/>
      <c r="E1057" s="330"/>
      <c r="F1057" s="121"/>
      <c r="G1057" s="153"/>
      <c r="H1057" s="153"/>
      <c r="I1057" s="153"/>
      <c r="J1057" s="112"/>
      <c r="K1057" s="153"/>
      <c r="L1057" s="114"/>
      <c r="M1057" s="151"/>
      <c r="N1057" s="152"/>
      <c r="O1057" s="150"/>
      <c r="P1057" s="114"/>
      <c r="Q1057" s="114"/>
      <c r="R1057" s="151"/>
      <c r="S1057" s="152"/>
      <c r="T1057" s="153"/>
      <c r="U1057" s="152"/>
      <c r="V1057" s="152"/>
      <c r="W1057" s="152"/>
      <c r="X1057" s="152"/>
      <c r="Y1057" s="153"/>
      <c r="Z1057" s="125" t="str">
        <f t="shared" si="16"/>
        <v/>
      </c>
      <c r="AA1057" s="126" t="str">
        <f t="shared" si="17"/>
        <v/>
      </c>
      <c r="AB1057" s="117" t="str">
        <f t="shared" si="19"/>
        <v/>
      </c>
      <c r="AC1057" s="152"/>
      <c r="AD1057" s="153"/>
      <c r="AE1057" s="156"/>
    </row>
    <row r="1058" ht="18.0" customHeight="1">
      <c r="A1058" s="127" t="str">
        <f t="shared" si="15"/>
        <v/>
      </c>
      <c r="B1058" s="128"/>
      <c r="C1058" s="129"/>
      <c r="D1058" s="129"/>
      <c r="E1058" s="325"/>
      <c r="F1058" s="131"/>
      <c r="G1058" s="319"/>
      <c r="H1058" s="319"/>
      <c r="I1058" s="319"/>
      <c r="J1058" s="132"/>
      <c r="K1058" s="319"/>
      <c r="L1058" s="135"/>
      <c r="M1058" s="321"/>
      <c r="N1058" s="322"/>
      <c r="O1058" s="150"/>
      <c r="P1058" s="135"/>
      <c r="Q1058" s="135"/>
      <c r="R1058" s="321"/>
      <c r="S1058" s="322"/>
      <c r="T1058" s="319"/>
      <c r="U1058" s="322"/>
      <c r="V1058" s="322"/>
      <c r="W1058" s="322"/>
      <c r="X1058" s="322"/>
      <c r="Y1058" s="319"/>
      <c r="Z1058" s="136" t="str">
        <f t="shared" si="16"/>
        <v/>
      </c>
      <c r="AA1058" s="137" t="str">
        <f t="shared" si="17"/>
        <v/>
      </c>
      <c r="AB1058" s="138" t="str">
        <f t="shared" si="19"/>
        <v/>
      </c>
      <c r="AC1058" s="322"/>
      <c r="AD1058" s="319"/>
      <c r="AE1058" s="320"/>
    </row>
    <row r="1059" ht="18.0" customHeight="1">
      <c r="A1059" s="118" t="str">
        <f t="shared" si="15"/>
        <v/>
      </c>
      <c r="B1059" s="109"/>
      <c r="C1059" s="119"/>
      <c r="D1059" s="119"/>
      <c r="E1059" s="330"/>
      <c r="F1059" s="121"/>
      <c r="G1059" s="153"/>
      <c r="H1059" s="153"/>
      <c r="I1059" s="153"/>
      <c r="J1059" s="112"/>
      <c r="K1059" s="153"/>
      <c r="L1059" s="114"/>
      <c r="M1059" s="151"/>
      <c r="N1059" s="152"/>
      <c r="O1059" s="150"/>
      <c r="P1059" s="114"/>
      <c r="Q1059" s="114"/>
      <c r="R1059" s="151"/>
      <c r="S1059" s="152"/>
      <c r="T1059" s="153"/>
      <c r="U1059" s="152"/>
      <c r="V1059" s="152"/>
      <c r="W1059" s="152"/>
      <c r="X1059" s="152"/>
      <c r="Y1059" s="153"/>
      <c r="Z1059" s="125" t="str">
        <f t="shared" si="16"/>
        <v/>
      </c>
      <c r="AA1059" s="126" t="str">
        <f t="shared" si="17"/>
        <v/>
      </c>
      <c r="AB1059" s="117" t="str">
        <f t="shared" si="19"/>
        <v/>
      </c>
      <c r="AC1059" s="152"/>
      <c r="AD1059" s="153"/>
      <c r="AE1059" s="156"/>
    </row>
    <row r="1060" ht="18.0" customHeight="1">
      <c r="A1060" s="127" t="str">
        <f t="shared" si="15"/>
        <v/>
      </c>
      <c r="B1060" s="128"/>
      <c r="C1060" s="129"/>
      <c r="D1060" s="129"/>
      <c r="E1060" s="325"/>
      <c r="F1060" s="131"/>
      <c r="G1060" s="319"/>
      <c r="H1060" s="319"/>
      <c r="I1060" s="319"/>
      <c r="J1060" s="132"/>
      <c r="K1060" s="319"/>
      <c r="L1060" s="135"/>
      <c r="M1060" s="321"/>
      <c r="N1060" s="322"/>
      <c r="O1060" s="150"/>
      <c r="P1060" s="135"/>
      <c r="Q1060" s="135"/>
      <c r="R1060" s="321"/>
      <c r="S1060" s="322"/>
      <c r="T1060" s="319"/>
      <c r="U1060" s="322"/>
      <c r="V1060" s="322"/>
      <c r="W1060" s="322"/>
      <c r="X1060" s="322"/>
      <c r="Y1060" s="319"/>
      <c r="Z1060" s="136" t="str">
        <f t="shared" si="16"/>
        <v/>
      </c>
      <c r="AA1060" s="137" t="str">
        <f t="shared" si="17"/>
        <v/>
      </c>
      <c r="AB1060" s="138" t="str">
        <f t="shared" si="19"/>
        <v/>
      </c>
      <c r="AC1060" s="322"/>
      <c r="AD1060" s="319"/>
      <c r="AE1060" s="320"/>
    </row>
    <row r="1061" ht="18.0" customHeight="1">
      <c r="A1061" s="118" t="str">
        <f t="shared" si="15"/>
        <v/>
      </c>
      <c r="B1061" s="109"/>
      <c r="C1061" s="119"/>
      <c r="D1061" s="119"/>
      <c r="E1061" s="330"/>
      <c r="F1061" s="121"/>
      <c r="G1061" s="153"/>
      <c r="H1061" s="153"/>
      <c r="I1061" s="153"/>
      <c r="J1061" s="112"/>
      <c r="K1061" s="153"/>
      <c r="L1061" s="114"/>
      <c r="M1061" s="151"/>
      <c r="N1061" s="152"/>
      <c r="O1061" s="150"/>
      <c r="P1061" s="114"/>
      <c r="Q1061" s="114"/>
      <c r="R1061" s="151"/>
      <c r="S1061" s="152"/>
      <c r="T1061" s="153"/>
      <c r="U1061" s="152"/>
      <c r="V1061" s="152"/>
      <c r="W1061" s="152"/>
      <c r="X1061" s="152"/>
      <c r="Y1061" s="153"/>
      <c r="Z1061" s="125" t="str">
        <f t="shared" si="16"/>
        <v/>
      </c>
      <c r="AA1061" s="126" t="str">
        <f t="shared" si="17"/>
        <v/>
      </c>
      <c r="AB1061" s="117" t="str">
        <f t="shared" si="19"/>
        <v/>
      </c>
      <c r="AC1061" s="152"/>
      <c r="AD1061" s="153"/>
      <c r="AE1061" s="156"/>
    </row>
    <row r="1062" ht="18.0" customHeight="1">
      <c r="A1062" s="127" t="str">
        <f t="shared" si="15"/>
        <v/>
      </c>
      <c r="B1062" s="128"/>
      <c r="C1062" s="129"/>
      <c r="D1062" s="129"/>
      <c r="E1062" s="325"/>
      <c r="F1062" s="131"/>
      <c r="G1062" s="319"/>
      <c r="H1062" s="319"/>
      <c r="I1062" s="319"/>
      <c r="J1062" s="132"/>
      <c r="K1062" s="319"/>
      <c r="L1062" s="135"/>
      <c r="M1062" s="321"/>
      <c r="N1062" s="322"/>
      <c r="O1062" s="150"/>
      <c r="P1062" s="135"/>
      <c r="Q1062" s="135"/>
      <c r="R1062" s="321"/>
      <c r="S1062" s="322"/>
      <c r="T1062" s="319"/>
      <c r="U1062" s="322"/>
      <c r="V1062" s="322"/>
      <c r="W1062" s="322"/>
      <c r="X1062" s="322"/>
      <c r="Y1062" s="319"/>
      <c r="Z1062" s="136" t="str">
        <f t="shared" si="16"/>
        <v/>
      </c>
      <c r="AA1062" s="137" t="str">
        <f t="shared" si="17"/>
        <v/>
      </c>
      <c r="AB1062" s="138" t="str">
        <f t="shared" si="19"/>
        <v/>
      </c>
      <c r="AC1062" s="322"/>
      <c r="AD1062" s="319"/>
      <c r="AE1062" s="320"/>
    </row>
    <row r="1063" ht="18.0" customHeight="1">
      <c r="A1063" s="118" t="str">
        <f t="shared" si="15"/>
        <v/>
      </c>
      <c r="B1063" s="109"/>
      <c r="C1063" s="119"/>
      <c r="D1063" s="119"/>
      <c r="E1063" s="330"/>
      <c r="F1063" s="121"/>
      <c r="G1063" s="153"/>
      <c r="H1063" s="153"/>
      <c r="I1063" s="153"/>
      <c r="J1063" s="112"/>
      <c r="K1063" s="153"/>
      <c r="L1063" s="114"/>
      <c r="M1063" s="151"/>
      <c r="N1063" s="152"/>
      <c r="O1063" s="150"/>
      <c r="P1063" s="114"/>
      <c r="Q1063" s="114"/>
      <c r="R1063" s="151"/>
      <c r="S1063" s="152"/>
      <c r="T1063" s="153"/>
      <c r="U1063" s="152"/>
      <c r="V1063" s="152"/>
      <c r="W1063" s="152"/>
      <c r="X1063" s="152"/>
      <c r="Y1063" s="153"/>
      <c r="Z1063" s="125" t="str">
        <f t="shared" si="16"/>
        <v/>
      </c>
      <c r="AA1063" s="126" t="str">
        <f t="shared" si="17"/>
        <v/>
      </c>
      <c r="AB1063" s="117" t="str">
        <f t="shared" si="19"/>
        <v/>
      </c>
      <c r="AC1063" s="152"/>
      <c r="AD1063" s="153"/>
      <c r="AE1063" s="156"/>
    </row>
    <row r="1064" ht="18.0" customHeight="1">
      <c r="A1064" s="127" t="str">
        <f t="shared" si="15"/>
        <v/>
      </c>
      <c r="B1064" s="128"/>
      <c r="C1064" s="129"/>
      <c r="D1064" s="129"/>
      <c r="E1064" s="325"/>
      <c r="F1064" s="131"/>
      <c r="G1064" s="319"/>
      <c r="H1064" s="319"/>
      <c r="I1064" s="319"/>
      <c r="J1064" s="132"/>
      <c r="K1064" s="319"/>
      <c r="L1064" s="135"/>
      <c r="M1064" s="321"/>
      <c r="N1064" s="322"/>
      <c r="O1064" s="150"/>
      <c r="P1064" s="135"/>
      <c r="Q1064" s="135"/>
      <c r="R1064" s="321"/>
      <c r="S1064" s="322"/>
      <c r="T1064" s="319"/>
      <c r="U1064" s="322"/>
      <c r="V1064" s="322"/>
      <c r="W1064" s="322"/>
      <c r="X1064" s="322"/>
      <c r="Y1064" s="319"/>
      <c r="Z1064" s="136" t="str">
        <f t="shared" si="16"/>
        <v/>
      </c>
      <c r="AA1064" s="137" t="str">
        <f t="shared" si="17"/>
        <v/>
      </c>
      <c r="AB1064" s="138" t="str">
        <f t="shared" si="19"/>
        <v/>
      </c>
      <c r="AC1064" s="322"/>
      <c r="AD1064" s="319"/>
      <c r="AE1064" s="320"/>
    </row>
    <row r="1065" ht="18.0" customHeight="1">
      <c r="A1065" s="118" t="str">
        <f t="shared" si="15"/>
        <v/>
      </c>
      <c r="B1065" s="109"/>
      <c r="C1065" s="119"/>
      <c r="D1065" s="119"/>
      <c r="E1065" s="330"/>
      <c r="F1065" s="121"/>
      <c r="G1065" s="153"/>
      <c r="H1065" s="153"/>
      <c r="I1065" s="153"/>
      <c r="J1065" s="112"/>
      <c r="K1065" s="153"/>
      <c r="L1065" s="114"/>
      <c r="M1065" s="151"/>
      <c r="N1065" s="152"/>
      <c r="O1065" s="150"/>
      <c r="P1065" s="114"/>
      <c r="Q1065" s="114"/>
      <c r="R1065" s="151"/>
      <c r="S1065" s="152"/>
      <c r="T1065" s="153"/>
      <c r="U1065" s="152"/>
      <c r="V1065" s="152"/>
      <c r="W1065" s="152"/>
      <c r="X1065" s="152"/>
      <c r="Y1065" s="153"/>
      <c r="Z1065" s="125" t="str">
        <f t="shared" si="16"/>
        <v/>
      </c>
      <c r="AA1065" s="126" t="str">
        <f t="shared" si="17"/>
        <v/>
      </c>
      <c r="AB1065" s="117" t="str">
        <f t="shared" si="19"/>
        <v/>
      </c>
      <c r="AC1065" s="152"/>
      <c r="AD1065" s="153"/>
      <c r="AE1065" s="156"/>
    </row>
    <row r="1066" ht="18.0" customHeight="1">
      <c r="A1066" s="127" t="str">
        <f t="shared" si="15"/>
        <v/>
      </c>
      <c r="B1066" s="128"/>
      <c r="C1066" s="129"/>
      <c r="D1066" s="129"/>
      <c r="E1066" s="325"/>
      <c r="F1066" s="131"/>
      <c r="G1066" s="319"/>
      <c r="H1066" s="319"/>
      <c r="I1066" s="319"/>
      <c r="J1066" s="132"/>
      <c r="K1066" s="319"/>
      <c r="L1066" s="135"/>
      <c r="M1066" s="321"/>
      <c r="N1066" s="322"/>
      <c r="O1066" s="150"/>
      <c r="P1066" s="135"/>
      <c r="Q1066" s="135"/>
      <c r="R1066" s="321"/>
      <c r="S1066" s="322"/>
      <c r="T1066" s="319"/>
      <c r="U1066" s="322"/>
      <c r="V1066" s="322"/>
      <c r="W1066" s="322"/>
      <c r="X1066" s="322"/>
      <c r="Y1066" s="319"/>
      <c r="Z1066" s="136" t="str">
        <f t="shared" si="16"/>
        <v/>
      </c>
      <c r="AA1066" s="137" t="str">
        <f t="shared" si="17"/>
        <v/>
      </c>
      <c r="AB1066" s="138" t="str">
        <f t="shared" si="19"/>
        <v/>
      </c>
      <c r="AC1066" s="322"/>
      <c r="AD1066" s="319"/>
      <c r="AE1066" s="320"/>
    </row>
    <row r="1067" ht="18.0" customHeight="1">
      <c r="A1067" s="118" t="str">
        <f t="shared" si="15"/>
        <v/>
      </c>
      <c r="B1067" s="109"/>
      <c r="C1067" s="119"/>
      <c r="D1067" s="119"/>
      <c r="E1067" s="330"/>
      <c r="F1067" s="121"/>
      <c r="G1067" s="153"/>
      <c r="H1067" s="153"/>
      <c r="I1067" s="153"/>
      <c r="J1067" s="112"/>
      <c r="K1067" s="153"/>
      <c r="L1067" s="114"/>
      <c r="M1067" s="151"/>
      <c r="N1067" s="152"/>
      <c r="O1067" s="150"/>
      <c r="P1067" s="114"/>
      <c r="Q1067" s="114"/>
      <c r="R1067" s="151"/>
      <c r="S1067" s="152"/>
      <c r="T1067" s="153"/>
      <c r="U1067" s="152"/>
      <c r="V1067" s="152"/>
      <c r="W1067" s="152"/>
      <c r="X1067" s="152"/>
      <c r="Y1067" s="153"/>
      <c r="Z1067" s="125" t="str">
        <f t="shared" si="16"/>
        <v/>
      </c>
      <c r="AA1067" s="126" t="str">
        <f t="shared" si="17"/>
        <v/>
      </c>
      <c r="AB1067" s="117" t="str">
        <f t="shared" si="19"/>
        <v/>
      </c>
      <c r="AC1067" s="152"/>
      <c r="AD1067" s="153"/>
      <c r="AE1067" s="156"/>
    </row>
    <row r="1068" ht="18.0" customHeight="1">
      <c r="A1068" s="127" t="str">
        <f t="shared" si="15"/>
        <v/>
      </c>
      <c r="B1068" s="128"/>
      <c r="C1068" s="129"/>
      <c r="D1068" s="129"/>
      <c r="E1068" s="325"/>
      <c r="F1068" s="131"/>
      <c r="G1068" s="319"/>
      <c r="H1068" s="319"/>
      <c r="I1068" s="319"/>
      <c r="J1068" s="132"/>
      <c r="K1068" s="319"/>
      <c r="L1068" s="135"/>
      <c r="M1068" s="321"/>
      <c r="N1068" s="322"/>
      <c r="O1068" s="150"/>
      <c r="P1068" s="135"/>
      <c r="Q1068" s="135"/>
      <c r="R1068" s="321"/>
      <c r="S1068" s="322"/>
      <c r="T1068" s="319"/>
      <c r="U1068" s="322"/>
      <c r="V1068" s="322"/>
      <c r="W1068" s="322"/>
      <c r="X1068" s="322"/>
      <c r="Y1068" s="319"/>
      <c r="Z1068" s="136" t="str">
        <f t="shared" si="16"/>
        <v/>
      </c>
      <c r="AA1068" s="137" t="str">
        <f t="shared" si="17"/>
        <v/>
      </c>
      <c r="AB1068" s="138" t="str">
        <f t="shared" si="19"/>
        <v/>
      </c>
      <c r="AC1068" s="322"/>
      <c r="AD1068" s="319"/>
      <c r="AE1068" s="320"/>
    </row>
    <row r="1069" ht="18.0" customHeight="1">
      <c r="A1069" s="118" t="str">
        <f t="shared" si="15"/>
        <v/>
      </c>
      <c r="B1069" s="109"/>
      <c r="C1069" s="119"/>
      <c r="D1069" s="119"/>
      <c r="E1069" s="330"/>
      <c r="F1069" s="121"/>
      <c r="G1069" s="153"/>
      <c r="H1069" s="153"/>
      <c r="I1069" s="153"/>
      <c r="J1069" s="112"/>
      <c r="K1069" s="153"/>
      <c r="L1069" s="114"/>
      <c r="M1069" s="151"/>
      <c r="N1069" s="152"/>
      <c r="O1069" s="150"/>
      <c r="P1069" s="114"/>
      <c r="Q1069" s="114"/>
      <c r="R1069" s="151"/>
      <c r="S1069" s="152"/>
      <c r="T1069" s="153"/>
      <c r="U1069" s="152"/>
      <c r="V1069" s="152"/>
      <c r="W1069" s="152"/>
      <c r="X1069" s="152"/>
      <c r="Y1069" s="153"/>
      <c r="Z1069" s="125" t="str">
        <f t="shared" si="16"/>
        <v/>
      </c>
      <c r="AA1069" s="126" t="str">
        <f t="shared" si="17"/>
        <v/>
      </c>
      <c r="AB1069" s="117" t="str">
        <f t="shared" si="19"/>
        <v/>
      </c>
      <c r="AC1069" s="152"/>
      <c r="AD1069" s="153"/>
      <c r="AE1069" s="156"/>
    </row>
    <row r="1070" ht="18.0" customHeight="1">
      <c r="A1070" s="127" t="str">
        <f t="shared" si="15"/>
        <v/>
      </c>
      <c r="B1070" s="128"/>
      <c r="C1070" s="129"/>
      <c r="D1070" s="129"/>
      <c r="E1070" s="325"/>
      <c r="F1070" s="131"/>
      <c r="G1070" s="319"/>
      <c r="H1070" s="319"/>
      <c r="I1070" s="319"/>
      <c r="J1070" s="132"/>
      <c r="K1070" s="319"/>
      <c r="L1070" s="135"/>
      <c r="M1070" s="321"/>
      <c r="N1070" s="322"/>
      <c r="O1070" s="150"/>
      <c r="P1070" s="135"/>
      <c r="Q1070" s="135"/>
      <c r="R1070" s="321"/>
      <c r="S1070" s="322"/>
      <c r="T1070" s="319"/>
      <c r="U1070" s="322"/>
      <c r="V1070" s="322"/>
      <c r="W1070" s="322"/>
      <c r="X1070" s="322"/>
      <c r="Y1070" s="319"/>
      <c r="Z1070" s="136" t="str">
        <f t="shared" si="16"/>
        <v/>
      </c>
      <c r="AA1070" s="137" t="str">
        <f t="shared" si="17"/>
        <v/>
      </c>
      <c r="AB1070" s="138" t="str">
        <f t="shared" si="19"/>
        <v/>
      </c>
      <c r="AC1070" s="322"/>
      <c r="AD1070" s="319"/>
      <c r="AE1070" s="320"/>
    </row>
    <row r="1071" ht="18.0" customHeight="1">
      <c r="A1071" s="118" t="str">
        <f t="shared" si="15"/>
        <v/>
      </c>
      <c r="B1071" s="109"/>
      <c r="C1071" s="119"/>
      <c r="D1071" s="119"/>
      <c r="E1071" s="330"/>
      <c r="F1071" s="121"/>
      <c r="G1071" s="153"/>
      <c r="H1071" s="153"/>
      <c r="I1071" s="153"/>
      <c r="J1071" s="112"/>
      <c r="K1071" s="153"/>
      <c r="L1071" s="114"/>
      <c r="M1071" s="151"/>
      <c r="N1071" s="152"/>
      <c r="O1071" s="150"/>
      <c r="P1071" s="114"/>
      <c r="Q1071" s="114"/>
      <c r="R1071" s="151"/>
      <c r="S1071" s="152"/>
      <c r="T1071" s="153"/>
      <c r="U1071" s="152"/>
      <c r="V1071" s="152"/>
      <c r="W1071" s="152"/>
      <c r="X1071" s="152"/>
      <c r="Y1071" s="153"/>
      <c r="Z1071" s="125" t="str">
        <f t="shared" si="16"/>
        <v/>
      </c>
      <c r="AA1071" s="126" t="str">
        <f t="shared" si="17"/>
        <v/>
      </c>
      <c r="AB1071" s="117" t="str">
        <f t="shared" si="19"/>
        <v/>
      </c>
      <c r="AC1071" s="152"/>
      <c r="AD1071" s="153"/>
      <c r="AE1071" s="156"/>
    </row>
    <row r="1072" ht="18.0" customHeight="1">
      <c r="A1072" s="127" t="str">
        <f t="shared" si="15"/>
        <v/>
      </c>
      <c r="B1072" s="128"/>
      <c r="C1072" s="129"/>
      <c r="D1072" s="129"/>
      <c r="E1072" s="325"/>
      <c r="F1072" s="131"/>
      <c r="G1072" s="319"/>
      <c r="H1072" s="319"/>
      <c r="I1072" s="319"/>
      <c r="J1072" s="132"/>
      <c r="K1072" s="319"/>
      <c r="L1072" s="135"/>
      <c r="M1072" s="321"/>
      <c r="N1072" s="322"/>
      <c r="O1072" s="150"/>
      <c r="P1072" s="135"/>
      <c r="Q1072" s="135"/>
      <c r="R1072" s="321"/>
      <c r="S1072" s="322"/>
      <c r="T1072" s="319"/>
      <c r="U1072" s="322"/>
      <c r="V1072" s="322"/>
      <c r="W1072" s="322"/>
      <c r="X1072" s="322"/>
      <c r="Y1072" s="319"/>
      <c r="Z1072" s="136" t="str">
        <f t="shared" si="16"/>
        <v/>
      </c>
      <c r="AA1072" s="137" t="str">
        <f t="shared" si="17"/>
        <v/>
      </c>
      <c r="AB1072" s="138" t="str">
        <f t="shared" si="19"/>
        <v/>
      </c>
      <c r="AC1072" s="322"/>
      <c r="AD1072" s="319"/>
      <c r="AE1072" s="320"/>
    </row>
    <row r="1073" ht="18.0" customHeight="1">
      <c r="A1073" s="118" t="str">
        <f t="shared" si="15"/>
        <v/>
      </c>
      <c r="B1073" s="109"/>
      <c r="C1073" s="119"/>
      <c r="D1073" s="119"/>
      <c r="E1073" s="330"/>
      <c r="F1073" s="121"/>
      <c r="G1073" s="153"/>
      <c r="H1073" s="153"/>
      <c r="I1073" s="153"/>
      <c r="J1073" s="112"/>
      <c r="K1073" s="153"/>
      <c r="L1073" s="114"/>
      <c r="M1073" s="151"/>
      <c r="N1073" s="152"/>
      <c r="O1073" s="150"/>
      <c r="P1073" s="114"/>
      <c r="Q1073" s="114"/>
      <c r="R1073" s="151"/>
      <c r="S1073" s="152"/>
      <c r="T1073" s="153"/>
      <c r="U1073" s="152"/>
      <c r="V1073" s="152"/>
      <c r="W1073" s="152"/>
      <c r="X1073" s="152"/>
      <c r="Y1073" s="153"/>
      <c r="Z1073" s="125" t="str">
        <f t="shared" si="16"/>
        <v/>
      </c>
      <c r="AA1073" s="126" t="str">
        <f t="shared" si="17"/>
        <v/>
      </c>
      <c r="AB1073" s="117" t="str">
        <f t="shared" si="19"/>
        <v/>
      </c>
      <c r="AC1073" s="152"/>
      <c r="AD1073" s="153"/>
      <c r="AE1073" s="156"/>
    </row>
    <row r="1074" ht="18.0" customHeight="1">
      <c r="A1074" s="127" t="str">
        <f t="shared" si="15"/>
        <v/>
      </c>
      <c r="B1074" s="128"/>
      <c r="C1074" s="129"/>
      <c r="D1074" s="129"/>
      <c r="E1074" s="325"/>
      <c r="F1074" s="131"/>
      <c r="G1074" s="319"/>
      <c r="H1074" s="319"/>
      <c r="I1074" s="319"/>
      <c r="J1074" s="132"/>
      <c r="K1074" s="319"/>
      <c r="L1074" s="135"/>
      <c r="M1074" s="321"/>
      <c r="N1074" s="322"/>
      <c r="O1074" s="150"/>
      <c r="P1074" s="135"/>
      <c r="Q1074" s="135"/>
      <c r="R1074" s="321"/>
      <c r="S1074" s="322"/>
      <c r="T1074" s="319"/>
      <c r="U1074" s="322"/>
      <c r="V1074" s="322"/>
      <c r="W1074" s="322"/>
      <c r="X1074" s="322"/>
      <c r="Y1074" s="319"/>
      <c r="Z1074" s="136" t="str">
        <f t="shared" si="16"/>
        <v/>
      </c>
      <c r="AA1074" s="137" t="str">
        <f t="shared" si="17"/>
        <v/>
      </c>
      <c r="AB1074" s="138" t="str">
        <f t="shared" si="19"/>
        <v/>
      </c>
      <c r="AC1074" s="322"/>
      <c r="AD1074" s="319"/>
      <c r="AE1074" s="320"/>
    </row>
    <row r="1075" ht="18.0" customHeight="1">
      <c r="A1075" s="118" t="str">
        <f t="shared" si="15"/>
        <v/>
      </c>
      <c r="B1075" s="109"/>
      <c r="C1075" s="119"/>
      <c r="D1075" s="119"/>
      <c r="E1075" s="330"/>
      <c r="F1075" s="121"/>
      <c r="G1075" s="153"/>
      <c r="H1075" s="153"/>
      <c r="I1075" s="153"/>
      <c r="J1075" s="112"/>
      <c r="K1075" s="153"/>
      <c r="L1075" s="114"/>
      <c r="M1075" s="151"/>
      <c r="N1075" s="152"/>
      <c r="O1075" s="150"/>
      <c r="P1075" s="114"/>
      <c r="Q1075" s="114"/>
      <c r="R1075" s="151"/>
      <c r="S1075" s="152"/>
      <c r="T1075" s="153"/>
      <c r="U1075" s="152"/>
      <c r="V1075" s="152"/>
      <c r="W1075" s="152"/>
      <c r="X1075" s="152"/>
      <c r="Y1075" s="153"/>
      <c r="Z1075" s="125" t="str">
        <f t="shared" si="16"/>
        <v/>
      </c>
      <c r="AA1075" s="126" t="str">
        <f t="shared" si="17"/>
        <v/>
      </c>
      <c r="AB1075" s="117" t="str">
        <f t="shared" si="19"/>
        <v/>
      </c>
      <c r="AC1075" s="152"/>
      <c r="AD1075" s="153"/>
      <c r="AE1075" s="156"/>
    </row>
    <row r="1076" ht="18.0" customHeight="1">
      <c r="A1076" s="127" t="str">
        <f t="shared" si="15"/>
        <v/>
      </c>
      <c r="B1076" s="128"/>
      <c r="C1076" s="129"/>
      <c r="D1076" s="129"/>
      <c r="E1076" s="325"/>
      <c r="F1076" s="131"/>
      <c r="G1076" s="319"/>
      <c r="H1076" s="319"/>
      <c r="I1076" s="319"/>
      <c r="J1076" s="132"/>
      <c r="K1076" s="319"/>
      <c r="L1076" s="135"/>
      <c r="M1076" s="321"/>
      <c r="N1076" s="322"/>
      <c r="O1076" s="150"/>
      <c r="P1076" s="135"/>
      <c r="Q1076" s="135"/>
      <c r="R1076" s="321"/>
      <c r="S1076" s="322"/>
      <c r="T1076" s="319"/>
      <c r="U1076" s="322"/>
      <c r="V1076" s="322"/>
      <c r="W1076" s="322"/>
      <c r="X1076" s="322"/>
      <c r="Y1076" s="319"/>
      <c r="Z1076" s="136" t="str">
        <f t="shared" si="16"/>
        <v/>
      </c>
      <c r="AA1076" s="137" t="str">
        <f t="shared" si="17"/>
        <v/>
      </c>
      <c r="AB1076" s="138" t="str">
        <f t="shared" si="19"/>
        <v/>
      </c>
      <c r="AC1076" s="322"/>
      <c r="AD1076" s="319"/>
      <c r="AE1076" s="320"/>
    </row>
    <row r="1077" ht="18.0" customHeight="1">
      <c r="A1077" s="118" t="str">
        <f t="shared" si="15"/>
        <v/>
      </c>
      <c r="B1077" s="109"/>
      <c r="C1077" s="119"/>
      <c r="D1077" s="119"/>
      <c r="E1077" s="330"/>
      <c r="F1077" s="121"/>
      <c r="G1077" s="153"/>
      <c r="H1077" s="153"/>
      <c r="I1077" s="153"/>
      <c r="J1077" s="112"/>
      <c r="K1077" s="153"/>
      <c r="L1077" s="114"/>
      <c r="M1077" s="151"/>
      <c r="N1077" s="152"/>
      <c r="O1077" s="150"/>
      <c r="P1077" s="114"/>
      <c r="Q1077" s="114"/>
      <c r="R1077" s="151"/>
      <c r="S1077" s="152"/>
      <c r="T1077" s="153"/>
      <c r="U1077" s="152"/>
      <c r="V1077" s="152"/>
      <c r="W1077" s="152"/>
      <c r="X1077" s="152"/>
      <c r="Y1077" s="153"/>
      <c r="Z1077" s="125" t="str">
        <f t="shared" si="16"/>
        <v/>
      </c>
      <c r="AA1077" s="126" t="str">
        <f t="shared" si="17"/>
        <v/>
      </c>
      <c r="AB1077" s="117" t="str">
        <f t="shared" si="19"/>
        <v/>
      </c>
      <c r="AC1077" s="152"/>
      <c r="AD1077" s="153"/>
      <c r="AE1077" s="156"/>
    </row>
    <row r="1078" ht="18.0" customHeight="1">
      <c r="A1078" s="127" t="str">
        <f t="shared" si="15"/>
        <v/>
      </c>
      <c r="B1078" s="128"/>
      <c r="C1078" s="129"/>
      <c r="D1078" s="129"/>
      <c r="E1078" s="325"/>
      <c r="F1078" s="131"/>
      <c r="G1078" s="319"/>
      <c r="H1078" s="319"/>
      <c r="I1078" s="319"/>
      <c r="J1078" s="132"/>
      <c r="K1078" s="319"/>
      <c r="L1078" s="135"/>
      <c r="M1078" s="321"/>
      <c r="N1078" s="322"/>
      <c r="O1078" s="150"/>
      <c r="P1078" s="135"/>
      <c r="Q1078" s="135"/>
      <c r="R1078" s="321"/>
      <c r="S1078" s="322"/>
      <c r="T1078" s="319"/>
      <c r="U1078" s="322"/>
      <c r="V1078" s="322"/>
      <c r="W1078" s="322"/>
      <c r="X1078" s="322"/>
      <c r="Y1078" s="319"/>
      <c r="Z1078" s="136" t="str">
        <f t="shared" si="16"/>
        <v/>
      </c>
      <c r="AA1078" s="137" t="str">
        <f t="shared" si="17"/>
        <v/>
      </c>
      <c r="AB1078" s="138" t="str">
        <f t="shared" si="19"/>
        <v/>
      </c>
      <c r="AC1078" s="322"/>
      <c r="AD1078" s="319"/>
      <c r="AE1078" s="320"/>
    </row>
    <row r="1079" ht="18.0" customHeight="1">
      <c r="A1079" s="118" t="str">
        <f t="shared" si="15"/>
        <v/>
      </c>
      <c r="B1079" s="109"/>
      <c r="C1079" s="119"/>
      <c r="D1079" s="119"/>
      <c r="E1079" s="330"/>
      <c r="F1079" s="121"/>
      <c r="G1079" s="153"/>
      <c r="H1079" s="153"/>
      <c r="I1079" s="153"/>
      <c r="J1079" s="112"/>
      <c r="K1079" s="153"/>
      <c r="L1079" s="114"/>
      <c r="M1079" s="151"/>
      <c r="N1079" s="152"/>
      <c r="O1079" s="150"/>
      <c r="P1079" s="114"/>
      <c r="Q1079" s="114"/>
      <c r="R1079" s="151"/>
      <c r="S1079" s="152"/>
      <c r="T1079" s="153"/>
      <c r="U1079" s="152"/>
      <c r="V1079" s="152"/>
      <c r="W1079" s="152"/>
      <c r="X1079" s="152"/>
      <c r="Y1079" s="153"/>
      <c r="Z1079" s="125" t="str">
        <f t="shared" si="16"/>
        <v/>
      </c>
      <c r="AA1079" s="126" t="str">
        <f t="shared" si="17"/>
        <v/>
      </c>
      <c r="AB1079" s="117" t="str">
        <f t="shared" si="19"/>
        <v/>
      </c>
      <c r="AC1079" s="152"/>
      <c r="AD1079" s="153"/>
      <c r="AE1079" s="156"/>
    </row>
    <row r="1080" ht="18.0" customHeight="1">
      <c r="A1080" s="127" t="str">
        <f t="shared" si="15"/>
        <v/>
      </c>
      <c r="B1080" s="128"/>
      <c r="C1080" s="129"/>
      <c r="D1080" s="129"/>
      <c r="E1080" s="325"/>
      <c r="F1080" s="131"/>
      <c r="G1080" s="319"/>
      <c r="H1080" s="319"/>
      <c r="I1080" s="319"/>
      <c r="J1080" s="132"/>
      <c r="K1080" s="319"/>
      <c r="L1080" s="135"/>
      <c r="M1080" s="321"/>
      <c r="N1080" s="322"/>
      <c r="O1080" s="150"/>
      <c r="P1080" s="135"/>
      <c r="Q1080" s="135"/>
      <c r="R1080" s="321"/>
      <c r="S1080" s="322"/>
      <c r="T1080" s="319"/>
      <c r="U1080" s="322"/>
      <c r="V1080" s="322"/>
      <c r="W1080" s="322"/>
      <c r="X1080" s="322"/>
      <c r="Y1080" s="319"/>
      <c r="Z1080" s="136" t="str">
        <f t="shared" si="16"/>
        <v/>
      </c>
      <c r="AA1080" s="137" t="str">
        <f t="shared" si="17"/>
        <v/>
      </c>
      <c r="AB1080" s="138" t="str">
        <f t="shared" si="19"/>
        <v/>
      </c>
      <c r="AC1080" s="322"/>
      <c r="AD1080" s="319"/>
      <c r="AE1080" s="320"/>
    </row>
    <row r="1081" ht="18.0" customHeight="1">
      <c r="A1081" s="118" t="str">
        <f t="shared" si="15"/>
        <v/>
      </c>
      <c r="B1081" s="109"/>
      <c r="C1081" s="119"/>
      <c r="D1081" s="119"/>
      <c r="E1081" s="330"/>
      <c r="F1081" s="121"/>
      <c r="G1081" s="153"/>
      <c r="H1081" s="153"/>
      <c r="I1081" s="153"/>
      <c r="J1081" s="112"/>
      <c r="K1081" s="153"/>
      <c r="L1081" s="114"/>
      <c r="M1081" s="151"/>
      <c r="N1081" s="152"/>
      <c r="O1081" s="150"/>
      <c r="P1081" s="114"/>
      <c r="Q1081" s="114"/>
      <c r="R1081" s="151"/>
      <c r="S1081" s="152"/>
      <c r="T1081" s="153"/>
      <c r="U1081" s="152"/>
      <c r="V1081" s="152"/>
      <c r="W1081" s="152"/>
      <c r="X1081" s="152"/>
      <c r="Y1081" s="153"/>
      <c r="Z1081" s="125" t="str">
        <f t="shared" si="16"/>
        <v/>
      </c>
      <c r="AA1081" s="126" t="str">
        <f t="shared" si="17"/>
        <v/>
      </c>
      <c r="AB1081" s="117" t="str">
        <f t="shared" si="19"/>
        <v/>
      </c>
      <c r="AC1081" s="152"/>
      <c r="AD1081" s="153"/>
      <c r="AE1081" s="156"/>
    </row>
    <row r="1082" ht="18.0" customHeight="1">
      <c r="A1082" s="127" t="str">
        <f t="shared" si="15"/>
        <v/>
      </c>
      <c r="B1082" s="128"/>
      <c r="C1082" s="129"/>
      <c r="D1082" s="129"/>
      <c r="E1082" s="325"/>
      <c r="F1082" s="131"/>
      <c r="G1082" s="319"/>
      <c r="H1082" s="319"/>
      <c r="I1082" s="319"/>
      <c r="J1082" s="132"/>
      <c r="K1082" s="319"/>
      <c r="L1082" s="135"/>
      <c r="M1082" s="321"/>
      <c r="N1082" s="322"/>
      <c r="O1082" s="150"/>
      <c r="P1082" s="135"/>
      <c r="Q1082" s="135"/>
      <c r="R1082" s="321"/>
      <c r="S1082" s="322"/>
      <c r="T1082" s="319"/>
      <c r="U1082" s="322"/>
      <c r="V1082" s="322"/>
      <c r="W1082" s="322"/>
      <c r="X1082" s="322"/>
      <c r="Y1082" s="319"/>
      <c r="Z1082" s="136" t="str">
        <f t="shared" si="16"/>
        <v/>
      </c>
      <c r="AA1082" s="137" t="str">
        <f t="shared" si="17"/>
        <v/>
      </c>
      <c r="AB1082" s="138" t="str">
        <f t="shared" si="19"/>
        <v/>
      </c>
      <c r="AC1082" s="322"/>
      <c r="AD1082" s="319"/>
      <c r="AE1082" s="320"/>
    </row>
    <row r="1083" ht="18.0" customHeight="1">
      <c r="A1083" s="118" t="str">
        <f t="shared" si="15"/>
        <v/>
      </c>
      <c r="B1083" s="109"/>
      <c r="C1083" s="119"/>
      <c r="D1083" s="119"/>
      <c r="E1083" s="330"/>
      <c r="F1083" s="121"/>
      <c r="G1083" s="153"/>
      <c r="H1083" s="153"/>
      <c r="I1083" s="153"/>
      <c r="J1083" s="112"/>
      <c r="K1083" s="153"/>
      <c r="L1083" s="114"/>
      <c r="M1083" s="151"/>
      <c r="N1083" s="152"/>
      <c r="O1083" s="150"/>
      <c r="P1083" s="114"/>
      <c r="Q1083" s="114"/>
      <c r="R1083" s="151"/>
      <c r="S1083" s="152"/>
      <c r="T1083" s="153"/>
      <c r="U1083" s="152"/>
      <c r="V1083" s="152"/>
      <c r="W1083" s="152"/>
      <c r="X1083" s="152"/>
      <c r="Y1083" s="153"/>
      <c r="Z1083" s="125" t="str">
        <f t="shared" si="16"/>
        <v/>
      </c>
      <c r="AA1083" s="126" t="str">
        <f t="shared" si="17"/>
        <v/>
      </c>
      <c r="AB1083" s="117" t="str">
        <f t="shared" si="19"/>
        <v/>
      </c>
      <c r="AC1083" s="152"/>
      <c r="AD1083" s="153"/>
      <c r="AE1083" s="156"/>
    </row>
    <row r="1084" ht="18.0" customHeight="1">
      <c r="A1084" s="127" t="str">
        <f t="shared" si="15"/>
        <v/>
      </c>
      <c r="B1084" s="128"/>
      <c r="C1084" s="129"/>
      <c r="D1084" s="129"/>
      <c r="E1084" s="325"/>
      <c r="F1084" s="131"/>
      <c r="G1084" s="319"/>
      <c r="H1084" s="319"/>
      <c r="I1084" s="319"/>
      <c r="J1084" s="132"/>
      <c r="K1084" s="319"/>
      <c r="L1084" s="135"/>
      <c r="M1084" s="321"/>
      <c r="N1084" s="322"/>
      <c r="O1084" s="150"/>
      <c r="P1084" s="135"/>
      <c r="Q1084" s="135"/>
      <c r="R1084" s="321"/>
      <c r="S1084" s="322"/>
      <c r="T1084" s="319"/>
      <c r="U1084" s="322"/>
      <c r="V1084" s="322"/>
      <c r="W1084" s="322"/>
      <c r="X1084" s="322"/>
      <c r="Y1084" s="319"/>
      <c r="Z1084" s="136" t="str">
        <f t="shared" si="16"/>
        <v/>
      </c>
      <c r="AA1084" s="137" t="str">
        <f t="shared" si="17"/>
        <v/>
      </c>
      <c r="AB1084" s="138" t="str">
        <f t="shared" si="19"/>
        <v/>
      </c>
      <c r="AC1084" s="322"/>
      <c r="AD1084" s="319"/>
      <c r="AE1084" s="320"/>
    </row>
    <row r="1085" ht="18.0" customHeight="1">
      <c r="A1085" s="118" t="str">
        <f t="shared" si="15"/>
        <v/>
      </c>
      <c r="B1085" s="109"/>
      <c r="C1085" s="119"/>
      <c r="D1085" s="119"/>
      <c r="E1085" s="330"/>
      <c r="F1085" s="121"/>
      <c r="G1085" s="153"/>
      <c r="H1085" s="153"/>
      <c r="I1085" s="153"/>
      <c r="J1085" s="112"/>
      <c r="K1085" s="153"/>
      <c r="L1085" s="114"/>
      <c r="M1085" s="151"/>
      <c r="N1085" s="152"/>
      <c r="O1085" s="150"/>
      <c r="P1085" s="114"/>
      <c r="Q1085" s="114"/>
      <c r="R1085" s="151"/>
      <c r="S1085" s="152"/>
      <c r="T1085" s="153"/>
      <c r="U1085" s="152"/>
      <c r="V1085" s="152"/>
      <c r="W1085" s="152"/>
      <c r="X1085" s="152"/>
      <c r="Y1085" s="153"/>
      <c r="Z1085" s="125" t="str">
        <f t="shared" si="16"/>
        <v/>
      </c>
      <c r="AA1085" s="126" t="str">
        <f t="shared" si="17"/>
        <v/>
      </c>
      <c r="AB1085" s="117" t="str">
        <f t="shared" si="19"/>
        <v/>
      </c>
      <c r="AC1085" s="152"/>
      <c r="AD1085" s="153"/>
      <c r="AE1085" s="156"/>
    </row>
    <row r="1086" ht="18.0" customHeight="1">
      <c r="A1086" s="127" t="str">
        <f t="shared" si="15"/>
        <v/>
      </c>
      <c r="B1086" s="128"/>
      <c r="C1086" s="129"/>
      <c r="D1086" s="129"/>
      <c r="E1086" s="325"/>
      <c r="F1086" s="131"/>
      <c r="G1086" s="319"/>
      <c r="H1086" s="319"/>
      <c r="I1086" s="319"/>
      <c r="J1086" s="132"/>
      <c r="K1086" s="319"/>
      <c r="L1086" s="135"/>
      <c r="M1086" s="321"/>
      <c r="N1086" s="322"/>
      <c r="O1086" s="150"/>
      <c r="P1086" s="135"/>
      <c r="Q1086" s="135"/>
      <c r="R1086" s="321"/>
      <c r="S1086" s="322"/>
      <c r="T1086" s="319"/>
      <c r="U1086" s="322"/>
      <c r="V1086" s="322"/>
      <c r="W1086" s="322"/>
      <c r="X1086" s="322"/>
      <c r="Y1086" s="319"/>
      <c r="Z1086" s="136" t="str">
        <f t="shared" si="16"/>
        <v/>
      </c>
      <c r="AA1086" s="137" t="str">
        <f t="shared" si="17"/>
        <v/>
      </c>
      <c r="AB1086" s="138" t="str">
        <f t="shared" si="19"/>
        <v/>
      </c>
      <c r="AC1086" s="322"/>
      <c r="AD1086" s="319"/>
      <c r="AE1086" s="320"/>
    </row>
    <row r="1087" ht="18.0" customHeight="1">
      <c r="A1087" s="118" t="str">
        <f t="shared" si="15"/>
        <v/>
      </c>
      <c r="B1087" s="109"/>
      <c r="C1087" s="119"/>
      <c r="D1087" s="119"/>
      <c r="E1087" s="330"/>
      <c r="F1087" s="121"/>
      <c r="G1087" s="153"/>
      <c r="H1087" s="153"/>
      <c r="I1087" s="153"/>
      <c r="J1087" s="112"/>
      <c r="K1087" s="153"/>
      <c r="L1087" s="114"/>
      <c r="M1087" s="151"/>
      <c r="N1087" s="152"/>
      <c r="O1087" s="150"/>
      <c r="P1087" s="114"/>
      <c r="Q1087" s="114"/>
      <c r="R1087" s="151"/>
      <c r="S1087" s="152"/>
      <c r="T1087" s="153"/>
      <c r="U1087" s="152"/>
      <c r="V1087" s="152"/>
      <c r="W1087" s="152"/>
      <c r="X1087" s="152"/>
      <c r="Y1087" s="153"/>
      <c r="Z1087" s="125" t="str">
        <f t="shared" si="16"/>
        <v/>
      </c>
      <c r="AA1087" s="126" t="str">
        <f t="shared" si="17"/>
        <v/>
      </c>
      <c r="AB1087" s="117" t="str">
        <f t="shared" si="19"/>
        <v/>
      </c>
      <c r="AC1087" s="152"/>
      <c r="AD1087" s="153"/>
      <c r="AE1087" s="156"/>
    </row>
    <row r="1088" ht="18.0" customHeight="1">
      <c r="A1088" s="127" t="str">
        <f t="shared" si="15"/>
        <v/>
      </c>
      <c r="B1088" s="128"/>
      <c r="C1088" s="129"/>
      <c r="D1088" s="129"/>
      <c r="E1088" s="325"/>
      <c r="F1088" s="131"/>
      <c r="G1088" s="319"/>
      <c r="H1088" s="319"/>
      <c r="I1088" s="319"/>
      <c r="J1088" s="132"/>
      <c r="K1088" s="319"/>
      <c r="L1088" s="135"/>
      <c r="M1088" s="321"/>
      <c r="N1088" s="322"/>
      <c r="O1088" s="150"/>
      <c r="P1088" s="135"/>
      <c r="Q1088" s="135"/>
      <c r="R1088" s="321"/>
      <c r="S1088" s="322"/>
      <c r="T1088" s="319"/>
      <c r="U1088" s="322"/>
      <c r="V1088" s="322"/>
      <c r="W1088" s="322"/>
      <c r="X1088" s="322"/>
      <c r="Y1088" s="319"/>
      <c r="Z1088" s="136" t="str">
        <f t="shared" si="16"/>
        <v/>
      </c>
      <c r="AA1088" s="137" t="str">
        <f t="shared" si="17"/>
        <v/>
      </c>
      <c r="AB1088" s="138" t="str">
        <f t="shared" si="19"/>
        <v/>
      </c>
      <c r="AC1088" s="322"/>
      <c r="AD1088" s="319"/>
      <c r="AE1088" s="320"/>
    </row>
    <row r="1089" ht="18.0" customHeight="1">
      <c r="A1089" s="118" t="str">
        <f t="shared" si="15"/>
        <v/>
      </c>
      <c r="B1089" s="109"/>
      <c r="C1089" s="119"/>
      <c r="D1089" s="119"/>
      <c r="E1089" s="330"/>
      <c r="F1089" s="121"/>
      <c r="G1089" s="153"/>
      <c r="H1089" s="153"/>
      <c r="I1089" s="153"/>
      <c r="J1089" s="112"/>
      <c r="K1089" s="153"/>
      <c r="L1089" s="114"/>
      <c r="M1089" s="151"/>
      <c r="N1089" s="152"/>
      <c r="O1089" s="150"/>
      <c r="P1089" s="114"/>
      <c r="Q1089" s="114"/>
      <c r="R1089" s="151"/>
      <c r="S1089" s="152"/>
      <c r="T1089" s="153"/>
      <c r="U1089" s="152"/>
      <c r="V1089" s="152"/>
      <c r="W1089" s="152"/>
      <c r="X1089" s="152"/>
      <c r="Y1089" s="153"/>
      <c r="Z1089" s="125" t="str">
        <f t="shared" si="16"/>
        <v/>
      </c>
      <c r="AA1089" s="126" t="str">
        <f t="shared" si="17"/>
        <v/>
      </c>
      <c r="AB1089" s="117" t="str">
        <f t="shared" si="19"/>
        <v/>
      </c>
      <c r="AC1089" s="152"/>
      <c r="AD1089" s="153"/>
      <c r="AE1089" s="156"/>
    </row>
    <row r="1090" ht="18.0" customHeight="1">
      <c r="A1090" s="127" t="str">
        <f t="shared" si="15"/>
        <v/>
      </c>
      <c r="B1090" s="128"/>
      <c r="C1090" s="129"/>
      <c r="D1090" s="129"/>
      <c r="E1090" s="325"/>
      <c r="F1090" s="131"/>
      <c r="G1090" s="319"/>
      <c r="H1090" s="319"/>
      <c r="I1090" s="319"/>
      <c r="J1090" s="132"/>
      <c r="K1090" s="319"/>
      <c r="L1090" s="135"/>
      <c r="M1090" s="321"/>
      <c r="N1090" s="322"/>
      <c r="O1090" s="150"/>
      <c r="P1090" s="135"/>
      <c r="Q1090" s="135"/>
      <c r="R1090" s="321"/>
      <c r="S1090" s="322"/>
      <c r="T1090" s="319"/>
      <c r="U1090" s="322"/>
      <c r="V1090" s="322"/>
      <c r="W1090" s="322"/>
      <c r="X1090" s="322"/>
      <c r="Y1090" s="319"/>
      <c r="Z1090" s="136" t="str">
        <f t="shared" si="16"/>
        <v/>
      </c>
      <c r="AA1090" s="137" t="str">
        <f t="shared" si="17"/>
        <v/>
      </c>
      <c r="AB1090" s="138" t="str">
        <f t="shared" si="19"/>
        <v/>
      </c>
      <c r="AC1090" s="322"/>
      <c r="AD1090" s="319"/>
      <c r="AE1090" s="320"/>
    </row>
    <row r="1091" ht="18.0" customHeight="1">
      <c r="A1091" s="118" t="str">
        <f t="shared" si="15"/>
        <v/>
      </c>
      <c r="B1091" s="109"/>
      <c r="C1091" s="119"/>
      <c r="D1091" s="119"/>
      <c r="E1091" s="330"/>
      <c r="F1091" s="121"/>
      <c r="G1091" s="153"/>
      <c r="H1091" s="153"/>
      <c r="I1091" s="153"/>
      <c r="J1091" s="112"/>
      <c r="K1091" s="153"/>
      <c r="L1091" s="114"/>
      <c r="M1091" s="151"/>
      <c r="N1091" s="152"/>
      <c r="O1091" s="150"/>
      <c r="P1091" s="114"/>
      <c r="Q1091" s="114"/>
      <c r="R1091" s="151"/>
      <c r="S1091" s="152"/>
      <c r="T1091" s="153"/>
      <c r="U1091" s="152"/>
      <c r="V1091" s="152"/>
      <c r="W1091" s="152"/>
      <c r="X1091" s="152"/>
      <c r="Y1091" s="153"/>
      <c r="Z1091" s="125" t="str">
        <f t="shared" si="16"/>
        <v/>
      </c>
      <c r="AA1091" s="126" t="str">
        <f t="shared" si="17"/>
        <v/>
      </c>
      <c r="AB1091" s="117" t="str">
        <f t="shared" si="19"/>
        <v/>
      </c>
      <c r="AC1091" s="152"/>
      <c r="AD1091" s="153"/>
      <c r="AE1091" s="156"/>
    </row>
    <row r="1092" ht="18.0" customHeight="1">
      <c r="A1092" s="127" t="str">
        <f t="shared" si="15"/>
        <v/>
      </c>
      <c r="B1092" s="128"/>
      <c r="C1092" s="129"/>
      <c r="D1092" s="129"/>
      <c r="E1092" s="325"/>
      <c r="F1092" s="131"/>
      <c r="G1092" s="319"/>
      <c r="H1092" s="319"/>
      <c r="I1092" s="319"/>
      <c r="J1092" s="132"/>
      <c r="K1092" s="319"/>
      <c r="L1092" s="135"/>
      <c r="M1092" s="321"/>
      <c r="N1092" s="322"/>
      <c r="O1092" s="150"/>
      <c r="P1092" s="135"/>
      <c r="Q1092" s="135"/>
      <c r="R1092" s="321"/>
      <c r="S1092" s="322"/>
      <c r="T1092" s="319"/>
      <c r="U1092" s="322"/>
      <c r="V1092" s="322"/>
      <c r="W1092" s="322"/>
      <c r="X1092" s="322"/>
      <c r="Y1092" s="319"/>
      <c r="Z1092" s="136" t="str">
        <f t="shared" si="16"/>
        <v/>
      </c>
      <c r="AA1092" s="137" t="str">
        <f t="shared" si="17"/>
        <v/>
      </c>
      <c r="AB1092" s="138" t="str">
        <f t="shared" si="19"/>
        <v/>
      </c>
      <c r="AC1092" s="322"/>
      <c r="AD1092" s="319"/>
      <c r="AE1092" s="320"/>
    </row>
    <row r="1093" ht="18.0" customHeight="1">
      <c r="A1093" s="118" t="str">
        <f t="shared" si="15"/>
        <v/>
      </c>
      <c r="B1093" s="109"/>
      <c r="C1093" s="119"/>
      <c r="D1093" s="119"/>
      <c r="E1093" s="330"/>
      <c r="F1093" s="121"/>
      <c r="G1093" s="153"/>
      <c r="H1093" s="153"/>
      <c r="I1093" s="153"/>
      <c r="J1093" s="112"/>
      <c r="K1093" s="153"/>
      <c r="L1093" s="114"/>
      <c r="M1093" s="151"/>
      <c r="N1093" s="152"/>
      <c r="O1093" s="150"/>
      <c r="P1093" s="114"/>
      <c r="Q1093" s="114"/>
      <c r="R1093" s="151"/>
      <c r="S1093" s="152"/>
      <c r="T1093" s="153"/>
      <c r="U1093" s="152"/>
      <c r="V1093" s="152"/>
      <c r="W1093" s="152"/>
      <c r="X1093" s="152"/>
      <c r="Y1093" s="153"/>
      <c r="Z1093" s="125" t="str">
        <f t="shared" si="16"/>
        <v/>
      </c>
      <c r="AA1093" s="126" t="str">
        <f t="shared" si="17"/>
        <v/>
      </c>
      <c r="AB1093" s="117" t="str">
        <f t="shared" si="19"/>
        <v/>
      </c>
      <c r="AC1093" s="152"/>
      <c r="AD1093" s="153"/>
      <c r="AE1093" s="156"/>
    </row>
    <row r="1094" ht="18.0" customHeight="1">
      <c r="A1094" s="127" t="str">
        <f t="shared" si="15"/>
        <v/>
      </c>
      <c r="B1094" s="128"/>
      <c r="C1094" s="129"/>
      <c r="D1094" s="129"/>
      <c r="E1094" s="325"/>
      <c r="F1094" s="131"/>
      <c r="G1094" s="319"/>
      <c r="H1094" s="319"/>
      <c r="I1094" s="319"/>
      <c r="J1094" s="132"/>
      <c r="K1094" s="319"/>
      <c r="L1094" s="135"/>
      <c r="M1094" s="321"/>
      <c r="N1094" s="322"/>
      <c r="O1094" s="150"/>
      <c r="P1094" s="135"/>
      <c r="Q1094" s="135"/>
      <c r="R1094" s="321"/>
      <c r="S1094" s="322"/>
      <c r="T1094" s="319"/>
      <c r="U1094" s="322"/>
      <c r="V1094" s="322"/>
      <c r="W1094" s="322"/>
      <c r="X1094" s="322"/>
      <c r="Y1094" s="319"/>
      <c r="Z1094" s="136" t="str">
        <f t="shared" si="16"/>
        <v/>
      </c>
      <c r="AA1094" s="137" t="str">
        <f t="shared" si="17"/>
        <v/>
      </c>
      <c r="AB1094" s="138" t="str">
        <f t="shared" si="19"/>
        <v/>
      </c>
      <c r="AC1094" s="322"/>
      <c r="AD1094" s="319"/>
      <c r="AE1094" s="320"/>
    </row>
    <row r="1095" ht="18.0" customHeight="1">
      <c r="A1095" s="118" t="str">
        <f t="shared" si="15"/>
        <v/>
      </c>
      <c r="B1095" s="109"/>
      <c r="C1095" s="119"/>
      <c r="D1095" s="119"/>
      <c r="E1095" s="330"/>
      <c r="F1095" s="121"/>
      <c r="G1095" s="153"/>
      <c r="H1095" s="153"/>
      <c r="I1095" s="153"/>
      <c r="J1095" s="112"/>
      <c r="K1095" s="153"/>
      <c r="L1095" s="114"/>
      <c r="M1095" s="151"/>
      <c r="N1095" s="152"/>
      <c r="O1095" s="150"/>
      <c r="P1095" s="114"/>
      <c r="Q1095" s="114"/>
      <c r="R1095" s="151"/>
      <c r="S1095" s="152"/>
      <c r="T1095" s="153"/>
      <c r="U1095" s="152"/>
      <c r="V1095" s="152"/>
      <c r="W1095" s="152"/>
      <c r="X1095" s="152"/>
      <c r="Y1095" s="153"/>
      <c r="Z1095" s="125" t="str">
        <f t="shared" si="16"/>
        <v/>
      </c>
      <c r="AA1095" s="126" t="str">
        <f t="shared" si="17"/>
        <v/>
      </c>
      <c r="AB1095" s="117" t="str">
        <f t="shared" si="19"/>
        <v/>
      </c>
      <c r="AC1095" s="152"/>
      <c r="AD1095" s="153"/>
      <c r="AE1095" s="156"/>
    </row>
    <row r="1096" ht="18.0" customHeight="1">
      <c r="A1096" s="127" t="str">
        <f t="shared" si="15"/>
        <v/>
      </c>
      <c r="B1096" s="128"/>
      <c r="C1096" s="129"/>
      <c r="D1096" s="129"/>
      <c r="E1096" s="325"/>
      <c r="F1096" s="131"/>
      <c r="G1096" s="319"/>
      <c r="H1096" s="319"/>
      <c r="I1096" s="319"/>
      <c r="J1096" s="132"/>
      <c r="K1096" s="319"/>
      <c r="L1096" s="135"/>
      <c r="M1096" s="321"/>
      <c r="N1096" s="322"/>
      <c r="O1096" s="150"/>
      <c r="P1096" s="135"/>
      <c r="Q1096" s="135"/>
      <c r="R1096" s="321"/>
      <c r="S1096" s="322"/>
      <c r="T1096" s="319"/>
      <c r="U1096" s="322"/>
      <c r="V1096" s="322"/>
      <c r="W1096" s="322"/>
      <c r="X1096" s="322"/>
      <c r="Y1096" s="319"/>
      <c r="Z1096" s="136" t="str">
        <f t="shared" si="16"/>
        <v/>
      </c>
      <c r="AA1096" s="137" t="str">
        <f t="shared" si="17"/>
        <v/>
      </c>
      <c r="AB1096" s="138" t="str">
        <f t="shared" si="19"/>
        <v/>
      </c>
      <c r="AC1096" s="322"/>
      <c r="AD1096" s="319"/>
      <c r="AE1096" s="320"/>
    </row>
    <row r="1097" ht="18.0" customHeight="1">
      <c r="A1097" s="118" t="str">
        <f t="shared" si="15"/>
        <v/>
      </c>
      <c r="B1097" s="109"/>
      <c r="C1097" s="119"/>
      <c r="D1097" s="119"/>
      <c r="E1097" s="330"/>
      <c r="F1097" s="121"/>
      <c r="G1097" s="153"/>
      <c r="H1097" s="153"/>
      <c r="I1097" s="153"/>
      <c r="J1097" s="112"/>
      <c r="K1097" s="153"/>
      <c r="L1097" s="114"/>
      <c r="M1097" s="151"/>
      <c r="N1097" s="152"/>
      <c r="O1097" s="150"/>
      <c r="P1097" s="114"/>
      <c r="Q1097" s="114"/>
      <c r="R1097" s="151"/>
      <c r="S1097" s="152"/>
      <c r="T1097" s="153"/>
      <c r="U1097" s="152"/>
      <c r="V1097" s="152"/>
      <c r="W1097" s="152"/>
      <c r="X1097" s="152"/>
      <c r="Y1097" s="153"/>
      <c r="Z1097" s="125" t="str">
        <f t="shared" si="16"/>
        <v/>
      </c>
      <c r="AA1097" s="126" t="str">
        <f t="shared" si="17"/>
        <v/>
      </c>
      <c r="AB1097" s="117" t="str">
        <f t="shared" si="19"/>
        <v/>
      </c>
      <c r="AC1097" s="152"/>
      <c r="AD1097" s="153"/>
      <c r="AE1097" s="156"/>
    </row>
    <row r="1098" ht="18.0" customHeight="1">
      <c r="A1098" s="127" t="str">
        <f t="shared" si="15"/>
        <v/>
      </c>
      <c r="B1098" s="128"/>
      <c r="C1098" s="129"/>
      <c r="D1098" s="129"/>
      <c r="E1098" s="325"/>
      <c r="F1098" s="131"/>
      <c r="G1098" s="319"/>
      <c r="H1098" s="319"/>
      <c r="I1098" s="319"/>
      <c r="J1098" s="132"/>
      <c r="K1098" s="319"/>
      <c r="L1098" s="135"/>
      <c r="M1098" s="321"/>
      <c r="N1098" s="322"/>
      <c r="O1098" s="150"/>
      <c r="P1098" s="135"/>
      <c r="Q1098" s="135"/>
      <c r="R1098" s="321"/>
      <c r="S1098" s="322"/>
      <c r="T1098" s="319"/>
      <c r="U1098" s="322"/>
      <c r="V1098" s="322"/>
      <c r="W1098" s="322"/>
      <c r="X1098" s="322"/>
      <c r="Y1098" s="319"/>
      <c r="Z1098" s="136" t="str">
        <f t="shared" si="16"/>
        <v/>
      </c>
      <c r="AA1098" s="137" t="str">
        <f t="shared" si="17"/>
        <v/>
      </c>
      <c r="AB1098" s="138" t="str">
        <f t="shared" si="19"/>
        <v/>
      </c>
      <c r="AC1098" s="322"/>
      <c r="AD1098" s="319"/>
      <c r="AE1098" s="320"/>
    </row>
    <row r="1099" ht="18.0" customHeight="1">
      <c r="A1099" s="118" t="str">
        <f t="shared" si="15"/>
        <v/>
      </c>
      <c r="B1099" s="109"/>
      <c r="C1099" s="119"/>
      <c r="D1099" s="119"/>
      <c r="E1099" s="330"/>
      <c r="F1099" s="121"/>
      <c r="G1099" s="153"/>
      <c r="H1099" s="153"/>
      <c r="I1099" s="153"/>
      <c r="J1099" s="112"/>
      <c r="K1099" s="153"/>
      <c r="L1099" s="114"/>
      <c r="M1099" s="151"/>
      <c r="N1099" s="152"/>
      <c r="O1099" s="150"/>
      <c r="P1099" s="114"/>
      <c r="Q1099" s="114"/>
      <c r="R1099" s="151"/>
      <c r="S1099" s="152"/>
      <c r="T1099" s="153"/>
      <c r="U1099" s="152"/>
      <c r="V1099" s="152"/>
      <c r="W1099" s="152"/>
      <c r="X1099" s="152"/>
      <c r="Y1099" s="153"/>
      <c r="Z1099" s="125" t="str">
        <f t="shared" si="16"/>
        <v/>
      </c>
      <c r="AA1099" s="126" t="str">
        <f t="shared" si="17"/>
        <v/>
      </c>
      <c r="AB1099" s="117" t="str">
        <f t="shared" si="19"/>
        <v/>
      </c>
      <c r="AC1099" s="152"/>
      <c r="AD1099" s="153"/>
      <c r="AE1099" s="156"/>
    </row>
    <row r="1100" ht="18.0" customHeight="1">
      <c r="A1100" s="127" t="str">
        <f t="shared" si="15"/>
        <v/>
      </c>
      <c r="B1100" s="128"/>
      <c r="C1100" s="129"/>
      <c r="D1100" s="129"/>
      <c r="E1100" s="325"/>
      <c r="F1100" s="131"/>
      <c r="G1100" s="319"/>
      <c r="H1100" s="319"/>
      <c r="I1100" s="319"/>
      <c r="J1100" s="132"/>
      <c r="K1100" s="319"/>
      <c r="L1100" s="135"/>
      <c r="M1100" s="321"/>
      <c r="N1100" s="322"/>
      <c r="O1100" s="150"/>
      <c r="P1100" s="135"/>
      <c r="Q1100" s="135"/>
      <c r="R1100" s="321"/>
      <c r="S1100" s="322"/>
      <c r="T1100" s="319"/>
      <c r="U1100" s="322"/>
      <c r="V1100" s="322"/>
      <c r="W1100" s="322"/>
      <c r="X1100" s="322"/>
      <c r="Y1100" s="319"/>
      <c r="Z1100" s="136" t="str">
        <f t="shared" si="16"/>
        <v/>
      </c>
      <c r="AA1100" s="137" t="str">
        <f t="shared" si="17"/>
        <v/>
      </c>
      <c r="AB1100" s="138" t="str">
        <f t="shared" si="19"/>
        <v/>
      </c>
      <c r="AC1100" s="322"/>
      <c r="AD1100" s="319"/>
      <c r="AE1100" s="320"/>
    </row>
    <row r="1101" ht="18.0" customHeight="1">
      <c r="A1101" s="118" t="str">
        <f t="shared" si="15"/>
        <v/>
      </c>
      <c r="B1101" s="109"/>
      <c r="C1101" s="119"/>
      <c r="D1101" s="119"/>
      <c r="E1101" s="330"/>
      <c r="F1101" s="121"/>
      <c r="G1101" s="153"/>
      <c r="H1101" s="153"/>
      <c r="I1101" s="153"/>
      <c r="J1101" s="112"/>
      <c r="K1101" s="153"/>
      <c r="L1101" s="114"/>
      <c r="M1101" s="151"/>
      <c r="N1101" s="152"/>
      <c r="O1101" s="150"/>
      <c r="P1101" s="114"/>
      <c r="Q1101" s="114"/>
      <c r="R1101" s="151"/>
      <c r="S1101" s="152"/>
      <c r="T1101" s="153"/>
      <c r="U1101" s="152"/>
      <c r="V1101" s="152"/>
      <c r="W1101" s="152"/>
      <c r="X1101" s="152"/>
      <c r="Y1101" s="153"/>
      <c r="Z1101" s="125" t="str">
        <f t="shared" si="16"/>
        <v/>
      </c>
      <c r="AA1101" s="126" t="str">
        <f t="shared" si="17"/>
        <v/>
      </c>
      <c r="AB1101" s="117" t="str">
        <f t="shared" si="19"/>
        <v/>
      </c>
      <c r="AC1101" s="152"/>
      <c r="AD1101" s="153"/>
      <c r="AE1101" s="156"/>
    </row>
    <row r="1102" ht="18.0" customHeight="1">
      <c r="A1102" s="127" t="str">
        <f t="shared" si="15"/>
        <v/>
      </c>
      <c r="B1102" s="128"/>
      <c r="C1102" s="129"/>
      <c r="D1102" s="129"/>
      <c r="E1102" s="325"/>
      <c r="F1102" s="131"/>
      <c r="G1102" s="319"/>
      <c r="H1102" s="319"/>
      <c r="I1102" s="319"/>
      <c r="J1102" s="132"/>
      <c r="K1102" s="319"/>
      <c r="L1102" s="135"/>
      <c r="M1102" s="321"/>
      <c r="N1102" s="322"/>
      <c r="O1102" s="150"/>
      <c r="P1102" s="135"/>
      <c r="Q1102" s="135"/>
      <c r="R1102" s="321"/>
      <c r="S1102" s="322"/>
      <c r="T1102" s="319"/>
      <c r="U1102" s="322"/>
      <c r="V1102" s="322"/>
      <c r="W1102" s="322"/>
      <c r="X1102" s="322"/>
      <c r="Y1102" s="319"/>
      <c r="Z1102" s="136" t="str">
        <f t="shared" si="16"/>
        <v/>
      </c>
      <c r="AA1102" s="137" t="str">
        <f t="shared" si="17"/>
        <v/>
      </c>
      <c r="AB1102" s="138" t="str">
        <f t="shared" si="19"/>
        <v/>
      </c>
      <c r="AC1102" s="322"/>
      <c r="AD1102" s="319"/>
      <c r="AE1102" s="320"/>
    </row>
    <row r="1103" ht="18.0" customHeight="1">
      <c r="A1103" s="118" t="str">
        <f t="shared" si="15"/>
        <v/>
      </c>
      <c r="B1103" s="109"/>
      <c r="C1103" s="119"/>
      <c r="D1103" s="119"/>
      <c r="E1103" s="330"/>
      <c r="F1103" s="121"/>
      <c r="G1103" s="153"/>
      <c r="H1103" s="153"/>
      <c r="I1103" s="153"/>
      <c r="J1103" s="112"/>
      <c r="K1103" s="153"/>
      <c r="L1103" s="114"/>
      <c r="M1103" s="151"/>
      <c r="N1103" s="152"/>
      <c r="O1103" s="150"/>
      <c r="P1103" s="114"/>
      <c r="Q1103" s="114"/>
      <c r="R1103" s="151"/>
      <c r="S1103" s="152"/>
      <c r="T1103" s="153"/>
      <c r="U1103" s="152"/>
      <c r="V1103" s="152"/>
      <c r="W1103" s="152"/>
      <c r="X1103" s="152"/>
      <c r="Y1103" s="153"/>
      <c r="Z1103" s="125" t="str">
        <f t="shared" si="16"/>
        <v/>
      </c>
      <c r="AA1103" s="126" t="str">
        <f t="shared" si="17"/>
        <v/>
      </c>
      <c r="AB1103" s="117" t="str">
        <f t="shared" si="19"/>
        <v/>
      </c>
      <c r="AC1103" s="152"/>
      <c r="AD1103" s="153"/>
      <c r="AE1103" s="156"/>
    </row>
    <row r="1104" ht="18.0" customHeight="1">
      <c r="A1104" s="127" t="str">
        <f t="shared" si="15"/>
        <v/>
      </c>
      <c r="B1104" s="128"/>
      <c r="C1104" s="129"/>
      <c r="D1104" s="129"/>
      <c r="E1104" s="325"/>
      <c r="F1104" s="131"/>
      <c r="G1104" s="319"/>
      <c r="H1104" s="319"/>
      <c r="I1104" s="319"/>
      <c r="J1104" s="132"/>
      <c r="K1104" s="319"/>
      <c r="L1104" s="135"/>
      <c r="M1104" s="321"/>
      <c r="N1104" s="322"/>
      <c r="O1104" s="150"/>
      <c r="P1104" s="135"/>
      <c r="Q1104" s="135"/>
      <c r="R1104" s="321"/>
      <c r="S1104" s="322"/>
      <c r="T1104" s="319"/>
      <c r="U1104" s="322"/>
      <c r="V1104" s="322"/>
      <c r="W1104" s="322"/>
      <c r="X1104" s="322"/>
      <c r="Y1104" s="319"/>
      <c r="Z1104" s="136" t="str">
        <f t="shared" si="16"/>
        <v/>
      </c>
      <c r="AA1104" s="137" t="str">
        <f t="shared" si="17"/>
        <v/>
      </c>
      <c r="AB1104" s="138" t="str">
        <f t="shared" si="19"/>
        <v/>
      </c>
      <c r="AC1104" s="322"/>
      <c r="AD1104" s="319"/>
      <c r="AE1104" s="320"/>
    </row>
    <row r="1105" ht="18.0" customHeight="1">
      <c r="A1105" s="118" t="str">
        <f t="shared" si="15"/>
        <v/>
      </c>
      <c r="B1105" s="109"/>
      <c r="C1105" s="119"/>
      <c r="D1105" s="119"/>
      <c r="E1105" s="330"/>
      <c r="F1105" s="121"/>
      <c r="G1105" s="153"/>
      <c r="H1105" s="153"/>
      <c r="I1105" s="153"/>
      <c r="J1105" s="112"/>
      <c r="K1105" s="153"/>
      <c r="L1105" s="114"/>
      <c r="M1105" s="151"/>
      <c r="N1105" s="152"/>
      <c r="O1105" s="150"/>
      <c r="P1105" s="114"/>
      <c r="Q1105" s="114"/>
      <c r="R1105" s="151"/>
      <c r="S1105" s="152"/>
      <c r="T1105" s="153"/>
      <c r="U1105" s="152"/>
      <c r="V1105" s="152"/>
      <c r="W1105" s="152"/>
      <c r="X1105" s="152"/>
      <c r="Y1105" s="153"/>
      <c r="Z1105" s="125" t="str">
        <f t="shared" si="16"/>
        <v/>
      </c>
      <c r="AA1105" s="126" t="str">
        <f t="shared" si="17"/>
        <v/>
      </c>
      <c r="AB1105" s="117" t="str">
        <f t="shared" si="19"/>
        <v/>
      </c>
      <c r="AC1105" s="152"/>
      <c r="AD1105" s="153"/>
      <c r="AE1105" s="156"/>
    </row>
    <row r="1106" ht="18.0" customHeight="1">
      <c r="A1106" s="127" t="str">
        <f t="shared" si="15"/>
        <v/>
      </c>
      <c r="B1106" s="128"/>
      <c r="C1106" s="129"/>
      <c r="D1106" s="129"/>
      <c r="E1106" s="325"/>
      <c r="F1106" s="131"/>
      <c r="G1106" s="319"/>
      <c r="H1106" s="319"/>
      <c r="I1106" s="319"/>
      <c r="J1106" s="132"/>
      <c r="K1106" s="319"/>
      <c r="L1106" s="135"/>
      <c r="M1106" s="321"/>
      <c r="N1106" s="322"/>
      <c r="O1106" s="150"/>
      <c r="P1106" s="135"/>
      <c r="Q1106" s="135"/>
      <c r="R1106" s="321"/>
      <c r="S1106" s="322"/>
      <c r="T1106" s="319"/>
      <c r="U1106" s="322"/>
      <c r="V1106" s="322"/>
      <c r="W1106" s="322"/>
      <c r="X1106" s="322"/>
      <c r="Y1106" s="319"/>
      <c r="Z1106" s="136" t="str">
        <f t="shared" si="16"/>
        <v/>
      </c>
      <c r="AA1106" s="137" t="str">
        <f t="shared" si="17"/>
        <v/>
      </c>
      <c r="AB1106" s="138" t="str">
        <f t="shared" si="19"/>
        <v/>
      </c>
      <c r="AC1106" s="322"/>
      <c r="AD1106" s="319"/>
      <c r="AE1106" s="320"/>
    </row>
    <row r="1107" ht="18.0" customHeight="1">
      <c r="A1107" s="118" t="str">
        <f t="shared" si="15"/>
        <v/>
      </c>
      <c r="B1107" s="109"/>
      <c r="C1107" s="119"/>
      <c r="D1107" s="119"/>
      <c r="E1107" s="330"/>
      <c r="F1107" s="121"/>
      <c r="G1107" s="153"/>
      <c r="H1107" s="153"/>
      <c r="I1107" s="153"/>
      <c r="J1107" s="112"/>
      <c r="K1107" s="153"/>
      <c r="L1107" s="114"/>
      <c r="M1107" s="151"/>
      <c r="N1107" s="152"/>
      <c r="O1107" s="150"/>
      <c r="P1107" s="114"/>
      <c r="Q1107" s="114"/>
      <c r="R1107" s="151"/>
      <c r="S1107" s="152"/>
      <c r="T1107" s="153"/>
      <c r="U1107" s="152"/>
      <c r="V1107" s="152"/>
      <c r="W1107" s="152"/>
      <c r="X1107" s="152"/>
      <c r="Y1107" s="153"/>
      <c r="Z1107" s="125" t="str">
        <f t="shared" si="16"/>
        <v/>
      </c>
      <c r="AA1107" s="126" t="str">
        <f t="shared" si="17"/>
        <v/>
      </c>
      <c r="AB1107" s="117" t="str">
        <f t="shared" si="19"/>
        <v/>
      </c>
      <c r="AC1107" s="152"/>
      <c r="AD1107" s="153"/>
      <c r="AE1107" s="156"/>
    </row>
    <row r="1108" ht="18.0" customHeight="1">
      <c r="A1108" s="127" t="str">
        <f t="shared" si="15"/>
        <v/>
      </c>
      <c r="B1108" s="128"/>
      <c r="C1108" s="129"/>
      <c r="D1108" s="129"/>
      <c r="E1108" s="325"/>
      <c r="F1108" s="131"/>
      <c r="G1108" s="319"/>
      <c r="H1108" s="319"/>
      <c r="I1108" s="319"/>
      <c r="J1108" s="132"/>
      <c r="K1108" s="319"/>
      <c r="L1108" s="135"/>
      <c r="M1108" s="321"/>
      <c r="N1108" s="322"/>
      <c r="O1108" s="150"/>
      <c r="P1108" s="135"/>
      <c r="Q1108" s="135"/>
      <c r="R1108" s="321"/>
      <c r="S1108" s="322"/>
      <c r="T1108" s="319"/>
      <c r="U1108" s="322"/>
      <c r="V1108" s="322"/>
      <c r="W1108" s="322"/>
      <c r="X1108" s="322"/>
      <c r="Y1108" s="319"/>
      <c r="Z1108" s="136" t="str">
        <f t="shared" si="16"/>
        <v/>
      </c>
      <c r="AA1108" s="137" t="str">
        <f t="shared" si="17"/>
        <v/>
      </c>
      <c r="AB1108" s="138" t="str">
        <f t="shared" si="19"/>
        <v/>
      </c>
      <c r="AC1108" s="322"/>
      <c r="AD1108" s="319"/>
      <c r="AE1108" s="320"/>
    </row>
    <row r="1109" ht="18.0" customHeight="1">
      <c r="A1109" s="118" t="str">
        <f t="shared" si="15"/>
        <v/>
      </c>
      <c r="B1109" s="109"/>
      <c r="C1109" s="119"/>
      <c r="D1109" s="119"/>
      <c r="E1109" s="330"/>
      <c r="F1109" s="121"/>
      <c r="G1109" s="153"/>
      <c r="H1109" s="153"/>
      <c r="I1109" s="153"/>
      <c r="J1109" s="112"/>
      <c r="K1109" s="153"/>
      <c r="L1109" s="114"/>
      <c r="M1109" s="151"/>
      <c r="N1109" s="152"/>
      <c r="O1109" s="150"/>
      <c r="P1109" s="114"/>
      <c r="Q1109" s="114"/>
      <c r="R1109" s="151"/>
      <c r="S1109" s="152"/>
      <c r="T1109" s="153"/>
      <c r="U1109" s="152"/>
      <c r="V1109" s="152"/>
      <c r="W1109" s="152"/>
      <c r="X1109" s="152"/>
      <c r="Y1109" s="153"/>
      <c r="Z1109" s="125" t="str">
        <f t="shared" si="16"/>
        <v/>
      </c>
      <c r="AA1109" s="126" t="str">
        <f t="shared" si="17"/>
        <v/>
      </c>
      <c r="AB1109" s="117" t="str">
        <f t="shared" si="19"/>
        <v/>
      </c>
      <c r="AC1109" s="152"/>
      <c r="AD1109" s="153"/>
      <c r="AE1109" s="156"/>
    </row>
    <row r="1110" ht="18.0" customHeight="1">
      <c r="A1110" s="127" t="str">
        <f t="shared" si="15"/>
        <v/>
      </c>
      <c r="B1110" s="128"/>
      <c r="C1110" s="129"/>
      <c r="D1110" s="129"/>
      <c r="E1110" s="325"/>
      <c r="F1110" s="131"/>
      <c r="G1110" s="319"/>
      <c r="H1110" s="319"/>
      <c r="I1110" s="319"/>
      <c r="J1110" s="132"/>
      <c r="K1110" s="319"/>
      <c r="L1110" s="135"/>
      <c r="M1110" s="321"/>
      <c r="N1110" s="322"/>
      <c r="O1110" s="150"/>
      <c r="P1110" s="135"/>
      <c r="Q1110" s="135"/>
      <c r="R1110" s="321"/>
      <c r="S1110" s="322"/>
      <c r="T1110" s="319"/>
      <c r="U1110" s="322"/>
      <c r="V1110" s="322"/>
      <c r="W1110" s="322"/>
      <c r="X1110" s="322"/>
      <c r="Y1110" s="319"/>
      <c r="Z1110" s="136" t="str">
        <f t="shared" si="16"/>
        <v/>
      </c>
      <c r="AA1110" s="137" t="str">
        <f t="shared" si="17"/>
        <v/>
      </c>
      <c r="AB1110" s="138" t="str">
        <f t="shared" si="19"/>
        <v/>
      </c>
      <c r="AC1110" s="322"/>
      <c r="AD1110" s="319"/>
      <c r="AE1110" s="320"/>
    </row>
    <row r="1111" ht="18.0" customHeight="1">
      <c r="A1111" s="118" t="str">
        <f t="shared" si="15"/>
        <v/>
      </c>
      <c r="B1111" s="109"/>
      <c r="C1111" s="119"/>
      <c r="D1111" s="119"/>
      <c r="E1111" s="330"/>
      <c r="F1111" s="121"/>
      <c r="G1111" s="153"/>
      <c r="H1111" s="153"/>
      <c r="I1111" s="153"/>
      <c r="J1111" s="112"/>
      <c r="K1111" s="153"/>
      <c r="L1111" s="114"/>
      <c r="M1111" s="151"/>
      <c r="N1111" s="152"/>
      <c r="O1111" s="150"/>
      <c r="P1111" s="114"/>
      <c r="Q1111" s="114"/>
      <c r="R1111" s="151"/>
      <c r="S1111" s="152"/>
      <c r="T1111" s="153"/>
      <c r="U1111" s="152"/>
      <c r="V1111" s="152"/>
      <c r="W1111" s="152"/>
      <c r="X1111" s="152"/>
      <c r="Y1111" s="153"/>
      <c r="Z1111" s="125" t="str">
        <f t="shared" si="16"/>
        <v/>
      </c>
      <c r="AA1111" s="126" t="str">
        <f t="shared" si="17"/>
        <v/>
      </c>
      <c r="AB1111" s="117" t="str">
        <f t="shared" si="19"/>
        <v/>
      </c>
      <c r="AC1111" s="152"/>
      <c r="AD1111" s="153"/>
      <c r="AE1111" s="156"/>
    </row>
    <row r="1112" ht="18.0" customHeight="1">
      <c r="A1112" s="127" t="str">
        <f t="shared" si="15"/>
        <v/>
      </c>
      <c r="B1112" s="128"/>
      <c r="C1112" s="129"/>
      <c r="D1112" s="129"/>
      <c r="E1112" s="325"/>
      <c r="F1112" s="131"/>
      <c r="G1112" s="319"/>
      <c r="H1112" s="319"/>
      <c r="I1112" s="319"/>
      <c r="J1112" s="132"/>
      <c r="K1112" s="319"/>
      <c r="L1112" s="135"/>
      <c r="M1112" s="321"/>
      <c r="N1112" s="322"/>
      <c r="O1112" s="150"/>
      <c r="P1112" s="135"/>
      <c r="Q1112" s="135"/>
      <c r="R1112" s="321"/>
      <c r="S1112" s="322"/>
      <c r="T1112" s="319"/>
      <c r="U1112" s="322"/>
      <c r="V1112" s="322"/>
      <c r="W1112" s="322"/>
      <c r="X1112" s="322"/>
      <c r="Y1112" s="319"/>
      <c r="Z1112" s="136" t="str">
        <f t="shared" si="16"/>
        <v/>
      </c>
      <c r="AA1112" s="137" t="str">
        <f t="shared" si="17"/>
        <v/>
      </c>
      <c r="AB1112" s="138" t="str">
        <f t="shared" si="19"/>
        <v/>
      </c>
      <c r="AC1112" s="322"/>
      <c r="AD1112" s="319"/>
      <c r="AE1112" s="320"/>
    </row>
    <row r="1113" ht="18.0" customHeight="1">
      <c r="A1113" s="118" t="str">
        <f t="shared" si="15"/>
        <v/>
      </c>
      <c r="B1113" s="109"/>
      <c r="C1113" s="119"/>
      <c r="D1113" s="119"/>
      <c r="E1113" s="330"/>
      <c r="F1113" s="121"/>
      <c r="G1113" s="153"/>
      <c r="H1113" s="153"/>
      <c r="I1113" s="153"/>
      <c r="J1113" s="112"/>
      <c r="K1113" s="153"/>
      <c r="L1113" s="114"/>
      <c r="M1113" s="151"/>
      <c r="N1113" s="152"/>
      <c r="O1113" s="150"/>
      <c r="P1113" s="114"/>
      <c r="Q1113" s="114"/>
      <c r="R1113" s="151"/>
      <c r="S1113" s="152"/>
      <c r="T1113" s="153"/>
      <c r="U1113" s="152"/>
      <c r="V1113" s="152"/>
      <c r="W1113" s="152"/>
      <c r="X1113" s="152"/>
      <c r="Y1113" s="153"/>
      <c r="Z1113" s="125" t="str">
        <f t="shared" si="16"/>
        <v/>
      </c>
      <c r="AA1113" s="126" t="str">
        <f t="shared" si="17"/>
        <v/>
      </c>
      <c r="AB1113" s="117" t="str">
        <f t="shared" si="19"/>
        <v/>
      </c>
      <c r="AC1113" s="152"/>
      <c r="AD1113" s="153"/>
      <c r="AE1113" s="156"/>
    </row>
    <row r="1114" ht="18.0" customHeight="1">
      <c r="A1114" s="127" t="str">
        <f t="shared" si="15"/>
        <v/>
      </c>
      <c r="B1114" s="128"/>
      <c r="C1114" s="129"/>
      <c r="D1114" s="129"/>
      <c r="E1114" s="325"/>
      <c r="F1114" s="131"/>
      <c r="G1114" s="319"/>
      <c r="H1114" s="319"/>
      <c r="I1114" s="319"/>
      <c r="J1114" s="132"/>
      <c r="K1114" s="319"/>
      <c r="L1114" s="135"/>
      <c r="M1114" s="321"/>
      <c r="N1114" s="322"/>
      <c r="O1114" s="150"/>
      <c r="P1114" s="135"/>
      <c r="Q1114" s="135"/>
      <c r="R1114" s="321"/>
      <c r="S1114" s="322"/>
      <c r="T1114" s="319"/>
      <c r="U1114" s="322"/>
      <c r="V1114" s="322"/>
      <c r="W1114" s="322"/>
      <c r="X1114" s="322"/>
      <c r="Y1114" s="319"/>
      <c r="Z1114" s="136" t="str">
        <f t="shared" si="16"/>
        <v/>
      </c>
      <c r="AA1114" s="137" t="str">
        <f t="shared" si="17"/>
        <v/>
      </c>
      <c r="AB1114" s="138" t="str">
        <f t="shared" si="19"/>
        <v/>
      </c>
      <c r="AC1114" s="322"/>
      <c r="AD1114" s="319"/>
      <c r="AE1114" s="320"/>
    </row>
    <row r="1115" ht="18.0" customHeight="1">
      <c r="A1115" s="118" t="str">
        <f t="shared" si="15"/>
        <v/>
      </c>
      <c r="B1115" s="109"/>
      <c r="C1115" s="119"/>
      <c r="D1115" s="119"/>
      <c r="E1115" s="330"/>
      <c r="F1115" s="121"/>
      <c r="G1115" s="153"/>
      <c r="H1115" s="153"/>
      <c r="I1115" s="153"/>
      <c r="J1115" s="112"/>
      <c r="K1115" s="153"/>
      <c r="L1115" s="114"/>
      <c r="M1115" s="151"/>
      <c r="N1115" s="152"/>
      <c r="O1115" s="150"/>
      <c r="P1115" s="114"/>
      <c r="Q1115" s="114"/>
      <c r="R1115" s="151"/>
      <c r="S1115" s="152"/>
      <c r="T1115" s="153"/>
      <c r="U1115" s="152"/>
      <c r="V1115" s="152"/>
      <c r="W1115" s="152"/>
      <c r="X1115" s="152"/>
      <c r="Y1115" s="153"/>
      <c r="Z1115" s="125" t="str">
        <f t="shared" si="16"/>
        <v/>
      </c>
      <c r="AA1115" s="126" t="str">
        <f t="shared" si="17"/>
        <v/>
      </c>
      <c r="AB1115" s="117" t="str">
        <f t="shared" si="19"/>
        <v/>
      </c>
      <c r="AC1115" s="152"/>
      <c r="AD1115" s="153"/>
      <c r="AE1115" s="156"/>
    </row>
    <row r="1116" ht="18.0" customHeight="1">
      <c r="A1116" s="127" t="str">
        <f t="shared" si="15"/>
        <v/>
      </c>
      <c r="B1116" s="128"/>
      <c r="C1116" s="129"/>
      <c r="D1116" s="129"/>
      <c r="E1116" s="325"/>
      <c r="F1116" s="131"/>
      <c r="G1116" s="319"/>
      <c r="H1116" s="319"/>
      <c r="I1116" s="319"/>
      <c r="J1116" s="132"/>
      <c r="K1116" s="319"/>
      <c r="L1116" s="135"/>
      <c r="M1116" s="321"/>
      <c r="N1116" s="322"/>
      <c r="O1116" s="150"/>
      <c r="P1116" s="135"/>
      <c r="Q1116" s="135"/>
      <c r="R1116" s="321"/>
      <c r="S1116" s="322"/>
      <c r="T1116" s="319"/>
      <c r="U1116" s="322"/>
      <c r="V1116" s="322"/>
      <c r="W1116" s="322"/>
      <c r="X1116" s="322"/>
      <c r="Y1116" s="319"/>
      <c r="Z1116" s="136" t="str">
        <f t="shared" si="16"/>
        <v/>
      </c>
      <c r="AA1116" s="137" t="str">
        <f t="shared" si="17"/>
        <v/>
      </c>
      <c r="AB1116" s="138" t="str">
        <f t="shared" si="19"/>
        <v/>
      </c>
      <c r="AC1116" s="322"/>
      <c r="AD1116" s="319"/>
      <c r="AE1116" s="320"/>
    </row>
    <row r="1117" ht="18.0" customHeight="1">
      <c r="A1117" s="118" t="str">
        <f t="shared" si="15"/>
        <v/>
      </c>
      <c r="B1117" s="109"/>
      <c r="C1117" s="119"/>
      <c r="D1117" s="119"/>
      <c r="E1117" s="330"/>
      <c r="F1117" s="121"/>
      <c r="G1117" s="153"/>
      <c r="H1117" s="153"/>
      <c r="I1117" s="153"/>
      <c r="J1117" s="112"/>
      <c r="K1117" s="153"/>
      <c r="L1117" s="114"/>
      <c r="M1117" s="151"/>
      <c r="N1117" s="152"/>
      <c r="O1117" s="150"/>
      <c r="P1117" s="114"/>
      <c r="Q1117" s="114"/>
      <c r="R1117" s="151"/>
      <c r="S1117" s="152"/>
      <c r="T1117" s="153"/>
      <c r="U1117" s="152"/>
      <c r="V1117" s="152"/>
      <c r="W1117" s="152"/>
      <c r="X1117" s="152"/>
      <c r="Y1117" s="153"/>
      <c r="Z1117" s="125" t="str">
        <f t="shared" si="16"/>
        <v/>
      </c>
      <c r="AA1117" s="126" t="str">
        <f t="shared" si="17"/>
        <v/>
      </c>
      <c r="AB1117" s="117" t="str">
        <f t="shared" si="19"/>
        <v/>
      </c>
      <c r="AC1117" s="152"/>
      <c r="AD1117" s="153"/>
      <c r="AE1117" s="156"/>
    </row>
    <row r="1118" ht="18.0" customHeight="1">
      <c r="A1118" s="127" t="str">
        <f t="shared" si="15"/>
        <v/>
      </c>
      <c r="B1118" s="128"/>
      <c r="C1118" s="129"/>
      <c r="D1118" s="129"/>
      <c r="E1118" s="325"/>
      <c r="F1118" s="131"/>
      <c r="G1118" s="319"/>
      <c r="H1118" s="319"/>
      <c r="I1118" s="319"/>
      <c r="J1118" s="132"/>
      <c r="K1118" s="319"/>
      <c r="L1118" s="135"/>
      <c r="M1118" s="321"/>
      <c r="N1118" s="322"/>
      <c r="O1118" s="150"/>
      <c r="P1118" s="135"/>
      <c r="Q1118" s="135"/>
      <c r="R1118" s="321"/>
      <c r="S1118" s="322"/>
      <c r="T1118" s="319"/>
      <c r="U1118" s="322"/>
      <c r="V1118" s="322"/>
      <c r="W1118" s="322"/>
      <c r="X1118" s="322"/>
      <c r="Y1118" s="319"/>
      <c r="Z1118" s="136" t="str">
        <f t="shared" si="16"/>
        <v/>
      </c>
      <c r="AA1118" s="137" t="str">
        <f t="shared" si="17"/>
        <v/>
      </c>
      <c r="AB1118" s="138" t="str">
        <f t="shared" si="19"/>
        <v/>
      </c>
      <c r="AC1118" s="322"/>
      <c r="AD1118" s="319"/>
      <c r="AE1118" s="320"/>
    </row>
    <row r="1119" ht="18.0" customHeight="1">
      <c r="A1119" s="118" t="str">
        <f t="shared" si="15"/>
        <v/>
      </c>
      <c r="B1119" s="109"/>
      <c r="C1119" s="119"/>
      <c r="D1119" s="119"/>
      <c r="E1119" s="330"/>
      <c r="F1119" s="121"/>
      <c r="G1119" s="153"/>
      <c r="H1119" s="153"/>
      <c r="I1119" s="153"/>
      <c r="J1119" s="112"/>
      <c r="K1119" s="153"/>
      <c r="L1119" s="114"/>
      <c r="M1119" s="151"/>
      <c r="N1119" s="152"/>
      <c r="O1119" s="150"/>
      <c r="P1119" s="114"/>
      <c r="Q1119" s="114"/>
      <c r="R1119" s="151"/>
      <c r="S1119" s="152"/>
      <c r="T1119" s="153"/>
      <c r="U1119" s="152"/>
      <c r="V1119" s="152"/>
      <c r="W1119" s="152"/>
      <c r="X1119" s="152"/>
      <c r="Y1119" s="153"/>
      <c r="Z1119" s="125" t="str">
        <f t="shared" si="16"/>
        <v/>
      </c>
      <c r="AA1119" s="126" t="str">
        <f t="shared" si="17"/>
        <v/>
      </c>
      <c r="AB1119" s="117" t="str">
        <f t="shared" si="19"/>
        <v/>
      </c>
      <c r="AC1119" s="152"/>
      <c r="AD1119" s="153"/>
      <c r="AE1119" s="156"/>
    </row>
    <row r="1120" ht="18.0" customHeight="1">
      <c r="A1120" s="127" t="str">
        <f t="shared" si="15"/>
        <v/>
      </c>
      <c r="B1120" s="128"/>
      <c r="C1120" s="129"/>
      <c r="D1120" s="129"/>
      <c r="E1120" s="325"/>
      <c r="F1120" s="131"/>
      <c r="G1120" s="319"/>
      <c r="H1120" s="319"/>
      <c r="I1120" s="319"/>
      <c r="J1120" s="132"/>
      <c r="K1120" s="319"/>
      <c r="L1120" s="135"/>
      <c r="M1120" s="321"/>
      <c r="N1120" s="322"/>
      <c r="O1120" s="150"/>
      <c r="P1120" s="135"/>
      <c r="Q1120" s="135"/>
      <c r="R1120" s="321"/>
      <c r="S1120" s="322"/>
      <c r="T1120" s="319"/>
      <c r="U1120" s="322"/>
      <c r="V1120" s="322"/>
      <c r="W1120" s="322"/>
      <c r="X1120" s="322"/>
      <c r="Y1120" s="319"/>
      <c r="Z1120" s="136" t="str">
        <f t="shared" si="16"/>
        <v/>
      </c>
      <c r="AA1120" s="137" t="str">
        <f t="shared" si="17"/>
        <v/>
      </c>
      <c r="AB1120" s="138" t="str">
        <f t="shared" si="19"/>
        <v/>
      </c>
      <c r="AC1120" s="322"/>
      <c r="AD1120" s="319"/>
      <c r="AE1120" s="320"/>
    </row>
    <row r="1121" ht="18.0" customHeight="1">
      <c r="A1121" s="118" t="str">
        <f t="shared" si="15"/>
        <v/>
      </c>
      <c r="B1121" s="109"/>
      <c r="C1121" s="119"/>
      <c r="D1121" s="119"/>
      <c r="E1121" s="330"/>
      <c r="F1121" s="121"/>
      <c r="G1121" s="153"/>
      <c r="H1121" s="153"/>
      <c r="I1121" s="153"/>
      <c r="J1121" s="112"/>
      <c r="K1121" s="153"/>
      <c r="L1121" s="114"/>
      <c r="M1121" s="151"/>
      <c r="N1121" s="152"/>
      <c r="O1121" s="150"/>
      <c r="P1121" s="114"/>
      <c r="Q1121" s="114"/>
      <c r="R1121" s="151"/>
      <c r="S1121" s="152"/>
      <c r="T1121" s="153"/>
      <c r="U1121" s="152"/>
      <c r="V1121" s="152"/>
      <c r="W1121" s="152"/>
      <c r="X1121" s="152"/>
      <c r="Y1121" s="153"/>
      <c r="Z1121" s="125" t="str">
        <f t="shared" si="16"/>
        <v/>
      </c>
      <c r="AA1121" s="126" t="str">
        <f t="shared" si="17"/>
        <v/>
      </c>
      <c r="AB1121" s="117" t="str">
        <f t="shared" si="19"/>
        <v/>
      </c>
      <c r="AC1121" s="152"/>
      <c r="AD1121" s="153"/>
      <c r="AE1121" s="156"/>
    </row>
    <row r="1122" ht="18.0" customHeight="1">
      <c r="A1122" s="127" t="str">
        <f t="shared" si="15"/>
        <v/>
      </c>
      <c r="B1122" s="128"/>
      <c r="C1122" s="129"/>
      <c r="D1122" s="129"/>
      <c r="E1122" s="325"/>
      <c r="F1122" s="131"/>
      <c r="G1122" s="319"/>
      <c r="H1122" s="319"/>
      <c r="I1122" s="319"/>
      <c r="J1122" s="132"/>
      <c r="K1122" s="319"/>
      <c r="L1122" s="135"/>
      <c r="M1122" s="321"/>
      <c r="N1122" s="322"/>
      <c r="O1122" s="150"/>
      <c r="P1122" s="135"/>
      <c r="Q1122" s="135"/>
      <c r="R1122" s="321"/>
      <c r="S1122" s="322"/>
      <c r="T1122" s="319"/>
      <c r="U1122" s="322"/>
      <c r="V1122" s="322"/>
      <c r="W1122" s="322"/>
      <c r="X1122" s="322"/>
      <c r="Y1122" s="319"/>
      <c r="Z1122" s="136" t="str">
        <f t="shared" si="16"/>
        <v/>
      </c>
      <c r="AA1122" s="137" t="str">
        <f t="shared" si="17"/>
        <v/>
      </c>
      <c r="AB1122" s="138" t="str">
        <f t="shared" si="19"/>
        <v/>
      </c>
      <c r="AC1122" s="322"/>
      <c r="AD1122" s="319"/>
      <c r="AE1122" s="320"/>
    </row>
    <row r="1123" ht="18.0" customHeight="1">
      <c r="A1123" s="118" t="str">
        <f t="shared" si="15"/>
        <v/>
      </c>
      <c r="B1123" s="109"/>
      <c r="C1123" s="119"/>
      <c r="D1123" s="119"/>
      <c r="E1123" s="330"/>
      <c r="F1123" s="121"/>
      <c r="G1123" s="153"/>
      <c r="H1123" s="153"/>
      <c r="I1123" s="153"/>
      <c r="J1123" s="112"/>
      <c r="K1123" s="153"/>
      <c r="L1123" s="114"/>
      <c r="M1123" s="151"/>
      <c r="N1123" s="152"/>
      <c r="O1123" s="150"/>
      <c r="P1123" s="114"/>
      <c r="Q1123" s="114"/>
      <c r="R1123" s="151"/>
      <c r="S1123" s="152"/>
      <c r="T1123" s="153"/>
      <c r="U1123" s="152"/>
      <c r="V1123" s="152"/>
      <c r="W1123" s="152"/>
      <c r="X1123" s="152"/>
      <c r="Y1123" s="153"/>
      <c r="Z1123" s="125" t="str">
        <f t="shared" si="16"/>
        <v/>
      </c>
      <c r="AA1123" s="126" t="str">
        <f t="shared" si="17"/>
        <v/>
      </c>
      <c r="AB1123" s="117" t="str">
        <f t="shared" si="19"/>
        <v/>
      </c>
      <c r="AC1123" s="152"/>
      <c r="AD1123" s="153"/>
      <c r="AE1123" s="156"/>
    </row>
    <row r="1124" ht="18.0" customHeight="1">
      <c r="A1124" s="127" t="str">
        <f t="shared" si="15"/>
        <v/>
      </c>
      <c r="B1124" s="128"/>
      <c r="C1124" s="129"/>
      <c r="D1124" s="129"/>
      <c r="E1124" s="325"/>
      <c r="F1124" s="131"/>
      <c r="G1124" s="319"/>
      <c r="H1124" s="319"/>
      <c r="I1124" s="319"/>
      <c r="J1124" s="132"/>
      <c r="K1124" s="319"/>
      <c r="L1124" s="135"/>
      <c r="M1124" s="321"/>
      <c r="N1124" s="322"/>
      <c r="O1124" s="150"/>
      <c r="P1124" s="135"/>
      <c r="Q1124" s="135"/>
      <c r="R1124" s="321"/>
      <c r="S1124" s="322"/>
      <c r="T1124" s="319"/>
      <c r="U1124" s="322"/>
      <c r="V1124" s="322"/>
      <c r="W1124" s="322"/>
      <c r="X1124" s="322"/>
      <c r="Y1124" s="319"/>
      <c r="Z1124" s="136" t="str">
        <f t="shared" si="16"/>
        <v/>
      </c>
      <c r="AA1124" s="137" t="str">
        <f t="shared" si="17"/>
        <v/>
      </c>
      <c r="AB1124" s="138" t="str">
        <f t="shared" si="19"/>
        <v/>
      </c>
      <c r="AC1124" s="322"/>
      <c r="AD1124" s="319"/>
      <c r="AE1124" s="320"/>
    </row>
    <row r="1125" ht="18.0" customHeight="1">
      <c r="A1125" s="118" t="str">
        <f t="shared" si="15"/>
        <v/>
      </c>
      <c r="B1125" s="109"/>
      <c r="C1125" s="119"/>
      <c r="D1125" s="119"/>
      <c r="E1125" s="330"/>
      <c r="F1125" s="121"/>
      <c r="G1125" s="153"/>
      <c r="H1125" s="153"/>
      <c r="I1125" s="153"/>
      <c r="J1125" s="112"/>
      <c r="K1125" s="153"/>
      <c r="L1125" s="114"/>
      <c r="M1125" s="151"/>
      <c r="N1125" s="152"/>
      <c r="O1125" s="150"/>
      <c r="P1125" s="114"/>
      <c r="Q1125" s="114"/>
      <c r="R1125" s="151"/>
      <c r="S1125" s="152"/>
      <c r="T1125" s="153"/>
      <c r="U1125" s="152"/>
      <c r="V1125" s="152"/>
      <c r="W1125" s="152"/>
      <c r="X1125" s="152"/>
      <c r="Y1125" s="153"/>
      <c r="Z1125" s="125" t="str">
        <f t="shared" si="16"/>
        <v/>
      </c>
      <c r="AA1125" s="126" t="str">
        <f t="shared" si="17"/>
        <v/>
      </c>
      <c r="AB1125" s="117" t="str">
        <f t="shared" si="19"/>
        <v/>
      </c>
      <c r="AC1125" s="152"/>
      <c r="AD1125" s="153"/>
      <c r="AE1125" s="156"/>
    </row>
    <row r="1126" ht="18.0" customHeight="1">
      <c r="A1126" s="127" t="str">
        <f t="shared" si="15"/>
        <v/>
      </c>
      <c r="B1126" s="128"/>
      <c r="C1126" s="129"/>
      <c r="D1126" s="129"/>
      <c r="E1126" s="325"/>
      <c r="F1126" s="131"/>
      <c r="G1126" s="319"/>
      <c r="H1126" s="319"/>
      <c r="I1126" s="319"/>
      <c r="J1126" s="132"/>
      <c r="K1126" s="319"/>
      <c r="L1126" s="135"/>
      <c r="M1126" s="321"/>
      <c r="N1126" s="322"/>
      <c r="O1126" s="150"/>
      <c r="P1126" s="135"/>
      <c r="Q1126" s="135"/>
      <c r="R1126" s="321"/>
      <c r="S1126" s="322"/>
      <c r="T1126" s="319"/>
      <c r="U1126" s="322"/>
      <c r="V1126" s="322"/>
      <c r="W1126" s="322"/>
      <c r="X1126" s="322"/>
      <c r="Y1126" s="319"/>
      <c r="Z1126" s="136" t="str">
        <f t="shared" si="16"/>
        <v/>
      </c>
      <c r="AA1126" s="137" t="str">
        <f t="shared" si="17"/>
        <v/>
      </c>
      <c r="AB1126" s="138" t="str">
        <f t="shared" si="19"/>
        <v/>
      </c>
      <c r="AC1126" s="322"/>
      <c r="AD1126" s="319"/>
      <c r="AE1126" s="320"/>
    </row>
    <row r="1127" ht="18.0" customHeight="1">
      <c r="A1127" s="118" t="str">
        <f t="shared" si="15"/>
        <v/>
      </c>
      <c r="B1127" s="109"/>
      <c r="C1127" s="119"/>
      <c r="D1127" s="119"/>
      <c r="E1127" s="330"/>
      <c r="F1127" s="121"/>
      <c r="G1127" s="153"/>
      <c r="H1127" s="153"/>
      <c r="I1127" s="153"/>
      <c r="J1127" s="112"/>
      <c r="K1127" s="153"/>
      <c r="L1127" s="114"/>
      <c r="M1127" s="151"/>
      <c r="N1127" s="152"/>
      <c r="O1127" s="150"/>
      <c r="P1127" s="114"/>
      <c r="Q1127" s="114"/>
      <c r="R1127" s="151"/>
      <c r="S1127" s="152"/>
      <c r="T1127" s="153"/>
      <c r="U1127" s="152"/>
      <c r="V1127" s="152"/>
      <c r="W1127" s="152"/>
      <c r="X1127" s="152"/>
      <c r="Y1127" s="153"/>
      <c r="Z1127" s="125" t="str">
        <f t="shared" si="16"/>
        <v/>
      </c>
      <c r="AA1127" s="126" t="str">
        <f t="shared" si="17"/>
        <v/>
      </c>
      <c r="AB1127" s="117" t="str">
        <f t="shared" si="19"/>
        <v/>
      </c>
      <c r="AC1127" s="152"/>
      <c r="AD1127" s="153"/>
      <c r="AE1127" s="156"/>
    </row>
    <row r="1128" ht="18.0" customHeight="1">
      <c r="A1128" s="127" t="str">
        <f t="shared" si="15"/>
        <v/>
      </c>
      <c r="B1128" s="128"/>
      <c r="C1128" s="129"/>
      <c r="D1128" s="129"/>
      <c r="E1128" s="325"/>
      <c r="F1128" s="131"/>
      <c r="G1128" s="319"/>
      <c r="H1128" s="319"/>
      <c r="I1128" s="319"/>
      <c r="J1128" s="132"/>
      <c r="K1128" s="319"/>
      <c r="L1128" s="135"/>
      <c r="M1128" s="321"/>
      <c r="N1128" s="322"/>
      <c r="O1128" s="150"/>
      <c r="P1128" s="135"/>
      <c r="Q1128" s="135"/>
      <c r="R1128" s="321"/>
      <c r="S1128" s="322"/>
      <c r="T1128" s="319"/>
      <c r="U1128" s="322"/>
      <c r="V1128" s="322"/>
      <c r="W1128" s="322"/>
      <c r="X1128" s="322"/>
      <c r="Y1128" s="319"/>
      <c r="Z1128" s="136" t="str">
        <f t="shared" si="16"/>
        <v/>
      </c>
      <c r="AA1128" s="137" t="str">
        <f t="shared" si="17"/>
        <v/>
      </c>
      <c r="AB1128" s="138" t="str">
        <f t="shared" si="19"/>
        <v/>
      </c>
      <c r="AC1128" s="322"/>
      <c r="AD1128" s="319"/>
      <c r="AE1128" s="320"/>
    </row>
    <row r="1129" ht="18.0" customHeight="1">
      <c r="A1129" s="118" t="str">
        <f t="shared" si="15"/>
        <v/>
      </c>
      <c r="B1129" s="109"/>
      <c r="C1129" s="119"/>
      <c r="D1129" s="119"/>
      <c r="E1129" s="330"/>
      <c r="F1129" s="121"/>
      <c r="G1129" s="153"/>
      <c r="H1129" s="153"/>
      <c r="I1129" s="153"/>
      <c r="J1129" s="112"/>
      <c r="K1129" s="153"/>
      <c r="L1129" s="114"/>
      <c r="M1129" s="151"/>
      <c r="N1129" s="152"/>
      <c r="O1129" s="150"/>
      <c r="P1129" s="114"/>
      <c r="Q1129" s="114"/>
      <c r="R1129" s="151"/>
      <c r="S1129" s="152"/>
      <c r="T1129" s="153"/>
      <c r="U1129" s="152"/>
      <c r="V1129" s="152"/>
      <c r="W1129" s="152"/>
      <c r="X1129" s="152"/>
      <c r="Y1129" s="153"/>
      <c r="Z1129" s="125" t="str">
        <f t="shared" si="16"/>
        <v/>
      </c>
      <c r="AA1129" s="126" t="str">
        <f t="shared" si="17"/>
        <v/>
      </c>
      <c r="AB1129" s="117" t="str">
        <f t="shared" si="19"/>
        <v/>
      </c>
      <c r="AC1129" s="152"/>
      <c r="AD1129" s="153"/>
      <c r="AE1129" s="156"/>
    </row>
    <row r="1130" ht="18.0" customHeight="1">
      <c r="A1130" s="127" t="str">
        <f t="shared" si="15"/>
        <v/>
      </c>
      <c r="B1130" s="128"/>
      <c r="C1130" s="129"/>
      <c r="D1130" s="129"/>
      <c r="E1130" s="325"/>
      <c r="F1130" s="131"/>
      <c r="G1130" s="319"/>
      <c r="H1130" s="319"/>
      <c r="I1130" s="319"/>
      <c r="J1130" s="132"/>
      <c r="K1130" s="319"/>
      <c r="L1130" s="135"/>
      <c r="M1130" s="321"/>
      <c r="N1130" s="322"/>
      <c r="O1130" s="150"/>
      <c r="P1130" s="135"/>
      <c r="Q1130" s="135"/>
      <c r="R1130" s="321"/>
      <c r="S1130" s="322"/>
      <c r="T1130" s="319"/>
      <c r="U1130" s="322"/>
      <c r="V1130" s="322"/>
      <c r="W1130" s="322"/>
      <c r="X1130" s="322"/>
      <c r="Y1130" s="319"/>
      <c r="Z1130" s="136" t="str">
        <f t="shared" si="16"/>
        <v/>
      </c>
      <c r="AA1130" s="137" t="str">
        <f t="shared" si="17"/>
        <v/>
      </c>
      <c r="AB1130" s="138" t="str">
        <f t="shared" si="19"/>
        <v/>
      </c>
      <c r="AC1130" s="322"/>
      <c r="AD1130" s="319"/>
      <c r="AE1130" s="320"/>
    </row>
    <row r="1131" ht="18.0" customHeight="1">
      <c r="A1131" s="118" t="str">
        <f t="shared" si="15"/>
        <v/>
      </c>
      <c r="B1131" s="109"/>
      <c r="C1131" s="119"/>
      <c r="D1131" s="119"/>
      <c r="E1131" s="330"/>
      <c r="F1131" s="121"/>
      <c r="G1131" s="153"/>
      <c r="H1131" s="153"/>
      <c r="I1131" s="153"/>
      <c r="J1131" s="112"/>
      <c r="K1131" s="153"/>
      <c r="L1131" s="114"/>
      <c r="M1131" s="151"/>
      <c r="N1131" s="152"/>
      <c r="O1131" s="150"/>
      <c r="P1131" s="114"/>
      <c r="Q1131" s="114"/>
      <c r="R1131" s="151"/>
      <c r="S1131" s="152"/>
      <c r="T1131" s="153"/>
      <c r="U1131" s="152"/>
      <c r="V1131" s="152"/>
      <c r="W1131" s="152"/>
      <c r="X1131" s="152"/>
      <c r="Y1131" s="153"/>
      <c r="Z1131" s="125" t="str">
        <f t="shared" si="16"/>
        <v/>
      </c>
      <c r="AA1131" s="126" t="str">
        <f t="shared" si="17"/>
        <v/>
      </c>
      <c r="AB1131" s="117" t="str">
        <f t="shared" si="19"/>
        <v/>
      </c>
      <c r="AC1131" s="152"/>
      <c r="AD1131" s="153"/>
      <c r="AE1131" s="156"/>
    </row>
    <row r="1132" ht="18.0" customHeight="1">
      <c r="A1132" s="127" t="str">
        <f t="shared" si="15"/>
        <v/>
      </c>
      <c r="B1132" s="128"/>
      <c r="C1132" s="129"/>
      <c r="D1132" s="129"/>
      <c r="E1132" s="325"/>
      <c r="F1132" s="131"/>
      <c r="G1132" s="319"/>
      <c r="H1132" s="319"/>
      <c r="I1132" s="319"/>
      <c r="J1132" s="132"/>
      <c r="K1132" s="319"/>
      <c r="L1132" s="135"/>
      <c r="M1132" s="321"/>
      <c r="N1132" s="322"/>
      <c r="O1132" s="150"/>
      <c r="P1132" s="135"/>
      <c r="Q1132" s="135"/>
      <c r="R1132" s="321"/>
      <c r="S1132" s="322"/>
      <c r="T1132" s="319"/>
      <c r="U1132" s="322"/>
      <c r="V1132" s="322"/>
      <c r="W1132" s="322"/>
      <c r="X1132" s="322"/>
      <c r="Y1132" s="319"/>
      <c r="Z1132" s="136" t="str">
        <f t="shared" si="16"/>
        <v/>
      </c>
      <c r="AA1132" s="137" t="str">
        <f t="shared" si="17"/>
        <v/>
      </c>
      <c r="AB1132" s="138" t="str">
        <f t="shared" si="19"/>
        <v/>
      </c>
      <c r="AC1132" s="322"/>
      <c r="AD1132" s="319"/>
      <c r="AE1132" s="320"/>
    </row>
    <row r="1133" ht="18.0" customHeight="1">
      <c r="A1133" s="118" t="str">
        <f t="shared" si="15"/>
        <v/>
      </c>
      <c r="B1133" s="109"/>
      <c r="C1133" s="119"/>
      <c r="D1133" s="119"/>
      <c r="E1133" s="330"/>
      <c r="F1133" s="121"/>
      <c r="G1133" s="153"/>
      <c r="H1133" s="153"/>
      <c r="I1133" s="153"/>
      <c r="J1133" s="112"/>
      <c r="K1133" s="153"/>
      <c r="L1133" s="114"/>
      <c r="M1133" s="151"/>
      <c r="N1133" s="152"/>
      <c r="O1133" s="150"/>
      <c r="P1133" s="114"/>
      <c r="Q1133" s="114"/>
      <c r="R1133" s="151"/>
      <c r="S1133" s="152"/>
      <c r="T1133" s="153"/>
      <c r="U1133" s="152"/>
      <c r="V1133" s="152"/>
      <c r="W1133" s="152"/>
      <c r="X1133" s="152"/>
      <c r="Y1133" s="153"/>
      <c r="Z1133" s="125" t="str">
        <f t="shared" si="16"/>
        <v/>
      </c>
      <c r="AA1133" s="126" t="str">
        <f t="shared" si="17"/>
        <v/>
      </c>
      <c r="AB1133" s="117" t="str">
        <f t="shared" si="19"/>
        <v/>
      </c>
      <c r="AC1133" s="152"/>
      <c r="AD1133" s="153"/>
      <c r="AE1133" s="156"/>
    </row>
    <row r="1134" ht="18.0" customHeight="1">
      <c r="A1134" s="127" t="str">
        <f t="shared" si="15"/>
        <v/>
      </c>
      <c r="B1134" s="128"/>
      <c r="C1134" s="129"/>
      <c r="D1134" s="129"/>
      <c r="E1134" s="325"/>
      <c r="F1134" s="131"/>
      <c r="G1134" s="319"/>
      <c r="H1134" s="319"/>
      <c r="I1134" s="319"/>
      <c r="J1134" s="132"/>
      <c r="K1134" s="319"/>
      <c r="L1134" s="135"/>
      <c r="M1134" s="321"/>
      <c r="N1134" s="322"/>
      <c r="O1134" s="150"/>
      <c r="P1134" s="135"/>
      <c r="Q1134" s="135"/>
      <c r="R1134" s="321"/>
      <c r="S1134" s="322"/>
      <c r="T1134" s="319"/>
      <c r="U1134" s="322"/>
      <c r="V1134" s="322"/>
      <c r="W1134" s="322"/>
      <c r="X1134" s="322"/>
      <c r="Y1134" s="319"/>
      <c r="Z1134" s="136" t="str">
        <f t="shared" si="16"/>
        <v/>
      </c>
      <c r="AA1134" s="137" t="str">
        <f t="shared" si="17"/>
        <v/>
      </c>
      <c r="AB1134" s="138" t="str">
        <f t="shared" si="19"/>
        <v/>
      </c>
      <c r="AC1134" s="322"/>
      <c r="AD1134" s="319"/>
      <c r="AE1134" s="320"/>
    </row>
    <row r="1135" ht="18.0" customHeight="1">
      <c r="A1135" s="118" t="str">
        <f t="shared" si="15"/>
        <v/>
      </c>
      <c r="B1135" s="109"/>
      <c r="C1135" s="119"/>
      <c r="D1135" s="119"/>
      <c r="E1135" s="330"/>
      <c r="F1135" s="121"/>
      <c r="G1135" s="153"/>
      <c r="H1135" s="153"/>
      <c r="I1135" s="153"/>
      <c r="J1135" s="112"/>
      <c r="K1135" s="153"/>
      <c r="L1135" s="114"/>
      <c r="M1135" s="151"/>
      <c r="N1135" s="152"/>
      <c r="O1135" s="150"/>
      <c r="P1135" s="114"/>
      <c r="Q1135" s="114"/>
      <c r="R1135" s="151"/>
      <c r="S1135" s="152"/>
      <c r="T1135" s="153"/>
      <c r="U1135" s="152"/>
      <c r="V1135" s="152"/>
      <c r="W1135" s="152"/>
      <c r="X1135" s="152"/>
      <c r="Y1135" s="153"/>
      <c r="Z1135" s="125" t="str">
        <f t="shared" si="16"/>
        <v/>
      </c>
      <c r="AA1135" s="126" t="str">
        <f t="shared" si="17"/>
        <v/>
      </c>
      <c r="AB1135" s="117" t="str">
        <f t="shared" si="19"/>
        <v/>
      </c>
      <c r="AC1135" s="152"/>
      <c r="AD1135" s="153"/>
      <c r="AE1135" s="156"/>
    </row>
    <row r="1136" ht="18.0" customHeight="1">
      <c r="A1136" s="127" t="str">
        <f t="shared" si="15"/>
        <v/>
      </c>
      <c r="B1136" s="128"/>
      <c r="C1136" s="129"/>
      <c r="D1136" s="129"/>
      <c r="E1136" s="325"/>
      <c r="F1136" s="131"/>
      <c r="G1136" s="319"/>
      <c r="H1136" s="319"/>
      <c r="I1136" s="319"/>
      <c r="J1136" s="132"/>
      <c r="K1136" s="319"/>
      <c r="L1136" s="135"/>
      <c r="M1136" s="321"/>
      <c r="N1136" s="322"/>
      <c r="O1136" s="150"/>
      <c r="P1136" s="135"/>
      <c r="Q1136" s="135"/>
      <c r="R1136" s="321"/>
      <c r="S1136" s="322"/>
      <c r="T1136" s="319"/>
      <c r="U1136" s="322"/>
      <c r="V1136" s="322"/>
      <c r="W1136" s="322"/>
      <c r="X1136" s="322"/>
      <c r="Y1136" s="319"/>
      <c r="Z1136" s="136" t="str">
        <f t="shared" si="16"/>
        <v/>
      </c>
      <c r="AA1136" s="137" t="str">
        <f t="shared" si="17"/>
        <v/>
      </c>
      <c r="AB1136" s="138" t="str">
        <f t="shared" si="19"/>
        <v/>
      </c>
      <c r="AC1136" s="322"/>
      <c r="AD1136" s="319"/>
      <c r="AE1136" s="320"/>
    </row>
    <row r="1137" ht="18.0" customHeight="1">
      <c r="A1137" s="118" t="str">
        <f t="shared" si="15"/>
        <v/>
      </c>
      <c r="B1137" s="109"/>
      <c r="C1137" s="119"/>
      <c r="D1137" s="119"/>
      <c r="E1137" s="330"/>
      <c r="F1137" s="121"/>
      <c r="G1137" s="153"/>
      <c r="H1137" s="153"/>
      <c r="I1137" s="153"/>
      <c r="J1137" s="112"/>
      <c r="K1137" s="153"/>
      <c r="L1137" s="114"/>
      <c r="M1137" s="151"/>
      <c r="N1137" s="152"/>
      <c r="O1137" s="150"/>
      <c r="P1137" s="114"/>
      <c r="Q1137" s="114"/>
      <c r="R1137" s="151"/>
      <c r="S1137" s="152"/>
      <c r="T1137" s="153"/>
      <c r="U1137" s="152"/>
      <c r="V1137" s="152"/>
      <c r="W1137" s="152"/>
      <c r="X1137" s="152"/>
      <c r="Y1137" s="153"/>
      <c r="Z1137" s="125" t="str">
        <f t="shared" si="16"/>
        <v/>
      </c>
      <c r="AA1137" s="126" t="str">
        <f t="shared" si="17"/>
        <v/>
      </c>
      <c r="AB1137" s="117" t="str">
        <f t="shared" si="19"/>
        <v/>
      </c>
      <c r="AC1137" s="152"/>
      <c r="AD1137" s="153"/>
      <c r="AE1137" s="156"/>
    </row>
    <row r="1138" ht="18.0" customHeight="1">
      <c r="A1138" s="127" t="str">
        <f t="shared" si="15"/>
        <v/>
      </c>
      <c r="B1138" s="128"/>
      <c r="C1138" s="129"/>
      <c r="D1138" s="129"/>
      <c r="E1138" s="325"/>
      <c r="F1138" s="131"/>
      <c r="G1138" s="319"/>
      <c r="H1138" s="319"/>
      <c r="I1138" s="319"/>
      <c r="J1138" s="132"/>
      <c r="K1138" s="319"/>
      <c r="L1138" s="135"/>
      <c r="M1138" s="321"/>
      <c r="N1138" s="322"/>
      <c r="O1138" s="150"/>
      <c r="P1138" s="135"/>
      <c r="Q1138" s="135"/>
      <c r="R1138" s="321"/>
      <c r="S1138" s="322"/>
      <c r="T1138" s="319"/>
      <c r="U1138" s="322"/>
      <c r="V1138" s="322"/>
      <c r="W1138" s="322"/>
      <c r="X1138" s="322"/>
      <c r="Y1138" s="319"/>
      <c r="Z1138" s="136" t="str">
        <f t="shared" si="16"/>
        <v/>
      </c>
      <c r="AA1138" s="137" t="str">
        <f t="shared" si="17"/>
        <v/>
      </c>
      <c r="AB1138" s="138" t="str">
        <f t="shared" si="19"/>
        <v/>
      </c>
      <c r="AC1138" s="322"/>
      <c r="AD1138" s="319"/>
      <c r="AE1138" s="320"/>
    </row>
    <row r="1139" ht="18.0" customHeight="1">
      <c r="A1139" s="118" t="str">
        <f t="shared" si="15"/>
        <v/>
      </c>
      <c r="B1139" s="109"/>
      <c r="C1139" s="119"/>
      <c r="D1139" s="119"/>
      <c r="E1139" s="330"/>
      <c r="F1139" s="121"/>
      <c r="G1139" s="153"/>
      <c r="H1139" s="153"/>
      <c r="I1139" s="153"/>
      <c r="J1139" s="112"/>
      <c r="K1139" s="153"/>
      <c r="L1139" s="114"/>
      <c r="M1139" s="151"/>
      <c r="N1139" s="152"/>
      <c r="O1139" s="150"/>
      <c r="P1139" s="114"/>
      <c r="Q1139" s="114"/>
      <c r="R1139" s="151"/>
      <c r="S1139" s="152"/>
      <c r="T1139" s="153"/>
      <c r="U1139" s="152"/>
      <c r="V1139" s="152"/>
      <c r="W1139" s="152"/>
      <c r="X1139" s="152"/>
      <c r="Y1139" s="153"/>
      <c r="Z1139" s="125" t="str">
        <f t="shared" si="16"/>
        <v/>
      </c>
      <c r="AA1139" s="126" t="str">
        <f t="shared" si="17"/>
        <v/>
      </c>
      <c r="AB1139" s="117" t="str">
        <f t="shared" si="19"/>
        <v/>
      </c>
      <c r="AC1139" s="152"/>
      <c r="AD1139" s="153"/>
      <c r="AE1139" s="156"/>
    </row>
    <row r="1140" ht="18.0" customHeight="1">
      <c r="A1140" s="127" t="str">
        <f t="shared" si="15"/>
        <v/>
      </c>
      <c r="B1140" s="128"/>
      <c r="C1140" s="129"/>
      <c r="D1140" s="129"/>
      <c r="E1140" s="325"/>
      <c r="F1140" s="131"/>
      <c r="G1140" s="319"/>
      <c r="H1140" s="319"/>
      <c r="I1140" s="319"/>
      <c r="J1140" s="132"/>
      <c r="K1140" s="319"/>
      <c r="L1140" s="135"/>
      <c r="M1140" s="321"/>
      <c r="N1140" s="322"/>
      <c r="O1140" s="150"/>
      <c r="P1140" s="135"/>
      <c r="Q1140" s="135"/>
      <c r="R1140" s="321"/>
      <c r="S1140" s="322"/>
      <c r="T1140" s="319"/>
      <c r="U1140" s="322"/>
      <c r="V1140" s="322"/>
      <c r="W1140" s="322"/>
      <c r="X1140" s="322"/>
      <c r="Y1140" s="319"/>
      <c r="Z1140" s="136" t="str">
        <f t="shared" si="16"/>
        <v/>
      </c>
      <c r="AA1140" s="137" t="str">
        <f t="shared" si="17"/>
        <v/>
      </c>
      <c r="AB1140" s="138" t="str">
        <f t="shared" si="19"/>
        <v/>
      </c>
      <c r="AC1140" s="322"/>
      <c r="AD1140" s="319"/>
      <c r="AE1140" s="320"/>
    </row>
    <row r="1141" ht="18.0" customHeight="1">
      <c r="A1141" s="118" t="str">
        <f t="shared" si="15"/>
        <v/>
      </c>
      <c r="B1141" s="109"/>
      <c r="C1141" s="119"/>
      <c r="D1141" s="119"/>
      <c r="E1141" s="330"/>
      <c r="F1141" s="121"/>
      <c r="G1141" s="153"/>
      <c r="H1141" s="153"/>
      <c r="I1141" s="153"/>
      <c r="J1141" s="112"/>
      <c r="K1141" s="153"/>
      <c r="L1141" s="114"/>
      <c r="M1141" s="151"/>
      <c r="N1141" s="152"/>
      <c r="O1141" s="150"/>
      <c r="P1141" s="114"/>
      <c r="Q1141" s="114"/>
      <c r="R1141" s="151"/>
      <c r="S1141" s="152"/>
      <c r="T1141" s="153"/>
      <c r="U1141" s="152"/>
      <c r="V1141" s="152"/>
      <c r="W1141" s="152"/>
      <c r="X1141" s="152"/>
      <c r="Y1141" s="153"/>
      <c r="Z1141" s="125" t="str">
        <f t="shared" si="16"/>
        <v/>
      </c>
      <c r="AA1141" s="126" t="str">
        <f t="shared" si="17"/>
        <v/>
      </c>
      <c r="AB1141" s="117" t="str">
        <f t="shared" si="19"/>
        <v/>
      </c>
      <c r="AC1141" s="152"/>
      <c r="AD1141" s="153"/>
      <c r="AE1141" s="156"/>
    </row>
    <row r="1142" ht="18.0" customHeight="1">
      <c r="A1142" s="127" t="str">
        <f t="shared" si="15"/>
        <v/>
      </c>
      <c r="B1142" s="128"/>
      <c r="C1142" s="129"/>
      <c r="D1142" s="129"/>
      <c r="E1142" s="325"/>
      <c r="F1142" s="131"/>
      <c r="G1142" s="319"/>
      <c r="H1142" s="319"/>
      <c r="I1142" s="319"/>
      <c r="J1142" s="132"/>
      <c r="K1142" s="319"/>
      <c r="L1142" s="135"/>
      <c r="M1142" s="321"/>
      <c r="N1142" s="322"/>
      <c r="O1142" s="150"/>
      <c r="P1142" s="135"/>
      <c r="Q1142" s="135"/>
      <c r="R1142" s="321"/>
      <c r="S1142" s="322"/>
      <c r="T1142" s="319"/>
      <c r="U1142" s="322"/>
      <c r="V1142" s="322"/>
      <c r="W1142" s="322"/>
      <c r="X1142" s="322"/>
      <c r="Y1142" s="319"/>
      <c r="Z1142" s="136" t="str">
        <f t="shared" si="16"/>
        <v/>
      </c>
      <c r="AA1142" s="137" t="str">
        <f t="shared" si="17"/>
        <v/>
      </c>
      <c r="AB1142" s="138" t="str">
        <f t="shared" si="19"/>
        <v/>
      </c>
      <c r="AC1142" s="322"/>
      <c r="AD1142" s="319"/>
      <c r="AE1142" s="320"/>
    </row>
    <row r="1143" ht="18.0" customHeight="1">
      <c r="A1143" s="118" t="str">
        <f t="shared" si="15"/>
        <v/>
      </c>
      <c r="B1143" s="109"/>
      <c r="C1143" s="119"/>
      <c r="D1143" s="119"/>
      <c r="E1143" s="330"/>
      <c r="F1143" s="121"/>
      <c r="G1143" s="153"/>
      <c r="H1143" s="153"/>
      <c r="I1143" s="153"/>
      <c r="J1143" s="112"/>
      <c r="K1143" s="153"/>
      <c r="L1143" s="114"/>
      <c r="M1143" s="151"/>
      <c r="N1143" s="152"/>
      <c r="O1143" s="150"/>
      <c r="P1143" s="114"/>
      <c r="Q1143" s="114"/>
      <c r="R1143" s="151"/>
      <c r="S1143" s="152"/>
      <c r="T1143" s="153"/>
      <c r="U1143" s="152"/>
      <c r="V1143" s="152"/>
      <c r="W1143" s="152"/>
      <c r="X1143" s="152"/>
      <c r="Y1143" s="153"/>
      <c r="Z1143" s="125" t="str">
        <f t="shared" si="16"/>
        <v/>
      </c>
      <c r="AA1143" s="126" t="str">
        <f t="shared" si="17"/>
        <v/>
      </c>
      <c r="AB1143" s="117" t="str">
        <f t="shared" si="19"/>
        <v/>
      </c>
      <c r="AC1143" s="152"/>
      <c r="AD1143" s="153"/>
      <c r="AE1143" s="156"/>
    </row>
    <row r="1144" ht="18.0" customHeight="1">
      <c r="A1144" s="127" t="str">
        <f t="shared" si="15"/>
        <v/>
      </c>
      <c r="B1144" s="128"/>
      <c r="C1144" s="129"/>
      <c r="D1144" s="129"/>
      <c r="E1144" s="325"/>
      <c r="F1144" s="131"/>
      <c r="G1144" s="319"/>
      <c r="H1144" s="319"/>
      <c r="I1144" s="319"/>
      <c r="J1144" s="132"/>
      <c r="K1144" s="319"/>
      <c r="L1144" s="135"/>
      <c r="M1144" s="321"/>
      <c r="N1144" s="322"/>
      <c r="O1144" s="150"/>
      <c r="P1144" s="135"/>
      <c r="Q1144" s="135"/>
      <c r="R1144" s="321"/>
      <c r="S1144" s="322"/>
      <c r="T1144" s="319"/>
      <c r="U1144" s="322"/>
      <c r="V1144" s="322"/>
      <c r="W1144" s="322"/>
      <c r="X1144" s="322"/>
      <c r="Y1144" s="319"/>
      <c r="Z1144" s="136" t="str">
        <f t="shared" si="16"/>
        <v/>
      </c>
      <c r="AA1144" s="137" t="str">
        <f t="shared" si="17"/>
        <v/>
      </c>
      <c r="AB1144" s="138" t="str">
        <f t="shared" si="19"/>
        <v/>
      </c>
      <c r="AC1144" s="322"/>
      <c r="AD1144" s="319"/>
      <c r="AE1144" s="320"/>
    </row>
    <row r="1145" ht="18.0" customHeight="1">
      <c r="A1145" s="118" t="str">
        <f t="shared" si="15"/>
        <v/>
      </c>
      <c r="B1145" s="109"/>
      <c r="C1145" s="119"/>
      <c r="D1145" s="119"/>
      <c r="E1145" s="330"/>
      <c r="F1145" s="121"/>
      <c r="G1145" s="153"/>
      <c r="H1145" s="153"/>
      <c r="I1145" s="153"/>
      <c r="J1145" s="112"/>
      <c r="K1145" s="153"/>
      <c r="L1145" s="114"/>
      <c r="M1145" s="151"/>
      <c r="N1145" s="152"/>
      <c r="O1145" s="150"/>
      <c r="P1145" s="114"/>
      <c r="Q1145" s="114"/>
      <c r="R1145" s="151"/>
      <c r="S1145" s="152"/>
      <c r="T1145" s="153"/>
      <c r="U1145" s="152"/>
      <c r="V1145" s="152"/>
      <c r="W1145" s="152"/>
      <c r="X1145" s="152"/>
      <c r="Y1145" s="153"/>
      <c r="Z1145" s="125" t="str">
        <f t="shared" si="16"/>
        <v/>
      </c>
      <c r="AA1145" s="126" t="str">
        <f t="shared" si="17"/>
        <v/>
      </c>
      <c r="AB1145" s="117" t="str">
        <f t="shared" si="19"/>
        <v/>
      </c>
      <c r="AC1145" s="152"/>
      <c r="AD1145" s="153"/>
      <c r="AE1145" s="156"/>
    </row>
    <row r="1146" ht="18.0" customHeight="1">
      <c r="A1146" s="127" t="str">
        <f t="shared" si="15"/>
        <v/>
      </c>
      <c r="B1146" s="128"/>
      <c r="C1146" s="129"/>
      <c r="D1146" s="129"/>
      <c r="E1146" s="325"/>
      <c r="F1146" s="131"/>
      <c r="G1146" s="319"/>
      <c r="H1146" s="319"/>
      <c r="I1146" s="319"/>
      <c r="J1146" s="132"/>
      <c r="K1146" s="319"/>
      <c r="L1146" s="135"/>
      <c r="M1146" s="321"/>
      <c r="N1146" s="322"/>
      <c r="O1146" s="150"/>
      <c r="P1146" s="135"/>
      <c r="Q1146" s="135"/>
      <c r="R1146" s="321"/>
      <c r="S1146" s="322"/>
      <c r="T1146" s="319"/>
      <c r="U1146" s="322"/>
      <c r="V1146" s="322"/>
      <c r="W1146" s="322"/>
      <c r="X1146" s="322"/>
      <c r="Y1146" s="319"/>
      <c r="Z1146" s="136" t="str">
        <f t="shared" si="16"/>
        <v/>
      </c>
      <c r="AA1146" s="137" t="str">
        <f t="shared" si="17"/>
        <v/>
      </c>
      <c r="AB1146" s="138" t="str">
        <f t="shared" si="19"/>
        <v/>
      </c>
      <c r="AC1146" s="322"/>
      <c r="AD1146" s="319"/>
      <c r="AE1146" s="320"/>
    </row>
    <row r="1147" ht="18.0" customHeight="1">
      <c r="A1147" s="118" t="str">
        <f t="shared" si="15"/>
        <v/>
      </c>
      <c r="B1147" s="109"/>
      <c r="C1147" s="119"/>
      <c r="D1147" s="119"/>
      <c r="E1147" s="330"/>
      <c r="F1147" s="121"/>
      <c r="G1147" s="153"/>
      <c r="H1147" s="153"/>
      <c r="I1147" s="153"/>
      <c r="J1147" s="112"/>
      <c r="K1147" s="153"/>
      <c r="L1147" s="114"/>
      <c r="M1147" s="151"/>
      <c r="N1147" s="152"/>
      <c r="O1147" s="150"/>
      <c r="P1147" s="114"/>
      <c r="Q1147" s="114"/>
      <c r="R1147" s="151"/>
      <c r="S1147" s="152"/>
      <c r="T1147" s="153"/>
      <c r="U1147" s="152"/>
      <c r="V1147" s="152"/>
      <c r="W1147" s="152"/>
      <c r="X1147" s="152"/>
      <c r="Y1147" s="153"/>
      <c r="Z1147" s="125" t="str">
        <f t="shared" si="16"/>
        <v/>
      </c>
      <c r="AA1147" s="126" t="str">
        <f t="shared" si="17"/>
        <v/>
      </c>
      <c r="AB1147" s="117" t="str">
        <f t="shared" si="19"/>
        <v/>
      </c>
      <c r="AC1147" s="152"/>
      <c r="AD1147" s="153"/>
      <c r="AE1147" s="156"/>
    </row>
    <row r="1148" ht="18.0" customHeight="1">
      <c r="A1148" s="127" t="str">
        <f t="shared" si="15"/>
        <v/>
      </c>
      <c r="B1148" s="128"/>
      <c r="C1148" s="129"/>
      <c r="D1148" s="129"/>
      <c r="E1148" s="325"/>
      <c r="F1148" s="131"/>
      <c r="G1148" s="319"/>
      <c r="H1148" s="319"/>
      <c r="I1148" s="319"/>
      <c r="J1148" s="132"/>
      <c r="K1148" s="319"/>
      <c r="L1148" s="135"/>
      <c r="M1148" s="321"/>
      <c r="N1148" s="322"/>
      <c r="O1148" s="150"/>
      <c r="P1148" s="135"/>
      <c r="Q1148" s="135"/>
      <c r="R1148" s="321"/>
      <c r="S1148" s="322"/>
      <c r="T1148" s="319"/>
      <c r="U1148" s="322"/>
      <c r="V1148" s="322"/>
      <c r="W1148" s="322"/>
      <c r="X1148" s="322"/>
      <c r="Y1148" s="319"/>
      <c r="Z1148" s="136" t="str">
        <f t="shared" si="16"/>
        <v/>
      </c>
      <c r="AA1148" s="137" t="str">
        <f t="shared" si="17"/>
        <v/>
      </c>
      <c r="AB1148" s="138" t="str">
        <f t="shared" si="19"/>
        <v/>
      </c>
      <c r="AC1148" s="322"/>
      <c r="AD1148" s="319"/>
      <c r="AE1148" s="320"/>
    </row>
    <row r="1149" ht="18.0" customHeight="1">
      <c r="A1149" s="118" t="str">
        <f t="shared" si="15"/>
        <v/>
      </c>
      <c r="B1149" s="109"/>
      <c r="C1149" s="119"/>
      <c r="D1149" s="119"/>
      <c r="E1149" s="330"/>
      <c r="F1149" s="121"/>
      <c r="G1149" s="153"/>
      <c r="H1149" s="153"/>
      <c r="I1149" s="153"/>
      <c r="J1149" s="112"/>
      <c r="K1149" s="153"/>
      <c r="L1149" s="114"/>
      <c r="M1149" s="151"/>
      <c r="N1149" s="152"/>
      <c r="O1149" s="150"/>
      <c r="P1149" s="114"/>
      <c r="Q1149" s="114"/>
      <c r="R1149" s="151"/>
      <c r="S1149" s="152"/>
      <c r="T1149" s="153"/>
      <c r="U1149" s="152"/>
      <c r="V1149" s="152"/>
      <c r="W1149" s="152"/>
      <c r="X1149" s="152"/>
      <c r="Y1149" s="153"/>
      <c r="Z1149" s="125" t="str">
        <f t="shared" si="16"/>
        <v/>
      </c>
      <c r="AA1149" s="126" t="str">
        <f t="shared" si="17"/>
        <v/>
      </c>
      <c r="AB1149" s="117" t="str">
        <f t="shared" si="19"/>
        <v/>
      </c>
      <c r="AC1149" s="152"/>
      <c r="AD1149" s="153"/>
      <c r="AE1149" s="156"/>
    </row>
    <row r="1150" ht="18.0" customHeight="1">
      <c r="A1150" s="127" t="str">
        <f t="shared" si="15"/>
        <v/>
      </c>
      <c r="B1150" s="128"/>
      <c r="C1150" s="129"/>
      <c r="D1150" s="129"/>
      <c r="E1150" s="325"/>
      <c r="F1150" s="131"/>
      <c r="G1150" s="319"/>
      <c r="H1150" s="319"/>
      <c r="I1150" s="319"/>
      <c r="J1150" s="132"/>
      <c r="K1150" s="319"/>
      <c r="L1150" s="135"/>
      <c r="M1150" s="321"/>
      <c r="N1150" s="322"/>
      <c r="O1150" s="150"/>
      <c r="P1150" s="135"/>
      <c r="Q1150" s="135"/>
      <c r="R1150" s="321"/>
      <c r="S1150" s="322"/>
      <c r="T1150" s="319"/>
      <c r="U1150" s="322"/>
      <c r="V1150" s="322"/>
      <c r="W1150" s="322"/>
      <c r="X1150" s="322"/>
      <c r="Y1150" s="319"/>
      <c r="Z1150" s="136" t="str">
        <f t="shared" si="16"/>
        <v/>
      </c>
      <c r="AA1150" s="137" t="str">
        <f t="shared" si="17"/>
        <v/>
      </c>
      <c r="AB1150" s="138" t="str">
        <f t="shared" si="19"/>
        <v/>
      </c>
      <c r="AC1150" s="322"/>
      <c r="AD1150" s="319"/>
      <c r="AE1150" s="320"/>
    </row>
    <row r="1151" ht="18.0" customHeight="1">
      <c r="A1151" s="118" t="str">
        <f t="shared" si="15"/>
        <v/>
      </c>
      <c r="B1151" s="109"/>
      <c r="C1151" s="119"/>
      <c r="D1151" s="119"/>
      <c r="E1151" s="330"/>
      <c r="F1151" s="121"/>
      <c r="G1151" s="153"/>
      <c r="H1151" s="153"/>
      <c r="I1151" s="153"/>
      <c r="J1151" s="112"/>
      <c r="K1151" s="153"/>
      <c r="L1151" s="114"/>
      <c r="M1151" s="151"/>
      <c r="N1151" s="152"/>
      <c r="O1151" s="150"/>
      <c r="P1151" s="114"/>
      <c r="Q1151" s="114"/>
      <c r="R1151" s="151"/>
      <c r="S1151" s="152"/>
      <c r="T1151" s="153"/>
      <c r="U1151" s="152"/>
      <c r="V1151" s="152"/>
      <c r="W1151" s="152"/>
      <c r="X1151" s="152"/>
      <c r="Y1151" s="153"/>
      <c r="Z1151" s="125" t="str">
        <f t="shared" si="16"/>
        <v/>
      </c>
      <c r="AA1151" s="126" t="str">
        <f t="shared" si="17"/>
        <v/>
      </c>
      <c r="AB1151" s="117" t="str">
        <f t="shared" si="19"/>
        <v/>
      </c>
      <c r="AC1151" s="152"/>
      <c r="AD1151" s="153"/>
      <c r="AE1151" s="156"/>
    </row>
    <row r="1152" ht="18.0" customHeight="1">
      <c r="A1152" s="127" t="str">
        <f t="shared" si="15"/>
        <v/>
      </c>
      <c r="B1152" s="128"/>
      <c r="C1152" s="129"/>
      <c r="D1152" s="129"/>
      <c r="E1152" s="325"/>
      <c r="F1152" s="131"/>
      <c r="G1152" s="319"/>
      <c r="H1152" s="319"/>
      <c r="I1152" s="319"/>
      <c r="J1152" s="132"/>
      <c r="K1152" s="319"/>
      <c r="L1152" s="135"/>
      <c r="M1152" s="321"/>
      <c r="N1152" s="322"/>
      <c r="O1152" s="150"/>
      <c r="P1152" s="135"/>
      <c r="Q1152" s="135"/>
      <c r="R1152" s="321"/>
      <c r="S1152" s="322"/>
      <c r="T1152" s="319"/>
      <c r="U1152" s="322"/>
      <c r="V1152" s="322"/>
      <c r="W1152" s="322"/>
      <c r="X1152" s="322"/>
      <c r="Y1152" s="319"/>
      <c r="Z1152" s="136" t="str">
        <f t="shared" si="16"/>
        <v/>
      </c>
      <c r="AA1152" s="137" t="str">
        <f t="shared" si="17"/>
        <v/>
      </c>
      <c r="AB1152" s="138" t="str">
        <f t="shared" si="19"/>
        <v/>
      </c>
      <c r="AC1152" s="322"/>
      <c r="AD1152" s="319"/>
      <c r="AE1152" s="320"/>
    </row>
    <row r="1153" ht="18.0" customHeight="1">
      <c r="A1153" s="118" t="str">
        <f t="shared" si="15"/>
        <v/>
      </c>
      <c r="B1153" s="109"/>
      <c r="C1153" s="119"/>
      <c r="D1153" s="119"/>
      <c r="E1153" s="330"/>
      <c r="F1153" s="121"/>
      <c r="G1153" s="153"/>
      <c r="H1153" s="153"/>
      <c r="I1153" s="153"/>
      <c r="J1153" s="112"/>
      <c r="K1153" s="153"/>
      <c r="L1153" s="114"/>
      <c r="M1153" s="151"/>
      <c r="N1153" s="152"/>
      <c r="O1153" s="150"/>
      <c r="P1153" s="114"/>
      <c r="Q1153" s="114"/>
      <c r="R1153" s="151"/>
      <c r="S1153" s="152"/>
      <c r="T1153" s="153"/>
      <c r="U1153" s="152"/>
      <c r="V1153" s="152"/>
      <c r="W1153" s="152"/>
      <c r="X1153" s="152"/>
      <c r="Y1153" s="153"/>
      <c r="Z1153" s="125" t="str">
        <f t="shared" si="16"/>
        <v/>
      </c>
      <c r="AA1153" s="126" t="str">
        <f t="shared" si="17"/>
        <v/>
      </c>
      <c r="AB1153" s="117" t="str">
        <f t="shared" si="19"/>
        <v/>
      </c>
      <c r="AC1153" s="152"/>
      <c r="AD1153" s="153"/>
      <c r="AE1153" s="156"/>
    </row>
    <row r="1154" ht="18.0" customHeight="1">
      <c r="A1154" s="127" t="str">
        <f t="shared" si="15"/>
        <v/>
      </c>
      <c r="B1154" s="128"/>
      <c r="C1154" s="129"/>
      <c r="D1154" s="129"/>
      <c r="E1154" s="325"/>
      <c r="F1154" s="131"/>
      <c r="G1154" s="319"/>
      <c r="H1154" s="319"/>
      <c r="I1154" s="319"/>
      <c r="J1154" s="132"/>
      <c r="K1154" s="319"/>
      <c r="L1154" s="135"/>
      <c r="M1154" s="321"/>
      <c r="N1154" s="322"/>
      <c r="O1154" s="150"/>
      <c r="P1154" s="135"/>
      <c r="Q1154" s="135"/>
      <c r="R1154" s="321"/>
      <c r="S1154" s="322"/>
      <c r="T1154" s="319"/>
      <c r="U1154" s="322"/>
      <c r="V1154" s="322"/>
      <c r="W1154" s="322"/>
      <c r="X1154" s="322"/>
      <c r="Y1154" s="319"/>
      <c r="Z1154" s="136" t="str">
        <f t="shared" si="16"/>
        <v/>
      </c>
      <c r="AA1154" s="137" t="str">
        <f t="shared" si="17"/>
        <v/>
      </c>
      <c r="AB1154" s="138" t="str">
        <f t="shared" si="19"/>
        <v/>
      </c>
      <c r="AC1154" s="322"/>
      <c r="AD1154" s="319"/>
      <c r="AE1154" s="320"/>
    </row>
    <row r="1155" ht="18.0" customHeight="1">
      <c r="A1155" s="118" t="str">
        <f t="shared" si="15"/>
        <v/>
      </c>
      <c r="B1155" s="109"/>
      <c r="C1155" s="119"/>
      <c r="D1155" s="119"/>
      <c r="E1155" s="330"/>
      <c r="F1155" s="121"/>
      <c r="G1155" s="153"/>
      <c r="H1155" s="153"/>
      <c r="I1155" s="153"/>
      <c r="J1155" s="112"/>
      <c r="K1155" s="153"/>
      <c r="L1155" s="114"/>
      <c r="M1155" s="151"/>
      <c r="N1155" s="152"/>
      <c r="O1155" s="150"/>
      <c r="P1155" s="114"/>
      <c r="Q1155" s="114"/>
      <c r="R1155" s="151"/>
      <c r="S1155" s="152"/>
      <c r="T1155" s="153"/>
      <c r="U1155" s="152"/>
      <c r="V1155" s="152"/>
      <c r="W1155" s="152"/>
      <c r="X1155" s="152"/>
      <c r="Y1155" s="153"/>
      <c r="Z1155" s="125" t="str">
        <f t="shared" si="16"/>
        <v/>
      </c>
      <c r="AA1155" s="126" t="str">
        <f t="shared" si="17"/>
        <v/>
      </c>
      <c r="AB1155" s="117" t="str">
        <f t="shared" si="19"/>
        <v/>
      </c>
      <c r="AC1155" s="152"/>
      <c r="AD1155" s="153"/>
      <c r="AE1155" s="156"/>
    </row>
    <row r="1156" ht="18.0" customHeight="1">
      <c r="A1156" s="127" t="str">
        <f t="shared" si="15"/>
        <v/>
      </c>
      <c r="B1156" s="128"/>
      <c r="C1156" s="129"/>
      <c r="D1156" s="129"/>
      <c r="E1156" s="325"/>
      <c r="F1156" s="131"/>
      <c r="G1156" s="319"/>
      <c r="H1156" s="319"/>
      <c r="I1156" s="319"/>
      <c r="J1156" s="132"/>
      <c r="K1156" s="319"/>
      <c r="L1156" s="135"/>
      <c r="M1156" s="321"/>
      <c r="N1156" s="322"/>
      <c r="O1156" s="150"/>
      <c r="P1156" s="135"/>
      <c r="Q1156" s="135"/>
      <c r="R1156" s="321"/>
      <c r="S1156" s="322"/>
      <c r="T1156" s="319"/>
      <c r="U1156" s="322"/>
      <c r="V1156" s="322"/>
      <c r="W1156" s="322"/>
      <c r="X1156" s="322"/>
      <c r="Y1156" s="319"/>
      <c r="Z1156" s="136" t="str">
        <f t="shared" si="16"/>
        <v/>
      </c>
      <c r="AA1156" s="137" t="str">
        <f t="shared" si="17"/>
        <v/>
      </c>
      <c r="AB1156" s="138" t="str">
        <f t="shared" si="19"/>
        <v/>
      </c>
      <c r="AC1156" s="322"/>
      <c r="AD1156" s="319"/>
      <c r="AE1156" s="320"/>
    </row>
    <row r="1157" ht="18.0" customHeight="1">
      <c r="A1157" s="118" t="str">
        <f t="shared" si="15"/>
        <v/>
      </c>
      <c r="B1157" s="109"/>
      <c r="C1157" s="119"/>
      <c r="D1157" s="119"/>
      <c r="E1157" s="330"/>
      <c r="F1157" s="121"/>
      <c r="G1157" s="153"/>
      <c r="H1157" s="153"/>
      <c r="I1157" s="153"/>
      <c r="J1157" s="112"/>
      <c r="K1157" s="153"/>
      <c r="L1157" s="114"/>
      <c r="M1157" s="151"/>
      <c r="N1157" s="152"/>
      <c r="O1157" s="150"/>
      <c r="P1157" s="114"/>
      <c r="Q1157" s="114"/>
      <c r="R1157" s="151"/>
      <c r="S1157" s="152"/>
      <c r="T1157" s="153"/>
      <c r="U1157" s="152"/>
      <c r="V1157" s="152"/>
      <c r="W1157" s="152"/>
      <c r="X1157" s="152"/>
      <c r="Y1157" s="153"/>
      <c r="Z1157" s="125" t="str">
        <f t="shared" si="16"/>
        <v/>
      </c>
      <c r="AA1157" s="126" t="str">
        <f t="shared" si="17"/>
        <v/>
      </c>
      <c r="AB1157" s="117" t="str">
        <f t="shared" si="19"/>
        <v/>
      </c>
      <c r="AC1157" s="152"/>
      <c r="AD1157" s="153"/>
      <c r="AE1157" s="156"/>
    </row>
    <row r="1158" ht="18.0" customHeight="1">
      <c r="A1158" s="127" t="str">
        <f t="shared" si="15"/>
        <v/>
      </c>
      <c r="B1158" s="128"/>
      <c r="C1158" s="129"/>
      <c r="D1158" s="129"/>
      <c r="E1158" s="325"/>
      <c r="F1158" s="131"/>
      <c r="G1158" s="319"/>
      <c r="H1158" s="319"/>
      <c r="I1158" s="319"/>
      <c r="J1158" s="132"/>
      <c r="K1158" s="319"/>
      <c r="L1158" s="135"/>
      <c r="M1158" s="321"/>
      <c r="N1158" s="322"/>
      <c r="O1158" s="150"/>
      <c r="P1158" s="135"/>
      <c r="Q1158" s="135"/>
      <c r="R1158" s="321"/>
      <c r="S1158" s="322"/>
      <c r="T1158" s="319"/>
      <c r="U1158" s="322"/>
      <c r="V1158" s="322"/>
      <c r="W1158" s="322"/>
      <c r="X1158" s="322"/>
      <c r="Y1158" s="319"/>
      <c r="Z1158" s="136" t="str">
        <f t="shared" si="16"/>
        <v/>
      </c>
      <c r="AA1158" s="137" t="str">
        <f t="shared" si="17"/>
        <v/>
      </c>
      <c r="AB1158" s="138" t="str">
        <f t="shared" si="19"/>
        <v/>
      </c>
      <c r="AC1158" s="322"/>
      <c r="AD1158" s="319"/>
      <c r="AE1158" s="320"/>
    </row>
    <row r="1159" ht="18.0" customHeight="1">
      <c r="A1159" s="118" t="str">
        <f t="shared" si="15"/>
        <v/>
      </c>
      <c r="B1159" s="109"/>
      <c r="C1159" s="119"/>
      <c r="D1159" s="119"/>
      <c r="E1159" s="330"/>
      <c r="F1159" s="121"/>
      <c r="G1159" s="153"/>
      <c r="H1159" s="153"/>
      <c r="I1159" s="153"/>
      <c r="J1159" s="112"/>
      <c r="K1159" s="153"/>
      <c r="L1159" s="114"/>
      <c r="M1159" s="151"/>
      <c r="N1159" s="152"/>
      <c r="O1159" s="150"/>
      <c r="P1159" s="114"/>
      <c r="Q1159" s="114"/>
      <c r="R1159" s="151"/>
      <c r="S1159" s="152"/>
      <c r="T1159" s="153"/>
      <c r="U1159" s="152"/>
      <c r="V1159" s="152"/>
      <c r="W1159" s="152"/>
      <c r="X1159" s="152"/>
      <c r="Y1159" s="153"/>
      <c r="Z1159" s="125" t="str">
        <f t="shared" si="16"/>
        <v/>
      </c>
      <c r="AA1159" s="126" t="str">
        <f t="shared" si="17"/>
        <v/>
      </c>
      <c r="AB1159" s="117" t="str">
        <f t="shared" si="19"/>
        <v/>
      </c>
      <c r="AC1159" s="152"/>
      <c r="AD1159" s="153"/>
      <c r="AE1159" s="156"/>
    </row>
    <row r="1160" ht="18.0" customHeight="1">
      <c r="A1160" s="127" t="str">
        <f t="shared" si="15"/>
        <v/>
      </c>
      <c r="B1160" s="128"/>
      <c r="C1160" s="129"/>
      <c r="D1160" s="129"/>
      <c r="E1160" s="325"/>
      <c r="F1160" s="131"/>
      <c r="G1160" s="319"/>
      <c r="H1160" s="319"/>
      <c r="I1160" s="319"/>
      <c r="J1160" s="132"/>
      <c r="K1160" s="319"/>
      <c r="L1160" s="135"/>
      <c r="M1160" s="321"/>
      <c r="N1160" s="322"/>
      <c r="O1160" s="150"/>
      <c r="P1160" s="135"/>
      <c r="Q1160" s="135"/>
      <c r="R1160" s="321"/>
      <c r="S1160" s="322"/>
      <c r="T1160" s="319"/>
      <c r="U1160" s="322"/>
      <c r="V1160" s="322"/>
      <c r="W1160" s="322"/>
      <c r="X1160" s="322"/>
      <c r="Y1160" s="319"/>
      <c r="Z1160" s="136" t="str">
        <f t="shared" si="16"/>
        <v/>
      </c>
      <c r="AA1160" s="137" t="str">
        <f t="shared" si="17"/>
        <v/>
      </c>
      <c r="AB1160" s="138" t="str">
        <f t="shared" si="19"/>
        <v/>
      </c>
      <c r="AC1160" s="322"/>
      <c r="AD1160" s="319"/>
      <c r="AE1160" s="320"/>
    </row>
    <row r="1161" ht="18.0" customHeight="1">
      <c r="A1161" s="118" t="str">
        <f t="shared" si="15"/>
        <v/>
      </c>
      <c r="B1161" s="109"/>
      <c r="C1161" s="119"/>
      <c r="D1161" s="119"/>
      <c r="E1161" s="330"/>
      <c r="F1161" s="121"/>
      <c r="G1161" s="153"/>
      <c r="H1161" s="153"/>
      <c r="I1161" s="153"/>
      <c r="J1161" s="112"/>
      <c r="K1161" s="153"/>
      <c r="L1161" s="114"/>
      <c r="M1161" s="151"/>
      <c r="N1161" s="152"/>
      <c r="O1161" s="150"/>
      <c r="P1161" s="114"/>
      <c r="Q1161" s="114"/>
      <c r="R1161" s="151"/>
      <c r="S1161" s="152"/>
      <c r="T1161" s="153"/>
      <c r="U1161" s="152"/>
      <c r="V1161" s="152"/>
      <c r="W1161" s="152"/>
      <c r="X1161" s="152"/>
      <c r="Y1161" s="153"/>
      <c r="Z1161" s="125" t="str">
        <f t="shared" si="16"/>
        <v/>
      </c>
      <c r="AA1161" s="126" t="str">
        <f t="shared" si="17"/>
        <v/>
      </c>
      <c r="AB1161" s="117" t="str">
        <f t="shared" si="19"/>
        <v/>
      </c>
      <c r="AC1161" s="152"/>
      <c r="AD1161" s="153"/>
      <c r="AE1161" s="156"/>
    </row>
    <row r="1162" ht="18.0" customHeight="1">
      <c r="A1162" s="127" t="str">
        <f t="shared" si="15"/>
        <v/>
      </c>
      <c r="B1162" s="128"/>
      <c r="C1162" s="129"/>
      <c r="D1162" s="129"/>
      <c r="E1162" s="325"/>
      <c r="F1162" s="131"/>
      <c r="G1162" s="319"/>
      <c r="H1162" s="319"/>
      <c r="I1162" s="319"/>
      <c r="J1162" s="132"/>
      <c r="K1162" s="319"/>
      <c r="L1162" s="135"/>
      <c r="M1162" s="321"/>
      <c r="N1162" s="322"/>
      <c r="O1162" s="150"/>
      <c r="P1162" s="135"/>
      <c r="Q1162" s="135"/>
      <c r="R1162" s="321"/>
      <c r="S1162" s="322"/>
      <c r="T1162" s="319"/>
      <c r="U1162" s="322"/>
      <c r="V1162" s="322"/>
      <c r="W1162" s="322"/>
      <c r="X1162" s="322"/>
      <c r="Y1162" s="319"/>
      <c r="Z1162" s="136" t="str">
        <f t="shared" si="16"/>
        <v/>
      </c>
      <c r="AA1162" s="137" t="str">
        <f t="shared" si="17"/>
        <v/>
      </c>
      <c r="AB1162" s="138" t="str">
        <f t="shared" si="19"/>
        <v/>
      </c>
      <c r="AC1162" s="322"/>
      <c r="AD1162" s="319"/>
      <c r="AE1162" s="320"/>
    </row>
    <row r="1163" ht="18.0" customHeight="1">
      <c r="A1163" s="118" t="str">
        <f t="shared" si="15"/>
        <v/>
      </c>
      <c r="B1163" s="109"/>
      <c r="C1163" s="119"/>
      <c r="D1163" s="119"/>
      <c r="E1163" s="330"/>
      <c r="F1163" s="121"/>
      <c r="G1163" s="153"/>
      <c r="H1163" s="153"/>
      <c r="I1163" s="153"/>
      <c r="J1163" s="112"/>
      <c r="K1163" s="153"/>
      <c r="L1163" s="114"/>
      <c r="M1163" s="151"/>
      <c r="N1163" s="152"/>
      <c r="O1163" s="150"/>
      <c r="P1163" s="114"/>
      <c r="Q1163" s="114"/>
      <c r="R1163" s="151"/>
      <c r="S1163" s="152"/>
      <c r="T1163" s="153"/>
      <c r="U1163" s="152"/>
      <c r="V1163" s="152"/>
      <c r="W1163" s="152"/>
      <c r="X1163" s="152"/>
      <c r="Y1163" s="153"/>
      <c r="Z1163" s="125" t="str">
        <f t="shared" si="16"/>
        <v/>
      </c>
      <c r="AA1163" s="126" t="str">
        <f t="shared" si="17"/>
        <v/>
      </c>
      <c r="AB1163" s="117" t="str">
        <f t="shared" si="19"/>
        <v/>
      </c>
      <c r="AC1163" s="152"/>
      <c r="AD1163" s="153"/>
      <c r="AE1163" s="156"/>
    </row>
    <row r="1164" ht="18.0" customHeight="1">
      <c r="A1164" s="127" t="str">
        <f t="shared" si="15"/>
        <v/>
      </c>
      <c r="B1164" s="128"/>
      <c r="C1164" s="129"/>
      <c r="D1164" s="129"/>
      <c r="E1164" s="325"/>
      <c r="F1164" s="131"/>
      <c r="G1164" s="319"/>
      <c r="H1164" s="319"/>
      <c r="I1164" s="319"/>
      <c r="J1164" s="132"/>
      <c r="K1164" s="319"/>
      <c r="L1164" s="135"/>
      <c r="M1164" s="321"/>
      <c r="N1164" s="322"/>
      <c r="O1164" s="150"/>
      <c r="P1164" s="135"/>
      <c r="Q1164" s="135"/>
      <c r="R1164" s="321"/>
      <c r="S1164" s="322"/>
      <c r="T1164" s="319"/>
      <c r="U1164" s="322"/>
      <c r="V1164" s="322"/>
      <c r="W1164" s="322"/>
      <c r="X1164" s="322"/>
      <c r="Y1164" s="319"/>
      <c r="Z1164" s="136" t="str">
        <f t="shared" si="16"/>
        <v/>
      </c>
      <c r="AA1164" s="137" t="str">
        <f t="shared" si="17"/>
        <v/>
      </c>
      <c r="AB1164" s="138" t="str">
        <f t="shared" si="19"/>
        <v/>
      </c>
      <c r="AC1164" s="322"/>
      <c r="AD1164" s="319"/>
      <c r="AE1164" s="320"/>
    </row>
    <row r="1165" ht="18.0" customHeight="1">
      <c r="A1165" s="118" t="str">
        <f t="shared" si="15"/>
        <v/>
      </c>
      <c r="B1165" s="109"/>
      <c r="C1165" s="119"/>
      <c r="D1165" s="119"/>
      <c r="E1165" s="330"/>
      <c r="F1165" s="121"/>
      <c r="G1165" s="153"/>
      <c r="H1165" s="153"/>
      <c r="I1165" s="153"/>
      <c r="J1165" s="112"/>
      <c r="K1165" s="153"/>
      <c r="L1165" s="114"/>
      <c r="M1165" s="151"/>
      <c r="N1165" s="152"/>
      <c r="O1165" s="150"/>
      <c r="P1165" s="114"/>
      <c r="Q1165" s="114"/>
      <c r="R1165" s="151"/>
      <c r="S1165" s="152"/>
      <c r="T1165" s="153"/>
      <c r="U1165" s="152"/>
      <c r="V1165" s="152"/>
      <c r="W1165" s="152"/>
      <c r="X1165" s="152"/>
      <c r="Y1165" s="153"/>
      <c r="Z1165" s="125" t="str">
        <f t="shared" si="16"/>
        <v/>
      </c>
      <c r="AA1165" s="126" t="str">
        <f t="shared" si="17"/>
        <v/>
      </c>
      <c r="AB1165" s="117" t="str">
        <f t="shared" si="19"/>
        <v/>
      </c>
      <c r="AC1165" s="152"/>
      <c r="AD1165" s="153"/>
      <c r="AE1165" s="156"/>
    </row>
    <row r="1166" ht="18.0" customHeight="1">
      <c r="A1166" s="127" t="str">
        <f t="shared" si="15"/>
        <v/>
      </c>
      <c r="B1166" s="128"/>
      <c r="C1166" s="129"/>
      <c r="D1166" s="129"/>
      <c r="E1166" s="325"/>
      <c r="F1166" s="131"/>
      <c r="G1166" s="319"/>
      <c r="H1166" s="319"/>
      <c r="I1166" s="319"/>
      <c r="J1166" s="132"/>
      <c r="K1166" s="319"/>
      <c r="L1166" s="135"/>
      <c r="M1166" s="321"/>
      <c r="N1166" s="322"/>
      <c r="O1166" s="150"/>
      <c r="P1166" s="135"/>
      <c r="Q1166" s="135"/>
      <c r="R1166" s="321"/>
      <c r="S1166" s="322"/>
      <c r="T1166" s="319"/>
      <c r="U1166" s="322"/>
      <c r="V1166" s="322"/>
      <c r="W1166" s="322"/>
      <c r="X1166" s="322"/>
      <c r="Y1166" s="319"/>
      <c r="Z1166" s="136" t="str">
        <f t="shared" si="16"/>
        <v/>
      </c>
      <c r="AA1166" s="137" t="str">
        <f t="shared" si="17"/>
        <v/>
      </c>
      <c r="AB1166" s="138" t="str">
        <f t="shared" si="19"/>
        <v/>
      </c>
      <c r="AC1166" s="322"/>
      <c r="AD1166" s="319"/>
      <c r="AE1166" s="320"/>
    </row>
    <row r="1167" ht="18.0" customHeight="1">
      <c r="A1167" s="118" t="str">
        <f t="shared" si="15"/>
        <v/>
      </c>
      <c r="B1167" s="109"/>
      <c r="C1167" s="119"/>
      <c r="D1167" s="119"/>
      <c r="E1167" s="330"/>
      <c r="F1167" s="121"/>
      <c r="G1167" s="153"/>
      <c r="H1167" s="153"/>
      <c r="I1167" s="153"/>
      <c r="J1167" s="112"/>
      <c r="K1167" s="153"/>
      <c r="L1167" s="114"/>
      <c r="M1167" s="151"/>
      <c r="N1167" s="152"/>
      <c r="O1167" s="150"/>
      <c r="P1167" s="114"/>
      <c r="Q1167" s="114"/>
      <c r="R1167" s="151"/>
      <c r="S1167" s="152"/>
      <c r="T1167" s="153"/>
      <c r="U1167" s="152"/>
      <c r="V1167" s="152"/>
      <c r="W1167" s="152"/>
      <c r="X1167" s="152"/>
      <c r="Y1167" s="153"/>
      <c r="Z1167" s="125" t="str">
        <f t="shared" si="16"/>
        <v/>
      </c>
      <c r="AA1167" s="126" t="str">
        <f t="shared" si="17"/>
        <v/>
      </c>
      <c r="AB1167" s="117" t="str">
        <f t="shared" si="19"/>
        <v/>
      </c>
      <c r="AC1167" s="152"/>
      <c r="AD1167" s="153"/>
      <c r="AE1167" s="156"/>
    </row>
    <row r="1168" ht="18.0" customHeight="1">
      <c r="A1168" s="127" t="str">
        <f t="shared" si="15"/>
        <v/>
      </c>
      <c r="B1168" s="128"/>
      <c r="C1168" s="129"/>
      <c r="D1168" s="129"/>
      <c r="E1168" s="325"/>
      <c r="F1168" s="131"/>
      <c r="G1168" s="319"/>
      <c r="H1168" s="319"/>
      <c r="I1168" s="319"/>
      <c r="J1168" s="132"/>
      <c r="K1168" s="319"/>
      <c r="L1168" s="135"/>
      <c r="M1168" s="321"/>
      <c r="N1168" s="322"/>
      <c r="O1168" s="150"/>
      <c r="P1168" s="135"/>
      <c r="Q1168" s="135"/>
      <c r="R1168" s="321"/>
      <c r="S1168" s="322"/>
      <c r="T1168" s="319"/>
      <c r="U1168" s="322"/>
      <c r="V1168" s="322"/>
      <c r="W1168" s="322"/>
      <c r="X1168" s="322"/>
      <c r="Y1168" s="319"/>
      <c r="Z1168" s="136" t="str">
        <f t="shared" si="16"/>
        <v/>
      </c>
      <c r="AA1168" s="137" t="str">
        <f t="shared" si="17"/>
        <v/>
      </c>
      <c r="AB1168" s="138" t="str">
        <f t="shared" si="19"/>
        <v/>
      </c>
      <c r="AC1168" s="322"/>
      <c r="AD1168" s="319"/>
      <c r="AE1168" s="320"/>
    </row>
    <row r="1169" ht="18.0" customHeight="1">
      <c r="A1169" s="118" t="str">
        <f t="shared" si="15"/>
        <v/>
      </c>
      <c r="B1169" s="109"/>
      <c r="C1169" s="119"/>
      <c r="D1169" s="119"/>
      <c r="E1169" s="330"/>
      <c r="F1169" s="121"/>
      <c r="G1169" s="153"/>
      <c r="H1169" s="153"/>
      <c r="I1169" s="153"/>
      <c r="J1169" s="112"/>
      <c r="K1169" s="153"/>
      <c r="L1169" s="114"/>
      <c r="M1169" s="151"/>
      <c r="N1169" s="152"/>
      <c r="O1169" s="150"/>
      <c r="P1169" s="114"/>
      <c r="Q1169" s="114"/>
      <c r="R1169" s="151"/>
      <c r="S1169" s="152"/>
      <c r="T1169" s="153"/>
      <c r="U1169" s="152"/>
      <c r="V1169" s="152"/>
      <c r="W1169" s="152"/>
      <c r="X1169" s="152"/>
      <c r="Y1169" s="153"/>
      <c r="Z1169" s="125" t="str">
        <f t="shared" si="16"/>
        <v/>
      </c>
      <c r="AA1169" s="126" t="str">
        <f t="shared" si="17"/>
        <v/>
      </c>
      <c r="AB1169" s="117" t="str">
        <f t="shared" si="19"/>
        <v/>
      </c>
      <c r="AC1169" s="152"/>
      <c r="AD1169" s="153"/>
      <c r="AE1169" s="156"/>
    </row>
    <row r="1170" ht="18.0" customHeight="1">
      <c r="A1170" s="127" t="str">
        <f t="shared" si="15"/>
        <v/>
      </c>
      <c r="B1170" s="128"/>
      <c r="C1170" s="129"/>
      <c r="D1170" s="129"/>
      <c r="E1170" s="325"/>
      <c r="F1170" s="131"/>
      <c r="G1170" s="319"/>
      <c r="H1170" s="319"/>
      <c r="I1170" s="319"/>
      <c r="J1170" s="132"/>
      <c r="K1170" s="319"/>
      <c r="L1170" s="135"/>
      <c r="M1170" s="321"/>
      <c r="N1170" s="322"/>
      <c r="O1170" s="150"/>
      <c r="P1170" s="135"/>
      <c r="Q1170" s="135"/>
      <c r="R1170" s="321"/>
      <c r="S1170" s="322"/>
      <c r="T1170" s="319"/>
      <c r="U1170" s="322"/>
      <c r="V1170" s="322"/>
      <c r="W1170" s="322"/>
      <c r="X1170" s="322"/>
      <c r="Y1170" s="319"/>
      <c r="Z1170" s="136" t="str">
        <f t="shared" si="16"/>
        <v/>
      </c>
      <c r="AA1170" s="137" t="str">
        <f t="shared" si="17"/>
        <v/>
      </c>
      <c r="AB1170" s="138" t="str">
        <f t="shared" si="19"/>
        <v/>
      </c>
      <c r="AC1170" s="322"/>
      <c r="AD1170" s="319"/>
      <c r="AE1170" s="320"/>
    </row>
    <row r="1171" ht="18.0" customHeight="1">
      <c r="A1171" s="118" t="str">
        <f t="shared" si="15"/>
        <v/>
      </c>
      <c r="B1171" s="109"/>
      <c r="C1171" s="119"/>
      <c r="D1171" s="119"/>
      <c r="E1171" s="330"/>
      <c r="F1171" s="121"/>
      <c r="G1171" s="153"/>
      <c r="H1171" s="153"/>
      <c r="I1171" s="153"/>
      <c r="J1171" s="112"/>
      <c r="K1171" s="153"/>
      <c r="L1171" s="114"/>
      <c r="M1171" s="151"/>
      <c r="N1171" s="152"/>
      <c r="O1171" s="150"/>
      <c r="P1171" s="114"/>
      <c r="Q1171" s="114"/>
      <c r="R1171" s="151"/>
      <c r="S1171" s="152"/>
      <c r="T1171" s="153"/>
      <c r="U1171" s="152"/>
      <c r="V1171" s="152"/>
      <c r="W1171" s="152"/>
      <c r="X1171" s="152"/>
      <c r="Y1171" s="153"/>
      <c r="Z1171" s="125" t="str">
        <f t="shared" si="16"/>
        <v/>
      </c>
      <c r="AA1171" s="126" t="str">
        <f t="shared" si="17"/>
        <v/>
      </c>
      <c r="AB1171" s="117" t="str">
        <f t="shared" si="19"/>
        <v/>
      </c>
      <c r="AC1171" s="152"/>
      <c r="AD1171" s="153"/>
      <c r="AE1171" s="156"/>
    </row>
    <row r="1172" ht="18.0" customHeight="1">
      <c r="A1172" s="127" t="str">
        <f t="shared" si="15"/>
        <v/>
      </c>
      <c r="B1172" s="128"/>
      <c r="C1172" s="129"/>
      <c r="D1172" s="129"/>
      <c r="E1172" s="325"/>
      <c r="F1172" s="131"/>
      <c r="G1172" s="319"/>
      <c r="H1172" s="319"/>
      <c r="I1172" s="319"/>
      <c r="J1172" s="132"/>
      <c r="K1172" s="319"/>
      <c r="L1172" s="135"/>
      <c r="M1172" s="321"/>
      <c r="N1172" s="322"/>
      <c r="O1172" s="150"/>
      <c r="P1172" s="135"/>
      <c r="Q1172" s="135"/>
      <c r="R1172" s="321"/>
      <c r="S1172" s="322"/>
      <c r="T1172" s="319"/>
      <c r="U1172" s="322"/>
      <c r="V1172" s="322"/>
      <c r="W1172" s="322"/>
      <c r="X1172" s="322"/>
      <c r="Y1172" s="319"/>
      <c r="Z1172" s="136" t="str">
        <f t="shared" si="16"/>
        <v/>
      </c>
      <c r="AA1172" s="137" t="str">
        <f t="shared" si="17"/>
        <v/>
      </c>
      <c r="AB1172" s="138" t="str">
        <f t="shared" si="19"/>
        <v/>
      </c>
      <c r="AC1172" s="322"/>
      <c r="AD1172" s="319"/>
      <c r="AE1172" s="320"/>
    </row>
    <row r="1173" ht="18.0" customHeight="1">
      <c r="A1173" s="118" t="str">
        <f t="shared" si="15"/>
        <v/>
      </c>
      <c r="B1173" s="109"/>
      <c r="C1173" s="119"/>
      <c r="D1173" s="119"/>
      <c r="E1173" s="330"/>
      <c r="F1173" s="121"/>
      <c r="G1173" s="153"/>
      <c r="H1173" s="153"/>
      <c r="I1173" s="153"/>
      <c r="J1173" s="112"/>
      <c r="K1173" s="153"/>
      <c r="L1173" s="114"/>
      <c r="M1173" s="151"/>
      <c r="N1173" s="152"/>
      <c r="O1173" s="150"/>
      <c r="P1173" s="114"/>
      <c r="Q1173" s="114"/>
      <c r="R1173" s="151"/>
      <c r="S1173" s="152"/>
      <c r="T1173" s="153"/>
      <c r="U1173" s="152"/>
      <c r="V1173" s="152"/>
      <c r="W1173" s="152"/>
      <c r="X1173" s="152"/>
      <c r="Y1173" s="153"/>
      <c r="Z1173" s="125" t="str">
        <f t="shared" si="16"/>
        <v/>
      </c>
      <c r="AA1173" s="126" t="str">
        <f t="shared" si="17"/>
        <v/>
      </c>
      <c r="AB1173" s="117" t="str">
        <f t="shared" si="19"/>
        <v/>
      </c>
      <c r="AC1173" s="152"/>
      <c r="AD1173" s="153"/>
      <c r="AE1173" s="156"/>
    </row>
    <row r="1174" ht="18.0" customHeight="1">
      <c r="A1174" s="127" t="str">
        <f t="shared" si="15"/>
        <v/>
      </c>
      <c r="B1174" s="128"/>
      <c r="C1174" s="129"/>
      <c r="D1174" s="129"/>
      <c r="E1174" s="325"/>
      <c r="F1174" s="131"/>
      <c r="G1174" s="319"/>
      <c r="H1174" s="319"/>
      <c r="I1174" s="319"/>
      <c r="J1174" s="132"/>
      <c r="K1174" s="319"/>
      <c r="L1174" s="135"/>
      <c r="M1174" s="321"/>
      <c r="N1174" s="322"/>
      <c r="O1174" s="150"/>
      <c r="P1174" s="135"/>
      <c r="Q1174" s="135"/>
      <c r="R1174" s="321"/>
      <c r="S1174" s="322"/>
      <c r="T1174" s="319"/>
      <c r="U1174" s="322"/>
      <c r="V1174" s="322"/>
      <c r="W1174" s="322"/>
      <c r="X1174" s="322"/>
      <c r="Y1174" s="319"/>
      <c r="Z1174" s="136" t="str">
        <f t="shared" si="16"/>
        <v/>
      </c>
      <c r="AA1174" s="137" t="str">
        <f t="shared" si="17"/>
        <v/>
      </c>
      <c r="AB1174" s="138" t="str">
        <f t="shared" si="19"/>
        <v/>
      </c>
      <c r="AC1174" s="322"/>
      <c r="AD1174" s="319"/>
      <c r="AE1174" s="320"/>
    </row>
    <row r="1175" ht="18.0" customHeight="1">
      <c r="A1175" s="118" t="str">
        <f t="shared" si="15"/>
        <v/>
      </c>
      <c r="B1175" s="109"/>
      <c r="C1175" s="119"/>
      <c r="D1175" s="119"/>
      <c r="E1175" s="330"/>
      <c r="F1175" s="121"/>
      <c r="G1175" s="153"/>
      <c r="H1175" s="153"/>
      <c r="I1175" s="153"/>
      <c r="J1175" s="112"/>
      <c r="K1175" s="153"/>
      <c r="L1175" s="114"/>
      <c r="M1175" s="151"/>
      <c r="N1175" s="152"/>
      <c r="O1175" s="150"/>
      <c r="P1175" s="114"/>
      <c r="Q1175" s="114"/>
      <c r="R1175" s="151"/>
      <c r="S1175" s="152"/>
      <c r="T1175" s="153"/>
      <c r="U1175" s="152"/>
      <c r="V1175" s="152"/>
      <c r="W1175" s="152"/>
      <c r="X1175" s="152"/>
      <c r="Y1175" s="153"/>
      <c r="Z1175" s="125" t="str">
        <f t="shared" si="16"/>
        <v/>
      </c>
      <c r="AA1175" s="126" t="str">
        <f t="shared" si="17"/>
        <v/>
      </c>
      <c r="AB1175" s="117" t="str">
        <f t="shared" si="19"/>
        <v/>
      </c>
      <c r="AC1175" s="152"/>
      <c r="AD1175" s="153"/>
      <c r="AE1175" s="156"/>
    </row>
    <row r="1176" ht="18.0" customHeight="1">
      <c r="A1176" s="127" t="str">
        <f t="shared" si="15"/>
        <v/>
      </c>
      <c r="B1176" s="128"/>
      <c r="C1176" s="129"/>
      <c r="D1176" s="129"/>
      <c r="E1176" s="325"/>
      <c r="F1176" s="131"/>
      <c r="G1176" s="319"/>
      <c r="H1176" s="319"/>
      <c r="I1176" s="319"/>
      <c r="J1176" s="132"/>
      <c r="K1176" s="319"/>
      <c r="L1176" s="135"/>
      <c r="M1176" s="321"/>
      <c r="N1176" s="322"/>
      <c r="O1176" s="150"/>
      <c r="P1176" s="135"/>
      <c r="Q1176" s="135"/>
      <c r="R1176" s="321"/>
      <c r="S1176" s="322"/>
      <c r="T1176" s="319"/>
      <c r="U1176" s="322"/>
      <c r="V1176" s="322"/>
      <c r="W1176" s="322"/>
      <c r="X1176" s="322"/>
      <c r="Y1176" s="319"/>
      <c r="Z1176" s="136" t="str">
        <f t="shared" si="16"/>
        <v/>
      </c>
      <c r="AA1176" s="137" t="str">
        <f t="shared" si="17"/>
        <v/>
      </c>
      <c r="AB1176" s="138" t="str">
        <f t="shared" si="19"/>
        <v/>
      </c>
      <c r="AC1176" s="322"/>
      <c r="AD1176" s="319"/>
      <c r="AE1176" s="320"/>
    </row>
    <row r="1177" ht="18.0" customHeight="1">
      <c r="A1177" s="118" t="str">
        <f t="shared" si="15"/>
        <v/>
      </c>
      <c r="B1177" s="109"/>
      <c r="C1177" s="119"/>
      <c r="D1177" s="119"/>
      <c r="E1177" s="330"/>
      <c r="F1177" s="121"/>
      <c r="G1177" s="153"/>
      <c r="H1177" s="153"/>
      <c r="I1177" s="153"/>
      <c r="J1177" s="112"/>
      <c r="K1177" s="153"/>
      <c r="L1177" s="114"/>
      <c r="M1177" s="151"/>
      <c r="N1177" s="152"/>
      <c r="O1177" s="150"/>
      <c r="P1177" s="114"/>
      <c r="Q1177" s="114"/>
      <c r="R1177" s="151"/>
      <c r="S1177" s="152"/>
      <c r="T1177" s="153"/>
      <c r="U1177" s="152"/>
      <c r="V1177" s="152"/>
      <c r="W1177" s="152"/>
      <c r="X1177" s="152"/>
      <c r="Y1177" s="153"/>
      <c r="Z1177" s="125" t="str">
        <f t="shared" si="16"/>
        <v/>
      </c>
      <c r="AA1177" s="126" t="str">
        <f t="shared" si="17"/>
        <v/>
      </c>
      <c r="AB1177" s="117" t="str">
        <f t="shared" si="19"/>
        <v/>
      </c>
      <c r="AC1177" s="152"/>
      <c r="AD1177" s="153"/>
      <c r="AE1177" s="156"/>
    </row>
    <row r="1178" ht="18.0" customHeight="1">
      <c r="A1178" s="127" t="str">
        <f t="shared" si="15"/>
        <v/>
      </c>
      <c r="B1178" s="128"/>
      <c r="C1178" s="129"/>
      <c r="D1178" s="129"/>
      <c r="E1178" s="325"/>
      <c r="F1178" s="131"/>
      <c r="G1178" s="319"/>
      <c r="H1178" s="319"/>
      <c r="I1178" s="319"/>
      <c r="J1178" s="132"/>
      <c r="K1178" s="319"/>
      <c r="L1178" s="135"/>
      <c r="M1178" s="321"/>
      <c r="N1178" s="322"/>
      <c r="O1178" s="150"/>
      <c r="P1178" s="135"/>
      <c r="Q1178" s="135"/>
      <c r="R1178" s="321"/>
      <c r="S1178" s="322"/>
      <c r="T1178" s="319"/>
      <c r="U1178" s="322"/>
      <c r="V1178" s="322"/>
      <c r="W1178" s="322"/>
      <c r="X1178" s="322"/>
      <c r="Y1178" s="319"/>
      <c r="Z1178" s="136" t="str">
        <f t="shared" si="16"/>
        <v/>
      </c>
      <c r="AA1178" s="137" t="str">
        <f t="shared" si="17"/>
        <v/>
      </c>
      <c r="AB1178" s="138" t="str">
        <f t="shared" si="19"/>
        <v/>
      </c>
      <c r="AC1178" s="322"/>
      <c r="AD1178" s="319"/>
      <c r="AE1178" s="320"/>
    </row>
    <row r="1179" ht="18.0" customHeight="1">
      <c r="A1179" s="118" t="str">
        <f t="shared" si="15"/>
        <v/>
      </c>
      <c r="B1179" s="109"/>
      <c r="C1179" s="119"/>
      <c r="D1179" s="119"/>
      <c r="E1179" s="330"/>
      <c r="F1179" s="121"/>
      <c r="G1179" s="153"/>
      <c r="H1179" s="153"/>
      <c r="I1179" s="153"/>
      <c r="J1179" s="112"/>
      <c r="K1179" s="153"/>
      <c r="L1179" s="114"/>
      <c r="M1179" s="151"/>
      <c r="N1179" s="152"/>
      <c r="O1179" s="150"/>
      <c r="P1179" s="114"/>
      <c r="Q1179" s="114"/>
      <c r="R1179" s="151"/>
      <c r="S1179" s="152"/>
      <c r="T1179" s="153"/>
      <c r="U1179" s="152"/>
      <c r="V1179" s="152"/>
      <c r="W1179" s="152"/>
      <c r="X1179" s="152"/>
      <c r="Y1179" s="153"/>
      <c r="Z1179" s="125" t="str">
        <f t="shared" si="16"/>
        <v/>
      </c>
      <c r="AA1179" s="126" t="str">
        <f t="shared" si="17"/>
        <v/>
      </c>
      <c r="AB1179" s="117" t="str">
        <f t="shared" si="19"/>
        <v/>
      </c>
      <c r="AC1179" s="152"/>
      <c r="AD1179" s="153"/>
      <c r="AE1179" s="156"/>
    </row>
    <row r="1180" ht="18.0" customHeight="1">
      <c r="A1180" s="127" t="str">
        <f t="shared" si="15"/>
        <v/>
      </c>
      <c r="B1180" s="128"/>
      <c r="C1180" s="129"/>
      <c r="D1180" s="129"/>
      <c r="E1180" s="325"/>
      <c r="F1180" s="131"/>
      <c r="G1180" s="319"/>
      <c r="H1180" s="319"/>
      <c r="I1180" s="319"/>
      <c r="J1180" s="132"/>
      <c r="K1180" s="319"/>
      <c r="L1180" s="135"/>
      <c r="M1180" s="321"/>
      <c r="N1180" s="322"/>
      <c r="O1180" s="150"/>
      <c r="P1180" s="135"/>
      <c r="Q1180" s="135"/>
      <c r="R1180" s="321"/>
      <c r="S1180" s="322"/>
      <c r="T1180" s="319"/>
      <c r="U1180" s="322"/>
      <c r="V1180" s="322"/>
      <c r="W1180" s="322"/>
      <c r="X1180" s="322"/>
      <c r="Y1180" s="319"/>
      <c r="Z1180" s="136" t="str">
        <f t="shared" si="16"/>
        <v/>
      </c>
      <c r="AA1180" s="137" t="str">
        <f t="shared" si="17"/>
        <v/>
      </c>
      <c r="AB1180" s="138" t="str">
        <f t="shared" si="19"/>
        <v/>
      </c>
      <c r="AC1180" s="322"/>
      <c r="AD1180" s="319"/>
      <c r="AE1180" s="320"/>
    </row>
    <row r="1181" ht="18.0" customHeight="1">
      <c r="A1181" s="118" t="str">
        <f t="shared" si="15"/>
        <v/>
      </c>
      <c r="B1181" s="109"/>
      <c r="C1181" s="119"/>
      <c r="D1181" s="119"/>
      <c r="E1181" s="330"/>
      <c r="F1181" s="121"/>
      <c r="G1181" s="153"/>
      <c r="H1181" s="153"/>
      <c r="I1181" s="153"/>
      <c r="J1181" s="112"/>
      <c r="K1181" s="153"/>
      <c r="L1181" s="114"/>
      <c r="M1181" s="151"/>
      <c r="N1181" s="152"/>
      <c r="O1181" s="150"/>
      <c r="P1181" s="114"/>
      <c r="Q1181" s="114"/>
      <c r="R1181" s="151"/>
      <c r="S1181" s="152"/>
      <c r="T1181" s="153"/>
      <c r="U1181" s="152"/>
      <c r="V1181" s="152"/>
      <c r="W1181" s="152"/>
      <c r="X1181" s="152"/>
      <c r="Y1181" s="153"/>
      <c r="Z1181" s="125" t="str">
        <f t="shared" si="16"/>
        <v/>
      </c>
      <c r="AA1181" s="126" t="str">
        <f t="shared" si="17"/>
        <v/>
      </c>
      <c r="AB1181" s="117" t="str">
        <f t="shared" si="19"/>
        <v/>
      </c>
      <c r="AC1181" s="152"/>
      <c r="AD1181" s="153"/>
      <c r="AE1181" s="156"/>
    </row>
    <row r="1182" ht="18.0" customHeight="1">
      <c r="A1182" s="127" t="str">
        <f t="shared" si="15"/>
        <v/>
      </c>
      <c r="B1182" s="128"/>
      <c r="C1182" s="129"/>
      <c r="D1182" s="129"/>
      <c r="E1182" s="325"/>
      <c r="F1182" s="131"/>
      <c r="G1182" s="319"/>
      <c r="H1182" s="319"/>
      <c r="I1182" s="319"/>
      <c r="J1182" s="132"/>
      <c r="K1182" s="319"/>
      <c r="L1182" s="135"/>
      <c r="M1182" s="321"/>
      <c r="N1182" s="322"/>
      <c r="O1182" s="150"/>
      <c r="P1182" s="135"/>
      <c r="Q1182" s="135"/>
      <c r="R1182" s="321"/>
      <c r="S1182" s="322"/>
      <c r="T1182" s="319"/>
      <c r="U1182" s="322"/>
      <c r="V1182" s="322"/>
      <c r="W1182" s="322"/>
      <c r="X1182" s="322"/>
      <c r="Y1182" s="319"/>
      <c r="Z1182" s="136" t="str">
        <f t="shared" si="16"/>
        <v/>
      </c>
      <c r="AA1182" s="137" t="str">
        <f t="shared" si="17"/>
        <v/>
      </c>
      <c r="AB1182" s="138" t="str">
        <f t="shared" si="19"/>
        <v/>
      </c>
      <c r="AC1182" s="322"/>
      <c r="AD1182" s="319"/>
      <c r="AE1182" s="320"/>
    </row>
    <row r="1183" ht="18.0" customHeight="1">
      <c r="A1183" s="118" t="str">
        <f t="shared" si="15"/>
        <v/>
      </c>
      <c r="B1183" s="109"/>
      <c r="C1183" s="119"/>
      <c r="D1183" s="119"/>
      <c r="E1183" s="330"/>
      <c r="F1183" s="121"/>
      <c r="G1183" s="153"/>
      <c r="H1183" s="153"/>
      <c r="I1183" s="153"/>
      <c r="J1183" s="112"/>
      <c r="K1183" s="153"/>
      <c r="L1183" s="114"/>
      <c r="M1183" s="151"/>
      <c r="N1183" s="152"/>
      <c r="O1183" s="150"/>
      <c r="P1183" s="114"/>
      <c r="Q1183" s="114"/>
      <c r="R1183" s="151"/>
      <c r="S1183" s="152"/>
      <c r="T1183" s="153"/>
      <c r="U1183" s="152"/>
      <c r="V1183" s="152"/>
      <c r="W1183" s="152"/>
      <c r="X1183" s="152"/>
      <c r="Y1183" s="153"/>
      <c r="Z1183" s="125" t="str">
        <f t="shared" si="16"/>
        <v/>
      </c>
      <c r="AA1183" s="126" t="str">
        <f t="shared" si="17"/>
        <v/>
      </c>
      <c r="AB1183" s="117" t="str">
        <f t="shared" si="19"/>
        <v/>
      </c>
      <c r="AC1183" s="152"/>
      <c r="AD1183" s="153"/>
      <c r="AE1183" s="156"/>
    </row>
    <row r="1184" ht="18.0" customHeight="1">
      <c r="A1184" s="127" t="str">
        <f t="shared" si="15"/>
        <v/>
      </c>
      <c r="B1184" s="128"/>
      <c r="C1184" s="129"/>
      <c r="D1184" s="129"/>
      <c r="E1184" s="325"/>
      <c r="F1184" s="131"/>
      <c r="G1184" s="319"/>
      <c r="H1184" s="319"/>
      <c r="I1184" s="319"/>
      <c r="J1184" s="132"/>
      <c r="K1184" s="319"/>
      <c r="L1184" s="135"/>
      <c r="M1184" s="321"/>
      <c r="N1184" s="322"/>
      <c r="O1184" s="150"/>
      <c r="P1184" s="135"/>
      <c r="Q1184" s="135"/>
      <c r="R1184" s="321"/>
      <c r="S1184" s="322"/>
      <c r="T1184" s="319"/>
      <c r="U1184" s="322"/>
      <c r="V1184" s="322"/>
      <c r="W1184" s="322"/>
      <c r="X1184" s="322"/>
      <c r="Y1184" s="319"/>
      <c r="Z1184" s="136" t="str">
        <f t="shared" si="16"/>
        <v/>
      </c>
      <c r="AA1184" s="137" t="str">
        <f t="shared" si="17"/>
        <v/>
      </c>
      <c r="AB1184" s="138" t="str">
        <f t="shared" si="19"/>
        <v/>
      </c>
      <c r="AC1184" s="322"/>
      <c r="AD1184" s="319"/>
      <c r="AE1184" s="320"/>
    </row>
    <row r="1185" ht="18.0" customHeight="1">
      <c r="A1185" s="118" t="str">
        <f t="shared" si="15"/>
        <v/>
      </c>
      <c r="B1185" s="109"/>
      <c r="C1185" s="119"/>
      <c r="D1185" s="119"/>
      <c r="E1185" s="330"/>
      <c r="F1185" s="121"/>
      <c r="G1185" s="153"/>
      <c r="H1185" s="153"/>
      <c r="I1185" s="153"/>
      <c r="J1185" s="112"/>
      <c r="K1185" s="153"/>
      <c r="L1185" s="114"/>
      <c r="M1185" s="151"/>
      <c r="N1185" s="152"/>
      <c r="O1185" s="150"/>
      <c r="P1185" s="114"/>
      <c r="Q1185" s="114"/>
      <c r="R1185" s="151"/>
      <c r="S1185" s="152"/>
      <c r="T1185" s="153"/>
      <c r="U1185" s="152"/>
      <c r="V1185" s="152"/>
      <c r="W1185" s="152"/>
      <c r="X1185" s="152"/>
      <c r="Y1185" s="153"/>
      <c r="Z1185" s="125" t="str">
        <f t="shared" si="16"/>
        <v/>
      </c>
      <c r="AA1185" s="126" t="str">
        <f t="shared" si="17"/>
        <v/>
      </c>
      <c r="AB1185" s="117" t="str">
        <f t="shared" si="19"/>
        <v/>
      </c>
      <c r="AC1185" s="152"/>
      <c r="AD1185" s="153"/>
      <c r="AE1185" s="156"/>
    </row>
    <row r="1186" ht="18.0" customHeight="1">
      <c r="A1186" s="127" t="str">
        <f t="shared" si="15"/>
        <v/>
      </c>
      <c r="B1186" s="128"/>
      <c r="C1186" s="129"/>
      <c r="D1186" s="129"/>
      <c r="E1186" s="325"/>
      <c r="F1186" s="131"/>
      <c r="G1186" s="319"/>
      <c r="H1186" s="319"/>
      <c r="I1186" s="319"/>
      <c r="J1186" s="132"/>
      <c r="K1186" s="319"/>
      <c r="L1186" s="135"/>
      <c r="M1186" s="321"/>
      <c r="N1186" s="322"/>
      <c r="O1186" s="150"/>
      <c r="P1186" s="135"/>
      <c r="Q1186" s="135"/>
      <c r="R1186" s="321"/>
      <c r="S1186" s="322"/>
      <c r="T1186" s="319"/>
      <c r="U1186" s="322"/>
      <c r="V1186" s="322"/>
      <c r="W1186" s="322"/>
      <c r="X1186" s="322"/>
      <c r="Y1186" s="319"/>
      <c r="Z1186" s="136" t="str">
        <f t="shared" si="16"/>
        <v/>
      </c>
      <c r="AA1186" s="137" t="str">
        <f t="shared" si="17"/>
        <v/>
      </c>
      <c r="AB1186" s="138" t="str">
        <f t="shared" si="19"/>
        <v/>
      </c>
      <c r="AC1186" s="322"/>
      <c r="AD1186" s="319"/>
      <c r="AE1186" s="320"/>
    </row>
    <row r="1187" ht="18.0" customHeight="1">
      <c r="A1187" s="118" t="str">
        <f t="shared" si="15"/>
        <v/>
      </c>
      <c r="B1187" s="109"/>
      <c r="C1187" s="119"/>
      <c r="D1187" s="119"/>
      <c r="E1187" s="330"/>
      <c r="F1187" s="121"/>
      <c r="G1187" s="153"/>
      <c r="H1187" s="153"/>
      <c r="I1187" s="153"/>
      <c r="J1187" s="112"/>
      <c r="K1187" s="153"/>
      <c r="L1187" s="114"/>
      <c r="M1187" s="151"/>
      <c r="N1187" s="152"/>
      <c r="O1187" s="150"/>
      <c r="P1187" s="114"/>
      <c r="Q1187" s="114"/>
      <c r="R1187" s="151"/>
      <c r="S1187" s="152"/>
      <c r="T1187" s="153"/>
      <c r="U1187" s="152"/>
      <c r="V1187" s="152"/>
      <c r="W1187" s="152"/>
      <c r="X1187" s="152"/>
      <c r="Y1187" s="153"/>
      <c r="Z1187" s="125" t="str">
        <f t="shared" si="16"/>
        <v/>
      </c>
      <c r="AA1187" s="126" t="str">
        <f t="shared" si="17"/>
        <v/>
      </c>
      <c r="AB1187" s="117" t="str">
        <f t="shared" si="19"/>
        <v/>
      </c>
      <c r="AC1187" s="152"/>
      <c r="AD1187" s="153"/>
      <c r="AE1187" s="156"/>
    </row>
    <row r="1188" ht="18.0" customHeight="1">
      <c r="A1188" s="127" t="str">
        <f t="shared" si="15"/>
        <v/>
      </c>
      <c r="B1188" s="128"/>
      <c r="C1188" s="129"/>
      <c r="D1188" s="129"/>
      <c r="E1188" s="325"/>
      <c r="F1188" s="131"/>
      <c r="G1188" s="319"/>
      <c r="H1188" s="319"/>
      <c r="I1188" s="319"/>
      <c r="J1188" s="132"/>
      <c r="K1188" s="319"/>
      <c r="L1188" s="135"/>
      <c r="M1188" s="321"/>
      <c r="N1188" s="322"/>
      <c r="O1188" s="150"/>
      <c r="P1188" s="135"/>
      <c r="Q1188" s="135"/>
      <c r="R1188" s="321"/>
      <c r="S1188" s="322"/>
      <c r="T1188" s="319"/>
      <c r="U1188" s="322"/>
      <c r="V1188" s="322"/>
      <c r="W1188" s="322"/>
      <c r="X1188" s="322"/>
      <c r="Y1188" s="319"/>
      <c r="Z1188" s="136" t="str">
        <f t="shared" si="16"/>
        <v/>
      </c>
      <c r="AA1188" s="137" t="str">
        <f t="shared" si="17"/>
        <v/>
      </c>
      <c r="AB1188" s="138" t="str">
        <f t="shared" si="19"/>
        <v/>
      </c>
      <c r="AC1188" s="322"/>
      <c r="AD1188" s="319"/>
      <c r="AE1188" s="320"/>
    </row>
    <row r="1189" ht="18.0" customHeight="1">
      <c r="A1189" s="118" t="str">
        <f t="shared" si="15"/>
        <v/>
      </c>
      <c r="B1189" s="109"/>
      <c r="C1189" s="119"/>
      <c r="D1189" s="119"/>
      <c r="E1189" s="330"/>
      <c r="F1189" s="121"/>
      <c r="G1189" s="153"/>
      <c r="H1189" s="153"/>
      <c r="I1189" s="153"/>
      <c r="J1189" s="112"/>
      <c r="K1189" s="153"/>
      <c r="L1189" s="114"/>
      <c r="M1189" s="151"/>
      <c r="N1189" s="152"/>
      <c r="O1189" s="150"/>
      <c r="P1189" s="114"/>
      <c r="Q1189" s="114"/>
      <c r="R1189" s="151"/>
      <c r="S1189" s="152"/>
      <c r="T1189" s="153"/>
      <c r="U1189" s="152"/>
      <c r="V1189" s="152"/>
      <c r="W1189" s="152"/>
      <c r="X1189" s="152"/>
      <c r="Y1189" s="153"/>
      <c r="Z1189" s="125" t="str">
        <f t="shared" si="16"/>
        <v/>
      </c>
      <c r="AA1189" s="126" t="str">
        <f t="shared" si="17"/>
        <v/>
      </c>
      <c r="AB1189" s="117" t="str">
        <f t="shared" si="19"/>
        <v/>
      </c>
      <c r="AC1189" s="152"/>
      <c r="AD1189" s="153"/>
      <c r="AE1189" s="156"/>
    </row>
    <row r="1190" ht="18.0" customHeight="1">
      <c r="A1190" s="127" t="str">
        <f t="shared" si="15"/>
        <v/>
      </c>
      <c r="B1190" s="128"/>
      <c r="C1190" s="129"/>
      <c r="D1190" s="129"/>
      <c r="E1190" s="325"/>
      <c r="F1190" s="131"/>
      <c r="G1190" s="319"/>
      <c r="H1190" s="319"/>
      <c r="I1190" s="319"/>
      <c r="J1190" s="132"/>
      <c r="K1190" s="319"/>
      <c r="L1190" s="135"/>
      <c r="M1190" s="321"/>
      <c r="N1190" s="322"/>
      <c r="O1190" s="150"/>
      <c r="P1190" s="135"/>
      <c r="Q1190" s="135"/>
      <c r="R1190" s="321"/>
      <c r="S1190" s="322"/>
      <c r="T1190" s="319"/>
      <c r="U1190" s="322"/>
      <c r="V1190" s="322"/>
      <c r="W1190" s="322"/>
      <c r="X1190" s="322"/>
      <c r="Y1190" s="319"/>
      <c r="Z1190" s="136" t="str">
        <f t="shared" si="16"/>
        <v/>
      </c>
      <c r="AA1190" s="137" t="str">
        <f t="shared" si="17"/>
        <v/>
      </c>
      <c r="AB1190" s="138" t="str">
        <f t="shared" si="19"/>
        <v/>
      </c>
      <c r="AC1190" s="322"/>
      <c r="AD1190" s="319"/>
      <c r="AE1190" s="320"/>
    </row>
    <row r="1191" ht="18.0" customHeight="1">
      <c r="A1191" s="118" t="str">
        <f t="shared" si="15"/>
        <v/>
      </c>
      <c r="B1191" s="109"/>
      <c r="C1191" s="119"/>
      <c r="D1191" s="119"/>
      <c r="E1191" s="330"/>
      <c r="F1191" s="121"/>
      <c r="G1191" s="153"/>
      <c r="H1191" s="153"/>
      <c r="I1191" s="153"/>
      <c r="J1191" s="112"/>
      <c r="K1191" s="153"/>
      <c r="L1191" s="114"/>
      <c r="M1191" s="151"/>
      <c r="N1191" s="152"/>
      <c r="O1191" s="150"/>
      <c r="P1191" s="114"/>
      <c r="Q1191" s="114"/>
      <c r="R1191" s="151"/>
      <c r="S1191" s="152"/>
      <c r="T1191" s="153"/>
      <c r="U1191" s="152"/>
      <c r="V1191" s="152"/>
      <c r="W1191" s="152"/>
      <c r="X1191" s="152"/>
      <c r="Y1191" s="153"/>
      <c r="Z1191" s="125" t="str">
        <f t="shared" si="16"/>
        <v/>
      </c>
      <c r="AA1191" s="126" t="str">
        <f t="shared" si="17"/>
        <v/>
      </c>
      <c r="AB1191" s="117" t="str">
        <f t="shared" si="19"/>
        <v/>
      </c>
      <c r="AC1191" s="152"/>
      <c r="AD1191" s="153"/>
      <c r="AE1191" s="156"/>
    </row>
    <row r="1192" ht="18.0" customHeight="1">
      <c r="A1192" s="127" t="str">
        <f t="shared" si="15"/>
        <v/>
      </c>
      <c r="B1192" s="128"/>
      <c r="C1192" s="129"/>
      <c r="D1192" s="129"/>
      <c r="E1192" s="325"/>
      <c r="F1192" s="131"/>
      <c r="G1192" s="319"/>
      <c r="H1192" s="319"/>
      <c r="I1192" s="319"/>
      <c r="J1192" s="132"/>
      <c r="K1192" s="319"/>
      <c r="L1192" s="135"/>
      <c r="M1192" s="321"/>
      <c r="N1192" s="322"/>
      <c r="O1192" s="150"/>
      <c r="P1192" s="135"/>
      <c r="Q1192" s="135"/>
      <c r="R1192" s="321"/>
      <c r="S1192" s="322"/>
      <c r="T1192" s="319"/>
      <c r="U1192" s="322"/>
      <c r="V1192" s="322"/>
      <c r="W1192" s="322"/>
      <c r="X1192" s="322"/>
      <c r="Y1192" s="319"/>
      <c r="Z1192" s="136" t="str">
        <f t="shared" si="16"/>
        <v/>
      </c>
      <c r="AA1192" s="137" t="str">
        <f t="shared" si="17"/>
        <v/>
      </c>
      <c r="AB1192" s="138" t="str">
        <f t="shared" si="19"/>
        <v/>
      </c>
      <c r="AC1192" s="322"/>
      <c r="AD1192" s="319"/>
      <c r="AE1192" s="320"/>
    </row>
    <row r="1193" ht="18.0" customHeight="1">
      <c r="A1193" s="118" t="str">
        <f t="shared" si="15"/>
        <v/>
      </c>
      <c r="B1193" s="109"/>
      <c r="C1193" s="119"/>
      <c r="D1193" s="119"/>
      <c r="E1193" s="330"/>
      <c r="F1193" s="121"/>
      <c r="G1193" s="153"/>
      <c r="H1193" s="153"/>
      <c r="I1193" s="153"/>
      <c r="J1193" s="112"/>
      <c r="K1193" s="153"/>
      <c r="L1193" s="114"/>
      <c r="M1193" s="151"/>
      <c r="N1193" s="152"/>
      <c r="O1193" s="150"/>
      <c r="P1193" s="114"/>
      <c r="Q1193" s="114"/>
      <c r="R1193" s="151"/>
      <c r="S1193" s="152"/>
      <c r="T1193" s="153"/>
      <c r="U1193" s="152"/>
      <c r="V1193" s="152"/>
      <c r="W1193" s="152"/>
      <c r="X1193" s="152"/>
      <c r="Y1193" s="153"/>
      <c r="Z1193" s="125" t="str">
        <f t="shared" si="16"/>
        <v/>
      </c>
      <c r="AA1193" s="126" t="str">
        <f t="shared" si="17"/>
        <v/>
      </c>
      <c r="AB1193" s="117" t="str">
        <f t="shared" si="19"/>
        <v/>
      </c>
      <c r="AC1193" s="152"/>
      <c r="AD1193" s="153"/>
      <c r="AE1193" s="156"/>
    </row>
    <row r="1194" ht="18.0" customHeight="1">
      <c r="A1194" s="127" t="str">
        <f t="shared" si="15"/>
        <v/>
      </c>
      <c r="B1194" s="128"/>
      <c r="C1194" s="129"/>
      <c r="D1194" s="129"/>
      <c r="E1194" s="325"/>
      <c r="F1194" s="131"/>
      <c r="G1194" s="319"/>
      <c r="H1194" s="319"/>
      <c r="I1194" s="319"/>
      <c r="J1194" s="132"/>
      <c r="K1194" s="319"/>
      <c r="L1194" s="135"/>
      <c r="M1194" s="321"/>
      <c r="N1194" s="322"/>
      <c r="O1194" s="150"/>
      <c r="P1194" s="135"/>
      <c r="Q1194" s="135"/>
      <c r="R1194" s="321"/>
      <c r="S1194" s="322"/>
      <c r="T1194" s="319"/>
      <c r="U1194" s="322"/>
      <c r="V1194" s="322"/>
      <c r="W1194" s="322"/>
      <c r="X1194" s="322"/>
      <c r="Y1194" s="319"/>
      <c r="Z1194" s="136" t="str">
        <f t="shared" si="16"/>
        <v/>
      </c>
      <c r="AA1194" s="137" t="str">
        <f t="shared" si="17"/>
        <v/>
      </c>
      <c r="AB1194" s="138" t="str">
        <f t="shared" si="19"/>
        <v/>
      </c>
      <c r="AC1194" s="322"/>
      <c r="AD1194" s="319"/>
      <c r="AE1194" s="320"/>
    </row>
    <row r="1195" ht="18.0" customHeight="1">
      <c r="A1195" s="118" t="str">
        <f t="shared" si="15"/>
        <v/>
      </c>
      <c r="B1195" s="109"/>
      <c r="C1195" s="119"/>
      <c r="D1195" s="119"/>
      <c r="E1195" s="330"/>
      <c r="F1195" s="121"/>
      <c r="G1195" s="153"/>
      <c r="H1195" s="153"/>
      <c r="I1195" s="153"/>
      <c r="J1195" s="112"/>
      <c r="K1195" s="153"/>
      <c r="L1195" s="114"/>
      <c r="M1195" s="151"/>
      <c r="N1195" s="152"/>
      <c r="O1195" s="150"/>
      <c r="P1195" s="114"/>
      <c r="Q1195" s="114"/>
      <c r="R1195" s="151"/>
      <c r="S1195" s="152"/>
      <c r="T1195" s="153"/>
      <c r="U1195" s="152"/>
      <c r="V1195" s="152"/>
      <c r="W1195" s="152"/>
      <c r="X1195" s="152"/>
      <c r="Y1195" s="153"/>
      <c r="Z1195" s="125" t="str">
        <f t="shared" si="16"/>
        <v/>
      </c>
      <c r="AA1195" s="126" t="str">
        <f t="shared" si="17"/>
        <v/>
      </c>
      <c r="AB1195" s="117" t="str">
        <f t="shared" si="19"/>
        <v/>
      </c>
      <c r="AC1195" s="152"/>
      <c r="AD1195" s="153"/>
      <c r="AE1195" s="156"/>
    </row>
    <row r="1196" ht="18.0" customHeight="1">
      <c r="A1196" s="127" t="str">
        <f t="shared" si="15"/>
        <v/>
      </c>
      <c r="B1196" s="128"/>
      <c r="C1196" s="129"/>
      <c r="D1196" s="129"/>
      <c r="E1196" s="325"/>
      <c r="F1196" s="131"/>
      <c r="G1196" s="319"/>
      <c r="H1196" s="319"/>
      <c r="I1196" s="319"/>
      <c r="J1196" s="132"/>
      <c r="K1196" s="319"/>
      <c r="L1196" s="135"/>
      <c r="M1196" s="321"/>
      <c r="N1196" s="322"/>
      <c r="O1196" s="150"/>
      <c r="P1196" s="135"/>
      <c r="Q1196" s="135"/>
      <c r="R1196" s="321"/>
      <c r="S1196" s="322"/>
      <c r="T1196" s="319"/>
      <c r="U1196" s="322"/>
      <c r="V1196" s="322"/>
      <c r="W1196" s="322"/>
      <c r="X1196" s="322"/>
      <c r="Y1196" s="319"/>
      <c r="Z1196" s="136" t="str">
        <f t="shared" si="16"/>
        <v/>
      </c>
      <c r="AA1196" s="137" t="str">
        <f t="shared" si="17"/>
        <v/>
      </c>
      <c r="AB1196" s="138" t="str">
        <f t="shared" si="19"/>
        <v/>
      </c>
      <c r="AC1196" s="322"/>
      <c r="AD1196" s="319"/>
      <c r="AE1196" s="320"/>
    </row>
    <row r="1197" ht="18.0" customHeight="1">
      <c r="A1197" s="118" t="str">
        <f t="shared" si="15"/>
        <v/>
      </c>
      <c r="B1197" s="109"/>
      <c r="C1197" s="119"/>
      <c r="D1197" s="119"/>
      <c r="E1197" s="330"/>
      <c r="F1197" s="121"/>
      <c r="G1197" s="153"/>
      <c r="H1197" s="153"/>
      <c r="I1197" s="153"/>
      <c r="J1197" s="112"/>
      <c r="K1197" s="153"/>
      <c r="L1197" s="114"/>
      <c r="M1197" s="151"/>
      <c r="N1197" s="152"/>
      <c r="O1197" s="150"/>
      <c r="P1197" s="114"/>
      <c r="Q1197" s="114"/>
      <c r="R1197" s="151"/>
      <c r="S1197" s="152"/>
      <c r="T1197" s="153"/>
      <c r="U1197" s="152"/>
      <c r="V1197" s="152"/>
      <c r="W1197" s="152"/>
      <c r="X1197" s="152"/>
      <c r="Y1197" s="153"/>
      <c r="Z1197" s="125" t="str">
        <f t="shared" si="16"/>
        <v/>
      </c>
      <c r="AA1197" s="126" t="str">
        <f t="shared" si="17"/>
        <v/>
      </c>
      <c r="AB1197" s="117" t="str">
        <f t="shared" si="19"/>
        <v/>
      </c>
      <c r="AC1197" s="152"/>
      <c r="AD1197" s="153"/>
      <c r="AE1197" s="156"/>
    </row>
    <row r="1198" ht="18.0" customHeight="1">
      <c r="A1198" s="127" t="str">
        <f t="shared" si="15"/>
        <v/>
      </c>
      <c r="B1198" s="128"/>
      <c r="C1198" s="129"/>
      <c r="D1198" s="129"/>
      <c r="E1198" s="325"/>
      <c r="F1198" s="131"/>
      <c r="G1198" s="319"/>
      <c r="H1198" s="319"/>
      <c r="I1198" s="319"/>
      <c r="J1198" s="132"/>
      <c r="K1198" s="319"/>
      <c r="L1198" s="135"/>
      <c r="M1198" s="321"/>
      <c r="N1198" s="322"/>
      <c r="O1198" s="150"/>
      <c r="P1198" s="135"/>
      <c r="Q1198" s="135"/>
      <c r="R1198" s="321"/>
      <c r="S1198" s="322"/>
      <c r="T1198" s="319"/>
      <c r="U1198" s="322"/>
      <c r="V1198" s="322"/>
      <c r="W1198" s="322"/>
      <c r="X1198" s="322"/>
      <c r="Y1198" s="319"/>
      <c r="Z1198" s="136" t="str">
        <f t="shared" si="16"/>
        <v/>
      </c>
      <c r="AA1198" s="137" t="str">
        <f t="shared" si="17"/>
        <v/>
      </c>
      <c r="AB1198" s="138" t="str">
        <f t="shared" si="19"/>
        <v/>
      </c>
      <c r="AC1198" s="322"/>
      <c r="AD1198" s="319"/>
      <c r="AE1198" s="320"/>
    </row>
    <row r="1199" ht="18.0" customHeight="1">
      <c r="A1199" s="118" t="str">
        <f t="shared" si="15"/>
        <v/>
      </c>
      <c r="B1199" s="109"/>
      <c r="C1199" s="119"/>
      <c r="D1199" s="119"/>
      <c r="E1199" s="330"/>
      <c r="F1199" s="121"/>
      <c r="G1199" s="153"/>
      <c r="H1199" s="153"/>
      <c r="I1199" s="153"/>
      <c r="J1199" s="112"/>
      <c r="K1199" s="153"/>
      <c r="L1199" s="114"/>
      <c r="M1199" s="151"/>
      <c r="N1199" s="152"/>
      <c r="O1199" s="150"/>
      <c r="P1199" s="114"/>
      <c r="Q1199" s="114"/>
      <c r="R1199" s="151"/>
      <c r="S1199" s="152"/>
      <c r="T1199" s="153"/>
      <c r="U1199" s="152"/>
      <c r="V1199" s="152"/>
      <c r="W1199" s="152"/>
      <c r="X1199" s="152"/>
      <c r="Y1199" s="153"/>
      <c r="Z1199" s="125" t="str">
        <f t="shared" si="16"/>
        <v/>
      </c>
      <c r="AA1199" s="126" t="str">
        <f t="shared" si="17"/>
        <v/>
      </c>
      <c r="AB1199" s="117" t="str">
        <f t="shared" si="19"/>
        <v/>
      </c>
      <c r="AC1199" s="152"/>
      <c r="AD1199" s="153"/>
      <c r="AE1199" s="156"/>
    </row>
    <row r="1200" ht="18.0" customHeight="1">
      <c r="A1200" s="127" t="str">
        <f t="shared" si="15"/>
        <v/>
      </c>
      <c r="B1200" s="128"/>
      <c r="C1200" s="129"/>
      <c r="D1200" s="129"/>
      <c r="E1200" s="325"/>
      <c r="F1200" s="131"/>
      <c r="G1200" s="319"/>
      <c r="H1200" s="319"/>
      <c r="I1200" s="319"/>
      <c r="J1200" s="132"/>
      <c r="K1200" s="319"/>
      <c r="L1200" s="135"/>
      <c r="M1200" s="321"/>
      <c r="N1200" s="322"/>
      <c r="O1200" s="150"/>
      <c r="P1200" s="135"/>
      <c r="Q1200" s="135"/>
      <c r="R1200" s="321"/>
      <c r="S1200" s="322"/>
      <c r="T1200" s="319"/>
      <c r="U1200" s="322"/>
      <c r="V1200" s="322"/>
      <c r="W1200" s="322"/>
      <c r="X1200" s="322"/>
      <c r="Y1200" s="319"/>
      <c r="Z1200" s="136" t="str">
        <f t="shared" si="16"/>
        <v/>
      </c>
      <c r="AA1200" s="137" t="str">
        <f t="shared" si="17"/>
        <v/>
      </c>
      <c r="AB1200" s="138" t="str">
        <f t="shared" si="19"/>
        <v/>
      </c>
      <c r="AC1200" s="322"/>
      <c r="AD1200" s="319"/>
      <c r="AE1200" s="320"/>
    </row>
    <row r="1201" ht="18.0" customHeight="1">
      <c r="A1201" s="118" t="str">
        <f t="shared" si="15"/>
        <v/>
      </c>
      <c r="B1201" s="109"/>
      <c r="C1201" s="119"/>
      <c r="D1201" s="119"/>
      <c r="E1201" s="330"/>
      <c r="F1201" s="121"/>
      <c r="G1201" s="153"/>
      <c r="H1201" s="153"/>
      <c r="I1201" s="153"/>
      <c r="J1201" s="112"/>
      <c r="K1201" s="153"/>
      <c r="L1201" s="114"/>
      <c r="M1201" s="151"/>
      <c r="N1201" s="152"/>
      <c r="O1201" s="150"/>
      <c r="P1201" s="114"/>
      <c r="Q1201" s="114"/>
      <c r="R1201" s="151"/>
      <c r="S1201" s="152"/>
      <c r="T1201" s="153"/>
      <c r="U1201" s="152"/>
      <c r="V1201" s="152"/>
      <c r="W1201" s="152"/>
      <c r="X1201" s="152"/>
      <c r="Y1201" s="153"/>
      <c r="Z1201" s="125" t="str">
        <f t="shared" si="16"/>
        <v/>
      </c>
      <c r="AA1201" s="126" t="str">
        <f t="shared" si="17"/>
        <v/>
      </c>
      <c r="AB1201" s="117" t="str">
        <f t="shared" si="19"/>
        <v/>
      </c>
      <c r="AC1201" s="152"/>
      <c r="AD1201" s="153"/>
      <c r="AE1201" s="156"/>
    </row>
    <row r="1202" ht="18.0" customHeight="1">
      <c r="A1202" s="127" t="str">
        <f t="shared" si="15"/>
        <v/>
      </c>
      <c r="B1202" s="128"/>
      <c r="C1202" s="129"/>
      <c r="D1202" s="129"/>
      <c r="E1202" s="325"/>
      <c r="F1202" s="131"/>
      <c r="G1202" s="319"/>
      <c r="H1202" s="319"/>
      <c r="I1202" s="319"/>
      <c r="J1202" s="132"/>
      <c r="K1202" s="319"/>
      <c r="L1202" s="135"/>
      <c r="M1202" s="321"/>
      <c r="N1202" s="322"/>
      <c r="O1202" s="150"/>
      <c r="P1202" s="135"/>
      <c r="Q1202" s="135"/>
      <c r="R1202" s="321"/>
      <c r="S1202" s="322"/>
      <c r="T1202" s="319"/>
      <c r="U1202" s="322"/>
      <c r="V1202" s="322"/>
      <c r="W1202" s="322"/>
      <c r="X1202" s="322"/>
      <c r="Y1202" s="319"/>
      <c r="Z1202" s="136" t="str">
        <f t="shared" si="16"/>
        <v/>
      </c>
      <c r="AA1202" s="137" t="str">
        <f t="shared" si="17"/>
        <v/>
      </c>
      <c r="AB1202" s="138" t="str">
        <f t="shared" si="19"/>
        <v/>
      </c>
      <c r="AC1202" s="322"/>
      <c r="AD1202" s="319"/>
      <c r="AE1202" s="320"/>
    </row>
    <row r="1203" ht="18.0" customHeight="1">
      <c r="A1203" s="118" t="str">
        <f t="shared" si="15"/>
        <v/>
      </c>
      <c r="B1203" s="109"/>
      <c r="C1203" s="119"/>
      <c r="D1203" s="119"/>
      <c r="E1203" s="330"/>
      <c r="F1203" s="121"/>
      <c r="G1203" s="153"/>
      <c r="H1203" s="153"/>
      <c r="I1203" s="153"/>
      <c r="J1203" s="112"/>
      <c r="K1203" s="153"/>
      <c r="L1203" s="114"/>
      <c r="M1203" s="151"/>
      <c r="N1203" s="152"/>
      <c r="O1203" s="150"/>
      <c r="P1203" s="114"/>
      <c r="Q1203" s="114"/>
      <c r="R1203" s="151"/>
      <c r="S1203" s="152"/>
      <c r="T1203" s="153"/>
      <c r="U1203" s="152"/>
      <c r="V1203" s="152"/>
      <c r="W1203" s="152"/>
      <c r="X1203" s="152"/>
      <c r="Y1203" s="153"/>
      <c r="Z1203" s="125" t="str">
        <f t="shared" si="16"/>
        <v/>
      </c>
      <c r="AA1203" s="126" t="str">
        <f t="shared" si="17"/>
        <v/>
      </c>
      <c r="AB1203" s="117" t="str">
        <f t="shared" si="19"/>
        <v/>
      </c>
      <c r="AC1203" s="152"/>
      <c r="AD1203" s="153"/>
      <c r="AE1203" s="156"/>
    </row>
    <row r="1204" ht="18.0" customHeight="1">
      <c r="A1204" s="127" t="str">
        <f t="shared" si="15"/>
        <v/>
      </c>
      <c r="B1204" s="128"/>
      <c r="C1204" s="129"/>
      <c r="D1204" s="129"/>
      <c r="E1204" s="325"/>
      <c r="F1204" s="131"/>
      <c r="G1204" s="319"/>
      <c r="H1204" s="319"/>
      <c r="I1204" s="319"/>
      <c r="J1204" s="132"/>
      <c r="K1204" s="319"/>
      <c r="L1204" s="135"/>
      <c r="M1204" s="321"/>
      <c r="N1204" s="322"/>
      <c r="O1204" s="150"/>
      <c r="P1204" s="135"/>
      <c r="Q1204" s="135"/>
      <c r="R1204" s="321"/>
      <c r="S1204" s="322"/>
      <c r="T1204" s="319"/>
      <c r="U1204" s="322"/>
      <c r="V1204" s="322"/>
      <c r="W1204" s="322"/>
      <c r="X1204" s="322"/>
      <c r="Y1204" s="319"/>
      <c r="Z1204" s="136" t="str">
        <f t="shared" si="16"/>
        <v/>
      </c>
      <c r="AA1204" s="137" t="str">
        <f t="shared" si="17"/>
        <v/>
      </c>
      <c r="AB1204" s="138" t="str">
        <f t="shared" si="19"/>
        <v/>
      </c>
      <c r="AC1204" s="322"/>
      <c r="AD1204" s="319"/>
      <c r="AE1204" s="320"/>
    </row>
    <row r="1205" ht="18.0" customHeight="1">
      <c r="A1205" s="118" t="str">
        <f t="shared" si="15"/>
        <v/>
      </c>
      <c r="B1205" s="109"/>
      <c r="C1205" s="119"/>
      <c r="D1205" s="119"/>
      <c r="E1205" s="330"/>
      <c r="F1205" s="121"/>
      <c r="G1205" s="153"/>
      <c r="H1205" s="153"/>
      <c r="I1205" s="153"/>
      <c r="J1205" s="112"/>
      <c r="K1205" s="153"/>
      <c r="L1205" s="114"/>
      <c r="M1205" s="151"/>
      <c r="N1205" s="152"/>
      <c r="O1205" s="150"/>
      <c r="P1205" s="114"/>
      <c r="Q1205" s="114"/>
      <c r="R1205" s="151"/>
      <c r="S1205" s="152"/>
      <c r="T1205" s="153"/>
      <c r="U1205" s="152"/>
      <c r="V1205" s="152"/>
      <c r="W1205" s="152"/>
      <c r="X1205" s="152"/>
      <c r="Y1205" s="153"/>
      <c r="Z1205" s="125" t="str">
        <f t="shared" si="16"/>
        <v/>
      </c>
      <c r="AA1205" s="126" t="str">
        <f t="shared" si="17"/>
        <v/>
      </c>
      <c r="AB1205" s="117" t="str">
        <f t="shared" si="19"/>
        <v/>
      </c>
      <c r="AC1205" s="152"/>
      <c r="AD1205" s="153"/>
      <c r="AE1205" s="156"/>
    </row>
    <row r="1206" ht="18.0" customHeight="1">
      <c r="A1206" s="127" t="str">
        <f t="shared" si="15"/>
        <v/>
      </c>
      <c r="B1206" s="128"/>
      <c r="C1206" s="129"/>
      <c r="D1206" s="129"/>
      <c r="E1206" s="325"/>
      <c r="F1206" s="131"/>
      <c r="G1206" s="319"/>
      <c r="H1206" s="319"/>
      <c r="I1206" s="319"/>
      <c r="J1206" s="132"/>
      <c r="K1206" s="319"/>
      <c r="L1206" s="135"/>
      <c r="M1206" s="321"/>
      <c r="N1206" s="322"/>
      <c r="O1206" s="150"/>
      <c r="P1206" s="135"/>
      <c r="Q1206" s="135"/>
      <c r="R1206" s="321"/>
      <c r="S1206" s="322"/>
      <c r="T1206" s="319"/>
      <c r="U1206" s="322"/>
      <c r="V1206" s="322"/>
      <c r="W1206" s="322"/>
      <c r="X1206" s="322"/>
      <c r="Y1206" s="319"/>
      <c r="Z1206" s="136" t="str">
        <f t="shared" si="16"/>
        <v/>
      </c>
      <c r="AA1206" s="137" t="str">
        <f t="shared" si="17"/>
        <v/>
      </c>
      <c r="AB1206" s="138" t="str">
        <f t="shared" si="19"/>
        <v/>
      </c>
      <c r="AC1206" s="322"/>
      <c r="AD1206" s="319"/>
      <c r="AE1206" s="320"/>
    </row>
    <row r="1207" ht="18.0" customHeight="1">
      <c r="A1207" s="118" t="str">
        <f t="shared" si="15"/>
        <v/>
      </c>
      <c r="B1207" s="109"/>
      <c r="C1207" s="119"/>
      <c r="D1207" s="119"/>
      <c r="E1207" s="330"/>
      <c r="F1207" s="121"/>
      <c r="G1207" s="153"/>
      <c r="H1207" s="153"/>
      <c r="I1207" s="153"/>
      <c r="J1207" s="112"/>
      <c r="K1207" s="153"/>
      <c r="L1207" s="114"/>
      <c r="M1207" s="151"/>
      <c r="N1207" s="152"/>
      <c r="O1207" s="150"/>
      <c r="P1207" s="114"/>
      <c r="Q1207" s="114"/>
      <c r="R1207" s="151"/>
      <c r="S1207" s="152"/>
      <c r="T1207" s="153"/>
      <c r="U1207" s="152"/>
      <c r="V1207" s="152"/>
      <c r="W1207" s="152"/>
      <c r="X1207" s="152"/>
      <c r="Y1207" s="153"/>
      <c r="Z1207" s="125" t="str">
        <f t="shared" si="16"/>
        <v/>
      </c>
      <c r="AA1207" s="126" t="str">
        <f t="shared" si="17"/>
        <v/>
      </c>
      <c r="AB1207" s="117" t="str">
        <f t="shared" si="19"/>
        <v/>
      </c>
      <c r="AC1207" s="152"/>
      <c r="AD1207" s="153"/>
      <c r="AE1207" s="156"/>
    </row>
    <row r="1208" ht="18.0" customHeight="1">
      <c r="A1208" s="127" t="str">
        <f t="shared" si="15"/>
        <v/>
      </c>
      <c r="B1208" s="128"/>
      <c r="C1208" s="129"/>
      <c r="D1208" s="129"/>
      <c r="E1208" s="325"/>
      <c r="F1208" s="131"/>
      <c r="G1208" s="319"/>
      <c r="H1208" s="319"/>
      <c r="I1208" s="319"/>
      <c r="J1208" s="132"/>
      <c r="K1208" s="319"/>
      <c r="L1208" s="135"/>
      <c r="M1208" s="321"/>
      <c r="N1208" s="322"/>
      <c r="O1208" s="150"/>
      <c r="P1208" s="135"/>
      <c r="Q1208" s="135"/>
      <c r="R1208" s="321"/>
      <c r="S1208" s="322"/>
      <c r="T1208" s="319"/>
      <c r="U1208" s="322"/>
      <c r="V1208" s="322"/>
      <c r="W1208" s="322"/>
      <c r="X1208" s="322"/>
      <c r="Y1208" s="319"/>
      <c r="Z1208" s="136" t="str">
        <f t="shared" si="16"/>
        <v/>
      </c>
      <c r="AA1208" s="137" t="str">
        <f t="shared" si="17"/>
        <v/>
      </c>
      <c r="AB1208" s="138" t="str">
        <f t="shared" si="19"/>
        <v/>
      </c>
      <c r="AC1208" s="322"/>
      <c r="AD1208" s="319"/>
      <c r="AE1208" s="320"/>
    </row>
    <row r="1209" ht="18.0" customHeight="1">
      <c r="A1209" s="118" t="str">
        <f t="shared" si="15"/>
        <v/>
      </c>
      <c r="B1209" s="109"/>
      <c r="C1209" s="119"/>
      <c r="D1209" s="119"/>
      <c r="E1209" s="330"/>
      <c r="F1209" s="121"/>
      <c r="G1209" s="153"/>
      <c r="H1209" s="153"/>
      <c r="I1209" s="153"/>
      <c r="J1209" s="112"/>
      <c r="K1209" s="153"/>
      <c r="L1209" s="114"/>
      <c r="M1209" s="151"/>
      <c r="N1209" s="152"/>
      <c r="O1209" s="150"/>
      <c r="P1209" s="114"/>
      <c r="Q1209" s="114"/>
      <c r="R1209" s="151"/>
      <c r="S1209" s="152"/>
      <c r="T1209" s="153"/>
      <c r="U1209" s="152"/>
      <c r="V1209" s="152"/>
      <c r="W1209" s="152"/>
      <c r="X1209" s="152"/>
      <c r="Y1209" s="153"/>
      <c r="Z1209" s="125" t="str">
        <f t="shared" si="16"/>
        <v/>
      </c>
      <c r="AA1209" s="126" t="str">
        <f t="shared" si="17"/>
        <v/>
      </c>
      <c r="AB1209" s="117" t="str">
        <f t="shared" si="19"/>
        <v/>
      </c>
      <c r="AC1209" s="152"/>
      <c r="AD1209" s="153"/>
      <c r="AE1209" s="156"/>
    </row>
    <row r="1210" ht="18.0" customHeight="1">
      <c r="A1210" s="127" t="str">
        <f t="shared" si="15"/>
        <v/>
      </c>
      <c r="B1210" s="128"/>
      <c r="C1210" s="129"/>
      <c r="D1210" s="129"/>
      <c r="E1210" s="325"/>
      <c r="F1210" s="131"/>
      <c r="G1210" s="319"/>
      <c r="H1210" s="319"/>
      <c r="I1210" s="319"/>
      <c r="J1210" s="132"/>
      <c r="K1210" s="319"/>
      <c r="L1210" s="135"/>
      <c r="M1210" s="321"/>
      <c r="N1210" s="322"/>
      <c r="O1210" s="150"/>
      <c r="P1210" s="135"/>
      <c r="Q1210" s="135"/>
      <c r="R1210" s="321"/>
      <c r="S1210" s="322"/>
      <c r="T1210" s="319"/>
      <c r="U1210" s="322"/>
      <c r="V1210" s="322"/>
      <c r="W1210" s="322"/>
      <c r="X1210" s="322"/>
      <c r="Y1210" s="319"/>
      <c r="Z1210" s="136" t="str">
        <f t="shared" si="16"/>
        <v/>
      </c>
      <c r="AA1210" s="137" t="str">
        <f t="shared" si="17"/>
        <v/>
      </c>
      <c r="AB1210" s="138" t="str">
        <f t="shared" si="19"/>
        <v/>
      </c>
      <c r="AC1210" s="322"/>
      <c r="AD1210" s="319"/>
      <c r="AE1210" s="320"/>
    </row>
    <row r="1211" ht="18.0" customHeight="1">
      <c r="A1211" s="118" t="str">
        <f t="shared" si="15"/>
        <v/>
      </c>
      <c r="B1211" s="109"/>
      <c r="C1211" s="119"/>
      <c r="D1211" s="119"/>
      <c r="E1211" s="330"/>
      <c r="F1211" s="121"/>
      <c r="G1211" s="153"/>
      <c r="H1211" s="153"/>
      <c r="I1211" s="153"/>
      <c r="J1211" s="112"/>
      <c r="K1211" s="153"/>
      <c r="L1211" s="114"/>
      <c r="M1211" s="151"/>
      <c r="N1211" s="152"/>
      <c r="O1211" s="150"/>
      <c r="P1211" s="114"/>
      <c r="Q1211" s="114"/>
      <c r="R1211" s="151"/>
      <c r="S1211" s="152"/>
      <c r="T1211" s="153"/>
      <c r="U1211" s="152"/>
      <c r="V1211" s="152"/>
      <c r="W1211" s="152"/>
      <c r="X1211" s="152"/>
      <c r="Y1211" s="153"/>
      <c r="Z1211" s="125" t="str">
        <f t="shared" si="16"/>
        <v/>
      </c>
      <c r="AA1211" s="126" t="str">
        <f t="shared" si="17"/>
        <v/>
      </c>
      <c r="AB1211" s="117" t="str">
        <f t="shared" si="19"/>
        <v/>
      </c>
      <c r="AC1211" s="152"/>
      <c r="AD1211" s="153"/>
      <c r="AE1211" s="156"/>
    </row>
    <row r="1212" ht="18.0" customHeight="1">
      <c r="A1212" s="127" t="str">
        <f t="shared" si="15"/>
        <v/>
      </c>
      <c r="B1212" s="128"/>
      <c r="C1212" s="129"/>
      <c r="D1212" s="129"/>
      <c r="E1212" s="325"/>
      <c r="F1212" s="131"/>
      <c r="G1212" s="319"/>
      <c r="H1212" s="319"/>
      <c r="I1212" s="319"/>
      <c r="J1212" s="132"/>
      <c r="K1212" s="319"/>
      <c r="L1212" s="135"/>
      <c r="M1212" s="321"/>
      <c r="N1212" s="322"/>
      <c r="O1212" s="150"/>
      <c r="P1212" s="135"/>
      <c r="Q1212" s="135"/>
      <c r="R1212" s="321"/>
      <c r="S1212" s="322"/>
      <c r="T1212" s="319"/>
      <c r="U1212" s="322"/>
      <c r="V1212" s="322"/>
      <c r="W1212" s="322"/>
      <c r="X1212" s="322"/>
      <c r="Y1212" s="319"/>
      <c r="Z1212" s="136" t="str">
        <f t="shared" si="16"/>
        <v/>
      </c>
      <c r="AA1212" s="137" t="str">
        <f t="shared" si="17"/>
        <v/>
      </c>
      <c r="AB1212" s="138" t="str">
        <f t="shared" si="19"/>
        <v/>
      </c>
      <c r="AC1212" s="322"/>
      <c r="AD1212" s="319"/>
      <c r="AE1212" s="320"/>
    </row>
    <row r="1213" ht="18.0" customHeight="1">
      <c r="A1213" s="118" t="str">
        <f t="shared" si="15"/>
        <v/>
      </c>
      <c r="B1213" s="109"/>
      <c r="C1213" s="119"/>
      <c r="D1213" s="119"/>
      <c r="E1213" s="330"/>
      <c r="F1213" s="121"/>
      <c r="G1213" s="153"/>
      <c r="H1213" s="153"/>
      <c r="I1213" s="153"/>
      <c r="J1213" s="112"/>
      <c r="K1213" s="153"/>
      <c r="L1213" s="114"/>
      <c r="M1213" s="151"/>
      <c r="N1213" s="152"/>
      <c r="O1213" s="150"/>
      <c r="P1213" s="114"/>
      <c r="Q1213" s="114"/>
      <c r="R1213" s="151"/>
      <c r="S1213" s="152"/>
      <c r="T1213" s="153"/>
      <c r="U1213" s="152"/>
      <c r="V1213" s="152"/>
      <c r="W1213" s="152"/>
      <c r="X1213" s="152"/>
      <c r="Y1213" s="153"/>
      <c r="Z1213" s="125" t="str">
        <f t="shared" si="16"/>
        <v/>
      </c>
      <c r="AA1213" s="126" t="str">
        <f t="shared" si="17"/>
        <v/>
      </c>
      <c r="AB1213" s="117" t="str">
        <f t="shared" si="19"/>
        <v/>
      </c>
      <c r="AC1213" s="152"/>
      <c r="AD1213" s="153"/>
      <c r="AE1213" s="156"/>
    </row>
    <row r="1214" ht="18.0" customHeight="1">
      <c r="A1214" s="127" t="str">
        <f t="shared" si="15"/>
        <v/>
      </c>
      <c r="B1214" s="128"/>
      <c r="C1214" s="129"/>
      <c r="D1214" s="129"/>
      <c r="E1214" s="325"/>
      <c r="F1214" s="131"/>
      <c r="G1214" s="319"/>
      <c r="H1214" s="319"/>
      <c r="I1214" s="319"/>
      <c r="J1214" s="132"/>
      <c r="K1214" s="319"/>
      <c r="L1214" s="135"/>
      <c r="M1214" s="321"/>
      <c r="N1214" s="322"/>
      <c r="O1214" s="150"/>
      <c r="P1214" s="135"/>
      <c r="Q1214" s="135"/>
      <c r="R1214" s="321"/>
      <c r="S1214" s="322"/>
      <c r="T1214" s="319"/>
      <c r="U1214" s="322"/>
      <c r="V1214" s="322"/>
      <c r="W1214" s="322"/>
      <c r="X1214" s="322"/>
      <c r="Y1214" s="319"/>
      <c r="Z1214" s="136" t="str">
        <f t="shared" si="16"/>
        <v/>
      </c>
      <c r="AA1214" s="137" t="str">
        <f t="shared" si="17"/>
        <v/>
      </c>
      <c r="AB1214" s="138" t="str">
        <f t="shared" si="19"/>
        <v/>
      </c>
      <c r="AC1214" s="322"/>
      <c r="AD1214" s="319"/>
      <c r="AE1214" s="320"/>
    </row>
    <row r="1215" ht="18.0" customHeight="1">
      <c r="A1215" s="118" t="str">
        <f t="shared" si="15"/>
        <v/>
      </c>
      <c r="B1215" s="109"/>
      <c r="C1215" s="119"/>
      <c r="D1215" s="119"/>
      <c r="E1215" s="330"/>
      <c r="F1215" s="121"/>
      <c r="G1215" s="153"/>
      <c r="H1215" s="153"/>
      <c r="I1215" s="153"/>
      <c r="J1215" s="112"/>
      <c r="K1215" s="153"/>
      <c r="L1215" s="114"/>
      <c r="M1215" s="151"/>
      <c r="N1215" s="152"/>
      <c r="O1215" s="150"/>
      <c r="P1215" s="114"/>
      <c r="Q1215" s="114"/>
      <c r="R1215" s="151"/>
      <c r="S1215" s="152"/>
      <c r="T1215" s="153"/>
      <c r="U1215" s="152"/>
      <c r="V1215" s="152"/>
      <c r="W1215" s="152"/>
      <c r="X1215" s="152"/>
      <c r="Y1215" s="153"/>
      <c r="Z1215" s="125" t="str">
        <f t="shared" si="16"/>
        <v/>
      </c>
      <c r="AA1215" s="126" t="str">
        <f t="shared" si="17"/>
        <v/>
      </c>
      <c r="AB1215" s="117" t="str">
        <f t="shared" si="19"/>
        <v/>
      </c>
      <c r="AC1215" s="152"/>
      <c r="AD1215" s="153"/>
      <c r="AE1215" s="156"/>
    </row>
    <row r="1216" ht="18.0" customHeight="1">
      <c r="A1216" s="127" t="str">
        <f t="shared" si="15"/>
        <v/>
      </c>
      <c r="B1216" s="128"/>
      <c r="C1216" s="129"/>
      <c r="D1216" s="129"/>
      <c r="E1216" s="325"/>
      <c r="F1216" s="131"/>
      <c r="G1216" s="319"/>
      <c r="H1216" s="319"/>
      <c r="I1216" s="319"/>
      <c r="J1216" s="132"/>
      <c r="K1216" s="319"/>
      <c r="L1216" s="135"/>
      <c r="M1216" s="321"/>
      <c r="N1216" s="322"/>
      <c r="O1216" s="150"/>
      <c r="P1216" s="135"/>
      <c r="Q1216" s="135"/>
      <c r="R1216" s="321"/>
      <c r="S1216" s="322"/>
      <c r="T1216" s="319"/>
      <c r="U1216" s="322"/>
      <c r="V1216" s="322"/>
      <c r="W1216" s="322"/>
      <c r="X1216" s="322"/>
      <c r="Y1216" s="319"/>
      <c r="Z1216" s="136" t="str">
        <f t="shared" si="16"/>
        <v/>
      </c>
      <c r="AA1216" s="137" t="str">
        <f t="shared" si="17"/>
        <v/>
      </c>
      <c r="AB1216" s="138" t="str">
        <f t="shared" si="19"/>
        <v/>
      </c>
      <c r="AC1216" s="322"/>
      <c r="AD1216" s="319"/>
      <c r="AE1216" s="320"/>
    </row>
    <row r="1217" ht="18.0" customHeight="1">
      <c r="A1217" s="118" t="str">
        <f t="shared" si="15"/>
        <v/>
      </c>
      <c r="B1217" s="109"/>
      <c r="C1217" s="119"/>
      <c r="D1217" s="119"/>
      <c r="E1217" s="330"/>
      <c r="F1217" s="121"/>
      <c r="G1217" s="153"/>
      <c r="H1217" s="153"/>
      <c r="I1217" s="153"/>
      <c r="J1217" s="112"/>
      <c r="K1217" s="153"/>
      <c r="L1217" s="114"/>
      <c r="M1217" s="151"/>
      <c r="N1217" s="152"/>
      <c r="O1217" s="150"/>
      <c r="P1217" s="114"/>
      <c r="Q1217" s="114"/>
      <c r="R1217" s="151"/>
      <c r="S1217" s="152"/>
      <c r="T1217" s="153"/>
      <c r="U1217" s="152"/>
      <c r="V1217" s="152"/>
      <c r="W1217" s="152"/>
      <c r="X1217" s="152"/>
      <c r="Y1217" s="153"/>
      <c r="Z1217" s="125" t="str">
        <f t="shared" si="16"/>
        <v/>
      </c>
      <c r="AA1217" s="126" t="str">
        <f t="shared" si="17"/>
        <v/>
      </c>
      <c r="AB1217" s="117" t="str">
        <f t="shared" si="19"/>
        <v/>
      </c>
      <c r="AC1217" s="152"/>
      <c r="AD1217" s="153"/>
      <c r="AE1217" s="156"/>
    </row>
    <row r="1218" ht="18.0" customHeight="1">
      <c r="A1218" s="127" t="str">
        <f t="shared" si="15"/>
        <v/>
      </c>
      <c r="B1218" s="128"/>
      <c r="C1218" s="129"/>
      <c r="D1218" s="129"/>
      <c r="E1218" s="325"/>
      <c r="F1218" s="131"/>
      <c r="G1218" s="319"/>
      <c r="H1218" s="319"/>
      <c r="I1218" s="319"/>
      <c r="J1218" s="132"/>
      <c r="K1218" s="319"/>
      <c r="L1218" s="135"/>
      <c r="M1218" s="321"/>
      <c r="N1218" s="322"/>
      <c r="O1218" s="150"/>
      <c r="P1218" s="135"/>
      <c r="Q1218" s="135"/>
      <c r="R1218" s="321"/>
      <c r="S1218" s="322"/>
      <c r="T1218" s="319"/>
      <c r="U1218" s="322"/>
      <c r="V1218" s="322"/>
      <c r="W1218" s="322"/>
      <c r="X1218" s="322"/>
      <c r="Y1218" s="319"/>
      <c r="Z1218" s="136" t="str">
        <f t="shared" si="16"/>
        <v/>
      </c>
      <c r="AA1218" s="137" t="str">
        <f t="shared" si="17"/>
        <v/>
      </c>
      <c r="AB1218" s="138" t="str">
        <f t="shared" si="19"/>
        <v/>
      </c>
      <c r="AC1218" s="322"/>
      <c r="AD1218" s="319"/>
      <c r="AE1218" s="320"/>
    </row>
    <row r="1219" ht="18.0" customHeight="1">
      <c r="A1219" s="118" t="str">
        <f t="shared" si="15"/>
        <v/>
      </c>
      <c r="B1219" s="109"/>
      <c r="C1219" s="119"/>
      <c r="D1219" s="119"/>
      <c r="E1219" s="330"/>
      <c r="F1219" s="121"/>
      <c r="G1219" s="153"/>
      <c r="H1219" s="153"/>
      <c r="I1219" s="153"/>
      <c r="J1219" s="112"/>
      <c r="K1219" s="153"/>
      <c r="L1219" s="114"/>
      <c r="M1219" s="151"/>
      <c r="N1219" s="152"/>
      <c r="O1219" s="150"/>
      <c r="P1219" s="114"/>
      <c r="Q1219" s="114"/>
      <c r="R1219" s="151"/>
      <c r="S1219" s="152"/>
      <c r="T1219" s="153"/>
      <c r="U1219" s="152"/>
      <c r="V1219" s="152"/>
      <c r="W1219" s="152"/>
      <c r="X1219" s="152"/>
      <c r="Y1219" s="153"/>
      <c r="Z1219" s="125" t="str">
        <f t="shared" si="16"/>
        <v/>
      </c>
      <c r="AA1219" s="126" t="str">
        <f t="shared" si="17"/>
        <v/>
      </c>
      <c r="AB1219" s="117" t="str">
        <f t="shared" si="19"/>
        <v/>
      </c>
      <c r="AC1219" s="152"/>
      <c r="AD1219" s="153"/>
      <c r="AE1219" s="156"/>
    </row>
    <row r="1220" ht="18.0" customHeight="1">
      <c r="A1220" s="127" t="str">
        <f t="shared" si="15"/>
        <v/>
      </c>
      <c r="B1220" s="128"/>
      <c r="C1220" s="129"/>
      <c r="D1220" s="129"/>
      <c r="E1220" s="325"/>
      <c r="F1220" s="131"/>
      <c r="G1220" s="319"/>
      <c r="H1220" s="319"/>
      <c r="I1220" s="319"/>
      <c r="J1220" s="132"/>
      <c r="K1220" s="319"/>
      <c r="L1220" s="135"/>
      <c r="M1220" s="321"/>
      <c r="N1220" s="322"/>
      <c r="O1220" s="150"/>
      <c r="P1220" s="135"/>
      <c r="Q1220" s="135"/>
      <c r="R1220" s="321"/>
      <c r="S1220" s="322"/>
      <c r="T1220" s="319"/>
      <c r="U1220" s="322"/>
      <c r="V1220" s="322"/>
      <c r="W1220" s="322"/>
      <c r="X1220" s="322"/>
      <c r="Y1220" s="319"/>
      <c r="Z1220" s="136" t="str">
        <f t="shared" si="16"/>
        <v/>
      </c>
      <c r="AA1220" s="137" t="str">
        <f t="shared" si="17"/>
        <v/>
      </c>
      <c r="AB1220" s="138" t="str">
        <f t="shared" si="19"/>
        <v/>
      </c>
      <c r="AC1220" s="322"/>
      <c r="AD1220" s="319"/>
      <c r="AE1220" s="320"/>
    </row>
    <row r="1221" ht="18.0" customHeight="1">
      <c r="A1221" s="118" t="str">
        <f t="shared" si="15"/>
        <v/>
      </c>
      <c r="B1221" s="109"/>
      <c r="C1221" s="119"/>
      <c r="D1221" s="119"/>
      <c r="E1221" s="330"/>
      <c r="F1221" s="121"/>
      <c r="G1221" s="153"/>
      <c r="H1221" s="153"/>
      <c r="I1221" s="153"/>
      <c r="J1221" s="112"/>
      <c r="K1221" s="153"/>
      <c r="L1221" s="114"/>
      <c r="M1221" s="151"/>
      <c r="N1221" s="152"/>
      <c r="O1221" s="150"/>
      <c r="P1221" s="114"/>
      <c r="Q1221" s="114"/>
      <c r="R1221" s="151"/>
      <c r="S1221" s="152"/>
      <c r="T1221" s="153"/>
      <c r="U1221" s="152"/>
      <c r="V1221" s="152"/>
      <c r="W1221" s="152"/>
      <c r="X1221" s="152"/>
      <c r="Y1221" s="153"/>
      <c r="Z1221" s="125" t="str">
        <f t="shared" si="16"/>
        <v/>
      </c>
      <c r="AA1221" s="126" t="str">
        <f t="shared" si="17"/>
        <v/>
      </c>
      <c r="AB1221" s="117" t="str">
        <f t="shared" si="19"/>
        <v/>
      </c>
      <c r="AC1221" s="152"/>
      <c r="AD1221" s="153"/>
      <c r="AE1221" s="156"/>
    </row>
    <row r="1222" ht="18.0" customHeight="1">
      <c r="A1222" s="127" t="str">
        <f t="shared" si="15"/>
        <v/>
      </c>
      <c r="B1222" s="128"/>
      <c r="C1222" s="129"/>
      <c r="D1222" s="129"/>
      <c r="E1222" s="325"/>
      <c r="F1222" s="131"/>
      <c r="G1222" s="319"/>
      <c r="H1222" s="319"/>
      <c r="I1222" s="319"/>
      <c r="J1222" s="132"/>
      <c r="K1222" s="319"/>
      <c r="L1222" s="135"/>
      <c r="M1222" s="321"/>
      <c r="N1222" s="322"/>
      <c r="O1222" s="150"/>
      <c r="P1222" s="135"/>
      <c r="Q1222" s="135"/>
      <c r="R1222" s="321"/>
      <c r="S1222" s="322"/>
      <c r="T1222" s="319"/>
      <c r="U1222" s="322"/>
      <c r="V1222" s="322"/>
      <c r="W1222" s="322"/>
      <c r="X1222" s="322"/>
      <c r="Y1222" s="319"/>
      <c r="Z1222" s="136" t="str">
        <f t="shared" si="16"/>
        <v/>
      </c>
      <c r="AA1222" s="137" t="str">
        <f t="shared" si="17"/>
        <v/>
      </c>
      <c r="AB1222" s="138" t="str">
        <f t="shared" si="19"/>
        <v/>
      </c>
      <c r="AC1222" s="322"/>
      <c r="AD1222" s="319"/>
      <c r="AE1222" s="320"/>
    </row>
    <row r="1223" ht="18.0" customHeight="1">
      <c r="A1223" s="118" t="str">
        <f t="shared" si="15"/>
        <v/>
      </c>
      <c r="B1223" s="109"/>
      <c r="C1223" s="119"/>
      <c r="D1223" s="119"/>
      <c r="E1223" s="330"/>
      <c r="F1223" s="121"/>
      <c r="G1223" s="153"/>
      <c r="H1223" s="153"/>
      <c r="I1223" s="153"/>
      <c r="J1223" s="112"/>
      <c r="K1223" s="153"/>
      <c r="L1223" s="114"/>
      <c r="M1223" s="151"/>
      <c r="N1223" s="152"/>
      <c r="O1223" s="150"/>
      <c r="P1223" s="114"/>
      <c r="Q1223" s="114"/>
      <c r="R1223" s="151"/>
      <c r="S1223" s="152"/>
      <c r="T1223" s="153"/>
      <c r="U1223" s="152"/>
      <c r="V1223" s="152"/>
      <c r="W1223" s="152"/>
      <c r="X1223" s="152"/>
      <c r="Y1223" s="153"/>
      <c r="Z1223" s="125" t="str">
        <f t="shared" si="16"/>
        <v/>
      </c>
      <c r="AA1223" s="126" t="str">
        <f t="shared" si="17"/>
        <v/>
      </c>
      <c r="AB1223" s="117" t="str">
        <f t="shared" si="19"/>
        <v/>
      </c>
      <c r="AC1223" s="152"/>
      <c r="AD1223" s="153"/>
      <c r="AE1223" s="156"/>
    </row>
    <row r="1224" ht="18.0" customHeight="1">
      <c r="A1224" s="127" t="str">
        <f t="shared" si="15"/>
        <v/>
      </c>
      <c r="B1224" s="128"/>
      <c r="C1224" s="129"/>
      <c r="D1224" s="129"/>
      <c r="E1224" s="325"/>
      <c r="F1224" s="131"/>
      <c r="G1224" s="319"/>
      <c r="H1224" s="319"/>
      <c r="I1224" s="319"/>
      <c r="J1224" s="132"/>
      <c r="K1224" s="319"/>
      <c r="L1224" s="135"/>
      <c r="M1224" s="321"/>
      <c r="N1224" s="322"/>
      <c r="O1224" s="150"/>
      <c r="P1224" s="135"/>
      <c r="Q1224" s="135"/>
      <c r="R1224" s="321"/>
      <c r="S1224" s="322"/>
      <c r="T1224" s="319"/>
      <c r="U1224" s="322"/>
      <c r="V1224" s="322"/>
      <c r="W1224" s="322"/>
      <c r="X1224" s="322"/>
      <c r="Y1224" s="319"/>
      <c r="Z1224" s="136" t="str">
        <f t="shared" si="16"/>
        <v/>
      </c>
      <c r="AA1224" s="137" t="str">
        <f t="shared" si="17"/>
        <v/>
      </c>
      <c r="AB1224" s="138" t="str">
        <f t="shared" si="19"/>
        <v/>
      </c>
      <c r="AC1224" s="322"/>
      <c r="AD1224" s="319"/>
      <c r="AE1224" s="320"/>
    </row>
    <row r="1225" ht="18.0" customHeight="1">
      <c r="A1225" s="118" t="str">
        <f t="shared" si="15"/>
        <v/>
      </c>
      <c r="B1225" s="109"/>
      <c r="C1225" s="119"/>
      <c r="D1225" s="119"/>
      <c r="E1225" s="330"/>
      <c r="F1225" s="121"/>
      <c r="G1225" s="153"/>
      <c r="H1225" s="153"/>
      <c r="I1225" s="153"/>
      <c r="J1225" s="112"/>
      <c r="K1225" s="153"/>
      <c r="L1225" s="114"/>
      <c r="M1225" s="151"/>
      <c r="N1225" s="152"/>
      <c r="O1225" s="150"/>
      <c r="P1225" s="114"/>
      <c r="Q1225" s="114"/>
      <c r="R1225" s="151"/>
      <c r="S1225" s="152"/>
      <c r="T1225" s="153"/>
      <c r="U1225" s="152"/>
      <c r="V1225" s="152"/>
      <c r="W1225" s="152"/>
      <c r="X1225" s="152"/>
      <c r="Y1225" s="153"/>
      <c r="Z1225" s="125" t="str">
        <f t="shared" si="16"/>
        <v/>
      </c>
      <c r="AA1225" s="126" t="str">
        <f t="shared" si="17"/>
        <v/>
      </c>
      <c r="AB1225" s="117" t="str">
        <f t="shared" si="19"/>
        <v/>
      </c>
      <c r="AC1225" s="152"/>
      <c r="AD1225" s="153"/>
      <c r="AE1225" s="156"/>
    </row>
    <row r="1226" ht="18.0" customHeight="1">
      <c r="A1226" s="127" t="str">
        <f t="shared" si="15"/>
        <v/>
      </c>
      <c r="B1226" s="128"/>
      <c r="C1226" s="129"/>
      <c r="D1226" s="129"/>
      <c r="E1226" s="325"/>
      <c r="F1226" s="131"/>
      <c r="G1226" s="319"/>
      <c r="H1226" s="319"/>
      <c r="I1226" s="319"/>
      <c r="J1226" s="132"/>
      <c r="K1226" s="319"/>
      <c r="L1226" s="135"/>
      <c r="M1226" s="321"/>
      <c r="N1226" s="322"/>
      <c r="O1226" s="150"/>
      <c r="P1226" s="135"/>
      <c r="Q1226" s="135"/>
      <c r="R1226" s="321"/>
      <c r="S1226" s="322"/>
      <c r="T1226" s="319"/>
      <c r="U1226" s="322"/>
      <c r="V1226" s="322"/>
      <c r="W1226" s="322"/>
      <c r="X1226" s="322"/>
      <c r="Y1226" s="319"/>
      <c r="Z1226" s="136" t="str">
        <f t="shared" si="16"/>
        <v/>
      </c>
      <c r="AA1226" s="137" t="str">
        <f t="shared" si="17"/>
        <v/>
      </c>
      <c r="AB1226" s="138" t="str">
        <f t="shared" si="19"/>
        <v/>
      </c>
      <c r="AC1226" s="322"/>
      <c r="AD1226" s="319"/>
      <c r="AE1226" s="320"/>
    </row>
    <row r="1227" ht="18.0" customHeight="1">
      <c r="A1227" s="118" t="str">
        <f t="shared" si="15"/>
        <v/>
      </c>
      <c r="B1227" s="109"/>
      <c r="C1227" s="119"/>
      <c r="D1227" s="119"/>
      <c r="E1227" s="330"/>
      <c r="F1227" s="121"/>
      <c r="G1227" s="153"/>
      <c r="H1227" s="153"/>
      <c r="I1227" s="153"/>
      <c r="J1227" s="112"/>
      <c r="K1227" s="153"/>
      <c r="L1227" s="114"/>
      <c r="M1227" s="151"/>
      <c r="N1227" s="152"/>
      <c r="O1227" s="150"/>
      <c r="P1227" s="114"/>
      <c r="Q1227" s="114"/>
      <c r="R1227" s="151"/>
      <c r="S1227" s="152"/>
      <c r="T1227" s="153"/>
      <c r="U1227" s="152"/>
      <c r="V1227" s="152"/>
      <c r="W1227" s="152"/>
      <c r="X1227" s="152"/>
      <c r="Y1227" s="153"/>
      <c r="Z1227" s="125" t="str">
        <f t="shared" si="16"/>
        <v/>
      </c>
      <c r="AA1227" s="126" t="str">
        <f t="shared" si="17"/>
        <v/>
      </c>
      <c r="AB1227" s="117" t="str">
        <f t="shared" si="19"/>
        <v/>
      </c>
      <c r="AC1227" s="152"/>
      <c r="AD1227" s="153"/>
      <c r="AE1227" s="156"/>
    </row>
    <row r="1228" ht="18.0" customHeight="1">
      <c r="A1228" s="127" t="str">
        <f t="shared" si="15"/>
        <v/>
      </c>
      <c r="B1228" s="128"/>
      <c r="C1228" s="129"/>
      <c r="D1228" s="129"/>
      <c r="E1228" s="325"/>
      <c r="F1228" s="131"/>
      <c r="G1228" s="319"/>
      <c r="H1228" s="319"/>
      <c r="I1228" s="319"/>
      <c r="J1228" s="132"/>
      <c r="K1228" s="319"/>
      <c r="L1228" s="135"/>
      <c r="M1228" s="321"/>
      <c r="N1228" s="322"/>
      <c r="O1228" s="150"/>
      <c r="P1228" s="135"/>
      <c r="Q1228" s="135"/>
      <c r="R1228" s="321"/>
      <c r="S1228" s="322"/>
      <c r="T1228" s="319"/>
      <c r="U1228" s="322"/>
      <c r="V1228" s="322"/>
      <c r="W1228" s="322"/>
      <c r="X1228" s="322"/>
      <c r="Y1228" s="319"/>
      <c r="Z1228" s="136" t="str">
        <f t="shared" si="16"/>
        <v/>
      </c>
      <c r="AA1228" s="137" t="str">
        <f t="shared" si="17"/>
        <v/>
      </c>
      <c r="AB1228" s="138" t="str">
        <f t="shared" si="19"/>
        <v/>
      </c>
      <c r="AC1228" s="322"/>
      <c r="AD1228" s="319"/>
      <c r="AE1228" s="320"/>
    </row>
    <row r="1229" ht="18.0" customHeight="1">
      <c r="A1229" s="118" t="str">
        <f t="shared" si="15"/>
        <v/>
      </c>
      <c r="B1229" s="109"/>
      <c r="C1229" s="119"/>
      <c r="D1229" s="119"/>
      <c r="E1229" s="330"/>
      <c r="F1229" s="121"/>
      <c r="G1229" s="153"/>
      <c r="H1229" s="153"/>
      <c r="I1229" s="153"/>
      <c r="J1229" s="112"/>
      <c r="K1229" s="153"/>
      <c r="L1229" s="114"/>
      <c r="M1229" s="151"/>
      <c r="N1229" s="152"/>
      <c r="O1229" s="150"/>
      <c r="P1229" s="114"/>
      <c r="Q1229" s="114"/>
      <c r="R1229" s="151"/>
      <c r="S1229" s="152"/>
      <c r="T1229" s="153"/>
      <c r="U1229" s="152"/>
      <c r="V1229" s="152"/>
      <c r="W1229" s="152"/>
      <c r="X1229" s="152"/>
      <c r="Y1229" s="153"/>
      <c r="Z1229" s="125" t="str">
        <f t="shared" si="16"/>
        <v/>
      </c>
      <c r="AA1229" s="126" t="str">
        <f t="shared" si="17"/>
        <v/>
      </c>
      <c r="AB1229" s="117" t="str">
        <f t="shared" si="19"/>
        <v/>
      </c>
      <c r="AC1229" s="152"/>
      <c r="AD1229" s="153"/>
      <c r="AE1229" s="156"/>
    </row>
    <row r="1230" ht="18.0" customHeight="1">
      <c r="A1230" s="127" t="str">
        <f t="shared" si="15"/>
        <v/>
      </c>
      <c r="B1230" s="128"/>
      <c r="C1230" s="129"/>
      <c r="D1230" s="129"/>
      <c r="E1230" s="325"/>
      <c r="F1230" s="131"/>
      <c r="G1230" s="319"/>
      <c r="H1230" s="319"/>
      <c r="I1230" s="319"/>
      <c r="J1230" s="132"/>
      <c r="K1230" s="319"/>
      <c r="L1230" s="135"/>
      <c r="M1230" s="321"/>
      <c r="N1230" s="322"/>
      <c r="O1230" s="150"/>
      <c r="P1230" s="135"/>
      <c r="Q1230" s="135"/>
      <c r="R1230" s="321"/>
      <c r="S1230" s="322"/>
      <c r="T1230" s="319"/>
      <c r="U1230" s="322"/>
      <c r="V1230" s="322"/>
      <c r="W1230" s="322"/>
      <c r="X1230" s="322"/>
      <c r="Y1230" s="319"/>
      <c r="Z1230" s="136" t="str">
        <f t="shared" si="16"/>
        <v/>
      </c>
      <c r="AA1230" s="137" t="str">
        <f t="shared" si="17"/>
        <v/>
      </c>
      <c r="AB1230" s="138" t="str">
        <f t="shared" si="19"/>
        <v/>
      </c>
      <c r="AC1230" s="322"/>
      <c r="AD1230" s="319"/>
      <c r="AE1230" s="320"/>
    </row>
    <row r="1231" ht="18.0" customHeight="1">
      <c r="A1231" s="118" t="str">
        <f t="shared" si="15"/>
        <v/>
      </c>
      <c r="B1231" s="109"/>
      <c r="C1231" s="119"/>
      <c r="D1231" s="119"/>
      <c r="E1231" s="330"/>
      <c r="F1231" s="121"/>
      <c r="G1231" s="153"/>
      <c r="H1231" s="153"/>
      <c r="I1231" s="153"/>
      <c r="J1231" s="112"/>
      <c r="K1231" s="153"/>
      <c r="L1231" s="114"/>
      <c r="M1231" s="151"/>
      <c r="N1231" s="152"/>
      <c r="O1231" s="150"/>
      <c r="P1231" s="114"/>
      <c r="Q1231" s="114"/>
      <c r="R1231" s="151"/>
      <c r="S1231" s="152"/>
      <c r="T1231" s="153"/>
      <c r="U1231" s="152"/>
      <c r="V1231" s="152"/>
      <c r="W1231" s="152"/>
      <c r="X1231" s="152"/>
      <c r="Y1231" s="153"/>
      <c r="Z1231" s="125" t="str">
        <f t="shared" si="16"/>
        <v/>
      </c>
      <c r="AA1231" s="126" t="str">
        <f t="shared" si="17"/>
        <v/>
      </c>
      <c r="AB1231" s="117" t="str">
        <f t="shared" si="19"/>
        <v/>
      </c>
      <c r="AC1231" s="152"/>
      <c r="AD1231" s="153"/>
      <c r="AE1231" s="156"/>
    </row>
    <row r="1232" ht="18.0" customHeight="1">
      <c r="A1232" s="127" t="str">
        <f t="shared" si="15"/>
        <v/>
      </c>
      <c r="B1232" s="128"/>
      <c r="C1232" s="129"/>
      <c r="D1232" s="129"/>
      <c r="E1232" s="325"/>
      <c r="F1232" s="131"/>
      <c r="G1232" s="319"/>
      <c r="H1232" s="319"/>
      <c r="I1232" s="319"/>
      <c r="J1232" s="132"/>
      <c r="K1232" s="319"/>
      <c r="L1232" s="135"/>
      <c r="M1232" s="321"/>
      <c r="N1232" s="322"/>
      <c r="O1232" s="150"/>
      <c r="P1232" s="135"/>
      <c r="Q1232" s="135"/>
      <c r="R1232" s="321"/>
      <c r="S1232" s="322"/>
      <c r="T1232" s="319"/>
      <c r="U1232" s="322"/>
      <c r="V1232" s="322"/>
      <c r="W1232" s="322"/>
      <c r="X1232" s="322"/>
      <c r="Y1232" s="319"/>
      <c r="Z1232" s="136" t="str">
        <f t="shared" si="16"/>
        <v/>
      </c>
      <c r="AA1232" s="137" t="str">
        <f t="shared" si="17"/>
        <v/>
      </c>
      <c r="AB1232" s="138" t="str">
        <f t="shared" si="19"/>
        <v/>
      </c>
      <c r="AC1232" s="322"/>
      <c r="AD1232" s="319"/>
      <c r="AE1232" s="320"/>
    </row>
    <row r="1233" ht="18.0" customHeight="1">
      <c r="A1233" s="118" t="str">
        <f t="shared" si="15"/>
        <v/>
      </c>
      <c r="B1233" s="109"/>
      <c r="C1233" s="119"/>
      <c r="D1233" s="119"/>
      <c r="E1233" s="330"/>
      <c r="F1233" s="121"/>
      <c r="G1233" s="153"/>
      <c r="H1233" s="153"/>
      <c r="I1233" s="153"/>
      <c r="J1233" s="112"/>
      <c r="K1233" s="153"/>
      <c r="L1233" s="114"/>
      <c r="M1233" s="151"/>
      <c r="N1233" s="152"/>
      <c r="O1233" s="150"/>
      <c r="P1233" s="114"/>
      <c r="Q1233" s="114"/>
      <c r="R1233" s="151"/>
      <c r="S1233" s="152"/>
      <c r="T1233" s="153"/>
      <c r="U1233" s="152"/>
      <c r="V1233" s="152"/>
      <c r="W1233" s="152"/>
      <c r="X1233" s="152"/>
      <c r="Y1233" s="153"/>
      <c r="Z1233" s="125" t="str">
        <f t="shared" si="16"/>
        <v/>
      </c>
      <c r="AA1233" s="126" t="str">
        <f t="shared" si="17"/>
        <v/>
      </c>
      <c r="AB1233" s="117" t="str">
        <f t="shared" si="19"/>
        <v/>
      </c>
      <c r="AC1233" s="152"/>
      <c r="AD1233" s="153"/>
      <c r="AE1233" s="156"/>
    </row>
    <row r="1234" ht="18.0" customHeight="1">
      <c r="A1234" s="127" t="str">
        <f t="shared" si="15"/>
        <v/>
      </c>
      <c r="B1234" s="128"/>
      <c r="C1234" s="129"/>
      <c r="D1234" s="129"/>
      <c r="E1234" s="325"/>
      <c r="F1234" s="131"/>
      <c r="G1234" s="319"/>
      <c r="H1234" s="319"/>
      <c r="I1234" s="319"/>
      <c r="J1234" s="132"/>
      <c r="K1234" s="319"/>
      <c r="L1234" s="135"/>
      <c r="M1234" s="321"/>
      <c r="N1234" s="322"/>
      <c r="O1234" s="150"/>
      <c r="P1234" s="135"/>
      <c r="Q1234" s="135"/>
      <c r="R1234" s="321"/>
      <c r="S1234" s="322"/>
      <c r="T1234" s="319"/>
      <c r="U1234" s="322"/>
      <c r="V1234" s="322"/>
      <c r="W1234" s="322"/>
      <c r="X1234" s="322"/>
      <c r="Y1234" s="319"/>
      <c r="Z1234" s="136" t="str">
        <f t="shared" si="16"/>
        <v/>
      </c>
      <c r="AA1234" s="137" t="str">
        <f t="shared" si="17"/>
        <v/>
      </c>
      <c r="AB1234" s="138" t="str">
        <f t="shared" si="19"/>
        <v/>
      </c>
      <c r="AC1234" s="322"/>
      <c r="AD1234" s="319"/>
      <c r="AE1234" s="320"/>
    </row>
    <row r="1235" ht="18.0" customHeight="1">
      <c r="A1235" s="118" t="str">
        <f t="shared" si="15"/>
        <v/>
      </c>
      <c r="B1235" s="109"/>
      <c r="C1235" s="119"/>
      <c r="D1235" s="119"/>
      <c r="E1235" s="330"/>
      <c r="F1235" s="121"/>
      <c r="G1235" s="153"/>
      <c r="H1235" s="153"/>
      <c r="I1235" s="153"/>
      <c r="J1235" s="112"/>
      <c r="K1235" s="153"/>
      <c r="L1235" s="114"/>
      <c r="M1235" s="151"/>
      <c r="N1235" s="152"/>
      <c r="O1235" s="150"/>
      <c r="P1235" s="114"/>
      <c r="Q1235" s="114"/>
      <c r="R1235" s="151"/>
      <c r="S1235" s="152"/>
      <c r="T1235" s="153"/>
      <c r="U1235" s="152"/>
      <c r="V1235" s="152"/>
      <c r="W1235" s="152"/>
      <c r="X1235" s="152"/>
      <c r="Y1235" s="153"/>
      <c r="Z1235" s="125" t="str">
        <f t="shared" si="16"/>
        <v/>
      </c>
      <c r="AA1235" s="126" t="str">
        <f t="shared" si="17"/>
        <v/>
      </c>
      <c r="AB1235" s="117" t="str">
        <f t="shared" si="19"/>
        <v/>
      </c>
      <c r="AC1235" s="152"/>
      <c r="AD1235" s="153"/>
      <c r="AE1235" s="156"/>
    </row>
    <row r="1236" ht="18.0" customHeight="1">
      <c r="A1236" s="127" t="str">
        <f t="shared" si="15"/>
        <v/>
      </c>
      <c r="B1236" s="128"/>
      <c r="C1236" s="129"/>
      <c r="D1236" s="129"/>
      <c r="E1236" s="325"/>
      <c r="F1236" s="131"/>
      <c r="G1236" s="319"/>
      <c r="H1236" s="319"/>
      <c r="I1236" s="319"/>
      <c r="J1236" s="132"/>
      <c r="K1236" s="319"/>
      <c r="L1236" s="135"/>
      <c r="M1236" s="321"/>
      <c r="N1236" s="322"/>
      <c r="O1236" s="150"/>
      <c r="P1236" s="135"/>
      <c r="Q1236" s="135"/>
      <c r="R1236" s="321"/>
      <c r="S1236" s="322"/>
      <c r="T1236" s="319"/>
      <c r="U1236" s="322"/>
      <c r="V1236" s="322"/>
      <c r="W1236" s="322"/>
      <c r="X1236" s="322"/>
      <c r="Y1236" s="319"/>
      <c r="Z1236" s="136" t="str">
        <f t="shared" si="16"/>
        <v/>
      </c>
      <c r="AA1236" s="137" t="str">
        <f t="shared" si="17"/>
        <v/>
      </c>
      <c r="AB1236" s="138" t="str">
        <f t="shared" si="19"/>
        <v/>
      </c>
      <c r="AC1236" s="322"/>
      <c r="AD1236" s="319"/>
      <c r="AE1236" s="320"/>
    </row>
    <row r="1237" ht="18.0" customHeight="1">
      <c r="A1237" s="118" t="str">
        <f t="shared" si="15"/>
        <v/>
      </c>
      <c r="B1237" s="109"/>
      <c r="C1237" s="119"/>
      <c r="D1237" s="119"/>
      <c r="E1237" s="330"/>
      <c r="F1237" s="121"/>
      <c r="G1237" s="153"/>
      <c r="H1237" s="153"/>
      <c r="I1237" s="153"/>
      <c r="J1237" s="112"/>
      <c r="K1237" s="153"/>
      <c r="L1237" s="114"/>
      <c r="M1237" s="151"/>
      <c r="N1237" s="152"/>
      <c r="O1237" s="150"/>
      <c r="P1237" s="114"/>
      <c r="Q1237" s="114"/>
      <c r="R1237" s="151"/>
      <c r="S1237" s="152"/>
      <c r="T1237" s="153"/>
      <c r="U1237" s="152"/>
      <c r="V1237" s="152"/>
      <c r="W1237" s="152"/>
      <c r="X1237" s="152"/>
      <c r="Y1237" s="153"/>
      <c r="Z1237" s="125" t="str">
        <f t="shared" si="16"/>
        <v/>
      </c>
      <c r="AA1237" s="126" t="str">
        <f t="shared" si="17"/>
        <v/>
      </c>
      <c r="AB1237" s="117" t="str">
        <f t="shared" si="19"/>
        <v/>
      </c>
      <c r="AC1237" s="152"/>
      <c r="AD1237" s="153"/>
      <c r="AE1237" s="156"/>
    </row>
    <row r="1238" ht="18.0" customHeight="1">
      <c r="A1238" s="127" t="str">
        <f t="shared" si="15"/>
        <v/>
      </c>
      <c r="B1238" s="128"/>
      <c r="C1238" s="129"/>
      <c r="D1238" s="129"/>
      <c r="E1238" s="325"/>
      <c r="F1238" s="131"/>
      <c r="G1238" s="319"/>
      <c r="H1238" s="319"/>
      <c r="I1238" s="319"/>
      <c r="J1238" s="132"/>
      <c r="K1238" s="319"/>
      <c r="L1238" s="135"/>
      <c r="M1238" s="321"/>
      <c r="N1238" s="322"/>
      <c r="O1238" s="150"/>
      <c r="P1238" s="135"/>
      <c r="Q1238" s="135"/>
      <c r="R1238" s="321"/>
      <c r="S1238" s="322"/>
      <c r="T1238" s="319"/>
      <c r="U1238" s="322"/>
      <c r="V1238" s="322"/>
      <c r="W1238" s="322"/>
      <c r="X1238" s="322"/>
      <c r="Y1238" s="319"/>
      <c r="Z1238" s="136" t="str">
        <f t="shared" si="16"/>
        <v/>
      </c>
      <c r="AA1238" s="137" t="str">
        <f t="shared" si="17"/>
        <v/>
      </c>
      <c r="AB1238" s="138" t="str">
        <f t="shared" si="19"/>
        <v/>
      </c>
      <c r="AC1238" s="322"/>
      <c r="AD1238" s="319"/>
      <c r="AE1238" s="320"/>
    </row>
    <row r="1239" ht="18.0" customHeight="1">
      <c r="A1239" s="118" t="str">
        <f t="shared" si="15"/>
        <v/>
      </c>
      <c r="B1239" s="109"/>
      <c r="C1239" s="119"/>
      <c r="D1239" s="119"/>
      <c r="E1239" s="330"/>
      <c r="F1239" s="121"/>
      <c r="G1239" s="153"/>
      <c r="H1239" s="153"/>
      <c r="I1239" s="153"/>
      <c r="J1239" s="112"/>
      <c r="K1239" s="153"/>
      <c r="L1239" s="114"/>
      <c r="M1239" s="151"/>
      <c r="N1239" s="152"/>
      <c r="O1239" s="150"/>
      <c r="P1239" s="114"/>
      <c r="Q1239" s="114"/>
      <c r="R1239" s="151"/>
      <c r="S1239" s="152"/>
      <c r="T1239" s="153"/>
      <c r="U1239" s="152"/>
      <c r="V1239" s="152"/>
      <c r="W1239" s="152"/>
      <c r="X1239" s="152"/>
      <c r="Y1239" s="153"/>
      <c r="Z1239" s="125" t="str">
        <f t="shared" si="16"/>
        <v/>
      </c>
      <c r="AA1239" s="126" t="str">
        <f t="shared" si="17"/>
        <v/>
      </c>
      <c r="AB1239" s="117" t="str">
        <f t="shared" si="19"/>
        <v/>
      </c>
      <c r="AC1239" s="152"/>
      <c r="AD1239" s="153"/>
      <c r="AE1239" s="156"/>
    </row>
    <row r="1240" ht="18.0" customHeight="1">
      <c r="A1240" s="127" t="str">
        <f t="shared" si="15"/>
        <v/>
      </c>
      <c r="B1240" s="128"/>
      <c r="C1240" s="129"/>
      <c r="D1240" s="129"/>
      <c r="E1240" s="325"/>
      <c r="F1240" s="131"/>
      <c r="G1240" s="319"/>
      <c r="H1240" s="319"/>
      <c r="I1240" s="319"/>
      <c r="J1240" s="132"/>
      <c r="K1240" s="319"/>
      <c r="L1240" s="135"/>
      <c r="M1240" s="321"/>
      <c r="N1240" s="322"/>
      <c r="O1240" s="150"/>
      <c r="P1240" s="135"/>
      <c r="Q1240" s="135"/>
      <c r="R1240" s="321"/>
      <c r="S1240" s="322"/>
      <c r="T1240" s="319"/>
      <c r="U1240" s="322"/>
      <c r="V1240" s="322"/>
      <c r="W1240" s="322"/>
      <c r="X1240" s="322"/>
      <c r="Y1240" s="319"/>
      <c r="Z1240" s="136" t="str">
        <f t="shared" si="16"/>
        <v/>
      </c>
      <c r="AA1240" s="137" t="str">
        <f t="shared" si="17"/>
        <v/>
      </c>
      <c r="AB1240" s="138" t="str">
        <f t="shared" si="19"/>
        <v/>
      </c>
      <c r="AC1240" s="322"/>
      <c r="AD1240" s="319"/>
      <c r="AE1240" s="320"/>
    </row>
    <row r="1241" ht="18.0" customHeight="1">
      <c r="A1241" s="118" t="str">
        <f t="shared" si="15"/>
        <v/>
      </c>
      <c r="B1241" s="109"/>
      <c r="C1241" s="119"/>
      <c r="D1241" s="119"/>
      <c r="E1241" s="330"/>
      <c r="F1241" s="121"/>
      <c r="G1241" s="153"/>
      <c r="H1241" s="153"/>
      <c r="I1241" s="153"/>
      <c r="J1241" s="112"/>
      <c r="K1241" s="153"/>
      <c r="L1241" s="114"/>
      <c r="M1241" s="151"/>
      <c r="N1241" s="152"/>
      <c r="O1241" s="150"/>
      <c r="P1241" s="114"/>
      <c r="Q1241" s="114"/>
      <c r="R1241" s="151"/>
      <c r="S1241" s="152"/>
      <c r="T1241" s="153"/>
      <c r="U1241" s="152"/>
      <c r="V1241" s="152"/>
      <c r="W1241" s="152"/>
      <c r="X1241" s="152"/>
      <c r="Y1241" s="153"/>
      <c r="Z1241" s="125" t="str">
        <f t="shared" si="16"/>
        <v/>
      </c>
      <c r="AA1241" s="126" t="str">
        <f t="shared" si="17"/>
        <v/>
      </c>
      <c r="AB1241" s="117" t="str">
        <f t="shared" si="19"/>
        <v/>
      </c>
      <c r="AC1241" s="152"/>
      <c r="AD1241" s="153"/>
      <c r="AE1241" s="156"/>
    </row>
    <row r="1242" ht="18.0" customHeight="1">
      <c r="A1242" s="127" t="str">
        <f t="shared" si="15"/>
        <v/>
      </c>
      <c r="B1242" s="128"/>
      <c r="C1242" s="129"/>
      <c r="D1242" s="129"/>
      <c r="E1242" s="325"/>
      <c r="F1242" s="131"/>
      <c r="G1242" s="319"/>
      <c r="H1242" s="319"/>
      <c r="I1242" s="319"/>
      <c r="J1242" s="132"/>
      <c r="K1242" s="319"/>
      <c r="L1242" s="135"/>
      <c r="M1242" s="321"/>
      <c r="N1242" s="322"/>
      <c r="O1242" s="150"/>
      <c r="P1242" s="135"/>
      <c r="Q1242" s="135"/>
      <c r="R1242" s="321"/>
      <c r="S1242" s="322"/>
      <c r="T1242" s="319"/>
      <c r="U1242" s="322"/>
      <c r="V1242" s="322"/>
      <c r="W1242" s="322"/>
      <c r="X1242" s="322"/>
      <c r="Y1242" s="319"/>
      <c r="Z1242" s="136" t="str">
        <f t="shared" si="16"/>
        <v/>
      </c>
      <c r="AA1242" s="137" t="str">
        <f t="shared" si="17"/>
        <v/>
      </c>
      <c r="AB1242" s="138" t="str">
        <f t="shared" si="19"/>
        <v/>
      </c>
      <c r="AC1242" s="322"/>
      <c r="AD1242" s="319"/>
      <c r="AE1242" s="320"/>
    </row>
    <row r="1243" ht="18.0" customHeight="1">
      <c r="A1243" s="118" t="str">
        <f t="shared" si="15"/>
        <v/>
      </c>
      <c r="B1243" s="109"/>
      <c r="C1243" s="119"/>
      <c r="D1243" s="119"/>
      <c r="E1243" s="330"/>
      <c r="F1243" s="121"/>
      <c r="G1243" s="153"/>
      <c r="H1243" s="153"/>
      <c r="I1243" s="153"/>
      <c r="J1243" s="112"/>
      <c r="K1243" s="153"/>
      <c r="L1243" s="114"/>
      <c r="M1243" s="151"/>
      <c r="N1243" s="152"/>
      <c r="O1243" s="150"/>
      <c r="P1243" s="114"/>
      <c r="Q1243" s="114"/>
      <c r="R1243" s="151"/>
      <c r="S1243" s="152"/>
      <c r="T1243" s="153"/>
      <c r="U1243" s="152"/>
      <c r="V1243" s="152"/>
      <c r="W1243" s="152"/>
      <c r="X1243" s="152"/>
      <c r="Y1243" s="153"/>
      <c r="Z1243" s="125" t="str">
        <f t="shared" si="16"/>
        <v/>
      </c>
      <c r="AA1243" s="126" t="str">
        <f t="shared" si="17"/>
        <v/>
      </c>
      <c r="AB1243" s="117" t="str">
        <f t="shared" si="19"/>
        <v/>
      </c>
      <c r="AC1243" s="152"/>
      <c r="AD1243" s="153"/>
      <c r="AE1243" s="156"/>
    </row>
    <row r="1244" ht="18.0" customHeight="1">
      <c r="A1244" s="127" t="str">
        <f t="shared" si="15"/>
        <v/>
      </c>
      <c r="B1244" s="128"/>
      <c r="C1244" s="129"/>
      <c r="D1244" s="129"/>
      <c r="E1244" s="325"/>
      <c r="F1244" s="131"/>
      <c r="G1244" s="319"/>
      <c r="H1244" s="319"/>
      <c r="I1244" s="319"/>
      <c r="J1244" s="132"/>
      <c r="K1244" s="319"/>
      <c r="L1244" s="135"/>
      <c r="M1244" s="321"/>
      <c r="N1244" s="322"/>
      <c r="O1244" s="150"/>
      <c r="P1244" s="135"/>
      <c r="Q1244" s="135"/>
      <c r="R1244" s="321"/>
      <c r="S1244" s="322"/>
      <c r="T1244" s="319"/>
      <c r="U1244" s="322"/>
      <c r="V1244" s="322"/>
      <c r="W1244" s="322"/>
      <c r="X1244" s="322"/>
      <c r="Y1244" s="319"/>
      <c r="Z1244" s="136" t="str">
        <f t="shared" si="16"/>
        <v/>
      </c>
      <c r="AA1244" s="137" t="str">
        <f t="shared" si="17"/>
        <v/>
      </c>
      <c r="AB1244" s="138" t="str">
        <f t="shared" si="19"/>
        <v/>
      </c>
      <c r="AC1244" s="322"/>
      <c r="AD1244" s="319"/>
      <c r="AE1244" s="320"/>
    </row>
    <row r="1245" ht="18.0" customHeight="1">
      <c r="A1245" s="118" t="str">
        <f t="shared" si="15"/>
        <v/>
      </c>
      <c r="B1245" s="109"/>
      <c r="C1245" s="119"/>
      <c r="D1245" s="119"/>
      <c r="E1245" s="330"/>
      <c r="F1245" s="121"/>
      <c r="G1245" s="153"/>
      <c r="H1245" s="153"/>
      <c r="I1245" s="153"/>
      <c r="J1245" s="112"/>
      <c r="K1245" s="153"/>
      <c r="L1245" s="114"/>
      <c r="M1245" s="151"/>
      <c r="N1245" s="152"/>
      <c r="O1245" s="150"/>
      <c r="P1245" s="114"/>
      <c r="Q1245" s="114"/>
      <c r="R1245" s="151"/>
      <c r="S1245" s="152"/>
      <c r="T1245" s="153"/>
      <c r="U1245" s="152"/>
      <c r="V1245" s="152"/>
      <c r="W1245" s="152"/>
      <c r="X1245" s="152"/>
      <c r="Y1245" s="153"/>
      <c r="Z1245" s="125" t="str">
        <f t="shared" si="16"/>
        <v/>
      </c>
      <c r="AA1245" s="126" t="str">
        <f t="shared" si="17"/>
        <v/>
      </c>
      <c r="AB1245" s="117" t="str">
        <f t="shared" si="19"/>
        <v/>
      </c>
      <c r="AC1245" s="152"/>
      <c r="AD1245" s="153"/>
      <c r="AE1245" s="156"/>
    </row>
    <row r="1246" ht="18.0" customHeight="1">
      <c r="A1246" s="127" t="str">
        <f t="shared" si="15"/>
        <v/>
      </c>
      <c r="B1246" s="128"/>
      <c r="C1246" s="129"/>
      <c r="D1246" s="129"/>
      <c r="E1246" s="325"/>
      <c r="F1246" s="131"/>
      <c r="G1246" s="319"/>
      <c r="H1246" s="319"/>
      <c r="I1246" s="319"/>
      <c r="J1246" s="132"/>
      <c r="K1246" s="319"/>
      <c r="L1246" s="135"/>
      <c r="M1246" s="321"/>
      <c r="N1246" s="322"/>
      <c r="O1246" s="150"/>
      <c r="P1246" s="135"/>
      <c r="Q1246" s="135"/>
      <c r="R1246" s="321"/>
      <c r="S1246" s="322"/>
      <c r="T1246" s="319"/>
      <c r="U1246" s="322"/>
      <c r="V1246" s="322"/>
      <c r="W1246" s="322"/>
      <c r="X1246" s="322"/>
      <c r="Y1246" s="319"/>
      <c r="Z1246" s="136" t="str">
        <f t="shared" si="16"/>
        <v/>
      </c>
      <c r="AA1246" s="137" t="str">
        <f t="shared" si="17"/>
        <v/>
      </c>
      <c r="AB1246" s="138" t="str">
        <f t="shared" si="19"/>
        <v/>
      </c>
      <c r="AC1246" s="322"/>
      <c r="AD1246" s="319"/>
      <c r="AE1246" s="320"/>
    </row>
    <row r="1247" ht="18.0" customHeight="1">
      <c r="A1247" s="118" t="str">
        <f t="shared" si="15"/>
        <v/>
      </c>
      <c r="B1247" s="109"/>
      <c r="C1247" s="119"/>
      <c r="D1247" s="119"/>
      <c r="E1247" s="330"/>
      <c r="F1247" s="121"/>
      <c r="G1247" s="153"/>
      <c r="H1247" s="153"/>
      <c r="I1247" s="153"/>
      <c r="J1247" s="112"/>
      <c r="K1247" s="153"/>
      <c r="L1247" s="114"/>
      <c r="M1247" s="151"/>
      <c r="N1247" s="152"/>
      <c r="O1247" s="150"/>
      <c r="P1247" s="114"/>
      <c r="Q1247" s="114"/>
      <c r="R1247" s="151"/>
      <c r="S1247" s="152"/>
      <c r="T1247" s="153"/>
      <c r="U1247" s="152"/>
      <c r="V1247" s="152"/>
      <c r="W1247" s="152"/>
      <c r="X1247" s="152"/>
      <c r="Y1247" s="153"/>
      <c r="Z1247" s="125" t="str">
        <f t="shared" si="16"/>
        <v/>
      </c>
      <c r="AA1247" s="126" t="str">
        <f t="shared" si="17"/>
        <v/>
      </c>
      <c r="AB1247" s="117" t="str">
        <f t="shared" si="19"/>
        <v/>
      </c>
      <c r="AC1247" s="152"/>
      <c r="AD1247" s="153"/>
      <c r="AE1247" s="156"/>
    </row>
    <row r="1248" ht="18.0" customHeight="1">
      <c r="A1248" s="127" t="str">
        <f t="shared" si="15"/>
        <v/>
      </c>
      <c r="B1248" s="128"/>
      <c r="C1248" s="129"/>
      <c r="D1248" s="129"/>
      <c r="E1248" s="325"/>
      <c r="F1248" s="131"/>
      <c r="G1248" s="319"/>
      <c r="H1248" s="319"/>
      <c r="I1248" s="319"/>
      <c r="J1248" s="132"/>
      <c r="K1248" s="319"/>
      <c r="L1248" s="135"/>
      <c r="M1248" s="321"/>
      <c r="N1248" s="322"/>
      <c r="O1248" s="150"/>
      <c r="P1248" s="135"/>
      <c r="Q1248" s="135"/>
      <c r="R1248" s="321"/>
      <c r="S1248" s="322"/>
      <c r="T1248" s="319"/>
      <c r="U1248" s="322"/>
      <c r="V1248" s="322"/>
      <c r="W1248" s="322"/>
      <c r="X1248" s="322"/>
      <c r="Y1248" s="319"/>
      <c r="Z1248" s="136" t="str">
        <f t="shared" si="16"/>
        <v/>
      </c>
      <c r="AA1248" s="137" t="str">
        <f t="shared" si="17"/>
        <v/>
      </c>
      <c r="AB1248" s="138" t="str">
        <f t="shared" si="19"/>
        <v/>
      </c>
      <c r="AC1248" s="322"/>
      <c r="AD1248" s="319"/>
      <c r="AE1248" s="320"/>
    </row>
    <row r="1249" ht="18.0" customHeight="1">
      <c r="A1249" s="118" t="str">
        <f t="shared" si="15"/>
        <v/>
      </c>
      <c r="B1249" s="109"/>
      <c r="C1249" s="119"/>
      <c r="D1249" s="119"/>
      <c r="E1249" s="330"/>
      <c r="F1249" s="121"/>
      <c r="G1249" s="153"/>
      <c r="H1249" s="153"/>
      <c r="I1249" s="153"/>
      <c r="J1249" s="112"/>
      <c r="K1249" s="153"/>
      <c r="L1249" s="114"/>
      <c r="M1249" s="151"/>
      <c r="N1249" s="152"/>
      <c r="O1249" s="150"/>
      <c r="P1249" s="114"/>
      <c r="Q1249" s="114"/>
      <c r="R1249" s="151"/>
      <c r="S1249" s="152"/>
      <c r="T1249" s="153"/>
      <c r="U1249" s="152"/>
      <c r="V1249" s="152"/>
      <c r="W1249" s="152"/>
      <c r="X1249" s="152"/>
      <c r="Y1249" s="153"/>
      <c r="Z1249" s="125" t="str">
        <f t="shared" si="16"/>
        <v/>
      </c>
      <c r="AA1249" s="126" t="str">
        <f t="shared" si="17"/>
        <v/>
      </c>
      <c r="AB1249" s="117" t="str">
        <f t="shared" si="19"/>
        <v/>
      </c>
      <c r="AC1249" s="152"/>
      <c r="AD1249" s="153"/>
      <c r="AE1249" s="156"/>
    </row>
    <row r="1250" ht="18.0" customHeight="1">
      <c r="A1250" s="127" t="str">
        <f t="shared" si="15"/>
        <v/>
      </c>
      <c r="B1250" s="128"/>
      <c r="C1250" s="129"/>
      <c r="D1250" s="129"/>
      <c r="E1250" s="325"/>
      <c r="F1250" s="131"/>
      <c r="G1250" s="319"/>
      <c r="H1250" s="319"/>
      <c r="I1250" s="319"/>
      <c r="J1250" s="132"/>
      <c r="K1250" s="319"/>
      <c r="L1250" s="135"/>
      <c r="M1250" s="321"/>
      <c r="N1250" s="322"/>
      <c r="O1250" s="150"/>
      <c r="P1250" s="135"/>
      <c r="Q1250" s="135"/>
      <c r="R1250" s="321"/>
      <c r="S1250" s="322"/>
      <c r="T1250" s="319"/>
      <c r="U1250" s="322"/>
      <c r="V1250" s="322"/>
      <c r="W1250" s="322"/>
      <c r="X1250" s="322"/>
      <c r="Y1250" s="319"/>
      <c r="Z1250" s="136" t="str">
        <f t="shared" si="16"/>
        <v/>
      </c>
      <c r="AA1250" s="137" t="str">
        <f t="shared" si="17"/>
        <v/>
      </c>
      <c r="AB1250" s="138" t="str">
        <f t="shared" si="19"/>
        <v/>
      </c>
      <c r="AC1250" s="322"/>
      <c r="AD1250" s="319"/>
      <c r="AE1250" s="320"/>
    </row>
    <row r="1251" ht="18.0" customHeight="1">
      <c r="A1251" s="118" t="str">
        <f t="shared" si="15"/>
        <v/>
      </c>
      <c r="B1251" s="109"/>
      <c r="C1251" s="119"/>
      <c r="D1251" s="119"/>
      <c r="E1251" s="330"/>
      <c r="F1251" s="121"/>
      <c r="G1251" s="153"/>
      <c r="H1251" s="153"/>
      <c r="I1251" s="153"/>
      <c r="J1251" s="112"/>
      <c r="K1251" s="153"/>
      <c r="L1251" s="114"/>
      <c r="M1251" s="151"/>
      <c r="N1251" s="152"/>
      <c r="O1251" s="150"/>
      <c r="P1251" s="114"/>
      <c r="Q1251" s="114"/>
      <c r="R1251" s="151"/>
      <c r="S1251" s="152"/>
      <c r="T1251" s="153"/>
      <c r="U1251" s="152"/>
      <c r="V1251" s="152"/>
      <c r="W1251" s="152"/>
      <c r="X1251" s="152"/>
      <c r="Y1251" s="153"/>
      <c r="Z1251" s="125" t="str">
        <f t="shared" si="16"/>
        <v/>
      </c>
      <c r="AA1251" s="126" t="str">
        <f t="shared" si="17"/>
        <v/>
      </c>
      <c r="AB1251" s="117" t="str">
        <f t="shared" si="19"/>
        <v/>
      </c>
      <c r="AC1251" s="152"/>
      <c r="AD1251" s="153"/>
      <c r="AE1251" s="156"/>
    </row>
    <row r="1252" ht="18.0" customHeight="1">
      <c r="A1252" s="127" t="str">
        <f t="shared" si="15"/>
        <v/>
      </c>
      <c r="B1252" s="128"/>
      <c r="C1252" s="129"/>
      <c r="D1252" s="129"/>
      <c r="E1252" s="325"/>
      <c r="F1252" s="131"/>
      <c r="G1252" s="319"/>
      <c r="H1252" s="319"/>
      <c r="I1252" s="319"/>
      <c r="J1252" s="132"/>
      <c r="K1252" s="319"/>
      <c r="L1252" s="135"/>
      <c r="M1252" s="321"/>
      <c r="N1252" s="322"/>
      <c r="O1252" s="150"/>
      <c r="P1252" s="135"/>
      <c r="Q1252" s="135"/>
      <c r="R1252" s="321"/>
      <c r="S1252" s="322"/>
      <c r="T1252" s="319"/>
      <c r="U1252" s="322"/>
      <c r="V1252" s="322"/>
      <c r="W1252" s="322"/>
      <c r="X1252" s="322"/>
      <c r="Y1252" s="319"/>
      <c r="Z1252" s="136" t="str">
        <f t="shared" si="16"/>
        <v/>
      </c>
      <c r="AA1252" s="137" t="str">
        <f t="shared" si="17"/>
        <v/>
      </c>
      <c r="AB1252" s="138" t="str">
        <f t="shared" si="19"/>
        <v/>
      </c>
      <c r="AC1252" s="322"/>
      <c r="AD1252" s="319"/>
      <c r="AE1252" s="320"/>
    </row>
    <row r="1253" ht="18.0" customHeight="1">
      <c r="A1253" s="118" t="str">
        <f t="shared" si="15"/>
        <v/>
      </c>
      <c r="B1253" s="109"/>
      <c r="C1253" s="119"/>
      <c r="D1253" s="119"/>
      <c r="E1253" s="330"/>
      <c r="F1253" s="121"/>
      <c r="G1253" s="153"/>
      <c r="H1253" s="153"/>
      <c r="I1253" s="153"/>
      <c r="J1253" s="112"/>
      <c r="K1253" s="153"/>
      <c r="L1253" s="114"/>
      <c r="M1253" s="151"/>
      <c r="N1253" s="152"/>
      <c r="O1253" s="150"/>
      <c r="P1253" s="114"/>
      <c r="Q1253" s="114"/>
      <c r="R1253" s="151"/>
      <c r="S1253" s="152"/>
      <c r="T1253" s="153"/>
      <c r="U1253" s="152"/>
      <c r="V1253" s="152"/>
      <c r="W1253" s="152"/>
      <c r="X1253" s="152"/>
      <c r="Y1253" s="153"/>
      <c r="Z1253" s="125" t="str">
        <f t="shared" si="16"/>
        <v/>
      </c>
      <c r="AA1253" s="126" t="str">
        <f t="shared" si="17"/>
        <v/>
      </c>
      <c r="AB1253" s="117" t="str">
        <f t="shared" si="19"/>
        <v/>
      </c>
      <c r="AC1253" s="152"/>
      <c r="AD1253" s="153"/>
      <c r="AE1253" s="156"/>
    </row>
    <row r="1254" ht="18.0" customHeight="1">
      <c r="A1254" s="127" t="str">
        <f t="shared" si="15"/>
        <v/>
      </c>
      <c r="B1254" s="128"/>
      <c r="C1254" s="129"/>
      <c r="D1254" s="129"/>
      <c r="E1254" s="325"/>
      <c r="F1254" s="131"/>
      <c r="G1254" s="319"/>
      <c r="H1254" s="319"/>
      <c r="I1254" s="319"/>
      <c r="J1254" s="132"/>
      <c r="K1254" s="319"/>
      <c r="L1254" s="135"/>
      <c r="M1254" s="321"/>
      <c r="N1254" s="322"/>
      <c r="O1254" s="150"/>
      <c r="P1254" s="135"/>
      <c r="Q1254" s="135"/>
      <c r="R1254" s="321"/>
      <c r="S1254" s="322"/>
      <c r="T1254" s="319"/>
      <c r="U1254" s="322"/>
      <c r="V1254" s="322"/>
      <c r="W1254" s="322"/>
      <c r="X1254" s="322"/>
      <c r="Y1254" s="319"/>
      <c r="Z1254" s="136" t="str">
        <f t="shared" si="16"/>
        <v/>
      </c>
      <c r="AA1254" s="137" t="str">
        <f t="shared" si="17"/>
        <v/>
      </c>
      <c r="AB1254" s="138" t="str">
        <f t="shared" si="19"/>
        <v/>
      </c>
      <c r="AC1254" s="322"/>
      <c r="AD1254" s="319"/>
      <c r="AE1254" s="320"/>
    </row>
    <row r="1255" ht="18.0" customHeight="1">
      <c r="A1255" s="118" t="str">
        <f t="shared" si="15"/>
        <v/>
      </c>
      <c r="B1255" s="109"/>
      <c r="C1255" s="119"/>
      <c r="D1255" s="119"/>
      <c r="E1255" s="330"/>
      <c r="F1255" s="121"/>
      <c r="G1255" s="153"/>
      <c r="H1255" s="153"/>
      <c r="I1255" s="153"/>
      <c r="J1255" s="112"/>
      <c r="K1255" s="153"/>
      <c r="L1255" s="114"/>
      <c r="M1255" s="151"/>
      <c r="N1255" s="152"/>
      <c r="O1255" s="150"/>
      <c r="P1255" s="114"/>
      <c r="Q1255" s="114"/>
      <c r="R1255" s="151"/>
      <c r="S1255" s="152"/>
      <c r="T1255" s="153"/>
      <c r="U1255" s="152"/>
      <c r="V1255" s="152"/>
      <c r="W1255" s="152"/>
      <c r="X1255" s="152"/>
      <c r="Y1255" s="153"/>
      <c r="Z1255" s="125" t="str">
        <f t="shared" si="16"/>
        <v/>
      </c>
      <c r="AA1255" s="126" t="str">
        <f t="shared" si="17"/>
        <v/>
      </c>
      <c r="AB1255" s="117" t="str">
        <f t="shared" si="19"/>
        <v/>
      </c>
      <c r="AC1255" s="152"/>
      <c r="AD1255" s="153"/>
      <c r="AE1255" s="156"/>
    </row>
    <row r="1256" ht="18.0" customHeight="1">
      <c r="A1256" s="127" t="str">
        <f t="shared" si="15"/>
        <v/>
      </c>
      <c r="B1256" s="128"/>
      <c r="C1256" s="129"/>
      <c r="D1256" s="129"/>
      <c r="E1256" s="325"/>
      <c r="F1256" s="131"/>
      <c r="G1256" s="319"/>
      <c r="H1256" s="319"/>
      <c r="I1256" s="319"/>
      <c r="J1256" s="132"/>
      <c r="K1256" s="319"/>
      <c r="L1256" s="135"/>
      <c r="M1256" s="321"/>
      <c r="N1256" s="322"/>
      <c r="O1256" s="150"/>
      <c r="P1256" s="135"/>
      <c r="Q1256" s="135"/>
      <c r="R1256" s="321"/>
      <c r="S1256" s="322"/>
      <c r="T1256" s="319"/>
      <c r="U1256" s="322"/>
      <c r="V1256" s="322"/>
      <c r="W1256" s="322"/>
      <c r="X1256" s="322"/>
      <c r="Y1256" s="319"/>
      <c r="Z1256" s="136" t="str">
        <f t="shared" si="16"/>
        <v/>
      </c>
      <c r="AA1256" s="137" t="str">
        <f t="shared" si="17"/>
        <v/>
      </c>
      <c r="AB1256" s="138" t="str">
        <f t="shared" si="19"/>
        <v/>
      </c>
      <c r="AC1256" s="322"/>
      <c r="AD1256" s="319"/>
      <c r="AE1256" s="320"/>
    </row>
    <row r="1257" ht="18.0" customHeight="1">
      <c r="A1257" s="118" t="str">
        <f t="shared" si="15"/>
        <v/>
      </c>
      <c r="B1257" s="109"/>
      <c r="C1257" s="119"/>
      <c r="D1257" s="119"/>
      <c r="E1257" s="330"/>
      <c r="F1257" s="121"/>
      <c r="G1257" s="153"/>
      <c r="H1257" s="153"/>
      <c r="I1257" s="153"/>
      <c r="J1257" s="112"/>
      <c r="K1257" s="153"/>
      <c r="L1257" s="114"/>
      <c r="M1257" s="151"/>
      <c r="N1257" s="152"/>
      <c r="O1257" s="150"/>
      <c r="P1257" s="114"/>
      <c r="Q1257" s="114"/>
      <c r="R1257" s="151"/>
      <c r="S1257" s="152"/>
      <c r="T1257" s="153"/>
      <c r="U1257" s="152"/>
      <c r="V1257" s="152"/>
      <c r="W1257" s="152"/>
      <c r="X1257" s="152"/>
      <c r="Y1257" s="153"/>
      <c r="Z1257" s="125" t="str">
        <f t="shared" si="16"/>
        <v/>
      </c>
      <c r="AA1257" s="126" t="str">
        <f t="shared" si="17"/>
        <v/>
      </c>
      <c r="AB1257" s="117" t="str">
        <f t="shared" si="19"/>
        <v/>
      </c>
      <c r="AC1257" s="152"/>
      <c r="AD1257" s="153"/>
      <c r="AE1257" s="156"/>
    </row>
    <row r="1258" ht="18.0" customHeight="1">
      <c r="A1258" s="127" t="str">
        <f t="shared" si="15"/>
        <v/>
      </c>
      <c r="B1258" s="128"/>
      <c r="C1258" s="129"/>
      <c r="D1258" s="129"/>
      <c r="E1258" s="325"/>
      <c r="F1258" s="131"/>
      <c r="G1258" s="319"/>
      <c r="H1258" s="319"/>
      <c r="I1258" s="319"/>
      <c r="J1258" s="132"/>
      <c r="K1258" s="319"/>
      <c r="L1258" s="135"/>
      <c r="M1258" s="321"/>
      <c r="N1258" s="322"/>
      <c r="O1258" s="150"/>
      <c r="P1258" s="135"/>
      <c r="Q1258" s="135"/>
      <c r="R1258" s="321"/>
      <c r="S1258" s="322"/>
      <c r="T1258" s="319"/>
      <c r="U1258" s="322"/>
      <c r="V1258" s="322"/>
      <c r="W1258" s="322"/>
      <c r="X1258" s="322"/>
      <c r="Y1258" s="319"/>
      <c r="Z1258" s="136" t="str">
        <f t="shared" si="16"/>
        <v/>
      </c>
      <c r="AA1258" s="137" t="str">
        <f t="shared" si="17"/>
        <v/>
      </c>
      <c r="AB1258" s="138" t="str">
        <f t="shared" si="19"/>
        <v/>
      </c>
      <c r="AC1258" s="322"/>
      <c r="AD1258" s="319"/>
      <c r="AE1258" s="320"/>
    </row>
    <row r="1259" ht="18.0" customHeight="1">
      <c r="A1259" s="118" t="str">
        <f t="shared" si="15"/>
        <v/>
      </c>
      <c r="B1259" s="109"/>
      <c r="C1259" s="119"/>
      <c r="D1259" s="119"/>
      <c r="E1259" s="330"/>
      <c r="F1259" s="121"/>
      <c r="G1259" s="153"/>
      <c r="H1259" s="153"/>
      <c r="I1259" s="153"/>
      <c r="J1259" s="112"/>
      <c r="K1259" s="153"/>
      <c r="L1259" s="114"/>
      <c r="M1259" s="151"/>
      <c r="N1259" s="152"/>
      <c r="O1259" s="150"/>
      <c r="P1259" s="114"/>
      <c r="Q1259" s="114"/>
      <c r="R1259" s="151"/>
      <c r="S1259" s="152"/>
      <c r="T1259" s="153"/>
      <c r="U1259" s="152"/>
      <c r="V1259" s="152"/>
      <c r="W1259" s="152"/>
      <c r="X1259" s="152"/>
      <c r="Y1259" s="153"/>
      <c r="Z1259" s="125" t="str">
        <f t="shared" si="16"/>
        <v/>
      </c>
      <c r="AA1259" s="126" t="str">
        <f t="shared" si="17"/>
        <v/>
      </c>
      <c r="AB1259" s="117" t="str">
        <f t="shared" si="19"/>
        <v/>
      </c>
      <c r="AC1259" s="152"/>
      <c r="AD1259" s="153"/>
      <c r="AE1259" s="156"/>
    </row>
    <row r="1260" ht="18.0" customHeight="1">
      <c r="A1260" s="127" t="str">
        <f t="shared" si="15"/>
        <v/>
      </c>
      <c r="B1260" s="128"/>
      <c r="C1260" s="129"/>
      <c r="D1260" s="129"/>
      <c r="E1260" s="325"/>
      <c r="F1260" s="131"/>
      <c r="G1260" s="319"/>
      <c r="H1260" s="319"/>
      <c r="I1260" s="319"/>
      <c r="J1260" s="132"/>
      <c r="K1260" s="319"/>
      <c r="L1260" s="135"/>
      <c r="M1260" s="321"/>
      <c r="N1260" s="322"/>
      <c r="O1260" s="150"/>
      <c r="P1260" s="135"/>
      <c r="Q1260" s="135"/>
      <c r="R1260" s="321"/>
      <c r="S1260" s="322"/>
      <c r="T1260" s="319"/>
      <c r="U1260" s="322"/>
      <c r="V1260" s="322"/>
      <c r="W1260" s="322"/>
      <c r="X1260" s="322"/>
      <c r="Y1260" s="319"/>
      <c r="Z1260" s="136" t="str">
        <f t="shared" si="16"/>
        <v/>
      </c>
      <c r="AA1260" s="137" t="str">
        <f t="shared" si="17"/>
        <v/>
      </c>
      <c r="AB1260" s="138" t="str">
        <f t="shared" si="19"/>
        <v/>
      </c>
      <c r="AC1260" s="322"/>
      <c r="AD1260" s="319"/>
      <c r="AE1260" s="320"/>
    </row>
    <row r="1261" ht="18.0" customHeight="1">
      <c r="A1261" s="118" t="str">
        <f t="shared" si="15"/>
        <v/>
      </c>
      <c r="B1261" s="109"/>
      <c r="C1261" s="119"/>
      <c r="D1261" s="119"/>
      <c r="E1261" s="330"/>
      <c r="F1261" s="121"/>
      <c r="G1261" s="153"/>
      <c r="H1261" s="153"/>
      <c r="I1261" s="153"/>
      <c r="J1261" s="112"/>
      <c r="K1261" s="153"/>
      <c r="L1261" s="114"/>
      <c r="M1261" s="151"/>
      <c r="N1261" s="152"/>
      <c r="O1261" s="150"/>
      <c r="P1261" s="114"/>
      <c r="Q1261" s="114"/>
      <c r="R1261" s="151"/>
      <c r="S1261" s="152"/>
      <c r="T1261" s="153"/>
      <c r="U1261" s="152"/>
      <c r="V1261" s="152"/>
      <c r="W1261" s="152"/>
      <c r="X1261" s="152"/>
      <c r="Y1261" s="153"/>
      <c r="Z1261" s="125" t="str">
        <f t="shared" si="16"/>
        <v/>
      </c>
      <c r="AA1261" s="126" t="str">
        <f t="shared" si="17"/>
        <v/>
      </c>
      <c r="AB1261" s="117" t="str">
        <f t="shared" si="19"/>
        <v/>
      </c>
      <c r="AC1261" s="152"/>
      <c r="AD1261" s="153"/>
      <c r="AE1261" s="156"/>
    </row>
    <row r="1262" ht="18.0" customHeight="1">
      <c r="A1262" s="127" t="str">
        <f t="shared" si="15"/>
        <v/>
      </c>
      <c r="B1262" s="128"/>
      <c r="C1262" s="129"/>
      <c r="D1262" s="129"/>
      <c r="E1262" s="325"/>
      <c r="F1262" s="131"/>
      <c r="G1262" s="319"/>
      <c r="H1262" s="319"/>
      <c r="I1262" s="319"/>
      <c r="J1262" s="132"/>
      <c r="K1262" s="319"/>
      <c r="L1262" s="135"/>
      <c r="M1262" s="321"/>
      <c r="N1262" s="322"/>
      <c r="O1262" s="150"/>
      <c r="P1262" s="135"/>
      <c r="Q1262" s="135"/>
      <c r="R1262" s="321"/>
      <c r="S1262" s="322"/>
      <c r="T1262" s="319"/>
      <c r="U1262" s="322"/>
      <c r="V1262" s="322"/>
      <c r="W1262" s="322"/>
      <c r="X1262" s="322"/>
      <c r="Y1262" s="319"/>
      <c r="Z1262" s="136" t="str">
        <f t="shared" si="16"/>
        <v/>
      </c>
      <c r="AA1262" s="137" t="str">
        <f t="shared" si="17"/>
        <v/>
      </c>
      <c r="AB1262" s="138" t="str">
        <f t="shared" si="19"/>
        <v/>
      </c>
      <c r="AC1262" s="322"/>
      <c r="AD1262" s="319"/>
      <c r="AE1262" s="320"/>
    </row>
    <row r="1263" ht="18.0" customHeight="1">
      <c r="A1263" s="118" t="str">
        <f t="shared" si="15"/>
        <v/>
      </c>
      <c r="B1263" s="109"/>
      <c r="C1263" s="119"/>
      <c r="D1263" s="119"/>
      <c r="E1263" s="330"/>
      <c r="F1263" s="121"/>
      <c r="G1263" s="153"/>
      <c r="H1263" s="153"/>
      <c r="I1263" s="153"/>
      <c r="J1263" s="112"/>
      <c r="K1263" s="153"/>
      <c r="L1263" s="114"/>
      <c r="M1263" s="151"/>
      <c r="N1263" s="152"/>
      <c r="O1263" s="150"/>
      <c r="P1263" s="114"/>
      <c r="Q1263" s="114"/>
      <c r="R1263" s="151"/>
      <c r="S1263" s="152"/>
      <c r="T1263" s="153"/>
      <c r="U1263" s="152"/>
      <c r="V1263" s="152"/>
      <c r="W1263" s="152"/>
      <c r="X1263" s="152"/>
      <c r="Y1263" s="153"/>
      <c r="Z1263" s="125" t="str">
        <f t="shared" si="16"/>
        <v/>
      </c>
      <c r="AA1263" s="126" t="str">
        <f t="shared" si="17"/>
        <v/>
      </c>
      <c r="AB1263" s="117" t="str">
        <f t="shared" si="19"/>
        <v/>
      </c>
      <c r="AC1263" s="152"/>
      <c r="AD1263" s="153"/>
      <c r="AE1263" s="156"/>
    </row>
    <row r="1264" ht="18.0" customHeight="1">
      <c r="A1264" s="127" t="str">
        <f t="shared" si="15"/>
        <v/>
      </c>
      <c r="B1264" s="128"/>
      <c r="C1264" s="129"/>
      <c r="D1264" s="129"/>
      <c r="E1264" s="325"/>
      <c r="F1264" s="131"/>
      <c r="G1264" s="319"/>
      <c r="H1264" s="319"/>
      <c r="I1264" s="319"/>
      <c r="J1264" s="132"/>
      <c r="K1264" s="319"/>
      <c r="L1264" s="135"/>
      <c r="M1264" s="321"/>
      <c r="N1264" s="322"/>
      <c r="O1264" s="150"/>
      <c r="P1264" s="135"/>
      <c r="Q1264" s="135"/>
      <c r="R1264" s="321"/>
      <c r="S1264" s="322"/>
      <c r="T1264" s="319"/>
      <c r="U1264" s="322"/>
      <c r="V1264" s="322"/>
      <c r="W1264" s="322"/>
      <c r="X1264" s="322"/>
      <c r="Y1264" s="319"/>
      <c r="Z1264" s="136" t="str">
        <f t="shared" si="16"/>
        <v/>
      </c>
      <c r="AA1264" s="137" t="str">
        <f t="shared" si="17"/>
        <v/>
      </c>
      <c r="AB1264" s="138" t="str">
        <f t="shared" si="19"/>
        <v/>
      </c>
      <c r="AC1264" s="322"/>
      <c r="AD1264" s="319"/>
      <c r="AE1264" s="320"/>
    </row>
    <row r="1265" ht="18.0" customHeight="1">
      <c r="A1265" s="118" t="str">
        <f t="shared" si="15"/>
        <v/>
      </c>
      <c r="B1265" s="109"/>
      <c r="C1265" s="119"/>
      <c r="D1265" s="119"/>
      <c r="E1265" s="330"/>
      <c r="F1265" s="121"/>
      <c r="G1265" s="153"/>
      <c r="H1265" s="153"/>
      <c r="I1265" s="153"/>
      <c r="J1265" s="112"/>
      <c r="K1265" s="153"/>
      <c r="L1265" s="114"/>
      <c r="M1265" s="151"/>
      <c r="N1265" s="152"/>
      <c r="O1265" s="150"/>
      <c r="P1265" s="114"/>
      <c r="Q1265" s="114"/>
      <c r="R1265" s="151"/>
      <c r="S1265" s="152"/>
      <c r="T1265" s="153"/>
      <c r="U1265" s="152"/>
      <c r="V1265" s="152"/>
      <c r="W1265" s="152"/>
      <c r="X1265" s="152"/>
      <c r="Y1265" s="153"/>
      <c r="Z1265" s="125" t="str">
        <f t="shared" si="16"/>
        <v/>
      </c>
      <c r="AA1265" s="126" t="str">
        <f t="shared" si="17"/>
        <v/>
      </c>
      <c r="AB1265" s="117" t="str">
        <f t="shared" si="19"/>
        <v/>
      </c>
      <c r="AC1265" s="152"/>
      <c r="AD1265" s="153"/>
      <c r="AE1265" s="156"/>
    </row>
    <row r="1266" ht="18.0" customHeight="1">
      <c r="A1266" s="127" t="str">
        <f t="shared" si="15"/>
        <v/>
      </c>
      <c r="B1266" s="128"/>
      <c r="C1266" s="129"/>
      <c r="D1266" s="129"/>
      <c r="E1266" s="325"/>
      <c r="F1266" s="131"/>
      <c r="G1266" s="319"/>
      <c r="H1266" s="319"/>
      <c r="I1266" s="319"/>
      <c r="J1266" s="132"/>
      <c r="K1266" s="319"/>
      <c r="L1266" s="135"/>
      <c r="M1266" s="321"/>
      <c r="N1266" s="322"/>
      <c r="O1266" s="150"/>
      <c r="P1266" s="135"/>
      <c r="Q1266" s="135"/>
      <c r="R1266" s="321"/>
      <c r="S1266" s="322"/>
      <c r="T1266" s="319"/>
      <c r="U1266" s="322"/>
      <c r="V1266" s="322"/>
      <c r="W1266" s="322"/>
      <c r="X1266" s="322"/>
      <c r="Y1266" s="319"/>
      <c r="Z1266" s="136" t="str">
        <f t="shared" si="16"/>
        <v/>
      </c>
      <c r="AA1266" s="137" t="str">
        <f t="shared" si="17"/>
        <v/>
      </c>
      <c r="AB1266" s="138" t="str">
        <f t="shared" si="19"/>
        <v/>
      </c>
      <c r="AC1266" s="322"/>
      <c r="AD1266" s="319"/>
      <c r="AE1266" s="320"/>
    </row>
    <row r="1267" ht="18.0" customHeight="1">
      <c r="A1267" s="118" t="str">
        <f t="shared" si="15"/>
        <v/>
      </c>
      <c r="B1267" s="109"/>
      <c r="C1267" s="119"/>
      <c r="D1267" s="119"/>
      <c r="E1267" s="330"/>
      <c r="F1267" s="121"/>
      <c r="G1267" s="153"/>
      <c r="H1267" s="153"/>
      <c r="I1267" s="153"/>
      <c r="J1267" s="112"/>
      <c r="K1267" s="153"/>
      <c r="L1267" s="114"/>
      <c r="M1267" s="151"/>
      <c r="N1267" s="152"/>
      <c r="O1267" s="150"/>
      <c r="P1267" s="114"/>
      <c r="Q1267" s="114"/>
      <c r="R1267" s="151"/>
      <c r="S1267" s="152"/>
      <c r="T1267" s="153"/>
      <c r="U1267" s="152"/>
      <c r="V1267" s="152"/>
      <c r="W1267" s="152"/>
      <c r="X1267" s="152"/>
      <c r="Y1267" s="153"/>
      <c r="Z1267" s="125" t="str">
        <f t="shared" si="16"/>
        <v/>
      </c>
      <c r="AA1267" s="126" t="str">
        <f t="shared" si="17"/>
        <v/>
      </c>
      <c r="AB1267" s="117" t="str">
        <f t="shared" si="19"/>
        <v/>
      </c>
      <c r="AC1267" s="152"/>
      <c r="AD1267" s="153"/>
      <c r="AE1267" s="156"/>
    </row>
    <row r="1268" ht="18.0" customHeight="1">
      <c r="A1268" s="127" t="str">
        <f t="shared" si="15"/>
        <v/>
      </c>
      <c r="B1268" s="128"/>
      <c r="C1268" s="129"/>
      <c r="D1268" s="129"/>
      <c r="E1268" s="325"/>
      <c r="F1268" s="131"/>
      <c r="G1268" s="319"/>
      <c r="H1268" s="319"/>
      <c r="I1268" s="319"/>
      <c r="J1268" s="132"/>
      <c r="K1268" s="319"/>
      <c r="L1268" s="135"/>
      <c r="M1268" s="321"/>
      <c r="N1268" s="322"/>
      <c r="O1268" s="150"/>
      <c r="P1268" s="135"/>
      <c r="Q1268" s="135"/>
      <c r="R1268" s="321"/>
      <c r="S1268" s="322"/>
      <c r="T1268" s="319"/>
      <c r="U1268" s="322"/>
      <c r="V1268" s="322"/>
      <c r="W1268" s="322"/>
      <c r="X1268" s="322"/>
      <c r="Y1268" s="319"/>
      <c r="Z1268" s="136" t="str">
        <f t="shared" si="16"/>
        <v/>
      </c>
      <c r="AA1268" s="137" t="str">
        <f t="shared" si="17"/>
        <v/>
      </c>
      <c r="AB1268" s="138" t="str">
        <f t="shared" si="19"/>
        <v/>
      </c>
      <c r="AC1268" s="322"/>
      <c r="AD1268" s="319"/>
      <c r="AE1268" s="320"/>
    </row>
    <row r="1269" ht="18.0" customHeight="1">
      <c r="A1269" s="118" t="str">
        <f t="shared" si="15"/>
        <v/>
      </c>
      <c r="B1269" s="109"/>
      <c r="C1269" s="119"/>
      <c r="D1269" s="119"/>
      <c r="E1269" s="330"/>
      <c r="F1269" s="121"/>
      <c r="G1269" s="153"/>
      <c r="H1269" s="153"/>
      <c r="I1269" s="153"/>
      <c r="J1269" s="112"/>
      <c r="K1269" s="153"/>
      <c r="L1269" s="114"/>
      <c r="M1269" s="151"/>
      <c r="N1269" s="152"/>
      <c r="O1269" s="150"/>
      <c r="P1269" s="114"/>
      <c r="Q1269" s="114"/>
      <c r="R1269" s="151"/>
      <c r="S1269" s="152"/>
      <c r="T1269" s="153"/>
      <c r="U1269" s="152"/>
      <c r="V1269" s="152"/>
      <c r="W1269" s="152"/>
      <c r="X1269" s="152"/>
      <c r="Y1269" s="153"/>
      <c r="Z1269" s="125" t="str">
        <f t="shared" si="16"/>
        <v/>
      </c>
      <c r="AA1269" s="126" t="str">
        <f t="shared" si="17"/>
        <v/>
      </c>
      <c r="AB1269" s="117" t="str">
        <f t="shared" si="19"/>
        <v/>
      </c>
      <c r="AC1269" s="152"/>
      <c r="AD1269" s="153"/>
      <c r="AE1269" s="156"/>
    </row>
    <row r="1270" ht="18.0" customHeight="1">
      <c r="A1270" s="127" t="str">
        <f t="shared" si="15"/>
        <v/>
      </c>
      <c r="B1270" s="128"/>
      <c r="C1270" s="129"/>
      <c r="D1270" s="129"/>
      <c r="E1270" s="325"/>
      <c r="F1270" s="131"/>
      <c r="G1270" s="319"/>
      <c r="H1270" s="319"/>
      <c r="I1270" s="319"/>
      <c r="J1270" s="132"/>
      <c r="K1270" s="319"/>
      <c r="L1270" s="135"/>
      <c r="M1270" s="321"/>
      <c r="N1270" s="322"/>
      <c r="O1270" s="150"/>
      <c r="P1270" s="135"/>
      <c r="Q1270" s="135"/>
      <c r="R1270" s="321"/>
      <c r="S1270" s="322"/>
      <c r="T1270" s="319"/>
      <c r="U1270" s="322"/>
      <c r="V1270" s="322"/>
      <c r="W1270" s="322"/>
      <c r="X1270" s="322"/>
      <c r="Y1270" s="319"/>
      <c r="Z1270" s="136" t="str">
        <f t="shared" si="16"/>
        <v/>
      </c>
      <c r="AA1270" s="137" t="str">
        <f t="shared" si="17"/>
        <v/>
      </c>
      <c r="AB1270" s="138" t="str">
        <f t="shared" si="19"/>
        <v/>
      </c>
      <c r="AC1270" s="322"/>
      <c r="AD1270" s="319"/>
      <c r="AE1270" s="320"/>
    </row>
    <row r="1271" ht="18.0" customHeight="1">
      <c r="A1271" s="118" t="str">
        <f t="shared" si="15"/>
        <v/>
      </c>
      <c r="B1271" s="109"/>
      <c r="C1271" s="119"/>
      <c r="D1271" s="119"/>
      <c r="E1271" s="330"/>
      <c r="F1271" s="121"/>
      <c r="G1271" s="153"/>
      <c r="H1271" s="153"/>
      <c r="I1271" s="153"/>
      <c r="J1271" s="112"/>
      <c r="K1271" s="153"/>
      <c r="L1271" s="114"/>
      <c r="M1271" s="151"/>
      <c r="N1271" s="152"/>
      <c r="O1271" s="150"/>
      <c r="P1271" s="114"/>
      <c r="Q1271" s="114"/>
      <c r="R1271" s="151"/>
      <c r="S1271" s="152"/>
      <c r="T1271" s="153"/>
      <c r="U1271" s="152"/>
      <c r="V1271" s="152"/>
      <c r="W1271" s="152"/>
      <c r="X1271" s="152"/>
      <c r="Y1271" s="153"/>
      <c r="Z1271" s="125" t="str">
        <f t="shared" si="16"/>
        <v/>
      </c>
      <c r="AA1271" s="126" t="str">
        <f t="shared" si="17"/>
        <v/>
      </c>
      <c r="AB1271" s="117" t="str">
        <f t="shared" si="19"/>
        <v/>
      </c>
      <c r="AC1271" s="152"/>
      <c r="AD1271" s="153"/>
      <c r="AE1271" s="156"/>
    </row>
    <row r="1272" ht="18.0" customHeight="1">
      <c r="A1272" s="127" t="str">
        <f t="shared" si="15"/>
        <v/>
      </c>
      <c r="B1272" s="128"/>
      <c r="C1272" s="129"/>
      <c r="D1272" s="129"/>
      <c r="E1272" s="325"/>
      <c r="F1272" s="131"/>
      <c r="G1272" s="319"/>
      <c r="H1272" s="319"/>
      <c r="I1272" s="319"/>
      <c r="J1272" s="132"/>
      <c r="K1272" s="319"/>
      <c r="L1272" s="135"/>
      <c r="M1272" s="321"/>
      <c r="N1272" s="322"/>
      <c r="O1272" s="150"/>
      <c r="P1272" s="135"/>
      <c r="Q1272" s="135"/>
      <c r="R1272" s="321"/>
      <c r="S1272" s="322"/>
      <c r="T1272" s="319"/>
      <c r="U1272" s="322"/>
      <c r="V1272" s="322"/>
      <c r="W1272" s="322"/>
      <c r="X1272" s="322"/>
      <c r="Y1272" s="319"/>
      <c r="Z1272" s="136" t="str">
        <f t="shared" si="16"/>
        <v/>
      </c>
      <c r="AA1272" s="137" t="str">
        <f t="shared" si="17"/>
        <v/>
      </c>
      <c r="AB1272" s="138" t="str">
        <f t="shared" si="19"/>
        <v/>
      </c>
      <c r="AC1272" s="322"/>
      <c r="AD1272" s="319"/>
      <c r="AE1272" s="320"/>
    </row>
    <row r="1273" ht="18.0" customHeight="1">
      <c r="A1273" s="118" t="str">
        <f t="shared" si="15"/>
        <v/>
      </c>
      <c r="B1273" s="109"/>
      <c r="C1273" s="119"/>
      <c r="D1273" s="119"/>
      <c r="E1273" s="330"/>
      <c r="F1273" s="121"/>
      <c r="G1273" s="153"/>
      <c r="H1273" s="153"/>
      <c r="I1273" s="153"/>
      <c r="J1273" s="112"/>
      <c r="K1273" s="153"/>
      <c r="L1273" s="114"/>
      <c r="M1273" s="151"/>
      <c r="N1273" s="152"/>
      <c r="O1273" s="150"/>
      <c r="P1273" s="114"/>
      <c r="Q1273" s="114"/>
      <c r="R1273" s="151"/>
      <c r="S1273" s="152"/>
      <c r="T1273" s="153"/>
      <c r="U1273" s="152"/>
      <c r="V1273" s="152"/>
      <c r="W1273" s="152"/>
      <c r="X1273" s="152"/>
      <c r="Y1273" s="153"/>
      <c r="Z1273" s="125" t="str">
        <f t="shared" si="16"/>
        <v/>
      </c>
      <c r="AA1273" s="126" t="str">
        <f t="shared" si="17"/>
        <v/>
      </c>
      <c r="AB1273" s="117" t="str">
        <f t="shared" si="19"/>
        <v/>
      </c>
      <c r="AC1273" s="152"/>
      <c r="AD1273" s="153"/>
      <c r="AE1273" s="156"/>
    </row>
    <row r="1274" ht="18.0" customHeight="1">
      <c r="A1274" s="127" t="str">
        <f t="shared" si="15"/>
        <v/>
      </c>
      <c r="B1274" s="128"/>
      <c r="C1274" s="129"/>
      <c r="D1274" s="129"/>
      <c r="E1274" s="325"/>
      <c r="F1274" s="131"/>
      <c r="G1274" s="319"/>
      <c r="H1274" s="319"/>
      <c r="I1274" s="319"/>
      <c r="J1274" s="132"/>
      <c r="K1274" s="319"/>
      <c r="L1274" s="135"/>
      <c r="M1274" s="321"/>
      <c r="N1274" s="322"/>
      <c r="O1274" s="150"/>
      <c r="P1274" s="135"/>
      <c r="Q1274" s="135"/>
      <c r="R1274" s="321"/>
      <c r="S1274" s="322"/>
      <c r="T1274" s="319"/>
      <c r="U1274" s="322"/>
      <c r="V1274" s="322"/>
      <c r="W1274" s="322"/>
      <c r="X1274" s="322"/>
      <c r="Y1274" s="319"/>
      <c r="Z1274" s="136" t="str">
        <f t="shared" si="16"/>
        <v/>
      </c>
      <c r="AA1274" s="137" t="str">
        <f t="shared" si="17"/>
        <v/>
      </c>
      <c r="AB1274" s="138" t="str">
        <f t="shared" si="19"/>
        <v/>
      </c>
      <c r="AC1274" s="322"/>
      <c r="AD1274" s="319"/>
      <c r="AE1274" s="320"/>
    </row>
    <row r="1275" ht="18.0" customHeight="1">
      <c r="A1275" s="118" t="str">
        <f t="shared" si="15"/>
        <v/>
      </c>
      <c r="B1275" s="109"/>
      <c r="C1275" s="119"/>
      <c r="D1275" s="119"/>
      <c r="E1275" s="330"/>
      <c r="F1275" s="121"/>
      <c r="G1275" s="153"/>
      <c r="H1275" s="153"/>
      <c r="I1275" s="153"/>
      <c r="J1275" s="112"/>
      <c r="K1275" s="153"/>
      <c r="L1275" s="114"/>
      <c r="M1275" s="151"/>
      <c r="N1275" s="152"/>
      <c r="O1275" s="150"/>
      <c r="P1275" s="114"/>
      <c r="Q1275" s="114"/>
      <c r="R1275" s="151"/>
      <c r="S1275" s="152"/>
      <c r="T1275" s="153"/>
      <c r="U1275" s="152"/>
      <c r="V1275" s="152"/>
      <c r="W1275" s="152"/>
      <c r="X1275" s="152"/>
      <c r="Y1275" s="153"/>
      <c r="Z1275" s="125" t="str">
        <f t="shared" si="16"/>
        <v/>
      </c>
      <c r="AA1275" s="126" t="str">
        <f t="shared" si="17"/>
        <v/>
      </c>
      <c r="AB1275" s="117" t="str">
        <f t="shared" si="19"/>
        <v/>
      </c>
      <c r="AC1275" s="152"/>
      <c r="AD1275" s="153"/>
      <c r="AE1275" s="156"/>
    </row>
    <row r="1276" ht="18.0" customHeight="1">
      <c r="A1276" s="127" t="str">
        <f t="shared" si="15"/>
        <v/>
      </c>
      <c r="B1276" s="128"/>
      <c r="C1276" s="129"/>
      <c r="D1276" s="129"/>
      <c r="E1276" s="325"/>
      <c r="F1276" s="131"/>
      <c r="G1276" s="319"/>
      <c r="H1276" s="319"/>
      <c r="I1276" s="319"/>
      <c r="J1276" s="132"/>
      <c r="K1276" s="319"/>
      <c r="L1276" s="135"/>
      <c r="M1276" s="321"/>
      <c r="N1276" s="322"/>
      <c r="O1276" s="150"/>
      <c r="P1276" s="135"/>
      <c r="Q1276" s="135"/>
      <c r="R1276" s="321"/>
      <c r="S1276" s="322"/>
      <c r="T1276" s="319"/>
      <c r="U1276" s="322"/>
      <c r="V1276" s="322"/>
      <c r="W1276" s="322"/>
      <c r="X1276" s="322"/>
      <c r="Y1276" s="319"/>
      <c r="Z1276" s="136" t="str">
        <f t="shared" si="16"/>
        <v/>
      </c>
      <c r="AA1276" s="137" t="str">
        <f t="shared" si="17"/>
        <v/>
      </c>
      <c r="AB1276" s="138" t="str">
        <f t="shared" si="19"/>
        <v/>
      </c>
      <c r="AC1276" s="322"/>
      <c r="AD1276" s="319"/>
      <c r="AE1276" s="320"/>
    </row>
    <row r="1277" ht="18.0" customHeight="1">
      <c r="A1277" s="118" t="str">
        <f t="shared" si="15"/>
        <v/>
      </c>
      <c r="B1277" s="109"/>
      <c r="C1277" s="119"/>
      <c r="D1277" s="119"/>
      <c r="E1277" s="330"/>
      <c r="F1277" s="121"/>
      <c r="G1277" s="153"/>
      <c r="H1277" s="153"/>
      <c r="I1277" s="153"/>
      <c r="J1277" s="112"/>
      <c r="K1277" s="153"/>
      <c r="L1277" s="114"/>
      <c r="M1277" s="151"/>
      <c r="N1277" s="152"/>
      <c r="O1277" s="150"/>
      <c r="P1277" s="114"/>
      <c r="Q1277" s="114"/>
      <c r="R1277" s="151"/>
      <c r="S1277" s="152"/>
      <c r="T1277" s="153"/>
      <c r="U1277" s="152"/>
      <c r="V1277" s="152"/>
      <c r="W1277" s="152"/>
      <c r="X1277" s="152"/>
      <c r="Y1277" s="153"/>
      <c r="Z1277" s="125" t="str">
        <f t="shared" si="16"/>
        <v/>
      </c>
      <c r="AA1277" s="126" t="str">
        <f t="shared" si="17"/>
        <v/>
      </c>
      <c r="AB1277" s="117" t="str">
        <f t="shared" si="19"/>
        <v/>
      </c>
      <c r="AC1277" s="152"/>
      <c r="AD1277" s="153"/>
      <c r="AE1277" s="156"/>
    </row>
    <row r="1278" ht="18.0" customHeight="1">
      <c r="A1278" s="127" t="str">
        <f t="shared" si="15"/>
        <v/>
      </c>
      <c r="B1278" s="128"/>
      <c r="C1278" s="129"/>
      <c r="D1278" s="129"/>
      <c r="E1278" s="325"/>
      <c r="F1278" s="131"/>
      <c r="G1278" s="319"/>
      <c r="H1278" s="319"/>
      <c r="I1278" s="319"/>
      <c r="J1278" s="132"/>
      <c r="K1278" s="319"/>
      <c r="L1278" s="135"/>
      <c r="M1278" s="321"/>
      <c r="N1278" s="322"/>
      <c r="O1278" s="150"/>
      <c r="P1278" s="135"/>
      <c r="Q1278" s="135"/>
      <c r="R1278" s="321"/>
      <c r="S1278" s="322"/>
      <c r="T1278" s="319"/>
      <c r="U1278" s="322"/>
      <c r="V1278" s="322"/>
      <c r="W1278" s="322"/>
      <c r="X1278" s="322"/>
      <c r="Y1278" s="319"/>
      <c r="Z1278" s="136" t="str">
        <f t="shared" si="16"/>
        <v/>
      </c>
      <c r="AA1278" s="137" t="str">
        <f t="shared" si="17"/>
        <v/>
      </c>
      <c r="AB1278" s="138" t="str">
        <f t="shared" si="19"/>
        <v/>
      </c>
      <c r="AC1278" s="322"/>
      <c r="AD1278" s="319"/>
      <c r="AE1278" s="320"/>
    </row>
    <row r="1279" ht="18.0" customHeight="1">
      <c r="A1279" s="118" t="str">
        <f t="shared" si="15"/>
        <v/>
      </c>
      <c r="B1279" s="109"/>
      <c r="C1279" s="119"/>
      <c r="D1279" s="119"/>
      <c r="E1279" s="330"/>
      <c r="F1279" s="121"/>
      <c r="G1279" s="153"/>
      <c r="H1279" s="153"/>
      <c r="I1279" s="153"/>
      <c r="J1279" s="112"/>
      <c r="K1279" s="153"/>
      <c r="L1279" s="114"/>
      <c r="M1279" s="151"/>
      <c r="N1279" s="152"/>
      <c r="O1279" s="150"/>
      <c r="P1279" s="114"/>
      <c r="Q1279" s="114"/>
      <c r="R1279" s="151"/>
      <c r="S1279" s="152"/>
      <c r="T1279" s="153"/>
      <c r="U1279" s="152"/>
      <c r="V1279" s="152"/>
      <c r="W1279" s="152"/>
      <c r="X1279" s="152"/>
      <c r="Y1279" s="153"/>
      <c r="Z1279" s="125" t="str">
        <f t="shared" si="16"/>
        <v/>
      </c>
      <c r="AA1279" s="126" t="str">
        <f t="shared" si="17"/>
        <v/>
      </c>
      <c r="AB1279" s="117" t="str">
        <f t="shared" si="19"/>
        <v/>
      </c>
      <c r="AC1279" s="152"/>
      <c r="AD1279" s="153"/>
      <c r="AE1279" s="156"/>
    </row>
    <row r="1280" ht="18.0" customHeight="1">
      <c r="A1280" s="127" t="str">
        <f t="shared" si="15"/>
        <v/>
      </c>
      <c r="B1280" s="128"/>
      <c r="C1280" s="129"/>
      <c r="D1280" s="129"/>
      <c r="E1280" s="325"/>
      <c r="F1280" s="131"/>
      <c r="G1280" s="319"/>
      <c r="H1280" s="319"/>
      <c r="I1280" s="319"/>
      <c r="J1280" s="132"/>
      <c r="K1280" s="319"/>
      <c r="L1280" s="135"/>
      <c r="M1280" s="321"/>
      <c r="N1280" s="322"/>
      <c r="O1280" s="150"/>
      <c r="P1280" s="135"/>
      <c r="Q1280" s="135"/>
      <c r="R1280" s="321"/>
      <c r="S1280" s="322"/>
      <c r="T1280" s="319"/>
      <c r="U1280" s="322"/>
      <c r="V1280" s="322"/>
      <c r="W1280" s="322"/>
      <c r="X1280" s="322"/>
      <c r="Y1280" s="319"/>
      <c r="Z1280" s="136" t="str">
        <f t="shared" si="16"/>
        <v/>
      </c>
      <c r="AA1280" s="137" t="str">
        <f t="shared" si="17"/>
        <v/>
      </c>
      <c r="AB1280" s="138" t="str">
        <f t="shared" si="19"/>
        <v/>
      </c>
      <c r="AC1280" s="322"/>
      <c r="AD1280" s="319"/>
      <c r="AE1280" s="320"/>
    </row>
    <row r="1281" ht="18.0" customHeight="1">
      <c r="A1281" s="118" t="str">
        <f t="shared" si="15"/>
        <v/>
      </c>
      <c r="B1281" s="109"/>
      <c r="C1281" s="119"/>
      <c r="D1281" s="119"/>
      <c r="E1281" s="330"/>
      <c r="F1281" s="121"/>
      <c r="G1281" s="153"/>
      <c r="H1281" s="153"/>
      <c r="I1281" s="153"/>
      <c r="J1281" s="112"/>
      <c r="K1281" s="153"/>
      <c r="L1281" s="114"/>
      <c r="M1281" s="151"/>
      <c r="N1281" s="152"/>
      <c r="O1281" s="150"/>
      <c r="P1281" s="114"/>
      <c r="Q1281" s="114"/>
      <c r="R1281" s="151"/>
      <c r="S1281" s="152"/>
      <c r="T1281" s="153"/>
      <c r="U1281" s="152"/>
      <c r="V1281" s="152"/>
      <c r="W1281" s="152"/>
      <c r="X1281" s="152"/>
      <c r="Y1281" s="153"/>
      <c r="Z1281" s="125" t="str">
        <f t="shared" si="16"/>
        <v/>
      </c>
      <c r="AA1281" s="126" t="str">
        <f t="shared" si="17"/>
        <v/>
      </c>
      <c r="AB1281" s="117" t="str">
        <f t="shared" si="19"/>
        <v/>
      </c>
      <c r="AC1281" s="152"/>
      <c r="AD1281" s="153"/>
      <c r="AE1281" s="156"/>
    </row>
    <row r="1282" ht="18.0" customHeight="1">
      <c r="A1282" s="127" t="str">
        <f t="shared" si="15"/>
        <v/>
      </c>
      <c r="B1282" s="128"/>
      <c r="C1282" s="129"/>
      <c r="D1282" s="129"/>
      <c r="E1282" s="325"/>
      <c r="F1282" s="131"/>
      <c r="G1282" s="319"/>
      <c r="H1282" s="319"/>
      <c r="I1282" s="319"/>
      <c r="J1282" s="132"/>
      <c r="K1282" s="319"/>
      <c r="L1282" s="135"/>
      <c r="M1282" s="321"/>
      <c r="N1282" s="322"/>
      <c r="O1282" s="150"/>
      <c r="P1282" s="135"/>
      <c r="Q1282" s="135"/>
      <c r="R1282" s="321"/>
      <c r="S1282" s="322"/>
      <c r="T1282" s="319"/>
      <c r="U1282" s="322"/>
      <c r="V1282" s="322"/>
      <c r="W1282" s="322"/>
      <c r="X1282" s="322"/>
      <c r="Y1282" s="319"/>
      <c r="Z1282" s="136" t="str">
        <f t="shared" si="16"/>
        <v/>
      </c>
      <c r="AA1282" s="137" t="str">
        <f t="shared" si="17"/>
        <v/>
      </c>
      <c r="AB1282" s="138" t="str">
        <f t="shared" si="19"/>
        <v/>
      </c>
      <c r="AC1282" s="322"/>
      <c r="AD1282" s="319"/>
      <c r="AE1282" s="320"/>
    </row>
    <row r="1283" ht="18.0" customHeight="1">
      <c r="A1283" s="118" t="str">
        <f t="shared" si="15"/>
        <v/>
      </c>
      <c r="B1283" s="109"/>
      <c r="C1283" s="119"/>
      <c r="D1283" s="119"/>
      <c r="E1283" s="330"/>
      <c r="F1283" s="121"/>
      <c r="G1283" s="153"/>
      <c r="H1283" s="153"/>
      <c r="I1283" s="153"/>
      <c r="J1283" s="112"/>
      <c r="K1283" s="153"/>
      <c r="L1283" s="114"/>
      <c r="M1283" s="151"/>
      <c r="N1283" s="152"/>
      <c r="O1283" s="150"/>
      <c r="P1283" s="114"/>
      <c r="Q1283" s="114"/>
      <c r="R1283" s="151"/>
      <c r="S1283" s="152"/>
      <c r="T1283" s="153"/>
      <c r="U1283" s="152"/>
      <c r="V1283" s="152"/>
      <c r="W1283" s="152"/>
      <c r="X1283" s="152"/>
      <c r="Y1283" s="153"/>
      <c r="Z1283" s="125" t="str">
        <f t="shared" si="16"/>
        <v/>
      </c>
      <c r="AA1283" s="126" t="str">
        <f t="shared" si="17"/>
        <v/>
      </c>
      <c r="AB1283" s="117" t="str">
        <f t="shared" si="19"/>
        <v/>
      </c>
      <c r="AC1283" s="152"/>
      <c r="AD1283" s="153"/>
      <c r="AE1283" s="156"/>
    </row>
    <row r="1284" ht="18.0" customHeight="1">
      <c r="A1284" s="127" t="str">
        <f t="shared" si="15"/>
        <v/>
      </c>
      <c r="B1284" s="128"/>
      <c r="C1284" s="129"/>
      <c r="D1284" s="129"/>
      <c r="E1284" s="325"/>
      <c r="F1284" s="131"/>
      <c r="G1284" s="319"/>
      <c r="H1284" s="319"/>
      <c r="I1284" s="319"/>
      <c r="J1284" s="132"/>
      <c r="K1284" s="319"/>
      <c r="L1284" s="135"/>
      <c r="M1284" s="321"/>
      <c r="N1284" s="322"/>
      <c r="O1284" s="150"/>
      <c r="P1284" s="135"/>
      <c r="Q1284" s="135"/>
      <c r="R1284" s="321"/>
      <c r="S1284" s="322"/>
      <c r="T1284" s="319"/>
      <c r="U1284" s="322"/>
      <c r="V1284" s="322"/>
      <c r="W1284" s="322"/>
      <c r="X1284" s="322"/>
      <c r="Y1284" s="319"/>
      <c r="Z1284" s="136" t="str">
        <f t="shared" si="16"/>
        <v/>
      </c>
      <c r="AA1284" s="137" t="str">
        <f t="shared" si="17"/>
        <v/>
      </c>
      <c r="AB1284" s="138" t="str">
        <f t="shared" si="19"/>
        <v/>
      </c>
      <c r="AC1284" s="322"/>
      <c r="AD1284" s="319"/>
      <c r="AE1284" s="320"/>
    </row>
    <row r="1285" ht="18.0" customHeight="1">
      <c r="A1285" s="118" t="str">
        <f t="shared" si="15"/>
        <v/>
      </c>
      <c r="B1285" s="109"/>
      <c r="C1285" s="119"/>
      <c r="D1285" s="119"/>
      <c r="E1285" s="330"/>
      <c r="F1285" s="121"/>
      <c r="G1285" s="153"/>
      <c r="H1285" s="153"/>
      <c r="I1285" s="153"/>
      <c r="J1285" s="112"/>
      <c r="K1285" s="153"/>
      <c r="L1285" s="114"/>
      <c r="M1285" s="151"/>
      <c r="N1285" s="152"/>
      <c r="O1285" s="150"/>
      <c r="P1285" s="114"/>
      <c r="Q1285" s="114"/>
      <c r="R1285" s="151"/>
      <c r="S1285" s="152"/>
      <c r="T1285" s="153"/>
      <c r="U1285" s="152"/>
      <c r="V1285" s="152"/>
      <c r="W1285" s="152"/>
      <c r="X1285" s="152"/>
      <c r="Y1285" s="153"/>
      <c r="Z1285" s="125" t="str">
        <f t="shared" si="16"/>
        <v/>
      </c>
      <c r="AA1285" s="126" t="str">
        <f t="shared" si="17"/>
        <v/>
      </c>
      <c r="AB1285" s="117" t="str">
        <f t="shared" si="19"/>
        <v/>
      </c>
      <c r="AC1285" s="152"/>
      <c r="AD1285" s="153"/>
      <c r="AE1285" s="156"/>
    </row>
    <row r="1286" ht="18.0" customHeight="1">
      <c r="A1286" s="127" t="str">
        <f t="shared" si="15"/>
        <v/>
      </c>
      <c r="B1286" s="128"/>
      <c r="C1286" s="129"/>
      <c r="D1286" s="129"/>
      <c r="E1286" s="325"/>
      <c r="F1286" s="131"/>
      <c r="G1286" s="319"/>
      <c r="H1286" s="319"/>
      <c r="I1286" s="319"/>
      <c r="J1286" s="132"/>
      <c r="K1286" s="319"/>
      <c r="L1286" s="135"/>
      <c r="M1286" s="321"/>
      <c r="N1286" s="322"/>
      <c r="O1286" s="150"/>
      <c r="P1286" s="135"/>
      <c r="Q1286" s="135"/>
      <c r="R1286" s="321"/>
      <c r="S1286" s="322"/>
      <c r="T1286" s="319"/>
      <c r="U1286" s="322"/>
      <c r="V1286" s="322"/>
      <c r="W1286" s="322"/>
      <c r="X1286" s="322"/>
      <c r="Y1286" s="319"/>
      <c r="Z1286" s="136" t="str">
        <f t="shared" si="16"/>
        <v/>
      </c>
      <c r="AA1286" s="137" t="str">
        <f t="shared" si="17"/>
        <v/>
      </c>
      <c r="AB1286" s="138" t="str">
        <f t="shared" si="19"/>
        <v/>
      </c>
      <c r="AC1286" s="322"/>
      <c r="AD1286" s="319"/>
      <c r="AE1286" s="320"/>
    </row>
    <row r="1287" ht="18.0" customHeight="1">
      <c r="A1287" s="118" t="str">
        <f t="shared" si="15"/>
        <v/>
      </c>
      <c r="B1287" s="109"/>
      <c r="C1287" s="119"/>
      <c r="D1287" s="119"/>
      <c r="E1287" s="330"/>
      <c r="F1287" s="121"/>
      <c r="G1287" s="153"/>
      <c r="H1287" s="153"/>
      <c r="I1287" s="153"/>
      <c r="J1287" s="112"/>
      <c r="K1287" s="153"/>
      <c r="L1287" s="114"/>
      <c r="M1287" s="151"/>
      <c r="N1287" s="152"/>
      <c r="O1287" s="150"/>
      <c r="P1287" s="114"/>
      <c r="Q1287" s="114"/>
      <c r="R1287" s="151"/>
      <c r="S1287" s="152"/>
      <c r="T1287" s="153"/>
      <c r="U1287" s="152"/>
      <c r="V1287" s="152"/>
      <c r="W1287" s="152"/>
      <c r="X1287" s="152"/>
      <c r="Y1287" s="153"/>
      <c r="Z1287" s="125" t="str">
        <f t="shared" si="16"/>
        <v/>
      </c>
      <c r="AA1287" s="126" t="str">
        <f t="shared" si="17"/>
        <v/>
      </c>
      <c r="AB1287" s="117" t="str">
        <f t="shared" si="19"/>
        <v/>
      </c>
      <c r="AC1287" s="152"/>
      <c r="AD1287" s="153"/>
      <c r="AE1287" s="156"/>
    </row>
    <row r="1288" ht="18.0" customHeight="1">
      <c r="A1288" s="127" t="str">
        <f t="shared" si="15"/>
        <v/>
      </c>
      <c r="B1288" s="128"/>
      <c r="C1288" s="129"/>
      <c r="D1288" s="129"/>
      <c r="E1288" s="325"/>
      <c r="F1288" s="131"/>
      <c r="G1288" s="319"/>
      <c r="H1288" s="319"/>
      <c r="I1288" s="319"/>
      <c r="J1288" s="132"/>
      <c r="K1288" s="319"/>
      <c r="L1288" s="135"/>
      <c r="M1288" s="321"/>
      <c r="N1288" s="322"/>
      <c r="O1288" s="150"/>
      <c r="P1288" s="135"/>
      <c r="Q1288" s="135"/>
      <c r="R1288" s="321"/>
      <c r="S1288" s="322"/>
      <c r="T1288" s="319"/>
      <c r="U1288" s="322"/>
      <c r="V1288" s="322"/>
      <c r="W1288" s="322"/>
      <c r="X1288" s="322"/>
      <c r="Y1288" s="319"/>
      <c r="Z1288" s="136" t="str">
        <f t="shared" si="16"/>
        <v/>
      </c>
      <c r="AA1288" s="137" t="str">
        <f t="shared" si="17"/>
        <v/>
      </c>
      <c r="AB1288" s="138" t="str">
        <f t="shared" si="19"/>
        <v/>
      </c>
      <c r="AC1288" s="322"/>
      <c r="AD1288" s="319"/>
      <c r="AE1288" s="320"/>
    </row>
    <row r="1289" ht="18.0" customHeight="1">
      <c r="A1289" s="118" t="str">
        <f t="shared" si="15"/>
        <v/>
      </c>
      <c r="B1289" s="109"/>
      <c r="C1289" s="119"/>
      <c r="D1289" s="119"/>
      <c r="E1289" s="330"/>
      <c r="F1289" s="121"/>
      <c r="G1289" s="153"/>
      <c r="H1289" s="153"/>
      <c r="I1289" s="153"/>
      <c r="J1289" s="112"/>
      <c r="K1289" s="153"/>
      <c r="L1289" s="114"/>
      <c r="M1289" s="151"/>
      <c r="N1289" s="152"/>
      <c r="O1289" s="150"/>
      <c r="P1289" s="114"/>
      <c r="Q1289" s="114"/>
      <c r="R1289" s="151"/>
      <c r="S1289" s="152"/>
      <c r="T1289" s="153"/>
      <c r="U1289" s="152"/>
      <c r="V1289" s="152"/>
      <c r="W1289" s="152"/>
      <c r="X1289" s="152"/>
      <c r="Y1289" s="153"/>
      <c r="Z1289" s="125" t="str">
        <f t="shared" si="16"/>
        <v/>
      </c>
      <c r="AA1289" s="126" t="str">
        <f t="shared" si="17"/>
        <v/>
      </c>
      <c r="AB1289" s="117" t="str">
        <f t="shared" si="19"/>
        <v/>
      </c>
      <c r="AC1289" s="152"/>
      <c r="AD1289" s="153"/>
      <c r="AE1289" s="156"/>
    </row>
    <row r="1290" ht="18.0" customHeight="1">
      <c r="A1290" s="127" t="str">
        <f t="shared" si="15"/>
        <v/>
      </c>
      <c r="B1290" s="128"/>
      <c r="C1290" s="129"/>
      <c r="D1290" s="129"/>
      <c r="E1290" s="325"/>
      <c r="F1290" s="131"/>
      <c r="G1290" s="319"/>
      <c r="H1290" s="319"/>
      <c r="I1290" s="319"/>
      <c r="J1290" s="132"/>
      <c r="K1290" s="319"/>
      <c r="L1290" s="135"/>
      <c r="M1290" s="321"/>
      <c r="N1290" s="322"/>
      <c r="O1290" s="150"/>
      <c r="P1290" s="135"/>
      <c r="Q1290" s="135"/>
      <c r="R1290" s="321"/>
      <c r="S1290" s="322"/>
      <c r="T1290" s="319"/>
      <c r="U1290" s="322"/>
      <c r="V1290" s="322"/>
      <c r="W1290" s="322"/>
      <c r="X1290" s="322"/>
      <c r="Y1290" s="319"/>
      <c r="Z1290" s="136" t="str">
        <f t="shared" si="16"/>
        <v/>
      </c>
      <c r="AA1290" s="137" t="str">
        <f t="shared" si="17"/>
        <v/>
      </c>
      <c r="AB1290" s="138" t="str">
        <f t="shared" si="19"/>
        <v/>
      </c>
      <c r="AC1290" s="322"/>
      <c r="AD1290" s="319"/>
      <c r="AE1290" s="320"/>
    </row>
    <row r="1291" ht="18.0" customHeight="1">
      <c r="A1291" s="118" t="str">
        <f t="shared" si="15"/>
        <v/>
      </c>
      <c r="B1291" s="109"/>
      <c r="C1291" s="119"/>
      <c r="D1291" s="119"/>
      <c r="E1291" s="330"/>
      <c r="F1291" s="121"/>
      <c r="G1291" s="153"/>
      <c r="H1291" s="153"/>
      <c r="I1291" s="153"/>
      <c r="J1291" s="112"/>
      <c r="K1291" s="153"/>
      <c r="L1291" s="114"/>
      <c r="M1291" s="151"/>
      <c r="N1291" s="152"/>
      <c r="O1291" s="150"/>
      <c r="P1291" s="114"/>
      <c r="Q1291" s="114"/>
      <c r="R1291" s="151"/>
      <c r="S1291" s="152"/>
      <c r="T1291" s="153"/>
      <c r="U1291" s="152"/>
      <c r="V1291" s="152"/>
      <c r="W1291" s="152"/>
      <c r="X1291" s="152"/>
      <c r="Y1291" s="153"/>
      <c r="Z1291" s="125" t="str">
        <f t="shared" si="16"/>
        <v/>
      </c>
      <c r="AA1291" s="126" t="str">
        <f t="shared" si="17"/>
        <v/>
      </c>
      <c r="AB1291" s="117" t="str">
        <f t="shared" si="19"/>
        <v/>
      </c>
      <c r="AC1291" s="152"/>
      <c r="AD1291" s="153"/>
      <c r="AE1291" s="156"/>
    </row>
    <row r="1292" ht="18.0" customHeight="1">
      <c r="A1292" s="127" t="str">
        <f t="shared" si="15"/>
        <v/>
      </c>
      <c r="B1292" s="128"/>
      <c r="C1292" s="129"/>
      <c r="D1292" s="129"/>
      <c r="E1292" s="325"/>
      <c r="F1292" s="131"/>
      <c r="G1292" s="319"/>
      <c r="H1292" s="319"/>
      <c r="I1292" s="319"/>
      <c r="J1292" s="132"/>
      <c r="K1292" s="319"/>
      <c r="L1292" s="135"/>
      <c r="M1292" s="321"/>
      <c r="N1292" s="322"/>
      <c r="O1292" s="150"/>
      <c r="P1292" s="135"/>
      <c r="Q1292" s="135"/>
      <c r="R1292" s="321"/>
      <c r="S1292" s="322"/>
      <c r="T1292" s="319"/>
      <c r="U1292" s="322"/>
      <c r="V1292" s="322"/>
      <c r="W1292" s="322"/>
      <c r="X1292" s="322"/>
      <c r="Y1292" s="319"/>
      <c r="Z1292" s="136" t="str">
        <f t="shared" si="16"/>
        <v/>
      </c>
      <c r="AA1292" s="137" t="str">
        <f t="shared" si="17"/>
        <v/>
      </c>
      <c r="AB1292" s="138" t="str">
        <f t="shared" si="19"/>
        <v/>
      </c>
      <c r="AC1292" s="322"/>
      <c r="AD1292" s="319"/>
      <c r="AE1292" s="320"/>
    </row>
    <row r="1293" ht="18.0" customHeight="1">
      <c r="A1293" s="118" t="str">
        <f t="shared" si="15"/>
        <v/>
      </c>
      <c r="B1293" s="109"/>
      <c r="C1293" s="119"/>
      <c r="D1293" s="119"/>
      <c r="E1293" s="330"/>
      <c r="F1293" s="121"/>
      <c r="G1293" s="153"/>
      <c r="H1293" s="153"/>
      <c r="I1293" s="153"/>
      <c r="J1293" s="112"/>
      <c r="K1293" s="153"/>
      <c r="L1293" s="114"/>
      <c r="M1293" s="151"/>
      <c r="N1293" s="152"/>
      <c r="O1293" s="150"/>
      <c r="P1293" s="114"/>
      <c r="Q1293" s="114"/>
      <c r="R1293" s="151"/>
      <c r="S1293" s="152"/>
      <c r="T1293" s="153"/>
      <c r="U1293" s="152"/>
      <c r="V1293" s="152"/>
      <c r="W1293" s="152"/>
      <c r="X1293" s="152"/>
      <c r="Y1293" s="153"/>
      <c r="Z1293" s="125" t="str">
        <f t="shared" si="16"/>
        <v/>
      </c>
      <c r="AA1293" s="126" t="str">
        <f t="shared" si="17"/>
        <v/>
      </c>
      <c r="AB1293" s="117" t="str">
        <f t="shared" si="19"/>
        <v/>
      </c>
      <c r="AC1293" s="152"/>
      <c r="AD1293" s="153"/>
      <c r="AE1293" s="156"/>
    </row>
    <row r="1294" ht="18.0" customHeight="1">
      <c r="A1294" s="127" t="str">
        <f t="shared" si="15"/>
        <v/>
      </c>
      <c r="B1294" s="128"/>
      <c r="C1294" s="129"/>
      <c r="D1294" s="129"/>
      <c r="E1294" s="325"/>
      <c r="F1294" s="131"/>
      <c r="G1294" s="319"/>
      <c r="H1294" s="319"/>
      <c r="I1294" s="319"/>
      <c r="J1294" s="132"/>
      <c r="K1294" s="319"/>
      <c r="L1294" s="135"/>
      <c r="M1294" s="321"/>
      <c r="N1294" s="322"/>
      <c r="O1294" s="150"/>
      <c r="P1294" s="135"/>
      <c r="Q1294" s="135"/>
      <c r="R1294" s="321"/>
      <c r="S1294" s="322"/>
      <c r="T1294" s="319"/>
      <c r="U1294" s="322"/>
      <c r="V1294" s="322"/>
      <c r="W1294" s="322"/>
      <c r="X1294" s="322"/>
      <c r="Y1294" s="319"/>
      <c r="Z1294" s="136" t="str">
        <f t="shared" si="16"/>
        <v/>
      </c>
      <c r="AA1294" s="137" t="str">
        <f t="shared" si="17"/>
        <v/>
      </c>
      <c r="AB1294" s="138" t="str">
        <f t="shared" si="19"/>
        <v/>
      </c>
      <c r="AC1294" s="322"/>
      <c r="AD1294" s="319"/>
      <c r="AE1294" s="320"/>
    </row>
    <row r="1295" ht="18.0" customHeight="1">
      <c r="A1295" s="118" t="str">
        <f t="shared" si="15"/>
        <v/>
      </c>
      <c r="B1295" s="109"/>
      <c r="C1295" s="119"/>
      <c r="D1295" s="119"/>
      <c r="E1295" s="330"/>
      <c r="F1295" s="121"/>
      <c r="G1295" s="153"/>
      <c r="H1295" s="153"/>
      <c r="I1295" s="153"/>
      <c r="J1295" s="112"/>
      <c r="K1295" s="153"/>
      <c r="L1295" s="114"/>
      <c r="M1295" s="151"/>
      <c r="N1295" s="152"/>
      <c r="O1295" s="150"/>
      <c r="P1295" s="114"/>
      <c r="Q1295" s="114"/>
      <c r="R1295" s="151"/>
      <c r="S1295" s="152"/>
      <c r="T1295" s="153"/>
      <c r="U1295" s="152"/>
      <c r="V1295" s="152"/>
      <c r="W1295" s="152"/>
      <c r="X1295" s="152"/>
      <c r="Y1295" s="153"/>
      <c r="Z1295" s="125" t="str">
        <f t="shared" si="16"/>
        <v/>
      </c>
      <c r="AA1295" s="126" t="str">
        <f t="shared" si="17"/>
        <v/>
      </c>
      <c r="AB1295" s="117" t="str">
        <f t="shared" si="19"/>
        <v/>
      </c>
      <c r="AC1295" s="152"/>
      <c r="AD1295" s="153"/>
      <c r="AE1295" s="156"/>
    </row>
    <row r="1296" ht="18.0" customHeight="1">
      <c r="A1296" s="127" t="str">
        <f t="shared" si="15"/>
        <v/>
      </c>
      <c r="B1296" s="128"/>
      <c r="C1296" s="129"/>
      <c r="D1296" s="129"/>
      <c r="E1296" s="325"/>
      <c r="F1296" s="131"/>
      <c r="G1296" s="319"/>
      <c r="H1296" s="319"/>
      <c r="I1296" s="319"/>
      <c r="J1296" s="132"/>
      <c r="K1296" s="319"/>
      <c r="L1296" s="135"/>
      <c r="M1296" s="321"/>
      <c r="N1296" s="322"/>
      <c r="O1296" s="150"/>
      <c r="P1296" s="135"/>
      <c r="Q1296" s="135"/>
      <c r="R1296" s="321"/>
      <c r="S1296" s="322"/>
      <c r="T1296" s="319"/>
      <c r="U1296" s="322"/>
      <c r="V1296" s="322"/>
      <c r="W1296" s="322"/>
      <c r="X1296" s="322"/>
      <c r="Y1296" s="319"/>
      <c r="Z1296" s="136" t="str">
        <f t="shared" si="16"/>
        <v/>
      </c>
      <c r="AA1296" s="137" t="str">
        <f t="shared" si="17"/>
        <v/>
      </c>
      <c r="AB1296" s="138" t="str">
        <f t="shared" si="19"/>
        <v/>
      </c>
      <c r="AC1296" s="322"/>
      <c r="AD1296" s="319"/>
      <c r="AE1296" s="320"/>
    </row>
    <row r="1297" ht="18.0" customHeight="1">
      <c r="A1297" s="118" t="str">
        <f t="shared" si="15"/>
        <v/>
      </c>
      <c r="B1297" s="109"/>
      <c r="C1297" s="119"/>
      <c r="D1297" s="119"/>
      <c r="E1297" s="330"/>
      <c r="F1297" s="121"/>
      <c r="G1297" s="153"/>
      <c r="H1297" s="153"/>
      <c r="I1297" s="153"/>
      <c r="J1297" s="112"/>
      <c r="K1297" s="153"/>
      <c r="L1297" s="114"/>
      <c r="M1297" s="151"/>
      <c r="N1297" s="152"/>
      <c r="O1297" s="150"/>
      <c r="P1297" s="114"/>
      <c r="Q1297" s="114"/>
      <c r="R1297" s="151"/>
      <c r="S1297" s="152"/>
      <c r="T1297" s="153"/>
      <c r="U1297" s="152"/>
      <c r="V1297" s="152"/>
      <c r="W1297" s="152"/>
      <c r="X1297" s="152"/>
      <c r="Y1297" s="153"/>
      <c r="Z1297" s="125" t="str">
        <f t="shared" si="16"/>
        <v/>
      </c>
      <c r="AA1297" s="126" t="str">
        <f t="shared" si="17"/>
        <v/>
      </c>
      <c r="AB1297" s="117" t="str">
        <f t="shared" si="19"/>
        <v/>
      </c>
      <c r="AC1297" s="152"/>
      <c r="AD1297" s="153"/>
      <c r="AE1297" s="156"/>
    </row>
    <row r="1298" ht="18.0" customHeight="1">
      <c r="A1298" s="127" t="str">
        <f t="shared" si="15"/>
        <v/>
      </c>
      <c r="B1298" s="128"/>
      <c r="C1298" s="129"/>
      <c r="D1298" s="129"/>
      <c r="E1298" s="325"/>
      <c r="F1298" s="131"/>
      <c r="G1298" s="319"/>
      <c r="H1298" s="319"/>
      <c r="I1298" s="319"/>
      <c r="J1298" s="132"/>
      <c r="K1298" s="319"/>
      <c r="L1298" s="135"/>
      <c r="M1298" s="321"/>
      <c r="N1298" s="322"/>
      <c r="O1298" s="150"/>
      <c r="P1298" s="135"/>
      <c r="Q1298" s="135"/>
      <c r="R1298" s="321"/>
      <c r="S1298" s="322"/>
      <c r="T1298" s="319"/>
      <c r="U1298" s="322"/>
      <c r="V1298" s="322"/>
      <c r="W1298" s="322"/>
      <c r="X1298" s="322"/>
      <c r="Y1298" s="319"/>
      <c r="Z1298" s="136" t="str">
        <f t="shared" si="16"/>
        <v/>
      </c>
      <c r="AA1298" s="137" t="str">
        <f t="shared" si="17"/>
        <v/>
      </c>
      <c r="AB1298" s="138" t="str">
        <f t="shared" si="19"/>
        <v/>
      </c>
      <c r="AC1298" s="322"/>
      <c r="AD1298" s="319"/>
      <c r="AE1298" s="320"/>
    </row>
    <row r="1299" ht="18.0" customHeight="1">
      <c r="A1299" s="118" t="str">
        <f t="shared" si="15"/>
        <v/>
      </c>
      <c r="B1299" s="109"/>
      <c r="C1299" s="119"/>
      <c r="D1299" s="119"/>
      <c r="E1299" s="330"/>
      <c r="F1299" s="121"/>
      <c r="G1299" s="153"/>
      <c r="H1299" s="153"/>
      <c r="I1299" s="153"/>
      <c r="J1299" s="112"/>
      <c r="K1299" s="153"/>
      <c r="L1299" s="114"/>
      <c r="M1299" s="151"/>
      <c r="N1299" s="152"/>
      <c r="O1299" s="150"/>
      <c r="P1299" s="114"/>
      <c r="Q1299" s="114"/>
      <c r="R1299" s="151"/>
      <c r="S1299" s="152"/>
      <c r="T1299" s="153"/>
      <c r="U1299" s="152"/>
      <c r="V1299" s="152"/>
      <c r="W1299" s="152"/>
      <c r="X1299" s="152"/>
      <c r="Y1299" s="153"/>
      <c r="Z1299" s="125" t="str">
        <f t="shared" si="16"/>
        <v/>
      </c>
      <c r="AA1299" s="126" t="str">
        <f t="shared" si="17"/>
        <v/>
      </c>
      <c r="AB1299" s="117" t="str">
        <f t="shared" si="19"/>
        <v/>
      </c>
      <c r="AC1299" s="152"/>
      <c r="AD1299" s="153"/>
      <c r="AE1299" s="156"/>
    </row>
    <row r="1300" ht="18.0" customHeight="1">
      <c r="A1300" s="127" t="str">
        <f t="shared" si="15"/>
        <v/>
      </c>
      <c r="B1300" s="128"/>
      <c r="C1300" s="129"/>
      <c r="D1300" s="129"/>
      <c r="E1300" s="325"/>
      <c r="F1300" s="131"/>
      <c r="G1300" s="319"/>
      <c r="H1300" s="319"/>
      <c r="I1300" s="319"/>
      <c r="J1300" s="132"/>
      <c r="K1300" s="319"/>
      <c r="L1300" s="135"/>
      <c r="M1300" s="321"/>
      <c r="N1300" s="322"/>
      <c r="O1300" s="150"/>
      <c r="P1300" s="135"/>
      <c r="Q1300" s="135"/>
      <c r="R1300" s="321"/>
      <c r="S1300" s="322"/>
      <c r="T1300" s="319"/>
      <c r="U1300" s="322"/>
      <c r="V1300" s="322"/>
      <c r="W1300" s="322"/>
      <c r="X1300" s="322"/>
      <c r="Y1300" s="319"/>
      <c r="Z1300" s="136" t="str">
        <f t="shared" si="16"/>
        <v/>
      </c>
      <c r="AA1300" s="137" t="str">
        <f t="shared" si="17"/>
        <v/>
      </c>
      <c r="AB1300" s="138" t="str">
        <f t="shared" si="19"/>
        <v/>
      </c>
      <c r="AC1300" s="322"/>
      <c r="AD1300" s="319"/>
      <c r="AE1300" s="320"/>
    </row>
    <row r="1301" ht="18.0" customHeight="1">
      <c r="A1301" s="118" t="str">
        <f t="shared" si="15"/>
        <v/>
      </c>
      <c r="B1301" s="109"/>
      <c r="C1301" s="119"/>
      <c r="D1301" s="119"/>
      <c r="E1301" s="330"/>
      <c r="F1301" s="121"/>
      <c r="G1301" s="153"/>
      <c r="H1301" s="153"/>
      <c r="I1301" s="153"/>
      <c r="J1301" s="112"/>
      <c r="K1301" s="153"/>
      <c r="L1301" s="114"/>
      <c r="M1301" s="151"/>
      <c r="N1301" s="152"/>
      <c r="O1301" s="150"/>
      <c r="P1301" s="114"/>
      <c r="Q1301" s="114"/>
      <c r="R1301" s="151"/>
      <c r="S1301" s="152"/>
      <c r="T1301" s="153"/>
      <c r="U1301" s="152"/>
      <c r="V1301" s="152"/>
      <c r="W1301" s="152"/>
      <c r="X1301" s="152"/>
      <c r="Y1301" s="153"/>
      <c r="Z1301" s="125" t="str">
        <f t="shared" si="16"/>
        <v/>
      </c>
      <c r="AA1301" s="126" t="str">
        <f t="shared" si="17"/>
        <v/>
      </c>
      <c r="AB1301" s="117" t="str">
        <f t="shared" si="19"/>
        <v/>
      </c>
      <c r="AC1301" s="152"/>
      <c r="AD1301" s="153"/>
      <c r="AE1301" s="156"/>
    </row>
    <row r="1302" ht="18.0" customHeight="1">
      <c r="A1302" s="127" t="str">
        <f t="shared" si="15"/>
        <v/>
      </c>
      <c r="B1302" s="128"/>
      <c r="C1302" s="129"/>
      <c r="D1302" s="129"/>
      <c r="E1302" s="325"/>
      <c r="F1302" s="131"/>
      <c r="G1302" s="319"/>
      <c r="H1302" s="319"/>
      <c r="I1302" s="319"/>
      <c r="J1302" s="132"/>
      <c r="K1302" s="319"/>
      <c r="L1302" s="135"/>
      <c r="M1302" s="321"/>
      <c r="N1302" s="322"/>
      <c r="O1302" s="150"/>
      <c r="P1302" s="135"/>
      <c r="Q1302" s="135"/>
      <c r="R1302" s="321"/>
      <c r="S1302" s="322"/>
      <c r="T1302" s="319"/>
      <c r="U1302" s="322"/>
      <c r="V1302" s="322"/>
      <c r="W1302" s="322"/>
      <c r="X1302" s="322"/>
      <c r="Y1302" s="319"/>
      <c r="Z1302" s="136" t="str">
        <f t="shared" si="16"/>
        <v/>
      </c>
      <c r="AA1302" s="137" t="str">
        <f t="shared" si="17"/>
        <v/>
      </c>
      <c r="AB1302" s="138" t="str">
        <f t="shared" si="19"/>
        <v/>
      </c>
      <c r="AC1302" s="322"/>
      <c r="AD1302" s="319"/>
      <c r="AE1302" s="320"/>
    </row>
    <row r="1303" ht="18.0" customHeight="1">
      <c r="A1303" s="118" t="str">
        <f t="shared" si="15"/>
        <v/>
      </c>
      <c r="B1303" s="109"/>
      <c r="C1303" s="119"/>
      <c r="D1303" s="119"/>
      <c r="E1303" s="330"/>
      <c r="F1303" s="121"/>
      <c r="G1303" s="153"/>
      <c r="H1303" s="153"/>
      <c r="I1303" s="153"/>
      <c r="J1303" s="112"/>
      <c r="K1303" s="153"/>
      <c r="L1303" s="114"/>
      <c r="M1303" s="151"/>
      <c r="N1303" s="152"/>
      <c r="O1303" s="150"/>
      <c r="P1303" s="114"/>
      <c r="Q1303" s="114"/>
      <c r="R1303" s="151"/>
      <c r="S1303" s="152"/>
      <c r="T1303" s="153"/>
      <c r="U1303" s="152"/>
      <c r="V1303" s="152"/>
      <c r="W1303" s="152"/>
      <c r="X1303" s="152"/>
      <c r="Y1303" s="153"/>
      <c r="Z1303" s="125" t="str">
        <f t="shared" si="16"/>
        <v/>
      </c>
      <c r="AA1303" s="126" t="str">
        <f t="shared" si="17"/>
        <v/>
      </c>
      <c r="AB1303" s="117" t="str">
        <f t="shared" si="19"/>
        <v/>
      </c>
      <c r="AC1303" s="152"/>
      <c r="AD1303" s="153"/>
      <c r="AE1303" s="156"/>
    </row>
    <row r="1304" ht="18.0" customHeight="1">
      <c r="A1304" s="127" t="str">
        <f t="shared" si="15"/>
        <v/>
      </c>
      <c r="B1304" s="128"/>
      <c r="C1304" s="129"/>
      <c r="D1304" s="129"/>
      <c r="E1304" s="325"/>
      <c r="F1304" s="131"/>
      <c r="G1304" s="319"/>
      <c r="H1304" s="319"/>
      <c r="I1304" s="319"/>
      <c r="J1304" s="132"/>
      <c r="K1304" s="319"/>
      <c r="L1304" s="135"/>
      <c r="M1304" s="321"/>
      <c r="N1304" s="322"/>
      <c r="O1304" s="150"/>
      <c r="P1304" s="135"/>
      <c r="Q1304" s="135"/>
      <c r="R1304" s="321"/>
      <c r="S1304" s="322"/>
      <c r="T1304" s="319"/>
      <c r="U1304" s="322"/>
      <c r="V1304" s="322"/>
      <c r="W1304" s="322"/>
      <c r="X1304" s="322"/>
      <c r="Y1304" s="319"/>
      <c r="Z1304" s="136" t="str">
        <f t="shared" si="16"/>
        <v/>
      </c>
      <c r="AA1304" s="137" t="str">
        <f t="shared" si="17"/>
        <v/>
      </c>
      <c r="AB1304" s="138" t="str">
        <f t="shared" si="19"/>
        <v/>
      </c>
      <c r="AC1304" s="322"/>
      <c r="AD1304" s="319"/>
      <c r="AE1304" s="320"/>
    </row>
    <row r="1305" ht="18.0" customHeight="1">
      <c r="A1305" s="118" t="str">
        <f t="shared" si="15"/>
        <v/>
      </c>
      <c r="B1305" s="109"/>
      <c r="C1305" s="119"/>
      <c r="D1305" s="119"/>
      <c r="E1305" s="330"/>
      <c r="F1305" s="121"/>
      <c r="G1305" s="153"/>
      <c r="H1305" s="153"/>
      <c r="I1305" s="153"/>
      <c r="J1305" s="112"/>
      <c r="K1305" s="153"/>
      <c r="L1305" s="114"/>
      <c r="M1305" s="151"/>
      <c r="N1305" s="152"/>
      <c r="O1305" s="150"/>
      <c r="P1305" s="114"/>
      <c r="Q1305" s="114"/>
      <c r="R1305" s="151"/>
      <c r="S1305" s="152"/>
      <c r="T1305" s="153"/>
      <c r="U1305" s="152"/>
      <c r="V1305" s="152"/>
      <c r="W1305" s="152"/>
      <c r="X1305" s="152"/>
      <c r="Y1305" s="153"/>
      <c r="Z1305" s="125" t="str">
        <f t="shared" si="16"/>
        <v/>
      </c>
      <c r="AA1305" s="126" t="str">
        <f t="shared" si="17"/>
        <v/>
      </c>
      <c r="AB1305" s="117" t="str">
        <f t="shared" si="19"/>
        <v/>
      </c>
      <c r="AC1305" s="152"/>
      <c r="AD1305" s="153"/>
      <c r="AE1305" s="156"/>
    </row>
    <row r="1306" ht="18.0" customHeight="1">
      <c r="A1306" s="127" t="str">
        <f t="shared" si="15"/>
        <v/>
      </c>
      <c r="B1306" s="128"/>
      <c r="C1306" s="129"/>
      <c r="D1306" s="129"/>
      <c r="E1306" s="325"/>
      <c r="F1306" s="131"/>
      <c r="G1306" s="319"/>
      <c r="H1306" s="319"/>
      <c r="I1306" s="319"/>
      <c r="J1306" s="132"/>
      <c r="K1306" s="319"/>
      <c r="L1306" s="135"/>
      <c r="M1306" s="321"/>
      <c r="N1306" s="322"/>
      <c r="O1306" s="150"/>
      <c r="P1306" s="135"/>
      <c r="Q1306" s="135"/>
      <c r="R1306" s="321"/>
      <c r="S1306" s="322"/>
      <c r="T1306" s="319"/>
      <c r="U1306" s="322"/>
      <c r="V1306" s="322"/>
      <c r="W1306" s="322"/>
      <c r="X1306" s="322"/>
      <c r="Y1306" s="319"/>
      <c r="Z1306" s="136" t="str">
        <f t="shared" si="16"/>
        <v/>
      </c>
      <c r="AA1306" s="137" t="str">
        <f t="shared" si="17"/>
        <v/>
      </c>
      <c r="AB1306" s="138" t="str">
        <f t="shared" si="19"/>
        <v/>
      </c>
      <c r="AC1306" s="322"/>
      <c r="AD1306" s="319"/>
      <c r="AE1306" s="320"/>
    </row>
    <row r="1307" ht="18.0" customHeight="1">
      <c r="A1307" s="118" t="str">
        <f t="shared" si="15"/>
        <v/>
      </c>
      <c r="B1307" s="109"/>
      <c r="C1307" s="119"/>
      <c r="D1307" s="119"/>
      <c r="E1307" s="330"/>
      <c r="F1307" s="121"/>
      <c r="G1307" s="153"/>
      <c r="H1307" s="153"/>
      <c r="I1307" s="153"/>
      <c r="J1307" s="112"/>
      <c r="K1307" s="153"/>
      <c r="L1307" s="114"/>
      <c r="M1307" s="151"/>
      <c r="N1307" s="152"/>
      <c r="O1307" s="150"/>
      <c r="P1307" s="114"/>
      <c r="Q1307" s="114"/>
      <c r="R1307" s="151"/>
      <c r="S1307" s="152"/>
      <c r="T1307" s="153"/>
      <c r="U1307" s="152"/>
      <c r="V1307" s="152"/>
      <c r="W1307" s="152"/>
      <c r="X1307" s="152"/>
      <c r="Y1307" s="153"/>
      <c r="Z1307" s="125" t="str">
        <f t="shared" si="16"/>
        <v/>
      </c>
      <c r="AA1307" s="126" t="str">
        <f t="shared" si="17"/>
        <v/>
      </c>
      <c r="AB1307" s="117" t="str">
        <f t="shared" si="19"/>
        <v/>
      </c>
      <c r="AC1307" s="152"/>
      <c r="AD1307" s="153"/>
      <c r="AE1307" s="156"/>
    </row>
    <row r="1308" ht="18.0" customHeight="1">
      <c r="A1308" s="127" t="str">
        <f t="shared" si="15"/>
        <v/>
      </c>
      <c r="B1308" s="128"/>
      <c r="C1308" s="129"/>
      <c r="D1308" s="129"/>
      <c r="E1308" s="325"/>
      <c r="F1308" s="131"/>
      <c r="G1308" s="319"/>
      <c r="H1308" s="319"/>
      <c r="I1308" s="319"/>
      <c r="J1308" s="132"/>
      <c r="K1308" s="319"/>
      <c r="L1308" s="135"/>
      <c r="M1308" s="321"/>
      <c r="N1308" s="322"/>
      <c r="O1308" s="150"/>
      <c r="P1308" s="135"/>
      <c r="Q1308" s="135"/>
      <c r="R1308" s="321"/>
      <c r="S1308" s="322"/>
      <c r="T1308" s="319"/>
      <c r="U1308" s="322"/>
      <c r="V1308" s="322"/>
      <c r="W1308" s="322"/>
      <c r="X1308" s="322"/>
      <c r="Y1308" s="319"/>
      <c r="Z1308" s="136" t="str">
        <f t="shared" si="16"/>
        <v/>
      </c>
      <c r="AA1308" s="137" t="str">
        <f t="shared" si="17"/>
        <v/>
      </c>
      <c r="AB1308" s="138" t="str">
        <f t="shared" si="19"/>
        <v/>
      </c>
      <c r="AC1308" s="322"/>
      <c r="AD1308" s="319"/>
      <c r="AE1308" s="320"/>
    </row>
    <row r="1309" ht="18.0" customHeight="1">
      <c r="A1309" s="118" t="str">
        <f t="shared" si="15"/>
        <v/>
      </c>
      <c r="B1309" s="109"/>
      <c r="C1309" s="119"/>
      <c r="D1309" s="119"/>
      <c r="E1309" s="330"/>
      <c r="F1309" s="121"/>
      <c r="G1309" s="153"/>
      <c r="H1309" s="153"/>
      <c r="I1309" s="153"/>
      <c r="J1309" s="112"/>
      <c r="K1309" s="153"/>
      <c r="L1309" s="114"/>
      <c r="M1309" s="151"/>
      <c r="N1309" s="152"/>
      <c r="O1309" s="150"/>
      <c r="P1309" s="114"/>
      <c r="Q1309" s="114"/>
      <c r="R1309" s="151"/>
      <c r="S1309" s="152"/>
      <c r="T1309" s="153"/>
      <c r="U1309" s="152"/>
      <c r="V1309" s="152"/>
      <c r="W1309" s="152"/>
      <c r="X1309" s="152"/>
      <c r="Y1309" s="153"/>
      <c r="Z1309" s="125" t="str">
        <f t="shared" si="16"/>
        <v/>
      </c>
      <c r="AA1309" s="126" t="str">
        <f t="shared" si="17"/>
        <v/>
      </c>
      <c r="AB1309" s="117" t="str">
        <f t="shared" si="19"/>
        <v/>
      </c>
      <c r="AC1309" s="152"/>
      <c r="AD1309" s="153"/>
      <c r="AE1309" s="156"/>
    </row>
    <row r="1310" ht="18.0" customHeight="1">
      <c r="A1310" s="127" t="str">
        <f t="shared" si="15"/>
        <v/>
      </c>
      <c r="B1310" s="128"/>
      <c r="C1310" s="129"/>
      <c r="D1310" s="129"/>
      <c r="E1310" s="325"/>
      <c r="F1310" s="131"/>
      <c r="G1310" s="319"/>
      <c r="H1310" s="319"/>
      <c r="I1310" s="319"/>
      <c r="J1310" s="132"/>
      <c r="K1310" s="319"/>
      <c r="L1310" s="135"/>
      <c r="M1310" s="321"/>
      <c r="N1310" s="322"/>
      <c r="O1310" s="150"/>
      <c r="P1310" s="135"/>
      <c r="Q1310" s="135"/>
      <c r="R1310" s="321"/>
      <c r="S1310" s="322"/>
      <c r="T1310" s="319"/>
      <c r="U1310" s="322"/>
      <c r="V1310" s="322"/>
      <c r="W1310" s="322"/>
      <c r="X1310" s="322"/>
      <c r="Y1310" s="319"/>
      <c r="Z1310" s="136" t="str">
        <f t="shared" si="16"/>
        <v/>
      </c>
      <c r="AA1310" s="137" t="str">
        <f t="shared" si="17"/>
        <v/>
      </c>
      <c r="AB1310" s="138" t="str">
        <f t="shared" si="19"/>
        <v/>
      </c>
      <c r="AC1310" s="322"/>
      <c r="AD1310" s="319"/>
      <c r="AE1310" s="320"/>
    </row>
    <row r="1311" ht="18.0" customHeight="1">
      <c r="A1311" s="118" t="str">
        <f t="shared" si="15"/>
        <v/>
      </c>
      <c r="B1311" s="109"/>
      <c r="C1311" s="119"/>
      <c r="D1311" s="119"/>
      <c r="E1311" s="330"/>
      <c r="F1311" s="121"/>
      <c r="G1311" s="153"/>
      <c r="H1311" s="153"/>
      <c r="I1311" s="153"/>
      <c r="J1311" s="112"/>
      <c r="K1311" s="153"/>
      <c r="L1311" s="114"/>
      <c r="M1311" s="151"/>
      <c r="N1311" s="152"/>
      <c r="O1311" s="150"/>
      <c r="P1311" s="114"/>
      <c r="Q1311" s="114"/>
      <c r="R1311" s="151"/>
      <c r="S1311" s="152"/>
      <c r="T1311" s="153"/>
      <c r="U1311" s="152"/>
      <c r="V1311" s="152"/>
      <c r="W1311" s="152"/>
      <c r="X1311" s="152"/>
      <c r="Y1311" s="153"/>
      <c r="Z1311" s="125" t="str">
        <f t="shared" si="16"/>
        <v/>
      </c>
      <c r="AA1311" s="126" t="str">
        <f t="shared" si="17"/>
        <v/>
      </c>
      <c r="AB1311" s="117" t="str">
        <f t="shared" si="19"/>
        <v/>
      </c>
      <c r="AC1311" s="152"/>
      <c r="AD1311" s="153"/>
      <c r="AE1311" s="156"/>
    </row>
    <row r="1312" ht="18.0" customHeight="1">
      <c r="A1312" s="127" t="str">
        <f t="shared" si="15"/>
        <v/>
      </c>
      <c r="B1312" s="128"/>
      <c r="C1312" s="129"/>
      <c r="D1312" s="129"/>
      <c r="E1312" s="325"/>
      <c r="F1312" s="131"/>
      <c r="G1312" s="319"/>
      <c r="H1312" s="319"/>
      <c r="I1312" s="319"/>
      <c r="J1312" s="132"/>
      <c r="K1312" s="319"/>
      <c r="L1312" s="135"/>
      <c r="M1312" s="321"/>
      <c r="N1312" s="322"/>
      <c r="O1312" s="150"/>
      <c r="P1312" s="135"/>
      <c r="Q1312" s="135"/>
      <c r="R1312" s="321"/>
      <c r="S1312" s="322"/>
      <c r="T1312" s="319"/>
      <c r="U1312" s="322"/>
      <c r="V1312" s="322"/>
      <c r="W1312" s="322"/>
      <c r="X1312" s="322"/>
      <c r="Y1312" s="319"/>
      <c r="Z1312" s="136" t="str">
        <f t="shared" si="16"/>
        <v/>
      </c>
      <c r="AA1312" s="137" t="str">
        <f t="shared" si="17"/>
        <v/>
      </c>
      <c r="AB1312" s="138" t="str">
        <f t="shared" si="19"/>
        <v/>
      </c>
      <c r="AC1312" s="322"/>
      <c r="AD1312" s="319"/>
      <c r="AE1312" s="320"/>
    </row>
    <row r="1313" ht="18.0" customHeight="1">
      <c r="A1313" s="118" t="str">
        <f t="shared" si="15"/>
        <v/>
      </c>
      <c r="B1313" s="109"/>
      <c r="C1313" s="119"/>
      <c r="D1313" s="119"/>
      <c r="E1313" s="330"/>
      <c r="F1313" s="121"/>
      <c r="G1313" s="153"/>
      <c r="H1313" s="153"/>
      <c r="I1313" s="153"/>
      <c r="J1313" s="112"/>
      <c r="K1313" s="153"/>
      <c r="L1313" s="114"/>
      <c r="M1313" s="151"/>
      <c r="N1313" s="152"/>
      <c r="O1313" s="150"/>
      <c r="P1313" s="114"/>
      <c r="Q1313" s="114"/>
      <c r="R1313" s="151"/>
      <c r="S1313" s="152"/>
      <c r="T1313" s="153"/>
      <c r="U1313" s="152"/>
      <c r="V1313" s="152"/>
      <c r="W1313" s="152"/>
      <c r="X1313" s="152"/>
      <c r="Y1313" s="153"/>
      <c r="Z1313" s="125" t="str">
        <f t="shared" si="16"/>
        <v/>
      </c>
      <c r="AA1313" s="126" t="str">
        <f t="shared" si="17"/>
        <v/>
      </c>
      <c r="AB1313" s="117" t="str">
        <f t="shared" si="19"/>
        <v/>
      </c>
      <c r="AC1313" s="152"/>
      <c r="AD1313" s="153"/>
      <c r="AE1313" s="156"/>
    </row>
    <row r="1314" ht="18.0" customHeight="1">
      <c r="A1314" s="127" t="str">
        <f t="shared" si="15"/>
        <v/>
      </c>
      <c r="B1314" s="128"/>
      <c r="C1314" s="129"/>
      <c r="D1314" s="129"/>
      <c r="E1314" s="325"/>
      <c r="F1314" s="131"/>
      <c r="G1314" s="319"/>
      <c r="H1314" s="319"/>
      <c r="I1314" s="319"/>
      <c r="J1314" s="132"/>
      <c r="K1314" s="319"/>
      <c r="L1314" s="135"/>
      <c r="M1314" s="321"/>
      <c r="N1314" s="322"/>
      <c r="O1314" s="150"/>
      <c r="P1314" s="135"/>
      <c r="Q1314" s="135"/>
      <c r="R1314" s="321"/>
      <c r="S1314" s="322"/>
      <c r="T1314" s="319"/>
      <c r="U1314" s="322"/>
      <c r="V1314" s="322"/>
      <c r="W1314" s="322"/>
      <c r="X1314" s="322"/>
      <c r="Y1314" s="319"/>
      <c r="Z1314" s="136" t="str">
        <f t="shared" si="16"/>
        <v/>
      </c>
      <c r="AA1314" s="137" t="str">
        <f t="shared" si="17"/>
        <v/>
      </c>
      <c r="AB1314" s="138" t="str">
        <f t="shared" si="19"/>
        <v/>
      </c>
      <c r="AC1314" s="322"/>
      <c r="AD1314" s="319"/>
      <c r="AE1314" s="320"/>
    </row>
    <row r="1315" ht="18.0" customHeight="1">
      <c r="A1315" s="118" t="str">
        <f t="shared" si="15"/>
        <v/>
      </c>
      <c r="B1315" s="109"/>
      <c r="C1315" s="119"/>
      <c r="D1315" s="119"/>
      <c r="E1315" s="330"/>
      <c r="F1315" s="121"/>
      <c r="G1315" s="153"/>
      <c r="H1315" s="153"/>
      <c r="I1315" s="153"/>
      <c r="J1315" s="112"/>
      <c r="K1315" s="153"/>
      <c r="L1315" s="114"/>
      <c r="M1315" s="151"/>
      <c r="N1315" s="152"/>
      <c r="O1315" s="150"/>
      <c r="P1315" s="114"/>
      <c r="Q1315" s="114"/>
      <c r="R1315" s="151"/>
      <c r="S1315" s="152"/>
      <c r="T1315" s="153"/>
      <c r="U1315" s="152"/>
      <c r="V1315" s="152"/>
      <c r="W1315" s="152"/>
      <c r="X1315" s="152"/>
      <c r="Y1315" s="153"/>
      <c r="Z1315" s="125" t="str">
        <f t="shared" si="16"/>
        <v/>
      </c>
      <c r="AA1315" s="126" t="str">
        <f t="shared" si="17"/>
        <v/>
      </c>
      <c r="AB1315" s="117" t="str">
        <f t="shared" si="19"/>
        <v/>
      </c>
      <c r="AC1315" s="152"/>
      <c r="AD1315" s="153"/>
      <c r="AE1315" s="156"/>
    </row>
    <row r="1316" ht="18.0" customHeight="1">
      <c r="A1316" s="127" t="str">
        <f t="shared" si="15"/>
        <v/>
      </c>
      <c r="B1316" s="128"/>
      <c r="C1316" s="129"/>
      <c r="D1316" s="129"/>
      <c r="E1316" s="325"/>
      <c r="F1316" s="131"/>
      <c r="G1316" s="319"/>
      <c r="H1316" s="319"/>
      <c r="I1316" s="319"/>
      <c r="J1316" s="132"/>
      <c r="K1316" s="319"/>
      <c r="L1316" s="135"/>
      <c r="M1316" s="321"/>
      <c r="N1316" s="322"/>
      <c r="O1316" s="150"/>
      <c r="P1316" s="135"/>
      <c r="Q1316" s="135"/>
      <c r="R1316" s="321"/>
      <c r="S1316" s="322"/>
      <c r="T1316" s="319"/>
      <c r="U1316" s="322"/>
      <c r="V1316" s="322"/>
      <c r="W1316" s="322"/>
      <c r="X1316" s="322"/>
      <c r="Y1316" s="319"/>
      <c r="Z1316" s="136" t="str">
        <f t="shared" si="16"/>
        <v/>
      </c>
      <c r="AA1316" s="137" t="str">
        <f t="shared" si="17"/>
        <v/>
      </c>
      <c r="AB1316" s="138" t="str">
        <f t="shared" si="19"/>
        <v/>
      </c>
      <c r="AC1316" s="322"/>
      <c r="AD1316" s="319"/>
      <c r="AE1316" s="320"/>
    </row>
    <row r="1317" ht="18.0" customHeight="1">
      <c r="A1317" s="118" t="str">
        <f t="shared" si="15"/>
        <v/>
      </c>
      <c r="B1317" s="109"/>
      <c r="C1317" s="119"/>
      <c r="D1317" s="119"/>
      <c r="E1317" s="330"/>
      <c r="F1317" s="121"/>
      <c r="G1317" s="153"/>
      <c r="H1317" s="153"/>
      <c r="I1317" s="153"/>
      <c r="J1317" s="112"/>
      <c r="K1317" s="153"/>
      <c r="L1317" s="114"/>
      <c r="M1317" s="151"/>
      <c r="N1317" s="152"/>
      <c r="O1317" s="150"/>
      <c r="P1317" s="114"/>
      <c r="Q1317" s="114"/>
      <c r="R1317" s="151"/>
      <c r="S1317" s="152"/>
      <c r="T1317" s="153"/>
      <c r="U1317" s="152"/>
      <c r="V1317" s="152"/>
      <c r="W1317" s="152"/>
      <c r="X1317" s="152"/>
      <c r="Y1317" s="153"/>
      <c r="Z1317" s="125" t="str">
        <f t="shared" si="16"/>
        <v/>
      </c>
      <c r="AA1317" s="126" t="str">
        <f t="shared" si="17"/>
        <v/>
      </c>
      <c r="AB1317" s="117" t="str">
        <f t="shared" si="19"/>
        <v/>
      </c>
      <c r="AC1317" s="152"/>
      <c r="AD1317" s="153"/>
      <c r="AE1317" s="156"/>
    </row>
    <row r="1318" ht="18.0" customHeight="1">
      <c r="A1318" s="127" t="str">
        <f t="shared" si="15"/>
        <v/>
      </c>
      <c r="B1318" s="128"/>
      <c r="C1318" s="129"/>
      <c r="D1318" s="129"/>
      <c r="E1318" s="325"/>
      <c r="F1318" s="131"/>
      <c r="G1318" s="319"/>
      <c r="H1318" s="319"/>
      <c r="I1318" s="319"/>
      <c r="J1318" s="132"/>
      <c r="K1318" s="319"/>
      <c r="L1318" s="135"/>
      <c r="M1318" s="321"/>
      <c r="N1318" s="322"/>
      <c r="O1318" s="150"/>
      <c r="P1318" s="135"/>
      <c r="Q1318" s="135"/>
      <c r="R1318" s="321"/>
      <c r="S1318" s="322"/>
      <c r="T1318" s="319"/>
      <c r="U1318" s="322"/>
      <c r="V1318" s="322"/>
      <c r="W1318" s="322"/>
      <c r="X1318" s="322"/>
      <c r="Y1318" s="319"/>
      <c r="Z1318" s="136" t="str">
        <f t="shared" si="16"/>
        <v/>
      </c>
      <c r="AA1318" s="137" t="str">
        <f t="shared" si="17"/>
        <v/>
      </c>
      <c r="AB1318" s="138" t="str">
        <f t="shared" si="19"/>
        <v/>
      </c>
      <c r="AC1318" s="322"/>
      <c r="AD1318" s="319"/>
      <c r="AE1318" s="320"/>
    </row>
    <row r="1319" ht="18.0" customHeight="1">
      <c r="A1319" s="118" t="str">
        <f t="shared" si="15"/>
        <v/>
      </c>
      <c r="B1319" s="109"/>
      <c r="C1319" s="119"/>
      <c r="D1319" s="119"/>
      <c r="E1319" s="330"/>
      <c r="F1319" s="121"/>
      <c r="G1319" s="153"/>
      <c r="H1319" s="153"/>
      <c r="I1319" s="153"/>
      <c r="J1319" s="112"/>
      <c r="K1319" s="153"/>
      <c r="L1319" s="114"/>
      <c r="M1319" s="151"/>
      <c r="N1319" s="152"/>
      <c r="O1319" s="150"/>
      <c r="P1319" s="114"/>
      <c r="Q1319" s="114"/>
      <c r="R1319" s="151"/>
      <c r="S1319" s="152"/>
      <c r="T1319" s="153"/>
      <c r="U1319" s="152"/>
      <c r="V1319" s="152"/>
      <c r="W1319" s="152"/>
      <c r="X1319" s="152"/>
      <c r="Y1319" s="153"/>
      <c r="Z1319" s="125" t="str">
        <f t="shared" si="16"/>
        <v/>
      </c>
      <c r="AA1319" s="126" t="str">
        <f t="shared" si="17"/>
        <v/>
      </c>
      <c r="AB1319" s="117" t="str">
        <f t="shared" si="19"/>
        <v/>
      </c>
      <c r="AC1319" s="152"/>
      <c r="AD1319" s="153"/>
      <c r="AE1319" s="156"/>
    </row>
    <row r="1320" ht="18.0" customHeight="1">
      <c r="A1320" s="127" t="str">
        <f t="shared" si="15"/>
        <v/>
      </c>
      <c r="B1320" s="128"/>
      <c r="C1320" s="129"/>
      <c r="D1320" s="129"/>
      <c r="E1320" s="325"/>
      <c r="F1320" s="131"/>
      <c r="G1320" s="319"/>
      <c r="H1320" s="319"/>
      <c r="I1320" s="319"/>
      <c r="J1320" s="132"/>
      <c r="K1320" s="319"/>
      <c r="L1320" s="135"/>
      <c r="M1320" s="321"/>
      <c r="N1320" s="322"/>
      <c r="O1320" s="150"/>
      <c r="P1320" s="135"/>
      <c r="Q1320" s="135"/>
      <c r="R1320" s="321"/>
      <c r="S1320" s="322"/>
      <c r="T1320" s="319"/>
      <c r="U1320" s="322"/>
      <c r="V1320" s="322"/>
      <c r="W1320" s="322"/>
      <c r="X1320" s="322"/>
      <c r="Y1320" s="319"/>
      <c r="Z1320" s="136" t="str">
        <f t="shared" si="16"/>
        <v/>
      </c>
      <c r="AA1320" s="137" t="str">
        <f t="shared" si="17"/>
        <v/>
      </c>
      <c r="AB1320" s="138" t="str">
        <f t="shared" si="19"/>
        <v/>
      </c>
      <c r="AC1320" s="322"/>
      <c r="AD1320" s="319"/>
      <c r="AE1320" s="320"/>
    </row>
    <row r="1321" ht="18.0" customHeight="1">
      <c r="A1321" s="118" t="str">
        <f t="shared" si="15"/>
        <v/>
      </c>
      <c r="B1321" s="109"/>
      <c r="C1321" s="119"/>
      <c r="D1321" s="119"/>
      <c r="E1321" s="330"/>
      <c r="F1321" s="121"/>
      <c r="G1321" s="153"/>
      <c r="H1321" s="153"/>
      <c r="I1321" s="153"/>
      <c r="J1321" s="112"/>
      <c r="K1321" s="153"/>
      <c r="L1321" s="114"/>
      <c r="M1321" s="151"/>
      <c r="N1321" s="152"/>
      <c r="O1321" s="150"/>
      <c r="P1321" s="114"/>
      <c r="Q1321" s="114"/>
      <c r="R1321" s="151"/>
      <c r="S1321" s="152"/>
      <c r="T1321" s="153"/>
      <c r="U1321" s="152"/>
      <c r="V1321" s="152"/>
      <c r="W1321" s="152"/>
      <c r="X1321" s="152"/>
      <c r="Y1321" s="153"/>
      <c r="Z1321" s="125" t="str">
        <f t="shared" si="16"/>
        <v/>
      </c>
      <c r="AA1321" s="126" t="str">
        <f t="shared" si="17"/>
        <v/>
      </c>
      <c r="AB1321" s="117" t="str">
        <f t="shared" si="19"/>
        <v/>
      </c>
      <c r="AC1321" s="152"/>
      <c r="AD1321" s="153"/>
      <c r="AE1321" s="156"/>
    </row>
    <row r="1322" ht="18.0" customHeight="1">
      <c r="A1322" s="127" t="str">
        <f t="shared" si="15"/>
        <v/>
      </c>
      <c r="B1322" s="128"/>
      <c r="C1322" s="129"/>
      <c r="D1322" s="129"/>
      <c r="E1322" s="325"/>
      <c r="F1322" s="131"/>
      <c r="G1322" s="319"/>
      <c r="H1322" s="319"/>
      <c r="I1322" s="319"/>
      <c r="J1322" s="132"/>
      <c r="K1322" s="319"/>
      <c r="L1322" s="135"/>
      <c r="M1322" s="321"/>
      <c r="N1322" s="322"/>
      <c r="O1322" s="150"/>
      <c r="P1322" s="135"/>
      <c r="Q1322" s="135"/>
      <c r="R1322" s="321"/>
      <c r="S1322" s="322"/>
      <c r="T1322" s="319"/>
      <c r="U1322" s="322"/>
      <c r="V1322" s="322"/>
      <c r="W1322" s="322"/>
      <c r="X1322" s="322"/>
      <c r="Y1322" s="319"/>
      <c r="Z1322" s="136" t="str">
        <f t="shared" si="16"/>
        <v/>
      </c>
      <c r="AA1322" s="137" t="str">
        <f t="shared" si="17"/>
        <v/>
      </c>
      <c r="AB1322" s="138" t="str">
        <f t="shared" si="19"/>
        <v/>
      </c>
      <c r="AC1322" s="322"/>
      <c r="AD1322" s="319"/>
      <c r="AE1322" s="320"/>
    </row>
    <row r="1323" ht="18.0" customHeight="1">
      <c r="A1323" s="118" t="str">
        <f t="shared" si="15"/>
        <v/>
      </c>
      <c r="B1323" s="109"/>
      <c r="C1323" s="119"/>
      <c r="D1323" s="119"/>
      <c r="E1323" s="330"/>
      <c r="F1323" s="121"/>
      <c r="G1323" s="153"/>
      <c r="H1323" s="153"/>
      <c r="I1323" s="153"/>
      <c r="J1323" s="112"/>
      <c r="K1323" s="153"/>
      <c r="L1323" s="114"/>
      <c r="M1323" s="151"/>
      <c r="N1323" s="152"/>
      <c r="O1323" s="150"/>
      <c r="P1323" s="114"/>
      <c r="Q1323" s="114"/>
      <c r="R1323" s="151"/>
      <c r="S1323" s="152"/>
      <c r="T1323" s="153"/>
      <c r="U1323" s="152"/>
      <c r="V1323" s="152"/>
      <c r="W1323" s="152"/>
      <c r="X1323" s="152"/>
      <c r="Y1323" s="153"/>
      <c r="Z1323" s="125" t="str">
        <f t="shared" si="16"/>
        <v/>
      </c>
      <c r="AA1323" s="126" t="str">
        <f t="shared" si="17"/>
        <v/>
      </c>
      <c r="AB1323" s="117" t="str">
        <f t="shared" si="19"/>
        <v/>
      </c>
      <c r="AC1323" s="152"/>
      <c r="AD1323" s="153"/>
      <c r="AE1323" s="156"/>
    </row>
    <row r="1324" ht="18.0" customHeight="1">
      <c r="A1324" s="127" t="str">
        <f t="shared" si="15"/>
        <v/>
      </c>
      <c r="B1324" s="128"/>
      <c r="C1324" s="129"/>
      <c r="D1324" s="129"/>
      <c r="E1324" s="325"/>
      <c r="F1324" s="131"/>
      <c r="G1324" s="319"/>
      <c r="H1324" s="319"/>
      <c r="I1324" s="319"/>
      <c r="J1324" s="132"/>
      <c r="K1324" s="319"/>
      <c r="L1324" s="135"/>
      <c r="M1324" s="321"/>
      <c r="N1324" s="322"/>
      <c r="O1324" s="150"/>
      <c r="P1324" s="135"/>
      <c r="Q1324" s="135"/>
      <c r="R1324" s="321"/>
      <c r="S1324" s="322"/>
      <c r="T1324" s="319"/>
      <c r="U1324" s="322"/>
      <c r="V1324" s="322"/>
      <c r="W1324" s="322"/>
      <c r="X1324" s="322"/>
      <c r="Y1324" s="319"/>
      <c r="Z1324" s="136" t="str">
        <f t="shared" si="16"/>
        <v/>
      </c>
      <c r="AA1324" s="137" t="str">
        <f t="shared" si="17"/>
        <v/>
      </c>
      <c r="AB1324" s="138" t="str">
        <f t="shared" si="19"/>
        <v/>
      </c>
      <c r="AC1324" s="322"/>
      <c r="AD1324" s="319"/>
      <c r="AE1324" s="320"/>
    </row>
    <row r="1325" ht="18.0" customHeight="1">
      <c r="A1325" s="118" t="str">
        <f t="shared" si="15"/>
        <v/>
      </c>
      <c r="B1325" s="109"/>
      <c r="C1325" s="119"/>
      <c r="D1325" s="119"/>
      <c r="E1325" s="330"/>
      <c r="F1325" s="121"/>
      <c r="G1325" s="153"/>
      <c r="H1325" s="153"/>
      <c r="I1325" s="153"/>
      <c r="J1325" s="112"/>
      <c r="K1325" s="153"/>
      <c r="L1325" s="114"/>
      <c r="M1325" s="151"/>
      <c r="N1325" s="152"/>
      <c r="O1325" s="150"/>
      <c r="P1325" s="114"/>
      <c r="Q1325" s="114"/>
      <c r="R1325" s="151"/>
      <c r="S1325" s="152"/>
      <c r="T1325" s="153"/>
      <c r="U1325" s="152"/>
      <c r="V1325" s="152"/>
      <c r="W1325" s="152"/>
      <c r="X1325" s="152"/>
      <c r="Y1325" s="153"/>
      <c r="Z1325" s="125" t="str">
        <f t="shared" si="16"/>
        <v/>
      </c>
      <c r="AA1325" s="126" t="str">
        <f t="shared" si="17"/>
        <v/>
      </c>
      <c r="AB1325" s="117" t="str">
        <f t="shared" si="19"/>
        <v/>
      </c>
      <c r="AC1325" s="152"/>
      <c r="AD1325" s="153"/>
      <c r="AE1325" s="156"/>
    </row>
    <row r="1326" ht="18.0" customHeight="1">
      <c r="A1326" s="127" t="str">
        <f t="shared" si="15"/>
        <v/>
      </c>
      <c r="B1326" s="128"/>
      <c r="C1326" s="129"/>
      <c r="D1326" s="129"/>
      <c r="E1326" s="325"/>
      <c r="F1326" s="131"/>
      <c r="G1326" s="319"/>
      <c r="H1326" s="319"/>
      <c r="I1326" s="319"/>
      <c r="J1326" s="132"/>
      <c r="K1326" s="319"/>
      <c r="L1326" s="135"/>
      <c r="M1326" s="321"/>
      <c r="N1326" s="322"/>
      <c r="O1326" s="150"/>
      <c r="P1326" s="135"/>
      <c r="Q1326" s="135"/>
      <c r="R1326" s="321"/>
      <c r="S1326" s="322"/>
      <c r="T1326" s="319"/>
      <c r="U1326" s="322"/>
      <c r="V1326" s="322"/>
      <c r="W1326" s="322"/>
      <c r="X1326" s="322"/>
      <c r="Y1326" s="319"/>
      <c r="Z1326" s="136" t="str">
        <f t="shared" si="16"/>
        <v/>
      </c>
      <c r="AA1326" s="137" t="str">
        <f t="shared" si="17"/>
        <v/>
      </c>
      <c r="AB1326" s="138" t="str">
        <f t="shared" si="19"/>
        <v/>
      </c>
      <c r="AC1326" s="322"/>
      <c r="AD1326" s="319"/>
      <c r="AE1326" s="320"/>
    </row>
    <row r="1327" ht="18.0" customHeight="1">
      <c r="A1327" s="118" t="str">
        <f t="shared" si="15"/>
        <v/>
      </c>
      <c r="B1327" s="109"/>
      <c r="C1327" s="119"/>
      <c r="D1327" s="119"/>
      <c r="E1327" s="330"/>
      <c r="F1327" s="121"/>
      <c r="G1327" s="153"/>
      <c r="H1327" s="153"/>
      <c r="I1327" s="153"/>
      <c r="J1327" s="112"/>
      <c r="K1327" s="153"/>
      <c r="L1327" s="114"/>
      <c r="M1327" s="151"/>
      <c r="N1327" s="152"/>
      <c r="O1327" s="150"/>
      <c r="P1327" s="114"/>
      <c r="Q1327" s="114"/>
      <c r="R1327" s="151"/>
      <c r="S1327" s="152"/>
      <c r="T1327" s="153"/>
      <c r="U1327" s="152"/>
      <c r="V1327" s="152"/>
      <c r="W1327" s="152"/>
      <c r="X1327" s="152"/>
      <c r="Y1327" s="153"/>
      <c r="Z1327" s="125" t="str">
        <f t="shared" si="16"/>
        <v/>
      </c>
      <c r="AA1327" s="126" t="str">
        <f t="shared" si="17"/>
        <v/>
      </c>
      <c r="AB1327" s="117" t="str">
        <f t="shared" si="19"/>
        <v/>
      </c>
      <c r="AC1327" s="152"/>
      <c r="AD1327" s="153"/>
      <c r="AE1327" s="156"/>
    </row>
    <row r="1328" ht="18.0" customHeight="1">
      <c r="A1328" s="127" t="str">
        <f t="shared" si="15"/>
        <v/>
      </c>
      <c r="B1328" s="128"/>
      <c r="C1328" s="129"/>
      <c r="D1328" s="129"/>
      <c r="E1328" s="325"/>
      <c r="F1328" s="131"/>
      <c r="G1328" s="319"/>
      <c r="H1328" s="319"/>
      <c r="I1328" s="319"/>
      <c r="J1328" s="132"/>
      <c r="K1328" s="319"/>
      <c r="L1328" s="135"/>
      <c r="M1328" s="321"/>
      <c r="N1328" s="322"/>
      <c r="O1328" s="150"/>
      <c r="P1328" s="135"/>
      <c r="Q1328" s="135"/>
      <c r="R1328" s="321"/>
      <c r="S1328" s="322"/>
      <c r="T1328" s="319"/>
      <c r="U1328" s="322"/>
      <c r="V1328" s="322"/>
      <c r="W1328" s="322"/>
      <c r="X1328" s="322"/>
      <c r="Y1328" s="319"/>
      <c r="Z1328" s="136" t="str">
        <f t="shared" si="16"/>
        <v/>
      </c>
      <c r="AA1328" s="137" t="str">
        <f t="shared" si="17"/>
        <v/>
      </c>
      <c r="AB1328" s="138" t="str">
        <f t="shared" si="19"/>
        <v/>
      </c>
      <c r="AC1328" s="322"/>
      <c r="AD1328" s="319"/>
      <c r="AE1328" s="320"/>
    </row>
    <row r="1329" ht="18.0" customHeight="1">
      <c r="A1329" s="118" t="str">
        <f t="shared" si="15"/>
        <v/>
      </c>
      <c r="B1329" s="109"/>
      <c r="C1329" s="119"/>
      <c r="D1329" s="119"/>
      <c r="E1329" s="330"/>
      <c r="F1329" s="121"/>
      <c r="G1329" s="153"/>
      <c r="H1329" s="153"/>
      <c r="I1329" s="153"/>
      <c r="J1329" s="112"/>
      <c r="K1329" s="153"/>
      <c r="L1329" s="114"/>
      <c r="M1329" s="151"/>
      <c r="N1329" s="152"/>
      <c r="O1329" s="150"/>
      <c r="P1329" s="114"/>
      <c r="Q1329" s="114"/>
      <c r="R1329" s="151"/>
      <c r="S1329" s="152"/>
      <c r="T1329" s="153"/>
      <c r="U1329" s="152"/>
      <c r="V1329" s="152"/>
      <c r="W1329" s="152"/>
      <c r="X1329" s="152"/>
      <c r="Y1329" s="153"/>
      <c r="Z1329" s="125" t="str">
        <f t="shared" si="16"/>
        <v/>
      </c>
      <c r="AA1329" s="126" t="str">
        <f t="shared" si="17"/>
        <v/>
      </c>
      <c r="AB1329" s="117" t="str">
        <f t="shared" si="19"/>
        <v/>
      </c>
      <c r="AC1329" s="152"/>
      <c r="AD1329" s="153"/>
      <c r="AE1329" s="156"/>
    </row>
    <row r="1330" ht="18.0" customHeight="1">
      <c r="A1330" s="127" t="str">
        <f t="shared" si="15"/>
        <v/>
      </c>
      <c r="B1330" s="128"/>
      <c r="C1330" s="129"/>
      <c r="D1330" s="129"/>
      <c r="E1330" s="325"/>
      <c r="F1330" s="131"/>
      <c r="G1330" s="319"/>
      <c r="H1330" s="319"/>
      <c r="I1330" s="319"/>
      <c r="J1330" s="132"/>
      <c r="K1330" s="319"/>
      <c r="L1330" s="135"/>
      <c r="M1330" s="321"/>
      <c r="N1330" s="322"/>
      <c r="O1330" s="150"/>
      <c r="P1330" s="135"/>
      <c r="Q1330" s="135"/>
      <c r="R1330" s="321"/>
      <c r="S1330" s="322"/>
      <c r="T1330" s="319"/>
      <c r="U1330" s="322"/>
      <c r="V1330" s="322"/>
      <c r="W1330" s="322"/>
      <c r="X1330" s="322"/>
      <c r="Y1330" s="319"/>
      <c r="Z1330" s="136" t="str">
        <f t="shared" si="16"/>
        <v/>
      </c>
      <c r="AA1330" s="137" t="str">
        <f t="shared" si="17"/>
        <v/>
      </c>
      <c r="AB1330" s="138" t="str">
        <f t="shared" si="19"/>
        <v/>
      </c>
      <c r="AC1330" s="322"/>
      <c r="AD1330" s="319"/>
      <c r="AE1330" s="320"/>
    </row>
    <row r="1331" ht="18.0" customHeight="1">
      <c r="A1331" s="118" t="str">
        <f t="shared" si="15"/>
        <v/>
      </c>
      <c r="B1331" s="109"/>
      <c r="C1331" s="119"/>
      <c r="D1331" s="119"/>
      <c r="E1331" s="330"/>
      <c r="F1331" s="121"/>
      <c r="G1331" s="153"/>
      <c r="H1331" s="153"/>
      <c r="I1331" s="153"/>
      <c r="J1331" s="112"/>
      <c r="K1331" s="153"/>
      <c r="L1331" s="114"/>
      <c r="M1331" s="151"/>
      <c r="N1331" s="152"/>
      <c r="O1331" s="150"/>
      <c r="P1331" s="114"/>
      <c r="Q1331" s="114"/>
      <c r="R1331" s="151"/>
      <c r="S1331" s="152"/>
      <c r="T1331" s="153"/>
      <c r="U1331" s="152"/>
      <c r="V1331" s="152"/>
      <c r="W1331" s="152"/>
      <c r="X1331" s="152"/>
      <c r="Y1331" s="153"/>
      <c r="Z1331" s="125" t="str">
        <f t="shared" si="16"/>
        <v/>
      </c>
      <c r="AA1331" s="126" t="str">
        <f t="shared" si="17"/>
        <v/>
      </c>
      <c r="AB1331" s="117" t="str">
        <f t="shared" si="19"/>
        <v/>
      </c>
      <c r="AC1331" s="152"/>
      <c r="AD1331" s="153"/>
      <c r="AE1331" s="156"/>
    </row>
    <row r="1332" ht="18.0" customHeight="1">
      <c r="A1332" s="127" t="str">
        <f t="shared" si="15"/>
        <v/>
      </c>
      <c r="B1332" s="128"/>
      <c r="C1332" s="129"/>
      <c r="D1332" s="129"/>
      <c r="E1332" s="325"/>
      <c r="F1332" s="131"/>
      <c r="G1332" s="319"/>
      <c r="H1332" s="319"/>
      <c r="I1332" s="319"/>
      <c r="J1332" s="132"/>
      <c r="K1332" s="319"/>
      <c r="L1332" s="135"/>
      <c r="M1332" s="321"/>
      <c r="N1332" s="322"/>
      <c r="O1332" s="150"/>
      <c r="P1332" s="135"/>
      <c r="Q1332" s="135"/>
      <c r="R1332" s="321"/>
      <c r="S1332" s="322"/>
      <c r="T1332" s="319"/>
      <c r="U1332" s="322"/>
      <c r="V1332" s="322"/>
      <c r="W1332" s="322"/>
      <c r="X1332" s="322"/>
      <c r="Y1332" s="319"/>
      <c r="Z1332" s="136" t="str">
        <f t="shared" si="16"/>
        <v/>
      </c>
      <c r="AA1332" s="137" t="str">
        <f t="shared" si="17"/>
        <v/>
      </c>
      <c r="AB1332" s="138" t="str">
        <f t="shared" si="19"/>
        <v/>
      </c>
      <c r="AC1332" s="322"/>
      <c r="AD1332" s="319"/>
      <c r="AE1332" s="320"/>
    </row>
    <row r="1333" ht="18.0" customHeight="1">
      <c r="A1333" s="118" t="str">
        <f t="shared" si="15"/>
        <v/>
      </c>
      <c r="B1333" s="109"/>
      <c r="C1333" s="119"/>
      <c r="D1333" s="119"/>
      <c r="E1333" s="330"/>
      <c r="F1333" s="121"/>
      <c r="G1333" s="153"/>
      <c r="H1333" s="153"/>
      <c r="I1333" s="153"/>
      <c r="J1333" s="112"/>
      <c r="K1333" s="153"/>
      <c r="L1333" s="114"/>
      <c r="M1333" s="151"/>
      <c r="N1333" s="152"/>
      <c r="O1333" s="150"/>
      <c r="P1333" s="114"/>
      <c r="Q1333" s="114"/>
      <c r="R1333" s="151"/>
      <c r="S1333" s="152"/>
      <c r="T1333" s="153"/>
      <c r="U1333" s="152"/>
      <c r="V1333" s="152"/>
      <c r="W1333" s="152"/>
      <c r="X1333" s="152"/>
      <c r="Y1333" s="153"/>
      <c r="Z1333" s="125" t="str">
        <f t="shared" si="16"/>
        <v/>
      </c>
      <c r="AA1333" s="126" t="str">
        <f t="shared" si="17"/>
        <v/>
      </c>
      <c r="AB1333" s="117" t="str">
        <f t="shared" si="19"/>
        <v/>
      </c>
      <c r="AC1333" s="152"/>
      <c r="AD1333" s="153"/>
      <c r="AE1333" s="156"/>
    </row>
    <row r="1334" ht="18.0" customHeight="1">
      <c r="A1334" s="127" t="str">
        <f t="shared" si="15"/>
        <v/>
      </c>
      <c r="B1334" s="128"/>
      <c r="C1334" s="129"/>
      <c r="D1334" s="129"/>
      <c r="E1334" s="325"/>
      <c r="F1334" s="131"/>
      <c r="G1334" s="319"/>
      <c r="H1334" s="319"/>
      <c r="I1334" s="319"/>
      <c r="J1334" s="132"/>
      <c r="K1334" s="319"/>
      <c r="L1334" s="135"/>
      <c r="M1334" s="321"/>
      <c r="N1334" s="322"/>
      <c r="O1334" s="150"/>
      <c r="P1334" s="135"/>
      <c r="Q1334" s="135"/>
      <c r="R1334" s="321"/>
      <c r="S1334" s="322"/>
      <c r="T1334" s="319"/>
      <c r="U1334" s="322"/>
      <c r="V1334" s="322"/>
      <c r="W1334" s="322"/>
      <c r="X1334" s="322"/>
      <c r="Y1334" s="319"/>
      <c r="Z1334" s="136" t="str">
        <f t="shared" si="16"/>
        <v/>
      </c>
      <c r="AA1334" s="137" t="str">
        <f t="shared" si="17"/>
        <v/>
      </c>
      <c r="AB1334" s="138" t="str">
        <f t="shared" si="19"/>
        <v/>
      </c>
      <c r="AC1334" s="322"/>
      <c r="AD1334" s="319"/>
      <c r="AE1334" s="320"/>
    </row>
    <row r="1335" ht="18.0" customHeight="1">
      <c r="A1335" s="118" t="str">
        <f t="shared" si="15"/>
        <v/>
      </c>
      <c r="B1335" s="109"/>
      <c r="C1335" s="119"/>
      <c r="D1335" s="119"/>
      <c r="E1335" s="330"/>
      <c r="F1335" s="121"/>
      <c r="G1335" s="153"/>
      <c r="H1335" s="153"/>
      <c r="I1335" s="153"/>
      <c r="J1335" s="112"/>
      <c r="K1335" s="153"/>
      <c r="L1335" s="114"/>
      <c r="M1335" s="151"/>
      <c r="N1335" s="152"/>
      <c r="O1335" s="150"/>
      <c r="P1335" s="114"/>
      <c r="Q1335" s="114"/>
      <c r="R1335" s="151"/>
      <c r="S1335" s="152"/>
      <c r="T1335" s="153"/>
      <c r="U1335" s="152"/>
      <c r="V1335" s="152"/>
      <c r="W1335" s="152"/>
      <c r="X1335" s="152"/>
      <c r="Y1335" s="153"/>
      <c r="Z1335" s="125" t="str">
        <f t="shared" si="16"/>
        <v/>
      </c>
      <c r="AA1335" s="126" t="str">
        <f t="shared" si="17"/>
        <v/>
      </c>
      <c r="AB1335" s="117" t="str">
        <f t="shared" si="19"/>
        <v/>
      </c>
      <c r="AC1335" s="152"/>
      <c r="AD1335" s="153"/>
      <c r="AE1335" s="156"/>
    </row>
    <row r="1336" ht="18.0" customHeight="1">
      <c r="A1336" s="127" t="str">
        <f t="shared" si="15"/>
        <v/>
      </c>
      <c r="B1336" s="128"/>
      <c r="C1336" s="129"/>
      <c r="D1336" s="129"/>
      <c r="E1336" s="325"/>
      <c r="F1336" s="131"/>
      <c r="G1336" s="319"/>
      <c r="H1336" s="319"/>
      <c r="I1336" s="319"/>
      <c r="J1336" s="132"/>
      <c r="K1336" s="319"/>
      <c r="L1336" s="135"/>
      <c r="M1336" s="321"/>
      <c r="N1336" s="322"/>
      <c r="O1336" s="150"/>
      <c r="P1336" s="135"/>
      <c r="Q1336" s="135"/>
      <c r="R1336" s="321"/>
      <c r="S1336" s="322"/>
      <c r="T1336" s="319"/>
      <c r="U1336" s="322"/>
      <c r="V1336" s="322"/>
      <c r="W1336" s="322"/>
      <c r="X1336" s="322"/>
      <c r="Y1336" s="319"/>
      <c r="Z1336" s="136" t="str">
        <f t="shared" si="16"/>
        <v/>
      </c>
      <c r="AA1336" s="137" t="str">
        <f t="shared" si="17"/>
        <v/>
      </c>
      <c r="AB1336" s="138" t="str">
        <f t="shared" si="19"/>
        <v/>
      </c>
      <c r="AC1336" s="322"/>
      <c r="AD1336" s="319"/>
      <c r="AE1336" s="320"/>
    </row>
    <row r="1337" ht="18.0" customHeight="1">
      <c r="A1337" s="118" t="str">
        <f t="shared" si="15"/>
        <v/>
      </c>
      <c r="B1337" s="109"/>
      <c r="C1337" s="119"/>
      <c r="D1337" s="119"/>
      <c r="E1337" s="330"/>
      <c r="F1337" s="121"/>
      <c r="G1337" s="153"/>
      <c r="H1337" s="153"/>
      <c r="I1337" s="153"/>
      <c r="J1337" s="112"/>
      <c r="K1337" s="153"/>
      <c r="L1337" s="114"/>
      <c r="M1337" s="151"/>
      <c r="N1337" s="152"/>
      <c r="O1337" s="150"/>
      <c r="P1337" s="114"/>
      <c r="Q1337" s="114"/>
      <c r="R1337" s="151"/>
      <c r="S1337" s="152"/>
      <c r="T1337" s="153"/>
      <c r="U1337" s="152"/>
      <c r="V1337" s="152"/>
      <c r="W1337" s="152"/>
      <c r="X1337" s="152"/>
      <c r="Y1337" s="153"/>
      <c r="Z1337" s="125" t="str">
        <f t="shared" si="16"/>
        <v/>
      </c>
      <c r="AA1337" s="126" t="str">
        <f t="shared" si="17"/>
        <v/>
      </c>
      <c r="AB1337" s="117" t="str">
        <f t="shared" si="19"/>
        <v/>
      </c>
      <c r="AC1337" s="152"/>
      <c r="AD1337" s="153"/>
      <c r="AE1337" s="156"/>
    </row>
    <row r="1338" ht="18.0" customHeight="1">
      <c r="A1338" s="127" t="str">
        <f t="shared" si="15"/>
        <v/>
      </c>
      <c r="B1338" s="128"/>
      <c r="C1338" s="129"/>
      <c r="D1338" s="129"/>
      <c r="E1338" s="325"/>
      <c r="F1338" s="131"/>
      <c r="G1338" s="319"/>
      <c r="H1338" s="319"/>
      <c r="I1338" s="319"/>
      <c r="J1338" s="132"/>
      <c r="K1338" s="319"/>
      <c r="L1338" s="135"/>
      <c r="M1338" s="321"/>
      <c r="N1338" s="322"/>
      <c r="O1338" s="150"/>
      <c r="P1338" s="135"/>
      <c r="Q1338" s="135"/>
      <c r="R1338" s="321"/>
      <c r="S1338" s="322"/>
      <c r="T1338" s="319"/>
      <c r="U1338" s="322"/>
      <c r="V1338" s="322"/>
      <c r="W1338" s="322"/>
      <c r="X1338" s="322"/>
      <c r="Y1338" s="319"/>
      <c r="Z1338" s="136" t="str">
        <f t="shared" si="16"/>
        <v/>
      </c>
      <c r="AA1338" s="137" t="str">
        <f t="shared" si="17"/>
        <v/>
      </c>
      <c r="AB1338" s="138" t="str">
        <f t="shared" si="19"/>
        <v/>
      </c>
      <c r="AC1338" s="322"/>
      <c r="AD1338" s="319"/>
      <c r="AE1338" s="320"/>
    </row>
    <row r="1339" ht="18.0" customHeight="1">
      <c r="A1339" s="118" t="str">
        <f t="shared" si="15"/>
        <v/>
      </c>
      <c r="B1339" s="109"/>
      <c r="C1339" s="119"/>
      <c r="D1339" s="119"/>
      <c r="E1339" s="330"/>
      <c r="F1339" s="121"/>
      <c r="G1339" s="153"/>
      <c r="H1339" s="153"/>
      <c r="I1339" s="153"/>
      <c r="J1339" s="112"/>
      <c r="K1339" s="153"/>
      <c r="L1339" s="114"/>
      <c r="M1339" s="151"/>
      <c r="N1339" s="152"/>
      <c r="O1339" s="150"/>
      <c r="P1339" s="114"/>
      <c r="Q1339" s="114"/>
      <c r="R1339" s="151"/>
      <c r="S1339" s="152"/>
      <c r="T1339" s="153"/>
      <c r="U1339" s="152"/>
      <c r="V1339" s="152"/>
      <c r="W1339" s="152"/>
      <c r="X1339" s="152"/>
      <c r="Y1339" s="153"/>
      <c r="Z1339" s="125" t="str">
        <f t="shared" si="16"/>
        <v/>
      </c>
      <c r="AA1339" s="126" t="str">
        <f t="shared" si="17"/>
        <v/>
      </c>
      <c r="AB1339" s="117" t="str">
        <f t="shared" si="19"/>
        <v/>
      </c>
      <c r="AC1339" s="152"/>
      <c r="AD1339" s="153"/>
      <c r="AE1339" s="156"/>
    </row>
    <row r="1340" ht="18.0" customHeight="1">
      <c r="A1340" s="127" t="str">
        <f t="shared" si="15"/>
        <v/>
      </c>
      <c r="B1340" s="128"/>
      <c r="C1340" s="129"/>
      <c r="D1340" s="129"/>
      <c r="E1340" s="325"/>
      <c r="F1340" s="131"/>
      <c r="G1340" s="319"/>
      <c r="H1340" s="319"/>
      <c r="I1340" s="319"/>
      <c r="J1340" s="132"/>
      <c r="K1340" s="319"/>
      <c r="L1340" s="135"/>
      <c r="M1340" s="321"/>
      <c r="N1340" s="322"/>
      <c r="O1340" s="150"/>
      <c r="P1340" s="135"/>
      <c r="Q1340" s="135"/>
      <c r="R1340" s="321"/>
      <c r="S1340" s="322"/>
      <c r="T1340" s="319"/>
      <c r="U1340" s="322"/>
      <c r="V1340" s="322"/>
      <c r="W1340" s="322"/>
      <c r="X1340" s="322"/>
      <c r="Y1340" s="319"/>
      <c r="Z1340" s="136" t="str">
        <f t="shared" si="16"/>
        <v/>
      </c>
      <c r="AA1340" s="137" t="str">
        <f t="shared" si="17"/>
        <v/>
      </c>
      <c r="AB1340" s="138" t="str">
        <f t="shared" si="19"/>
        <v/>
      </c>
      <c r="AC1340" s="322"/>
      <c r="AD1340" s="319"/>
      <c r="AE1340" s="320"/>
    </row>
    <row r="1341" ht="18.0" customHeight="1">
      <c r="A1341" s="118" t="str">
        <f t="shared" si="15"/>
        <v/>
      </c>
      <c r="B1341" s="109"/>
      <c r="C1341" s="119"/>
      <c r="D1341" s="119"/>
      <c r="E1341" s="330"/>
      <c r="F1341" s="121"/>
      <c r="G1341" s="153"/>
      <c r="H1341" s="153"/>
      <c r="I1341" s="153"/>
      <c r="J1341" s="112"/>
      <c r="K1341" s="153"/>
      <c r="L1341" s="114"/>
      <c r="M1341" s="151"/>
      <c r="N1341" s="152"/>
      <c r="O1341" s="150"/>
      <c r="P1341" s="114"/>
      <c r="Q1341" s="114"/>
      <c r="R1341" s="151"/>
      <c r="S1341" s="152"/>
      <c r="T1341" s="153"/>
      <c r="U1341" s="152"/>
      <c r="V1341" s="152"/>
      <c r="W1341" s="152"/>
      <c r="X1341" s="152"/>
      <c r="Y1341" s="153"/>
      <c r="Z1341" s="125" t="str">
        <f t="shared" si="16"/>
        <v/>
      </c>
      <c r="AA1341" s="126" t="str">
        <f t="shared" si="17"/>
        <v/>
      </c>
      <c r="AB1341" s="117" t="str">
        <f t="shared" si="19"/>
        <v/>
      </c>
      <c r="AC1341" s="152"/>
      <c r="AD1341" s="153"/>
      <c r="AE1341" s="156"/>
    </row>
    <row r="1342" ht="18.0" customHeight="1">
      <c r="A1342" s="127" t="str">
        <f t="shared" si="15"/>
        <v/>
      </c>
      <c r="B1342" s="128"/>
      <c r="C1342" s="129"/>
      <c r="D1342" s="129"/>
      <c r="E1342" s="325"/>
      <c r="F1342" s="131"/>
      <c r="G1342" s="319"/>
      <c r="H1342" s="319"/>
      <c r="I1342" s="319"/>
      <c r="J1342" s="132"/>
      <c r="K1342" s="319"/>
      <c r="L1342" s="135"/>
      <c r="M1342" s="321"/>
      <c r="N1342" s="322"/>
      <c r="O1342" s="150"/>
      <c r="P1342" s="135"/>
      <c r="Q1342" s="135"/>
      <c r="R1342" s="321"/>
      <c r="S1342" s="322"/>
      <c r="T1342" s="319"/>
      <c r="U1342" s="322"/>
      <c r="V1342" s="322"/>
      <c r="W1342" s="322"/>
      <c r="X1342" s="322"/>
      <c r="Y1342" s="319"/>
      <c r="Z1342" s="136" t="str">
        <f t="shared" si="16"/>
        <v/>
      </c>
      <c r="AA1342" s="137" t="str">
        <f t="shared" si="17"/>
        <v/>
      </c>
      <c r="AB1342" s="138" t="str">
        <f t="shared" si="19"/>
        <v/>
      </c>
      <c r="AC1342" s="322"/>
      <c r="AD1342" s="319"/>
      <c r="AE1342" s="320"/>
    </row>
    <row r="1343" ht="18.0" customHeight="1">
      <c r="A1343" s="118" t="str">
        <f t="shared" si="15"/>
        <v/>
      </c>
      <c r="B1343" s="109"/>
      <c r="C1343" s="119"/>
      <c r="D1343" s="119"/>
      <c r="E1343" s="330"/>
      <c r="F1343" s="121"/>
      <c r="G1343" s="153"/>
      <c r="H1343" s="153"/>
      <c r="I1343" s="153"/>
      <c r="J1343" s="112"/>
      <c r="K1343" s="153"/>
      <c r="L1343" s="114"/>
      <c r="M1343" s="151"/>
      <c r="N1343" s="152"/>
      <c r="O1343" s="150"/>
      <c r="P1343" s="114"/>
      <c r="Q1343" s="114"/>
      <c r="R1343" s="151"/>
      <c r="S1343" s="152"/>
      <c r="T1343" s="153"/>
      <c r="U1343" s="152"/>
      <c r="V1343" s="152"/>
      <c r="W1343" s="152"/>
      <c r="X1343" s="152"/>
      <c r="Y1343" s="153"/>
      <c r="Z1343" s="125" t="str">
        <f t="shared" si="16"/>
        <v/>
      </c>
      <c r="AA1343" s="126" t="str">
        <f t="shared" si="17"/>
        <v/>
      </c>
      <c r="AB1343" s="117" t="str">
        <f t="shared" si="19"/>
        <v/>
      </c>
      <c r="AC1343" s="152"/>
      <c r="AD1343" s="153"/>
      <c r="AE1343" s="156"/>
    </row>
    <row r="1344" ht="18.0" customHeight="1">
      <c r="A1344" s="127" t="str">
        <f t="shared" si="15"/>
        <v/>
      </c>
      <c r="B1344" s="128"/>
      <c r="C1344" s="129"/>
      <c r="D1344" s="129"/>
      <c r="E1344" s="325"/>
      <c r="F1344" s="131"/>
      <c r="G1344" s="319"/>
      <c r="H1344" s="319"/>
      <c r="I1344" s="319"/>
      <c r="J1344" s="132"/>
      <c r="K1344" s="319"/>
      <c r="L1344" s="135"/>
      <c r="M1344" s="321"/>
      <c r="N1344" s="322"/>
      <c r="O1344" s="150"/>
      <c r="P1344" s="135"/>
      <c r="Q1344" s="135"/>
      <c r="R1344" s="321"/>
      <c r="S1344" s="322"/>
      <c r="T1344" s="319"/>
      <c r="U1344" s="322"/>
      <c r="V1344" s="322"/>
      <c r="W1344" s="322"/>
      <c r="X1344" s="322"/>
      <c r="Y1344" s="319"/>
      <c r="Z1344" s="136" t="str">
        <f t="shared" si="16"/>
        <v/>
      </c>
      <c r="AA1344" s="137" t="str">
        <f t="shared" si="17"/>
        <v/>
      </c>
      <c r="AB1344" s="138" t="str">
        <f t="shared" si="19"/>
        <v/>
      </c>
      <c r="AC1344" s="322"/>
      <c r="AD1344" s="319"/>
      <c r="AE1344" s="320"/>
    </row>
    <row r="1345" ht="18.0" customHeight="1">
      <c r="A1345" s="118" t="str">
        <f t="shared" si="15"/>
        <v/>
      </c>
      <c r="B1345" s="109"/>
      <c r="C1345" s="119"/>
      <c r="D1345" s="119"/>
      <c r="E1345" s="330"/>
      <c r="F1345" s="121"/>
      <c r="G1345" s="153"/>
      <c r="H1345" s="153"/>
      <c r="I1345" s="153"/>
      <c r="J1345" s="112"/>
      <c r="K1345" s="153"/>
      <c r="L1345" s="114"/>
      <c r="M1345" s="151"/>
      <c r="N1345" s="152"/>
      <c r="O1345" s="150"/>
      <c r="P1345" s="114"/>
      <c r="Q1345" s="114"/>
      <c r="R1345" s="151"/>
      <c r="S1345" s="152"/>
      <c r="T1345" s="153"/>
      <c r="U1345" s="152"/>
      <c r="V1345" s="152"/>
      <c r="W1345" s="152"/>
      <c r="X1345" s="152"/>
      <c r="Y1345" s="153"/>
      <c r="Z1345" s="125" t="str">
        <f t="shared" si="16"/>
        <v/>
      </c>
      <c r="AA1345" s="126" t="str">
        <f t="shared" si="17"/>
        <v/>
      </c>
      <c r="AB1345" s="117" t="str">
        <f t="shared" si="19"/>
        <v/>
      </c>
      <c r="AC1345" s="152"/>
      <c r="AD1345" s="153"/>
      <c r="AE1345" s="156"/>
    </row>
    <row r="1346" ht="18.0" customHeight="1">
      <c r="A1346" s="127" t="str">
        <f t="shared" si="15"/>
        <v/>
      </c>
      <c r="B1346" s="128"/>
      <c r="C1346" s="129"/>
      <c r="D1346" s="129"/>
      <c r="E1346" s="325"/>
      <c r="F1346" s="131"/>
      <c r="G1346" s="319"/>
      <c r="H1346" s="319"/>
      <c r="I1346" s="319"/>
      <c r="J1346" s="132"/>
      <c r="K1346" s="319"/>
      <c r="L1346" s="135"/>
      <c r="M1346" s="321"/>
      <c r="N1346" s="322"/>
      <c r="O1346" s="150"/>
      <c r="P1346" s="135"/>
      <c r="Q1346" s="135"/>
      <c r="R1346" s="321"/>
      <c r="S1346" s="322"/>
      <c r="T1346" s="319"/>
      <c r="U1346" s="322"/>
      <c r="V1346" s="322"/>
      <c r="W1346" s="322"/>
      <c r="X1346" s="322"/>
      <c r="Y1346" s="319"/>
      <c r="Z1346" s="136" t="str">
        <f t="shared" si="16"/>
        <v/>
      </c>
      <c r="AA1346" s="137" t="str">
        <f t="shared" si="17"/>
        <v/>
      </c>
      <c r="AB1346" s="138" t="str">
        <f t="shared" si="19"/>
        <v/>
      </c>
      <c r="AC1346" s="322"/>
      <c r="AD1346" s="319"/>
      <c r="AE1346" s="320"/>
    </row>
    <row r="1347" ht="18.0" customHeight="1">
      <c r="A1347" s="118" t="str">
        <f t="shared" si="15"/>
        <v/>
      </c>
      <c r="B1347" s="109"/>
      <c r="C1347" s="119"/>
      <c r="D1347" s="119"/>
      <c r="E1347" s="330"/>
      <c r="F1347" s="121"/>
      <c r="G1347" s="153"/>
      <c r="H1347" s="153"/>
      <c r="I1347" s="153"/>
      <c r="J1347" s="112"/>
      <c r="K1347" s="153"/>
      <c r="L1347" s="114"/>
      <c r="M1347" s="151"/>
      <c r="N1347" s="152"/>
      <c r="O1347" s="150"/>
      <c r="P1347" s="114"/>
      <c r="Q1347" s="114"/>
      <c r="R1347" s="151"/>
      <c r="S1347" s="152"/>
      <c r="T1347" s="153"/>
      <c r="U1347" s="152"/>
      <c r="V1347" s="152"/>
      <c r="W1347" s="152"/>
      <c r="X1347" s="152"/>
      <c r="Y1347" s="153"/>
      <c r="Z1347" s="125" t="str">
        <f t="shared" si="16"/>
        <v/>
      </c>
      <c r="AA1347" s="126" t="str">
        <f t="shared" si="17"/>
        <v/>
      </c>
      <c r="AB1347" s="117" t="str">
        <f t="shared" si="19"/>
        <v/>
      </c>
      <c r="AC1347" s="152"/>
      <c r="AD1347" s="153"/>
      <c r="AE1347" s="156"/>
    </row>
    <row r="1348" ht="18.0" customHeight="1">
      <c r="A1348" s="127" t="str">
        <f t="shared" si="15"/>
        <v/>
      </c>
      <c r="B1348" s="128"/>
      <c r="C1348" s="129"/>
      <c r="D1348" s="129"/>
      <c r="E1348" s="325"/>
      <c r="F1348" s="131"/>
      <c r="G1348" s="319"/>
      <c r="H1348" s="319"/>
      <c r="I1348" s="319"/>
      <c r="J1348" s="132"/>
      <c r="K1348" s="319"/>
      <c r="L1348" s="135"/>
      <c r="M1348" s="321"/>
      <c r="N1348" s="322"/>
      <c r="O1348" s="150"/>
      <c r="P1348" s="135"/>
      <c r="Q1348" s="135"/>
      <c r="R1348" s="321"/>
      <c r="S1348" s="322"/>
      <c r="T1348" s="319"/>
      <c r="U1348" s="322"/>
      <c r="V1348" s="322"/>
      <c r="W1348" s="322"/>
      <c r="X1348" s="322"/>
      <c r="Y1348" s="319"/>
      <c r="Z1348" s="136" t="str">
        <f t="shared" si="16"/>
        <v/>
      </c>
      <c r="AA1348" s="137" t="str">
        <f t="shared" si="17"/>
        <v/>
      </c>
      <c r="AB1348" s="138" t="str">
        <f t="shared" si="19"/>
        <v/>
      </c>
      <c r="AC1348" s="322"/>
      <c r="AD1348" s="319"/>
      <c r="AE1348" s="320"/>
    </row>
    <row r="1349" ht="18.0" customHeight="1">
      <c r="A1349" s="118" t="str">
        <f t="shared" si="15"/>
        <v/>
      </c>
      <c r="B1349" s="109"/>
      <c r="C1349" s="119"/>
      <c r="D1349" s="119"/>
      <c r="E1349" s="330"/>
      <c r="F1349" s="121"/>
      <c r="G1349" s="153"/>
      <c r="H1349" s="153"/>
      <c r="I1349" s="153"/>
      <c r="J1349" s="112"/>
      <c r="K1349" s="153"/>
      <c r="L1349" s="114"/>
      <c r="M1349" s="151"/>
      <c r="N1349" s="152"/>
      <c r="O1349" s="150"/>
      <c r="P1349" s="114"/>
      <c r="Q1349" s="114"/>
      <c r="R1349" s="151"/>
      <c r="S1349" s="152"/>
      <c r="T1349" s="153"/>
      <c r="U1349" s="152"/>
      <c r="V1349" s="152"/>
      <c r="W1349" s="152"/>
      <c r="X1349" s="152"/>
      <c r="Y1349" s="153"/>
      <c r="Z1349" s="125" t="str">
        <f t="shared" si="16"/>
        <v/>
      </c>
      <c r="AA1349" s="126" t="str">
        <f t="shared" si="17"/>
        <v/>
      </c>
      <c r="AB1349" s="117" t="str">
        <f t="shared" si="19"/>
        <v/>
      </c>
      <c r="AC1349" s="152"/>
      <c r="AD1349" s="153"/>
      <c r="AE1349" s="156"/>
    </row>
    <row r="1350" ht="18.0" customHeight="1">
      <c r="A1350" s="127" t="str">
        <f t="shared" si="15"/>
        <v/>
      </c>
      <c r="B1350" s="128"/>
      <c r="C1350" s="129"/>
      <c r="D1350" s="129"/>
      <c r="E1350" s="325"/>
      <c r="F1350" s="131"/>
      <c r="G1350" s="319"/>
      <c r="H1350" s="319"/>
      <c r="I1350" s="319"/>
      <c r="J1350" s="132"/>
      <c r="K1350" s="319"/>
      <c r="L1350" s="135"/>
      <c r="M1350" s="321"/>
      <c r="N1350" s="322"/>
      <c r="O1350" s="150"/>
      <c r="P1350" s="135"/>
      <c r="Q1350" s="135"/>
      <c r="R1350" s="321"/>
      <c r="S1350" s="322"/>
      <c r="T1350" s="319"/>
      <c r="U1350" s="322"/>
      <c r="V1350" s="322"/>
      <c r="W1350" s="322"/>
      <c r="X1350" s="322"/>
      <c r="Y1350" s="319"/>
      <c r="Z1350" s="136" t="str">
        <f t="shared" si="16"/>
        <v/>
      </c>
      <c r="AA1350" s="137" t="str">
        <f t="shared" si="17"/>
        <v/>
      </c>
      <c r="AB1350" s="138" t="str">
        <f t="shared" si="19"/>
        <v/>
      </c>
      <c r="AC1350" s="322"/>
      <c r="AD1350" s="319"/>
      <c r="AE1350" s="320"/>
    </row>
    <row r="1351" ht="18.0" customHeight="1">
      <c r="A1351" s="118" t="str">
        <f t="shared" si="15"/>
        <v/>
      </c>
      <c r="B1351" s="109"/>
      <c r="C1351" s="119"/>
      <c r="D1351" s="119"/>
      <c r="E1351" s="330"/>
      <c r="F1351" s="121"/>
      <c r="G1351" s="153"/>
      <c r="H1351" s="153"/>
      <c r="I1351" s="153"/>
      <c r="J1351" s="112"/>
      <c r="K1351" s="153"/>
      <c r="L1351" s="114"/>
      <c r="M1351" s="151"/>
      <c r="N1351" s="152"/>
      <c r="O1351" s="150"/>
      <c r="P1351" s="114"/>
      <c r="Q1351" s="114"/>
      <c r="R1351" s="151"/>
      <c r="S1351" s="152"/>
      <c r="T1351" s="153"/>
      <c r="U1351" s="152"/>
      <c r="V1351" s="152"/>
      <c r="W1351" s="152"/>
      <c r="X1351" s="152"/>
      <c r="Y1351" s="153"/>
      <c r="Z1351" s="125" t="str">
        <f t="shared" si="16"/>
        <v/>
      </c>
      <c r="AA1351" s="126" t="str">
        <f t="shared" si="17"/>
        <v/>
      </c>
      <c r="AB1351" s="117" t="str">
        <f t="shared" si="19"/>
        <v/>
      </c>
      <c r="AC1351" s="152"/>
      <c r="AD1351" s="153"/>
      <c r="AE1351" s="156"/>
    </row>
    <row r="1352" ht="18.0" customHeight="1">
      <c r="A1352" s="127" t="str">
        <f t="shared" si="15"/>
        <v/>
      </c>
      <c r="B1352" s="128"/>
      <c r="C1352" s="129"/>
      <c r="D1352" s="129"/>
      <c r="E1352" s="325"/>
      <c r="F1352" s="131"/>
      <c r="G1352" s="319"/>
      <c r="H1352" s="319"/>
      <c r="I1352" s="319"/>
      <c r="J1352" s="132"/>
      <c r="K1352" s="319"/>
      <c r="L1352" s="135"/>
      <c r="M1352" s="321"/>
      <c r="N1352" s="322"/>
      <c r="O1352" s="150"/>
      <c r="P1352" s="135"/>
      <c r="Q1352" s="135"/>
      <c r="R1352" s="321"/>
      <c r="S1352" s="322"/>
      <c r="T1352" s="319"/>
      <c r="U1352" s="322"/>
      <c r="V1352" s="322"/>
      <c r="W1352" s="322"/>
      <c r="X1352" s="322"/>
      <c r="Y1352" s="319"/>
      <c r="Z1352" s="136" t="str">
        <f t="shared" si="16"/>
        <v/>
      </c>
      <c r="AA1352" s="137" t="str">
        <f t="shared" si="17"/>
        <v/>
      </c>
      <c r="AB1352" s="138" t="str">
        <f t="shared" si="19"/>
        <v/>
      </c>
      <c r="AC1352" s="322"/>
      <c r="AD1352" s="319"/>
      <c r="AE1352" s="320"/>
    </row>
    <row r="1353" ht="18.0" customHeight="1">
      <c r="A1353" s="118" t="str">
        <f t="shared" si="15"/>
        <v/>
      </c>
      <c r="B1353" s="109"/>
      <c r="C1353" s="119"/>
      <c r="D1353" s="119"/>
      <c r="E1353" s="330"/>
      <c r="F1353" s="121"/>
      <c r="G1353" s="153"/>
      <c r="H1353" s="153"/>
      <c r="I1353" s="153"/>
      <c r="J1353" s="112"/>
      <c r="K1353" s="153"/>
      <c r="L1353" s="114"/>
      <c r="M1353" s="151"/>
      <c r="N1353" s="152"/>
      <c r="O1353" s="150"/>
      <c r="P1353" s="114"/>
      <c r="Q1353" s="114"/>
      <c r="R1353" s="151"/>
      <c r="S1353" s="152"/>
      <c r="T1353" s="153"/>
      <c r="U1353" s="152"/>
      <c r="V1353" s="152"/>
      <c r="W1353" s="152"/>
      <c r="X1353" s="152"/>
      <c r="Y1353" s="153"/>
      <c r="Z1353" s="125" t="str">
        <f t="shared" si="16"/>
        <v/>
      </c>
      <c r="AA1353" s="126" t="str">
        <f t="shared" si="17"/>
        <v/>
      </c>
      <c r="AB1353" s="117" t="str">
        <f t="shared" si="19"/>
        <v/>
      </c>
      <c r="AC1353" s="152"/>
      <c r="AD1353" s="153"/>
      <c r="AE1353" s="156"/>
    </row>
    <row r="1354" ht="18.0" customHeight="1">
      <c r="A1354" s="127" t="str">
        <f t="shared" si="15"/>
        <v/>
      </c>
      <c r="B1354" s="128"/>
      <c r="C1354" s="129"/>
      <c r="D1354" s="129"/>
      <c r="E1354" s="325"/>
      <c r="F1354" s="131"/>
      <c r="G1354" s="319"/>
      <c r="H1354" s="319"/>
      <c r="I1354" s="319"/>
      <c r="J1354" s="132"/>
      <c r="K1354" s="319"/>
      <c r="L1354" s="135"/>
      <c r="M1354" s="321"/>
      <c r="N1354" s="322"/>
      <c r="O1354" s="150"/>
      <c r="P1354" s="135"/>
      <c r="Q1354" s="135"/>
      <c r="R1354" s="321"/>
      <c r="S1354" s="322"/>
      <c r="T1354" s="319"/>
      <c r="U1354" s="322"/>
      <c r="V1354" s="322"/>
      <c r="W1354" s="322"/>
      <c r="X1354" s="322"/>
      <c r="Y1354" s="319"/>
      <c r="Z1354" s="136" t="str">
        <f t="shared" si="16"/>
        <v/>
      </c>
      <c r="AA1354" s="137" t="str">
        <f t="shared" si="17"/>
        <v/>
      </c>
      <c r="AB1354" s="138" t="str">
        <f t="shared" si="19"/>
        <v/>
      </c>
      <c r="AC1354" s="322"/>
      <c r="AD1354" s="319"/>
      <c r="AE1354" s="320"/>
    </row>
    <row r="1355" ht="18.0" customHeight="1">
      <c r="A1355" s="118" t="str">
        <f t="shared" si="15"/>
        <v/>
      </c>
      <c r="B1355" s="109"/>
      <c r="C1355" s="119"/>
      <c r="D1355" s="119"/>
      <c r="E1355" s="330"/>
      <c r="F1355" s="121"/>
      <c r="G1355" s="153"/>
      <c r="H1355" s="153"/>
      <c r="I1355" s="153"/>
      <c r="J1355" s="112"/>
      <c r="K1355" s="153"/>
      <c r="L1355" s="114"/>
      <c r="M1355" s="151"/>
      <c r="N1355" s="152"/>
      <c r="O1355" s="150"/>
      <c r="P1355" s="114"/>
      <c r="Q1355" s="114"/>
      <c r="R1355" s="151"/>
      <c r="S1355" s="152"/>
      <c r="T1355" s="153"/>
      <c r="U1355" s="152"/>
      <c r="V1355" s="152"/>
      <c r="W1355" s="152"/>
      <c r="X1355" s="152"/>
      <c r="Y1355" s="153"/>
      <c r="Z1355" s="125" t="str">
        <f t="shared" si="16"/>
        <v/>
      </c>
      <c r="AA1355" s="126" t="str">
        <f t="shared" si="17"/>
        <v/>
      </c>
      <c r="AB1355" s="117" t="str">
        <f t="shared" si="19"/>
        <v/>
      </c>
      <c r="AC1355" s="152"/>
      <c r="AD1355" s="153"/>
      <c r="AE1355" s="156"/>
    </row>
    <row r="1356" ht="18.0" customHeight="1">
      <c r="A1356" s="127" t="str">
        <f t="shared" si="15"/>
        <v/>
      </c>
      <c r="B1356" s="128"/>
      <c r="C1356" s="129"/>
      <c r="D1356" s="129"/>
      <c r="E1356" s="325"/>
      <c r="F1356" s="131"/>
      <c r="G1356" s="319"/>
      <c r="H1356" s="319"/>
      <c r="I1356" s="319"/>
      <c r="J1356" s="132"/>
      <c r="K1356" s="319"/>
      <c r="L1356" s="135"/>
      <c r="M1356" s="321"/>
      <c r="N1356" s="322"/>
      <c r="O1356" s="150"/>
      <c r="P1356" s="135"/>
      <c r="Q1356" s="135"/>
      <c r="R1356" s="321"/>
      <c r="S1356" s="322"/>
      <c r="T1356" s="319"/>
      <c r="U1356" s="322"/>
      <c r="V1356" s="322"/>
      <c r="W1356" s="322"/>
      <c r="X1356" s="322"/>
      <c r="Y1356" s="319"/>
      <c r="Z1356" s="136" t="str">
        <f t="shared" si="16"/>
        <v/>
      </c>
      <c r="AA1356" s="137" t="str">
        <f t="shared" si="17"/>
        <v/>
      </c>
      <c r="AB1356" s="138" t="str">
        <f t="shared" si="19"/>
        <v/>
      </c>
      <c r="AC1356" s="322"/>
      <c r="AD1356" s="319"/>
      <c r="AE1356" s="320"/>
    </row>
    <row r="1357" ht="18.0" customHeight="1">
      <c r="A1357" s="118" t="str">
        <f t="shared" si="15"/>
        <v/>
      </c>
      <c r="B1357" s="109"/>
      <c r="C1357" s="119"/>
      <c r="D1357" s="119"/>
      <c r="E1357" s="330"/>
      <c r="F1357" s="121"/>
      <c r="G1357" s="153"/>
      <c r="H1357" s="153"/>
      <c r="I1357" s="153"/>
      <c r="J1357" s="112"/>
      <c r="K1357" s="153"/>
      <c r="L1357" s="114"/>
      <c r="M1357" s="151"/>
      <c r="N1357" s="152"/>
      <c r="O1357" s="150"/>
      <c r="P1357" s="114"/>
      <c r="Q1357" s="114"/>
      <c r="R1357" s="151"/>
      <c r="S1357" s="152"/>
      <c r="T1357" s="153"/>
      <c r="U1357" s="152"/>
      <c r="V1357" s="152"/>
      <c r="W1357" s="152"/>
      <c r="X1357" s="152"/>
      <c r="Y1357" s="153"/>
      <c r="Z1357" s="125" t="str">
        <f t="shared" si="16"/>
        <v/>
      </c>
      <c r="AA1357" s="126" t="str">
        <f t="shared" si="17"/>
        <v/>
      </c>
      <c r="AB1357" s="117" t="str">
        <f t="shared" si="19"/>
        <v/>
      </c>
      <c r="AC1357" s="152"/>
      <c r="AD1357" s="153"/>
      <c r="AE1357" s="156"/>
    </row>
    <row r="1358" ht="18.0" customHeight="1">
      <c r="A1358" s="127" t="str">
        <f t="shared" si="15"/>
        <v/>
      </c>
      <c r="B1358" s="128"/>
      <c r="C1358" s="129"/>
      <c r="D1358" s="129"/>
      <c r="E1358" s="325"/>
      <c r="F1358" s="131"/>
      <c r="G1358" s="319"/>
      <c r="H1358" s="319"/>
      <c r="I1358" s="319"/>
      <c r="J1358" s="132"/>
      <c r="K1358" s="319"/>
      <c r="L1358" s="135"/>
      <c r="M1358" s="321"/>
      <c r="N1358" s="322"/>
      <c r="O1358" s="150"/>
      <c r="P1358" s="135"/>
      <c r="Q1358" s="135"/>
      <c r="R1358" s="321"/>
      <c r="S1358" s="322"/>
      <c r="T1358" s="319"/>
      <c r="U1358" s="322"/>
      <c r="V1358" s="322"/>
      <c r="W1358" s="322"/>
      <c r="X1358" s="322"/>
      <c r="Y1358" s="319"/>
      <c r="Z1358" s="136" t="str">
        <f t="shared" si="16"/>
        <v/>
      </c>
      <c r="AA1358" s="137" t="str">
        <f t="shared" si="17"/>
        <v/>
      </c>
      <c r="AB1358" s="138" t="str">
        <f t="shared" si="19"/>
        <v/>
      </c>
      <c r="AC1358" s="322"/>
      <c r="AD1358" s="319"/>
      <c r="AE1358" s="320"/>
    </row>
    <row r="1359" ht="18.0" customHeight="1">
      <c r="A1359" s="118" t="str">
        <f t="shared" si="15"/>
        <v/>
      </c>
      <c r="B1359" s="109"/>
      <c r="C1359" s="119"/>
      <c r="D1359" s="119"/>
      <c r="E1359" s="330"/>
      <c r="F1359" s="121"/>
      <c r="G1359" s="153"/>
      <c r="H1359" s="153"/>
      <c r="I1359" s="153"/>
      <c r="J1359" s="112"/>
      <c r="K1359" s="153"/>
      <c r="L1359" s="114"/>
      <c r="M1359" s="151"/>
      <c r="N1359" s="152"/>
      <c r="O1359" s="150"/>
      <c r="P1359" s="114"/>
      <c r="Q1359" s="114"/>
      <c r="R1359" s="151"/>
      <c r="S1359" s="152"/>
      <c r="T1359" s="153"/>
      <c r="U1359" s="152"/>
      <c r="V1359" s="152"/>
      <c r="W1359" s="152"/>
      <c r="X1359" s="152"/>
      <c r="Y1359" s="153"/>
      <c r="Z1359" s="125" t="str">
        <f t="shared" si="16"/>
        <v/>
      </c>
      <c r="AA1359" s="126" t="str">
        <f t="shared" si="17"/>
        <v/>
      </c>
      <c r="AB1359" s="117" t="str">
        <f t="shared" si="19"/>
        <v/>
      </c>
      <c r="AC1359" s="152"/>
      <c r="AD1359" s="153"/>
      <c r="AE1359" s="156"/>
    </row>
    <row r="1360" ht="18.0" customHeight="1">
      <c r="A1360" s="127" t="str">
        <f t="shared" si="15"/>
        <v/>
      </c>
      <c r="B1360" s="128"/>
      <c r="C1360" s="129"/>
      <c r="D1360" s="129"/>
      <c r="E1360" s="325"/>
      <c r="F1360" s="131"/>
      <c r="G1360" s="319"/>
      <c r="H1360" s="319"/>
      <c r="I1360" s="319"/>
      <c r="J1360" s="132"/>
      <c r="K1360" s="319"/>
      <c r="L1360" s="135"/>
      <c r="M1360" s="321"/>
      <c r="N1360" s="322"/>
      <c r="O1360" s="150"/>
      <c r="P1360" s="135"/>
      <c r="Q1360" s="135"/>
      <c r="R1360" s="321"/>
      <c r="S1360" s="322"/>
      <c r="T1360" s="319"/>
      <c r="U1360" s="322"/>
      <c r="V1360" s="322"/>
      <c r="W1360" s="322"/>
      <c r="X1360" s="322"/>
      <c r="Y1360" s="319"/>
      <c r="Z1360" s="136" t="str">
        <f t="shared" si="16"/>
        <v/>
      </c>
      <c r="AA1360" s="137" t="str">
        <f t="shared" si="17"/>
        <v/>
      </c>
      <c r="AB1360" s="138" t="str">
        <f t="shared" si="19"/>
        <v/>
      </c>
      <c r="AC1360" s="322"/>
      <c r="AD1360" s="319"/>
      <c r="AE1360" s="320"/>
    </row>
    <row r="1361" ht="18.0" customHeight="1">
      <c r="A1361" s="118" t="str">
        <f t="shared" si="15"/>
        <v/>
      </c>
      <c r="B1361" s="109"/>
      <c r="C1361" s="119"/>
      <c r="D1361" s="119"/>
      <c r="E1361" s="330"/>
      <c r="F1361" s="121"/>
      <c r="G1361" s="153"/>
      <c r="H1361" s="153"/>
      <c r="I1361" s="153"/>
      <c r="J1361" s="112"/>
      <c r="K1361" s="153"/>
      <c r="L1361" s="114"/>
      <c r="M1361" s="151"/>
      <c r="N1361" s="152"/>
      <c r="O1361" s="150"/>
      <c r="P1361" s="114"/>
      <c r="Q1361" s="114"/>
      <c r="R1361" s="151"/>
      <c r="S1361" s="152"/>
      <c r="T1361" s="153"/>
      <c r="U1361" s="152"/>
      <c r="V1361" s="152"/>
      <c r="W1361" s="152"/>
      <c r="X1361" s="152"/>
      <c r="Y1361" s="153"/>
      <c r="Z1361" s="125" t="str">
        <f t="shared" si="16"/>
        <v/>
      </c>
      <c r="AA1361" s="126" t="str">
        <f t="shared" si="17"/>
        <v/>
      </c>
      <c r="AB1361" s="117" t="str">
        <f t="shared" si="19"/>
        <v/>
      </c>
      <c r="AC1361" s="152"/>
      <c r="AD1361" s="153"/>
      <c r="AE1361" s="156"/>
    </row>
    <row r="1362" ht="18.0" customHeight="1">
      <c r="A1362" s="127" t="str">
        <f t="shared" si="15"/>
        <v/>
      </c>
      <c r="B1362" s="128"/>
      <c r="C1362" s="129"/>
      <c r="D1362" s="129"/>
      <c r="E1362" s="325"/>
      <c r="F1362" s="131"/>
      <c r="G1362" s="319"/>
      <c r="H1362" s="319"/>
      <c r="I1362" s="319"/>
      <c r="J1362" s="132"/>
      <c r="K1362" s="319"/>
      <c r="L1362" s="135"/>
      <c r="M1362" s="321"/>
      <c r="N1362" s="322"/>
      <c r="O1362" s="150"/>
      <c r="P1362" s="135"/>
      <c r="Q1362" s="135"/>
      <c r="R1362" s="321"/>
      <c r="S1362" s="322"/>
      <c r="T1362" s="319"/>
      <c r="U1362" s="322"/>
      <c r="V1362" s="322"/>
      <c r="W1362" s="322"/>
      <c r="X1362" s="322"/>
      <c r="Y1362" s="319"/>
      <c r="Z1362" s="136" t="str">
        <f t="shared" si="16"/>
        <v/>
      </c>
      <c r="AA1362" s="137" t="str">
        <f t="shared" si="17"/>
        <v/>
      </c>
      <c r="AB1362" s="138" t="str">
        <f t="shared" si="19"/>
        <v/>
      </c>
      <c r="AC1362" s="322"/>
      <c r="AD1362" s="319"/>
      <c r="AE1362" s="320"/>
    </row>
    <row r="1363" ht="18.0" customHeight="1">
      <c r="A1363" s="118" t="str">
        <f t="shared" si="15"/>
        <v/>
      </c>
      <c r="B1363" s="109"/>
      <c r="C1363" s="119"/>
      <c r="D1363" s="119"/>
      <c r="E1363" s="330"/>
      <c r="F1363" s="121"/>
      <c r="G1363" s="153"/>
      <c r="H1363" s="153"/>
      <c r="I1363" s="153"/>
      <c r="J1363" s="112"/>
      <c r="K1363" s="153"/>
      <c r="L1363" s="114"/>
      <c r="M1363" s="151"/>
      <c r="N1363" s="152"/>
      <c r="O1363" s="150"/>
      <c r="P1363" s="114"/>
      <c r="Q1363" s="114"/>
      <c r="R1363" s="151"/>
      <c r="S1363" s="152"/>
      <c r="T1363" s="153"/>
      <c r="U1363" s="152"/>
      <c r="V1363" s="152"/>
      <c r="W1363" s="152"/>
      <c r="X1363" s="152"/>
      <c r="Y1363" s="153"/>
      <c r="Z1363" s="125" t="str">
        <f t="shared" si="16"/>
        <v/>
      </c>
      <c r="AA1363" s="126" t="str">
        <f t="shared" si="17"/>
        <v/>
      </c>
      <c r="AB1363" s="117" t="str">
        <f t="shared" si="19"/>
        <v/>
      </c>
      <c r="AC1363" s="152"/>
      <c r="AD1363" s="153"/>
      <c r="AE1363" s="156"/>
    </row>
    <row r="1364" ht="18.0" customHeight="1">
      <c r="A1364" s="127" t="str">
        <f t="shared" si="15"/>
        <v/>
      </c>
      <c r="B1364" s="128"/>
      <c r="C1364" s="129"/>
      <c r="D1364" s="129"/>
      <c r="E1364" s="325"/>
      <c r="F1364" s="131"/>
      <c r="G1364" s="319"/>
      <c r="H1364" s="319"/>
      <c r="I1364" s="319"/>
      <c r="J1364" s="132"/>
      <c r="K1364" s="319"/>
      <c r="L1364" s="135"/>
      <c r="M1364" s="321"/>
      <c r="N1364" s="322"/>
      <c r="O1364" s="150"/>
      <c r="P1364" s="135"/>
      <c r="Q1364" s="135"/>
      <c r="R1364" s="321"/>
      <c r="S1364" s="322"/>
      <c r="T1364" s="319"/>
      <c r="U1364" s="322"/>
      <c r="V1364" s="322"/>
      <c r="W1364" s="322"/>
      <c r="X1364" s="322"/>
      <c r="Y1364" s="319"/>
      <c r="Z1364" s="136" t="str">
        <f t="shared" si="16"/>
        <v/>
      </c>
      <c r="AA1364" s="137" t="str">
        <f t="shared" si="17"/>
        <v/>
      </c>
      <c r="AB1364" s="138" t="str">
        <f t="shared" si="19"/>
        <v/>
      </c>
      <c r="AC1364" s="322"/>
      <c r="AD1364" s="319"/>
      <c r="AE1364" s="320"/>
    </row>
    <row r="1365" ht="18.0" customHeight="1">
      <c r="A1365" s="118" t="str">
        <f t="shared" si="15"/>
        <v/>
      </c>
      <c r="B1365" s="109"/>
      <c r="C1365" s="119"/>
      <c r="D1365" s="119"/>
      <c r="E1365" s="330"/>
      <c r="F1365" s="121"/>
      <c r="G1365" s="153"/>
      <c r="H1365" s="153"/>
      <c r="I1365" s="153"/>
      <c r="J1365" s="112"/>
      <c r="K1365" s="153"/>
      <c r="L1365" s="114"/>
      <c r="M1365" s="151"/>
      <c r="N1365" s="152"/>
      <c r="O1365" s="150"/>
      <c r="P1365" s="114"/>
      <c r="Q1365" s="114"/>
      <c r="R1365" s="151"/>
      <c r="S1365" s="152"/>
      <c r="T1365" s="153"/>
      <c r="U1365" s="152"/>
      <c r="V1365" s="152"/>
      <c r="W1365" s="152"/>
      <c r="X1365" s="152"/>
      <c r="Y1365" s="153"/>
      <c r="Z1365" s="125" t="str">
        <f t="shared" si="16"/>
        <v/>
      </c>
      <c r="AA1365" s="126" t="str">
        <f t="shared" si="17"/>
        <v/>
      </c>
      <c r="AB1365" s="117" t="str">
        <f t="shared" si="19"/>
        <v/>
      </c>
      <c r="AC1365" s="152"/>
      <c r="AD1365" s="153"/>
      <c r="AE1365" s="156"/>
    </row>
    <row r="1366" ht="18.0" customHeight="1">
      <c r="A1366" s="127" t="str">
        <f t="shared" si="15"/>
        <v/>
      </c>
      <c r="B1366" s="128"/>
      <c r="C1366" s="129"/>
      <c r="D1366" s="129"/>
      <c r="E1366" s="325"/>
      <c r="F1366" s="131"/>
      <c r="G1366" s="319"/>
      <c r="H1366" s="319"/>
      <c r="I1366" s="319"/>
      <c r="J1366" s="132"/>
      <c r="K1366" s="319"/>
      <c r="L1366" s="135"/>
      <c r="M1366" s="321"/>
      <c r="N1366" s="322"/>
      <c r="O1366" s="150"/>
      <c r="P1366" s="135"/>
      <c r="Q1366" s="135"/>
      <c r="R1366" s="321"/>
      <c r="S1366" s="322"/>
      <c r="T1366" s="319"/>
      <c r="U1366" s="322"/>
      <c r="V1366" s="322"/>
      <c r="W1366" s="322"/>
      <c r="X1366" s="322"/>
      <c r="Y1366" s="319"/>
      <c r="Z1366" s="136" t="str">
        <f t="shared" si="16"/>
        <v/>
      </c>
      <c r="AA1366" s="137" t="str">
        <f t="shared" si="17"/>
        <v/>
      </c>
      <c r="AB1366" s="138" t="str">
        <f t="shared" si="19"/>
        <v/>
      </c>
      <c r="AC1366" s="322"/>
      <c r="AD1366" s="319"/>
      <c r="AE1366" s="320"/>
    </row>
    <row r="1367" ht="18.0" customHeight="1">
      <c r="A1367" s="118" t="str">
        <f t="shared" si="15"/>
        <v/>
      </c>
      <c r="B1367" s="109"/>
      <c r="C1367" s="119"/>
      <c r="D1367" s="119"/>
      <c r="E1367" s="330"/>
      <c r="F1367" s="121"/>
      <c r="G1367" s="153"/>
      <c r="H1367" s="153"/>
      <c r="I1367" s="153"/>
      <c r="J1367" s="112"/>
      <c r="K1367" s="153"/>
      <c r="L1367" s="114"/>
      <c r="M1367" s="151"/>
      <c r="N1367" s="152"/>
      <c r="O1367" s="150"/>
      <c r="P1367" s="114"/>
      <c r="Q1367" s="114"/>
      <c r="R1367" s="151"/>
      <c r="S1367" s="152"/>
      <c r="T1367" s="153"/>
      <c r="U1367" s="152"/>
      <c r="V1367" s="152"/>
      <c r="W1367" s="152"/>
      <c r="X1367" s="152"/>
      <c r="Y1367" s="153"/>
      <c r="Z1367" s="125" t="str">
        <f t="shared" si="16"/>
        <v/>
      </c>
      <c r="AA1367" s="126" t="str">
        <f t="shared" si="17"/>
        <v/>
      </c>
      <c r="AB1367" s="117" t="str">
        <f t="shared" si="19"/>
        <v/>
      </c>
      <c r="AC1367" s="152"/>
      <c r="AD1367" s="153"/>
      <c r="AE1367" s="156"/>
    </row>
    <row r="1368" ht="18.0" customHeight="1">
      <c r="A1368" s="127" t="str">
        <f t="shared" si="15"/>
        <v/>
      </c>
      <c r="B1368" s="128"/>
      <c r="C1368" s="129"/>
      <c r="D1368" s="129"/>
      <c r="E1368" s="325"/>
      <c r="F1368" s="131"/>
      <c r="G1368" s="319"/>
      <c r="H1368" s="319"/>
      <c r="I1368" s="319"/>
      <c r="J1368" s="132"/>
      <c r="K1368" s="319"/>
      <c r="L1368" s="135"/>
      <c r="M1368" s="321"/>
      <c r="N1368" s="322"/>
      <c r="O1368" s="150"/>
      <c r="P1368" s="135"/>
      <c r="Q1368" s="135"/>
      <c r="R1368" s="321"/>
      <c r="S1368" s="322"/>
      <c r="T1368" s="319"/>
      <c r="U1368" s="322"/>
      <c r="V1368" s="322"/>
      <c r="W1368" s="322"/>
      <c r="X1368" s="322"/>
      <c r="Y1368" s="319"/>
      <c r="Z1368" s="136" t="str">
        <f t="shared" si="16"/>
        <v/>
      </c>
      <c r="AA1368" s="137" t="str">
        <f t="shared" si="17"/>
        <v/>
      </c>
      <c r="AB1368" s="138" t="str">
        <f t="shared" si="19"/>
        <v/>
      </c>
      <c r="AC1368" s="322"/>
      <c r="AD1368" s="319"/>
      <c r="AE1368" s="320"/>
    </row>
    <row r="1369" ht="18.0" customHeight="1">
      <c r="A1369" s="118" t="str">
        <f t="shared" si="15"/>
        <v/>
      </c>
      <c r="B1369" s="109"/>
      <c r="C1369" s="119"/>
      <c r="D1369" s="119"/>
      <c r="E1369" s="330"/>
      <c r="F1369" s="121"/>
      <c r="G1369" s="153"/>
      <c r="H1369" s="153"/>
      <c r="I1369" s="153"/>
      <c r="J1369" s="112"/>
      <c r="K1369" s="153"/>
      <c r="L1369" s="114"/>
      <c r="M1369" s="151"/>
      <c r="N1369" s="152"/>
      <c r="O1369" s="150"/>
      <c r="P1369" s="114"/>
      <c r="Q1369" s="114"/>
      <c r="R1369" s="151"/>
      <c r="S1369" s="152"/>
      <c r="T1369" s="153"/>
      <c r="U1369" s="152"/>
      <c r="V1369" s="152"/>
      <c r="W1369" s="152"/>
      <c r="X1369" s="152"/>
      <c r="Y1369" s="153"/>
      <c r="Z1369" s="125" t="str">
        <f t="shared" si="16"/>
        <v/>
      </c>
      <c r="AA1369" s="126" t="str">
        <f t="shared" si="17"/>
        <v/>
      </c>
      <c r="AB1369" s="117" t="str">
        <f t="shared" si="19"/>
        <v/>
      </c>
      <c r="AC1369" s="152"/>
      <c r="AD1369" s="153"/>
      <c r="AE1369" s="156"/>
    </row>
    <row r="1370" ht="18.0" customHeight="1">
      <c r="A1370" s="127" t="str">
        <f t="shared" si="15"/>
        <v/>
      </c>
      <c r="B1370" s="128"/>
      <c r="C1370" s="129"/>
      <c r="D1370" s="129"/>
      <c r="E1370" s="325"/>
      <c r="F1370" s="131"/>
      <c r="G1370" s="319"/>
      <c r="H1370" s="319"/>
      <c r="I1370" s="319"/>
      <c r="J1370" s="132"/>
      <c r="K1370" s="319"/>
      <c r="L1370" s="135"/>
      <c r="M1370" s="321"/>
      <c r="N1370" s="322"/>
      <c r="O1370" s="150"/>
      <c r="P1370" s="135"/>
      <c r="Q1370" s="135"/>
      <c r="R1370" s="321"/>
      <c r="S1370" s="322"/>
      <c r="T1370" s="319"/>
      <c r="U1370" s="322"/>
      <c r="V1370" s="322"/>
      <c r="W1370" s="322"/>
      <c r="X1370" s="322"/>
      <c r="Y1370" s="319"/>
      <c r="Z1370" s="136" t="str">
        <f t="shared" si="16"/>
        <v/>
      </c>
      <c r="AA1370" s="137" t="str">
        <f t="shared" si="17"/>
        <v/>
      </c>
      <c r="AB1370" s="138" t="str">
        <f t="shared" si="19"/>
        <v/>
      </c>
      <c r="AC1370" s="322"/>
      <c r="AD1370" s="319"/>
      <c r="AE1370" s="320"/>
    </row>
    <row r="1371" ht="18.0" customHeight="1">
      <c r="A1371" s="118" t="str">
        <f t="shared" si="15"/>
        <v/>
      </c>
      <c r="B1371" s="109"/>
      <c r="C1371" s="119"/>
      <c r="D1371" s="119"/>
      <c r="E1371" s="330"/>
      <c r="F1371" s="121"/>
      <c r="G1371" s="153"/>
      <c r="H1371" s="153"/>
      <c r="I1371" s="153"/>
      <c r="J1371" s="112"/>
      <c r="K1371" s="153"/>
      <c r="L1371" s="114"/>
      <c r="M1371" s="151"/>
      <c r="N1371" s="152"/>
      <c r="O1371" s="150"/>
      <c r="P1371" s="114"/>
      <c r="Q1371" s="114"/>
      <c r="R1371" s="151"/>
      <c r="S1371" s="152"/>
      <c r="T1371" s="153"/>
      <c r="U1371" s="152"/>
      <c r="V1371" s="152"/>
      <c r="W1371" s="152"/>
      <c r="X1371" s="152"/>
      <c r="Y1371" s="153"/>
      <c r="Z1371" s="125" t="str">
        <f t="shared" si="16"/>
        <v/>
      </c>
      <c r="AA1371" s="126" t="str">
        <f t="shared" si="17"/>
        <v/>
      </c>
      <c r="AB1371" s="117" t="str">
        <f t="shared" si="19"/>
        <v/>
      </c>
      <c r="AC1371" s="152"/>
      <c r="AD1371" s="153"/>
      <c r="AE1371" s="156"/>
    </row>
    <row r="1372" ht="18.0" customHeight="1">
      <c r="A1372" s="127" t="str">
        <f t="shared" si="15"/>
        <v/>
      </c>
      <c r="B1372" s="128"/>
      <c r="C1372" s="129"/>
      <c r="D1372" s="129"/>
      <c r="E1372" s="325"/>
      <c r="F1372" s="131"/>
      <c r="G1372" s="319"/>
      <c r="H1372" s="319"/>
      <c r="I1372" s="319"/>
      <c r="J1372" s="132"/>
      <c r="K1372" s="319"/>
      <c r="L1372" s="135"/>
      <c r="M1372" s="321"/>
      <c r="N1372" s="322"/>
      <c r="O1372" s="150"/>
      <c r="P1372" s="135"/>
      <c r="Q1372" s="135"/>
      <c r="R1372" s="321"/>
      <c r="S1372" s="322"/>
      <c r="T1372" s="319"/>
      <c r="U1372" s="322"/>
      <c r="V1372" s="322"/>
      <c r="W1372" s="322"/>
      <c r="X1372" s="322"/>
      <c r="Y1372" s="319"/>
      <c r="Z1372" s="136" t="str">
        <f t="shared" si="16"/>
        <v/>
      </c>
      <c r="AA1372" s="137" t="str">
        <f t="shared" si="17"/>
        <v/>
      </c>
      <c r="AB1372" s="138" t="str">
        <f t="shared" si="19"/>
        <v/>
      </c>
      <c r="AC1372" s="322"/>
      <c r="AD1372" s="319"/>
      <c r="AE1372" s="320"/>
    </row>
    <row r="1373" ht="18.0" customHeight="1">
      <c r="A1373" s="118" t="str">
        <f t="shared" si="15"/>
        <v/>
      </c>
      <c r="B1373" s="109"/>
      <c r="C1373" s="119"/>
      <c r="D1373" s="119"/>
      <c r="E1373" s="330"/>
      <c r="F1373" s="121"/>
      <c r="G1373" s="153"/>
      <c r="H1373" s="153"/>
      <c r="I1373" s="153"/>
      <c r="J1373" s="112"/>
      <c r="K1373" s="153"/>
      <c r="L1373" s="114"/>
      <c r="M1373" s="151"/>
      <c r="N1373" s="152"/>
      <c r="O1373" s="150"/>
      <c r="P1373" s="114"/>
      <c r="Q1373" s="114"/>
      <c r="R1373" s="151"/>
      <c r="S1373" s="152"/>
      <c r="T1373" s="153"/>
      <c r="U1373" s="152"/>
      <c r="V1373" s="152"/>
      <c r="W1373" s="152"/>
      <c r="X1373" s="152"/>
      <c r="Y1373" s="153"/>
      <c r="Z1373" s="125" t="str">
        <f t="shared" si="16"/>
        <v/>
      </c>
      <c r="AA1373" s="126" t="str">
        <f t="shared" si="17"/>
        <v/>
      </c>
      <c r="AB1373" s="117" t="str">
        <f t="shared" si="19"/>
        <v/>
      </c>
      <c r="AC1373" s="152"/>
      <c r="AD1373" s="153"/>
      <c r="AE1373" s="156"/>
    </row>
    <row r="1374" ht="18.0" customHeight="1">
      <c r="A1374" s="127" t="str">
        <f t="shared" si="15"/>
        <v/>
      </c>
      <c r="B1374" s="128"/>
      <c r="C1374" s="129"/>
      <c r="D1374" s="129"/>
      <c r="E1374" s="325"/>
      <c r="F1374" s="131"/>
      <c r="G1374" s="319"/>
      <c r="H1374" s="319"/>
      <c r="I1374" s="319"/>
      <c r="J1374" s="132"/>
      <c r="K1374" s="319"/>
      <c r="L1374" s="135"/>
      <c r="M1374" s="321"/>
      <c r="N1374" s="322"/>
      <c r="O1374" s="150"/>
      <c r="P1374" s="135"/>
      <c r="Q1374" s="135"/>
      <c r="R1374" s="321"/>
      <c r="S1374" s="322"/>
      <c r="T1374" s="319"/>
      <c r="U1374" s="322"/>
      <c r="V1374" s="322"/>
      <c r="W1374" s="322"/>
      <c r="X1374" s="322"/>
      <c r="Y1374" s="319"/>
      <c r="Z1374" s="136" t="str">
        <f t="shared" si="16"/>
        <v/>
      </c>
      <c r="AA1374" s="137" t="str">
        <f t="shared" si="17"/>
        <v/>
      </c>
      <c r="AB1374" s="138" t="str">
        <f t="shared" si="19"/>
        <v/>
      </c>
      <c r="AC1374" s="322"/>
      <c r="AD1374" s="319"/>
      <c r="AE1374" s="320"/>
    </row>
    <row r="1375" ht="18.0" customHeight="1">
      <c r="A1375" s="118" t="str">
        <f t="shared" si="15"/>
        <v/>
      </c>
      <c r="B1375" s="109"/>
      <c r="C1375" s="119"/>
      <c r="D1375" s="119"/>
      <c r="E1375" s="330"/>
      <c r="F1375" s="121"/>
      <c r="G1375" s="153"/>
      <c r="H1375" s="153"/>
      <c r="I1375" s="153"/>
      <c r="J1375" s="112"/>
      <c r="K1375" s="153"/>
      <c r="L1375" s="114"/>
      <c r="M1375" s="151"/>
      <c r="N1375" s="152"/>
      <c r="O1375" s="150"/>
      <c r="P1375" s="114"/>
      <c r="Q1375" s="114"/>
      <c r="R1375" s="151"/>
      <c r="S1375" s="152"/>
      <c r="T1375" s="153"/>
      <c r="U1375" s="152"/>
      <c r="V1375" s="152"/>
      <c r="W1375" s="152"/>
      <c r="X1375" s="152"/>
      <c r="Y1375" s="153"/>
      <c r="Z1375" s="125" t="str">
        <f t="shared" si="16"/>
        <v/>
      </c>
      <c r="AA1375" s="126" t="str">
        <f t="shared" si="17"/>
        <v/>
      </c>
      <c r="AB1375" s="117" t="str">
        <f t="shared" si="19"/>
        <v/>
      </c>
      <c r="AC1375" s="152"/>
      <c r="AD1375" s="153"/>
      <c r="AE1375" s="156"/>
    </row>
    <row r="1376" ht="18.0" customHeight="1">
      <c r="A1376" s="127" t="str">
        <f t="shared" si="15"/>
        <v/>
      </c>
      <c r="B1376" s="128"/>
      <c r="C1376" s="129"/>
      <c r="D1376" s="129"/>
      <c r="E1376" s="325"/>
      <c r="F1376" s="131"/>
      <c r="G1376" s="319"/>
      <c r="H1376" s="319"/>
      <c r="I1376" s="319"/>
      <c r="J1376" s="132"/>
      <c r="K1376" s="319"/>
      <c r="L1376" s="135"/>
      <c r="M1376" s="321"/>
      <c r="N1376" s="322"/>
      <c r="O1376" s="150"/>
      <c r="P1376" s="135"/>
      <c r="Q1376" s="135"/>
      <c r="R1376" s="321"/>
      <c r="S1376" s="322"/>
      <c r="T1376" s="319"/>
      <c r="U1376" s="322"/>
      <c r="V1376" s="322"/>
      <c r="W1376" s="322"/>
      <c r="X1376" s="322"/>
      <c r="Y1376" s="319"/>
      <c r="Z1376" s="136" t="str">
        <f t="shared" si="16"/>
        <v/>
      </c>
      <c r="AA1376" s="137" t="str">
        <f t="shared" si="17"/>
        <v/>
      </c>
      <c r="AB1376" s="138" t="str">
        <f t="shared" si="19"/>
        <v/>
      </c>
      <c r="AC1376" s="322"/>
      <c r="AD1376" s="319"/>
      <c r="AE1376" s="320"/>
    </row>
    <row r="1377" ht="18.0" customHeight="1">
      <c r="A1377" s="118" t="str">
        <f t="shared" si="15"/>
        <v/>
      </c>
      <c r="B1377" s="109"/>
      <c r="C1377" s="119"/>
      <c r="D1377" s="119"/>
      <c r="E1377" s="330"/>
      <c r="F1377" s="121"/>
      <c r="G1377" s="153"/>
      <c r="H1377" s="153"/>
      <c r="I1377" s="153"/>
      <c r="J1377" s="112"/>
      <c r="K1377" s="153"/>
      <c r="L1377" s="114"/>
      <c r="M1377" s="151"/>
      <c r="N1377" s="152"/>
      <c r="O1377" s="150"/>
      <c r="P1377" s="114"/>
      <c r="Q1377" s="114"/>
      <c r="R1377" s="151"/>
      <c r="S1377" s="152"/>
      <c r="T1377" s="153"/>
      <c r="U1377" s="152"/>
      <c r="V1377" s="152"/>
      <c r="W1377" s="152"/>
      <c r="X1377" s="152"/>
      <c r="Y1377" s="153"/>
      <c r="Z1377" s="125" t="str">
        <f t="shared" si="16"/>
        <v/>
      </c>
      <c r="AA1377" s="126" t="str">
        <f t="shared" si="17"/>
        <v/>
      </c>
      <c r="AB1377" s="117" t="str">
        <f t="shared" si="19"/>
        <v/>
      </c>
      <c r="AC1377" s="152"/>
      <c r="AD1377" s="153"/>
      <c r="AE1377" s="156"/>
    </row>
    <row r="1378" ht="18.0" customHeight="1">
      <c r="A1378" s="127" t="str">
        <f t="shared" si="15"/>
        <v/>
      </c>
      <c r="B1378" s="128"/>
      <c r="C1378" s="129"/>
      <c r="D1378" s="129"/>
      <c r="E1378" s="325"/>
      <c r="F1378" s="131"/>
      <c r="G1378" s="319"/>
      <c r="H1378" s="319"/>
      <c r="I1378" s="319"/>
      <c r="J1378" s="132"/>
      <c r="K1378" s="319"/>
      <c r="L1378" s="135"/>
      <c r="M1378" s="321"/>
      <c r="N1378" s="322"/>
      <c r="O1378" s="150"/>
      <c r="P1378" s="135"/>
      <c r="Q1378" s="135"/>
      <c r="R1378" s="321"/>
      <c r="S1378" s="322"/>
      <c r="T1378" s="319"/>
      <c r="U1378" s="322"/>
      <c r="V1378" s="322"/>
      <c r="W1378" s="322"/>
      <c r="X1378" s="322"/>
      <c r="Y1378" s="319"/>
      <c r="Z1378" s="136" t="str">
        <f t="shared" si="16"/>
        <v/>
      </c>
      <c r="AA1378" s="137" t="str">
        <f t="shared" si="17"/>
        <v/>
      </c>
      <c r="AB1378" s="138" t="str">
        <f t="shared" si="19"/>
        <v/>
      </c>
      <c r="AC1378" s="322"/>
      <c r="AD1378" s="319"/>
      <c r="AE1378" s="320"/>
    </row>
    <row r="1379" ht="18.0" customHeight="1">
      <c r="A1379" s="118" t="str">
        <f t="shared" si="15"/>
        <v/>
      </c>
      <c r="B1379" s="109"/>
      <c r="C1379" s="119"/>
      <c r="D1379" s="119"/>
      <c r="E1379" s="330"/>
      <c r="F1379" s="121"/>
      <c r="G1379" s="153"/>
      <c r="H1379" s="153"/>
      <c r="I1379" s="153"/>
      <c r="J1379" s="112"/>
      <c r="K1379" s="153"/>
      <c r="L1379" s="114"/>
      <c r="M1379" s="151"/>
      <c r="N1379" s="152"/>
      <c r="O1379" s="150"/>
      <c r="P1379" s="114"/>
      <c r="Q1379" s="114"/>
      <c r="R1379" s="151"/>
      <c r="S1379" s="152"/>
      <c r="T1379" s="153"/>
      <c r="U1379" s="152"/>
      <c r="V1379" s="152"/>
      <c r="W1379" s="152"/>
      <c r="X1379" s="152"/>
      <c r="Y1379" s="153"/>
      <c r="Z1379" s="125" t="str">
        <f t="shared" si="16"/>
        <v/>
      </c>
      <c r="AA1379" s="126" t="str">
        <f t="shared" si="17"/>
        <v/>
      </c>
      <c r="AB1379" s="117" t="str">
        <f t="shared" si="19"/>
        <v/>
      </c>
      <c r="AC1379" s="152"/>
      <c r="AD1379" s="153"/>
      <c r="AE1379" s="156"/>
    </row>
    <row r="1380" ht="18.0" customHeight="1">
      <c r="A1380" s="127" t="str">
        <f t="shared" si="15"/>
        <v/>
      </c>
      <c r="B1380" s="128"/>
      <c r="C1380" s="129"/>
      <c r="D1380" s="129"/>
      <c r="E1380" s="325"/>
      <c r="F1380" s="131"/>
      <c r="G1380" s="319"/>
      <c r="H1380" s="319"/>
      <c r="I1380" s="319"/>
      <c r="J1380" s="132"/>
      <c r="K1380" s="319"/>
      <c r="L1380" s="135"/>
      <c r="M1380" s="321"/>
      <c r="N1380" s="322"/>
      <c r="O1380" s="150"/>
      <c r="P1380" s="135"/>
      <c r="Q1380" s="135"/>
      <c r="R1380" s="321"/>
      <c r="S1380" s="322"/>
      <c r="T1380" s="319"/>
      <c r="U1380" s="322"/>
      <c r="V1380" s="322"/>
      <c r="W1380" s="322"/>
      <c r="X1380" s="322"/>
      <c r="Y1380" s="319"/>
      <c r="Z1380" s="136" t="str">
        <f t="shared" si="16"/>
        <v/>
      </c>
      <c r="AA1380" s="137" t="str">
        <f t="shared" si="17"/>
        <v/>
      </c>
      <c r="AB1380" s="138" t="str">
        <f t="shared" si="19"/>
        <v/>
      </c>
      <c r="AC1380" s="322"/>
      <c r="AD1380" s="319"/>
      <c r="AE1380" s="320"/>
    </row>
    <row r="1381" ht="18.0" customHeight="1">
      <c r="A1381" s="118" t="str">
        <f t="shared" si="15"/>
        <v/>
      </c>
      <c r="B1381" s="109"/>
      <c r="C1381" s="119"/>
      <c r="D1381" s="119"/>
      <c r="E1381" s="330"/>
      <c r="F1381" s="121"/>
      <c r="G1381" s="153"/>
      <c r="H1381" s="153"/>
      <c r="I1381" s="153"/>
      <c r="J1381" s="112"/>
      <c r="K1381" s="153"/>
      <c r="L1381" s="114"/>
      <c r="M1381" s="151"/>
      <c r="N1381" s="152"/>
      <c r="O1381" s="150"/>
      <c r="P1381" s="114"/>
      <c r="Q1381" s="114"/>
      <c r="R1381" s="151"/>
      <c r="S1381" s="152"/>
      <c r="T1381" s="153"/>
      <c r="U1381" s="152"/>
      <c r="V1381" s="152"/>
      <c r="W1381" s="152"/>
      <c r="X1381" s="152"/>
      <c r="Y1381" s="153"/>
      <c r="Z1381" s="125" t="str">
        <f t="shared" si="16"/>
        <v/>
      </c>
      <c r="AA1381" s="126" t="str">
        <f t="shared" si="17"/>
        <v/>
      </c>
      <c r="AB1381" s="117" t="str">
        <f t="shared" si="19"/>
        <v/>
      </c>
      <c r="AC1381" s="152"/>
      <c r="AD1381" s="153"/>
      <c r="AE1381" s="156"/>
    </row>
    <row r="1382" ht="18.0" customHeight="1">
      <c r="A1382" s="127" t="str">
        <f t="shared" si="15"/>
        <v/>
      </c>
      <c r="B1382" s="128"/>
      <c r="C1382" s="129"/>
      <c r="D1382" s="129"/>
      <c r="E1382" s="325"/>
      <c r="F1382" s="131"/>
      <c r="G1382" s="319"/>
      <c r="H1382" s="319"/>
      <c r="I1382" s="319"/>
      <c r="J1382" s="132"/>
      <c r="K1382" s="319"/>
      <c r="L1382" s="135"/>
      <c r="M1382" s="321"/>
      <c r="N1382" s="322"/>
      <c r="O1382" s="150"/>
      <c r="P1382" s="135"/>
      <c r="Q1382" s="135"/>
      <c r="R1382" s="321"/>
      <c r="S1382" s="322"/>
      <c r="T1382" s="319"/>
      <c r="U1382" s="322"/>
      <c r="V1382" s="322"/>
      <c r="W1382" s="322"/>
      <c r="X1382" s="322"/>
      <c r="Y1382" s="319"/>
      <c r="Z1382" s="136" t="str">
        <f t="shared" si="16"/>
        <v/>
      </c>
      <c r="AA1382" s="137" t="str">
        <f t="shared" si="17"/>
        <v/>
      </c>
      <c r="AB1382" s="138" t="str">
        <f t="shared" si="19"/>
        <v/>
      </c>
      <c r="AC1382" s="322"/>
      <c r="AD1382" s="319"/>
      <c r="AE1382" s="320"/>
    </row>
    <row r="1383" ht="18.0" customHeight="1">
      <c r="A1383" s="118" t="str">
        <f t="shared" si="15"/>
        <v/>
      </c>
      <c r="B1383" s="109"/>
      <c r="C1383" s="119"/>
      <c r="D1383" s="119"/>
      <c r="E1383" s="330"/>
      <c r="F1383" s="121"/>
      <c r="G1383" s="153"/>
      <c r="H1383" s="153"/>
      <c r="I1383" s="153"/>
      <c r="J1383" s="112"/>
      <c r="K1383" s="153"/>
      <c r="L1383" s="114"/>
      <c r="M1383" s="151"/>
      <c r="N1383" s="152"/>
      <c r="O1383" s="150"/>
      <c r="P1383" s="114"/>
      <c r="Q1383" s="114"/>
      <c r="R1383" s="151"/>
      <c r="S1383" s="152"/>
      <c r="T1383" s="153"/>
      <c r="U1383" s="152"/>
      <c r="V1383" s="152"/>
      <c r="W1383" s="152"/>
      <c r="X1383" s="152"/>
      <c r="Y1383" s="153"/>
      <c r="Z1383" s="125" t="str">
        <f t="shared" si="16"/>
        <v/>
      </c>
      <c r="AA1383" s="126" t="str">
        <f t="shared" si="17"/>
        <v/>
      </c>
      <c r="AB1383" s="117" t="str">
        <f t="shared" si="19"/>
        <v/>
      </c>
      <c r="AC1383" s="152"/>
      <c r="AD1383" s="153"/>
      <c r="AE1383" s="156"/>
    </row>
    <row r="1384" ht="18.0" customHeight="1">
      <c r="A1384" s="127" t="str">
        <f t="shared" si="15"/>
        <v/>
      </c>
      <c r="B1384" s="128"/>
      <c r="C1384" s="129"/>
      <c r="D1384" s="129"/>
      <c r="E1384" s="325"/>
      <c r="F1384" s="131"/>
      <c r="G1384" s="319"/>
      <c r="H1384" s="319"/>
      <c r="I1384" s="319"/>
      <c r="J1384" s="132"/>
      <c r="K1384" s="319"/>
      <c r="L1384" s="135"/>
      <c r="M1384" s="321"/>
      <c r="N1384" s="322"/>
      <c r="O1384" s="150"/>
      <c r="P1384" s="135"/>
      <c r="Q1384" s="135"/>
      <c r="R1384" s="321"/>
      <c r="S1384" s="322"/>
      <c r="T1384" s="319"/>
      <c r="U1384" s="322"/>
      <c r="V1384" s="322"/>
      <c r="W1384" s="322"/>
      <c r="X1384" s="322"/>
      <c r="Y1384" s="319"/>
      <c r="Z1384" s="136" t="str">
        <f t="shared" si="16"/>
        <v/>
      </c>
      <c r="AA1384" s="137" t="str">
        <f t="shared" si="17"/>
        <v/>
      </c>
      <c r="AB1384" s="138" t="str">
        <f t="shared" si="19"/>
        <v/>
      </c>
      <c r="AC1384" s="322"/>
      <c r="AD1384" s="319"/>
      <c r="AE1384" s="320"/>
    </row>
    <row r="1385" ht="18.0" customHeight="1">
      <c r="A1385" s="118" t="str">
        <f t="shared" si="15"/>
        <v/>
      </c>
      <c r="B1385" s="109"/>
      <c r="C1385" s="119"/>
      <c r="D1385" s="119"/>
      <c r="E1385" s="330"/>
      <c r="F1385" s="121"/>
      <c r="G1385" s="153"/>
      <c r="H1385" s="153"/>
      <c r="I1385" s="153"/>
      <c r="J1385" s="112"/>
      <c r="K1385" s="153"/>
      <c r="L1385" s="114"/>
      <c r="M1385" s="151"/>
      <c r="N1385" s="152"/>
      <c r="O1385" s="150"/>
      <c r="P1385" s="114"/>
      <c r="Q1385" s="114"/>
      <c r="R1385" s="151"/>
      <c r="S1385" s="152"/>
      <c r="T1385" s="153"/>
      <c r="U1385" s="152"/>
      <c r="V1385" s="152"/>
      <c r="W1385" s="152"/>
      <c r="X1385" s="152"/>
      <c r="Y1385" s="153"/>
      <c r="Z1385" s="125" t="str">
        <f t="shared" si="16"/>
        <v/>
      </c>
      <c r="AA1385" s="126" t="str">
        <f t="shared" si="17"/>
        <v/>
      </c>
      <c r="AB1385" s="117" t="str">
        <f t="shared" si="19"/>
        <v/>
      </c>
      <c r="AC1385" s="152"/>
      <c r="AD1385" s="153"/>
      <c r="AE1385" s="156"/>
    </row>
    <row r="1386" ht="18.0" customHeight="1">
      <c r="A1386" s="127" t="str">
        <f t="shared" si="15"/>
        <v/>
      </c>
      <c r="B1386" s="128"/>
      <c r="C1386" s="129"/>
      <c r="D1386" s="129"/>
      <c r="E1386" s="325"/>
      <c r="F1386" s="131"/>
      <c r="G1386" s="319"/>
      <c r="H1386" s="319"/>
      <c r="I1386" s="319"/>
      <c r="J1386" s="132"/>
      <c r="K1386" s="319"/>
      <c r="L1386" s="135"/>
      <c r="M1386" s="321"/>
      <c r="N1386" s="322"/>
      <c r="O1386" s="150"/>
      <c r="P1386" s="135"/>
      <c r="Q1386" s="135"/>
      <c r="R1386" s="321"/>
      <c r="S1386" s="322"/>
      <c r="T1386" s="319"/>
      <c r="U1386" s="322"/>
      <c r="V1386" s="322"/>
      <c r="W1386" s="322"/>
      <c r="X1386" s="322"/>
      <c r="Y1386" s="319"/>
      <c r="Z1386" s="136" t="str">
        <f t="shared" si="16"/>
        <v/>
      </c>
      <c r="AA1386" s="137" t="str">
        <f t="shared" si="17"/>
        <v/>
      </c>
      <c r="AB1386" s="138" t="str">
        <f t="shared" si="19"/>
        <v/>
      </c>
      <c r="AC1386" s="322"/>
      <c r="AD1386" s="319"/>
      <c r="AE1386" s="320"/>
    </row>
    <row r="1387" ht="18.0" customHeight="1">
      <c r="A1387" s="118" t="str">
        <f t="shared" si="15"/>
        <v/>
      </c>
      <c r="B1387" s="109"/>
      <c r="C1387" s="119"/>
      <c r="D1387" s="119"/>
      <c r="E1387" s="330"/>
      <c r="F1387" s="121"/>
      <c r="G1387" s="153"/>
      <c r="H1387" s="153"/>
      <c r="I1387" s="153"/>
      <c r="J1387" s="112"/>
      <c r="K1387" s="153"/>
      <c r="L1387" s="114"/>
      <c r="M1387" s="151"/>
      <c r="N1387" s="152"/>
      <c r="O1387" s="150"/>
      <c r="P1387" s="114"/>
      <c r="Q1387" s="114"/>
      <c r="R1387" s="151"/>
      <c r="S1387" s="152"/>
      <c r="T1387" s="153"/>
      <c r="U1387" s="152"/>
      <c r="V1387" s="152"/>
      <c r="W1387" s="152"/>
      <c r="X1387" s="152"/>
      <c r="Y1387" s="153"/>
      <c r="Z1387" s="125" t="str">
        <f t="shared" si="16"/>
        <v/>
      </c>
      <c r="AA1387" s="126" t="str">
        <f t="shared" si="17"/>
        <v/>
      </c>
      <c r="AB1387" s="117" t="str">
        <f t="shared" si="19"/>
        <v/>
      </c>
      <c r="AC1387" s="152"/>
      <c r="AD1387" s="153"/>
      <c r="AE1387" s="156"/>
    </row>
    <row r="1388" ht="18.0" customHeight="1">
      <c r="A1388" s="127" t="str">
        <f t="shared" si="15"/>
        <v/>
      </c>
      <c r="B1388" s="128"/>
      <c r="C1388" s="129"/>
      <c r="D1388" s="129"/>
      <c r="E1388" s="325"/>
      <c r="F1388" s="131"/>
      <c r="G1388" s="319"/>
      <c r="H1388" s="319"/>
      <c r="I1388" s="319"/>
      <c r="J1388" s="132"/>
      <c r="K1388" s="319"/>
      <c r="L1388" s="135"/>
      <c r="M1388" s="321"/>
      <c r="N1388" s="322"/>
      <c r="O1388" s="150"/>
      <c r="P1388" s="135"/>
      <c r="Q1388" s="135"/>
      <c r="R1388" s="321"/>
      <c r="S1388" s="322"/>
      <c r="T1388" s="319"/>
      <c r="U1388" s="322"/>
      <c r="V1388" s="322"/>
      <c r="W1388" s="322"/>
      <c r="X1388" s="322"/>
      <c r="Y1388" s="319"/>
      <c r="Z1388" s="136" t="str">
        <f t="shared" si="16"/>
        <v/>
      </c>
      <c r="AA1388" s="137" t="str">
        <f t="shared" si="17"/>
        <v/>
      </c>
      <c r="AB1388" s="138" t="str">
        <f t="shared" si="19"/>
        <v/>
      </c>
      <c r="AC1388" s="322"/>
      <c r="AD1388" s="319"/>
      <c r="AE1388" s="320"/>
    </row>
    <row r="1389" ht="18.0" customHeight="1">
      <c r="A1389" s="118" t="str">
        <f t="shared" si="15"/>
        <v/>
      </c>
      <c r="B1389" s="109"/>
      <c r="C1389" s="119"/>
      <c r="D1389" s="119"/>
      <c r="E1389" s="330"/>
      <c r="F1389" s="121"/>
      <c r="G1389" s="153"/>
      <c r="H1389" s="153"/>
      <c r="I1389" s="153"/>
      <c r="J1389" s="112"/>
      <c r="K1389" s="153"/>
      <c r="L1389" s="114"/>
      <c r="M1389" s="151"/>
      <c r="N1389" s="152"/>
      <c r="O1389" s="150"/>
      <c r="P1389" s="114"/>
      <c r="Q1389" s="114"/>
      <c r="R1389" s="151"/>
      <c r="S1389" s="152"/>
      <c r="T1389" s="153"/>
      <c r="U1389" s="152"/>
      <c r="V1389" s="152"/>
      <c r="W1389" s="152"/>
      <c r="X1389" s="152"/>
      <c r="Y1389" s="153"/>
      <c r="Z1389" s="125" t="str">
        <f t="shared" si="16"/>
        <v/>
      </c>
      <c r="AA1389" s="126" t="str">
        <f t="shared" si="17"/>
        <v/>
      </c>
      <c r="AB1389" s="117" t="str">
        <f t="shared" si="19"/>
        <v/>
      </c>
      <c r="AC1389" s="152"/>
      <c r="AD1389" s="153"/>
      <c r="AE1389" s="156"/>
    </row>
    <row r="1390" ht="18.0" customHeight="1">
      <c r="A1390" s="127" t="str">
        <f t="shared" si="15"/>
        <v/>
      </c>
      <c r="B1390" s="128"/>
      <c r="C1390" s="129"/>
      <c r="D1390" s="129"/>
      <c r="E1390" s="325"/>
      <c r="F1390" s="131"/>
      <c r="G1390" s="319"/>
      <c r="H1390" s="319"/>
      <c r="I1390" s="319"/>
      <c r="J1390" s="132"/>
      <c r="K1390" s="319"/>
      <c r="L1390" s="135"/>
      <c r="M1390" s="321"/>
      <c r="N1390" s="322"/>
      <c r="O1390" s="150"/>
      <c r="P1390" s="135"/>
      <c r="Q1390" s="135"/>
      <c r="R1390" s="321"/>
      <c r="S1390" s="322"/>
      <c r="T1390" s="319"/>
      <c r="U1390" s="322"/>
      <c r="V1390" s="322"/>
      <c r="W1390" s="322"/>
      <c r="X1390" s="322"/>
      <c r="Y1390" s="319"/>
      <c r="Z1390" s="136" t="str">
        <f t="shared" si="16"/>
        <v/>
      </c>
      <c r="AA1390" s="137" t="str">
        <f t="shared" si="17"/>
        <v/>
      </c>
      <c r="AB1390" s="138" t="str">
        <f t="shared" si="19"/>
        <v/>
      </c>
      <c r="AC1390" s="322"/>
      <c r="AD1390" s="319"/>
      <c r="AE1390" s="320"/>
    </row>
    <row r="1391" ht="18.0" customHeight="1">
      <c r="A1391" s="118" t="str">
        <f t="shared" si="15"/>
        <v/>
      </c>
      <c r="B1391" s="109"/>
      <c r="C1391" s="119"/>
      <c r="D1391" s="119"/>
      <c r="E1391" s="330"/>
      <c r="F1391" s="121"/>
      <c r="G1391" s="153"/>
      <c r="H1391" s="153"/>
      <c r="I1391" s="153"/>
      <c r="J1391" s="112"/>
      <c r="K1391" s="153"/>
      <c r="L1391" s="114"/>
      <c r="M1391" s="151"/>
      <c r="N1391" s="152"/>
      <c r="O1391" s="150"/>
      <c r="P1391" s="114"/>
      <c r="Q1391" s="114"/>
      <c r="R1391" s="151"/>
      <c r="S1391" s="152"/>
      <c r="T1391" s="153"/>
      <c r="U1391" s="152"/>
      <c r="V1391" s="152"/>
      <c r="W1391" s="152"/>
      <c r="X1391" s="152"/>
      <c r="Y1391" s="153"/>
      <c r="Z1391" s="125" t="str">
        <f t="shared" si="16"/>
        <v/>
      </c>
      <c r="AA1391" s="126" t="str">
        <f t="shared" si="17"/>
        <v/>
      </c>
      <c r="AB1391" s="117" t="str">
        <f t="shared" si="19"/>
        <v/>
      </c>
      <c r="AC1391" s="152"/>
      <c r="AD1391" s="153"/>
      <c r="AE1391" s="156"/>
    </row>
    <row r="1392" ht="18.0" customHeight="1">
      <c r="A1392" s="127" t="str">
        <f t="shared" si="15"/>
        <v/>
      </c>
      <c r="B1392" s="128"/>
      <c r="C1392" s="129"/>
      <c r="D1392" s="129"/>
      <c r="E1392" s="325"/>
      <c r="F1392" s="131"/>
      <c r="G1392" s="319"/>
      <c r="H1392" s="319"/>
      <c r="I1392" s="319"/>
      <c r="J1392" s="132"/>
      <c r="K1392" s="319"/>
      <c r="L1392" s="135"/>
      <c r="M1392" s="321"/>
      <c r="N1392" s="322"/>
      <c r="O1392" s="150"/>
      <c r="P1392" s="135"/>
      <c r="Q1392" s="135"/>
      <c r="R1392" s="321"/>
      <c r="S1392" s="322"/>
      <c r="T1392" s="319"/>
      <c r="U1392" s="322"/>
      <c r="V1392" s="322"/>
      <c r="W1392" s="322"/>
      <c r="X1392" s="322"/>
      <c r="Y1392" s="319"/>
      <c r="Z1392" s="136" t="str">
        <f t="shared" si="16"/>
        <v/>
      </c>
      <c r="AA1392" s="137" t="str">
        <f t="shared" si="17"/>
        <v/>
      </c>
      <c r="AB1392" s="138" t="str">
        <f t="shared" si="19"/>
        <v/>
      </c>
      <c r="AC1392" s="322"/>
      <c r="AD1392" s="319"/>
      <c r="AE1392" s="320"/>
    </row>
    <row r="1393" ht="18.0" customHeight="1">
      <c r="A1393" s="118" t="str">
        <f t="shared" si="15"/>
        <v/>
      </c>
      <c r="B1393" s="109"/>
      <c r="C1393" s="119"/>
      <c r="D1393" s="119"/>
      <c r="E1393" s="330"/>
      <c r="F1393" s="121"/>
      <c r="G1393" s="153"/>
      <c r="H1393" s="153"/>
      <c r="I1393" s="153"/>
      <c r="J1393" s="112"/>
      <c r="K1393" s="153"/>
      <c r="L1393" s="114"/>
      <c r="M1393" s="151"/>
      <c r="N1393" s="152"/>
      <c r="O1393" s="150"/>
      <c r="P1393" s="114"/>
      <c r="Q1393" s="114"/>
      <c r="R1393" s="151"/>
      <c r="S1393" s="152"/>
      <c r="T1393" s="153"/>
      <c r="U1393" s="152"/>
      <c r="V1393" s="152"/>
      <c r="W1393" s="152"/>
      <c r="X1393" s="152"/>
      <c r="Y1393" s="153"/>
      <c r="Z1393" s="125" t="str">
        <f t="shared" si="16"/>
        <v/>
      </c>
      <c r="AA1393" s="126" t="str">
        <f t="shared" si="17"/>
        <v/>
      </c>
      <c r="AB1393" s="117" t="str">
        <f t="shared" si="19"/>
        <v/>
      </c>
      <c r="AC1393" s="152"/>
      <c r="AD1393" s="153"/>
      <c r="AE1393" s="156"/>
    </row>
    <row r="1394" ht="18.0" customHeight="1">
      <c r="A1394" s="127" t="str">
        <f t="shared" si="15"/>
        <v/>
      </c>
      <c r="B1394" s="128"/>
      <c r="C1394" s="129"/>
      <c r="D1394" s="129"/>
      <c r="E1394" s="325"/>
      <c r="F1394" s="131"/>
      <c r="G1394" s="319"/>
      <c r="H1394" s="319"/>
      <c r="I1394" s="319"/>
      <c r="J1394" s="132"/>
      <c r="K1394" s="319"/>
      <c r="L1394" s="135"/>
      <c r="M1394" s="321"/>
      <c r="N1394" s="322"/>
      <c r="O1394" s="150"/>
      <c r="P1394" s="135"/>
      <c r="Q1394" s="135"/>
      <c r="R1394" s="321"/>
      <c r="S1394" s="322"/>
      <c r="T1394" s="319"/>
      <c r="U1394" s="322"/>
      <c r="V1394" s="322"/>
      <c r="W1394" s="322"/>
      <c r="X1394" s="322"/>
      <c r="Y1394" s="319"/>
      <c r="Z1394" s="136" t="str">
        <f t="shared" si="16"/>
        <v/>
      </c>
      <c r="AA1394" s="137" t="str">
        <f t="shared" si="17"/>
        <v/>
      </c>
      <c r="AB1394" s="138" t="str">
        <f t="shared" si="19"/>
        <v/>
      </c>
      <c r="AC1394" s="322"/>
      <c r="AD1394" s="319"/>
      <c r="AE1394" s="320"/>
    </row>
    <row r="1395" ht="18.0" customHeight="1">
      <c r="A1395" s="118" t="str">
        <f t="shared" si="15"/>
        <v/>
      </c>
      <c r="B1395" s="109"/>
      <c r="C1395" s="119"/>
      <c r="D1395" s="119"/>
      <c r="E1395" s="330"/>
      <c r="F1395" s="121"/>
      <c r="G1395" s="153"/>
      <c r="H1395" s="153"/>
      <c r="I1395" s="153"/>
      <c r="J1395" s="112"/>
      <c r="K1395" s="153"/>
      <c r="L1395" s="114"/>
      <c r="M1395" s="151"/>
      <c r="N1395" s="152"/>
      <c r="O1395" s="150"/>
      <c r="P1395" s="114"/>
      <c r="Q1395" s="114"/>
      <c r="R1395" s="151"/>
      <c r="S1395" s="152"/>
      <c r="T1395" s="153"/>
      <c r="U1395" s="152"/>
      <c r="V1395" s="152"/>
      <c r="W1395" s="152"/>
      <c r="X1395" s="152"/>
      <c r="Y1395" s="153"/>
      <c r="Z1395" s="125" t="str">
        <f t="shared" si="16"/>
        <v/>
      </c>
      <c r="AA1395" s="126" t="str">
        <f t="shared" si="17"/>
        <v/>
      </c>
      <c r="AB1395" s="117" t="str">
        <f t="shared" si="19"/>
        <v/>
      </c>
      <c r="AC1395" s="152"/>
      <c r="AD1395" s="153"/>
      <c r="AE1395" s="156"/>
    </row>
    <row r="1396" ht="18.0" customHeight="1">
      <c r="A1396" s="127" t="str">
        <f t="shared" si="15"/>
        <v/>
      </c>
      <c r="B1396" s="128"/>
      <c r="C1396" s="129"/>
      <c r="D1396" s="129"/>
      <c r="E1396" s="325"/>
      <c r="F1396" s="131"/>
      <c r="G1396" s="319"/>
      <c r="H1396" s="319"/>
      <c r="I1396" s="319"/>
      <c r="J1396" s="132"/>
      <c r="K1396" s="319"/>
      <c r="L1396" s="135"/>
      <c r="M1396" s="321"/>
      <c r="N1396" s="322"/>
      <c r="O1396" s="150"/>
      <c r="P1396" s="135"/>
      <c r="Q1396" s="135"/>
      <c r="R1396" s="321"/>
      <c r="S1396" s="322"/>
      <c r="T1396" s="319"/>
      <c r="U1396" s="322"/>
      <c r="V1396" s="322"/>
      <c r="W1396" s="322"/>
      <c r="X1396" s="322"/>
      <c r="Y1396" s="319"/>
      <c r="Z1396" s="136" t="str">
        <f t="shared" si="16"/>
        <v/>
      </c>
      <c r="AA1396" s="137" t="str">
        <f t="shared" si="17"/>
        <v/>
      </c>
      <c r="AB1396" s="138" t="str">
        <f t="shared" si="19"/>
        <v/>
      </c>
      <c r="AC1396" s="322"/>
      <c r="AD1396" s="319"/>
      <c r="AE1396" s="320"/>
    </row>
    <row r="1397" ht="18.0" customHeight="1">
      <c r="A1397" s="118" t="str">
        <f t="shared" si="15"/>
        <v/>
      </c>
      <c r="B1397" s="109"/>
      <c r="C1397" s="119"/>
      <c r="D1397" s="119"/>
      <c r="E1397" s="330"/>
      <c r="F1397" s="121"/>
      <c r="G1397" s="153"/>
      <c r="H1397" s="153"/>
      <c r="I1397" s="153"/>
      <c r="J1397" s="112"/>
      <c r="K1397" s="153"/>
      <c r="L1397" s="114"/>
      <c r="M1397" s="151"/>
      <c r="N1397" s="152"/>
      <c r="O1397" s="150"/>
      <c r="P1397" s="114"/>
      <c r="Q1397" s="114"/>
      <c r="R1397" s="151"/>
      <c r="S1397" s="152"/>
      <c r="T1397" s="153"/>
      <c r="U1397" s="152"/>
      <c r="V1397" s="152"/>
      <c r="W1397" s="152"/>
      <c r="X1397" s="152"/>
      <c r="Y1397" s="153"/>
      <c r="Z1397" s="125" t="str">
        <f t="shared" si="16"/>
        <v/>
      </c>
      <c r="AA1397" s="126" t="str">
        <f t="shared" si="17"/>
        <v/>
      </c>
      <c r="AB1397" s="117" t="str">
        <f t="shared" si="19"/>
        <v/>
      </c>
      <c r="AC1397" s="152"/>
      <c r="AD1397" s="153"/>
      <c r="AE1397" s="156"/>
    </row>
    <row r="1398" ht="18.0" customHeight="1">
      <c r="A1398" s="127" t="str">
        <f t="shared" si="15"/>
        <v/>
      </c>
      <c r="B1398" s="128"/>
      <c r="C1398" s="129"/>
      <c r="D1398" s="129"/>
      <c r="E1398" s="325"/>
      <c r="F1398" s="131"/>
      <c r="G1398" s="319"/>
      <c r="H1398" s="319"/>
      <c r="I1398" s="319"/>
      <c r="J1398" s="132"/>
      <c r="K1398" s="319"/>
      <c r="L1398" s="135"/>
      <c r="M1398" s="321"/>
      <c r="N1398" s="322"/>
      <c r="O1398" s="150"/>
      <c r="P1398" s="135"/>
      <c r="Q1398" s="135"/>
      <c r="R1398" s="321"/>
      <c r="S1398" s="322"/>
      <c r="T1398" s="319"/>
      <c r="U1398" s="322"/>
      <c r="V1398" s="322"/>
      <c r="W1398" s="322"/>
      <c r="X1398" s="322"/>
      <c r="Y1398" s="319"/>
      <c r="Z1398" s="136" t="str">
        <f t="shared" si="16"/>
        <v/>
      </c>
      <c r="AA1398" s="137" t="str">
        <f t="shared" si="17"/>
        <v/>
      </c>
      <c r="AB1398" s="138" t="str">
        <f t="shared" si="19"/>
        <v/>
      </c>
      <c r="AC1398" s="322"/>
      <c r="AD1398" s="319"/>
      <c r="AE1398" s="320"/>
    </row>
    <row r="1399" ht="18.0" customHeight="1">
      <c r="A1399" s="118" t="str">
        <f t="shared" si="15"/>
        <v/>
      </c>
      <c r="B1399" s="109"/>
      <c r="C1399" s="119"/>
      <c r="D1399" s="119"/>
      <c r="E1399" s="330"/>
      <c r="F1399" s="121"/>
      <c r="G1399" s="153"/>
      <c r="H1399" s="153"/>
      <c r="I1399" s="153"/>
      <c r="J1399" s="112"/>
      <c r="K1399" s="153"/>
      <c r="L1399" s="114"/>
      <c r="M1399" s="151"/>
      <c r="N1399" s="152"/>
      <c r="O1399" s="150"/>
      <c r="P1399" s="114"/>
      <c r="Q1399" s="114"/>
      <c r="R1399" s="151"/>
      <c r="S1399" s="152"/>
      <c r="T1399" s="153"/>
      <c r="U1399" s="152"/>
      <c r="V1399" s="152"/>
      <c r="W1399" s="152"/>
      <c r="X1399" s="152"/>
      <c r="Y1399" s="153"/>
      <c r="Z1399" s="125" t="str">
        <f t="shared" si="16"/>
        <v/>
      </c>
      <c r="AA1399" s="126" t="str">
        <f t="shared" si="17"/>
        <v/>
      </c>
      <c r="AB1399" s="117" t="str">
        <f t="shared" si="19"/>
        <v/>
      </c>
      <c r="AC1399" s="152"/>
      <c r="AD1399" s="153"/>
      <c r="AE1399" s="156"/>
    </row>
    <row r="1400" ht="18.0" customHeight="1">
      <c r="A1400" s="127" t="str">
        <f t="shared" si="15"/>
        <v/>
      </c>
      <c r="B1400" s="128"/>
      <c r="C1400" s="129"/>
      <c r="D1400" s="129"/>
      <c r="E1400" s="325"/>
      <c r="F1400" s="131"/>
      <c r="G1400" s="319"/>
      <c r="H1400" s="319"/>
      <c r="I1400" s="319"/>
      <c r="J1400" s="132"/>
      <c r="K1400" s="319"/>
      <c r="L1400" s="135"/>
      <c r="M1400" s="321"/>
      <c r="N1400" s="322"/>
      <c r="O1400" s="150"/>
      <c r="P1400" s="135"/>
      <c r="Q1400" s="135"/>
      <c r="R1400" s="321"/>
      <c r="S1400" s="322"/>
      <c r="T1400" s="319"/>
      <c r="U1400" s="322"/>
      <c r="V1400" s="322"/>
      <c r="W1400" s="322"/>
      <c r="X1400" s="322"/>
      <c r="Y1400" s="319"/>
      <c r="Z1400" s="136" t="str">
        <f t="shared" si="16"/>
        <v/>
      </c>
      <c r="AA1400" s="137" t="str">
        <f t="shared" si="17"/>
        <v/>
      </c>
      <c r="AB1400" s="138" t="str">
        <f t="shared" si="19"/>
        <v/>
      </c>
      <c r="AC1400" s="322"/>
      <c r="AD1400" s="319"/>
      <c r="AE1400" s="320"/>
    </row>
    <row r="1401" ht="18.0" customHeight="1">
      <c r="A1401" s="118" t="str">
        <f t="shared" si="15"/>
        <v/>
      </c>
      <c r="B1401" s="109"/>
      <c r="C1401" s="119"/>
      <c r="D1401" s="119"/>
      <c r="E1401" s="330"/>
      <c r="F1401" s="121"/>
      <c r="G1401" s="153"/>
      <c r="H1401" s="153"/>
      <c r="I1401" s="153"/>
      <c r="J1401" s="112"/>
      <c r="K1401" s="153"/>
      <c r="L1401" s="114"/>
      <c r="M1401" s="151"/>
      <c r="N1401" s="152"/>
      <c r="O1401" s="150"/>
      <c r="P1401" s="114"/>
      <c r="Q1401" s="114"/>
      <c r="R1401" s="151"/>
      <c r="S1401" s="152"/>
      <c r="T1401" s="153"/>
      <c r="U1401" s="152"/>
      <c r="V1401" s="152"/>
      <c r="W1401" s="152"/>
      <c r="X1401" s="152"/>
      <c r="Y1401" s="153"/>
      <c r="Z1401" s="125" t="str">
        <f t="shared" si="16"/>
        <v/>
      </c>
      <c r="AA1401" s="126" t="str">
        <f t="shared" si="17"/>
        <v/>
      </c>
      <c r="AB1401" s="117" t="str">
        <f t="shared" si="19"/>
        <v/>
      </c>
      <c r="AC1401" s="152"/>
      <c r="AD1401" s="153"/>
      <c r="AE1401" s="156"/>
    </row>
    <row r="1402" ht="18.0" customHeight="1">
      <c r="A1402" s="127" t="str">
        <f t="shared" si="15"/>
        <v/>
      </c>
      <c r="B1402" s="128"/>
      <c r="C1402" s="129"/>
      <c r="D1402" s="129"/>
      <c r="E1402" s="325"/>
      <c r="F1402" s="131"/>
      <c r="G1402" s="319"/>
      <c r="H1402" s="319"/>
      <c r="I1402" s="319"/>
      <c r="J1402" s="132"/>
      <c r="K1402" s="319"/>
      <c r="L1402" s="135"/>
      <c r="M1402" s="321"/>
      <c r="N1402" s="322"/>
      <c r="O1402" s="150"/>
      <c r="P1402" s="135"/>
      <c r="Q1402" s="135"/>
      <c r="R1402" s="321"/>
      <c r="S1402" s="322"/>
      <c r="T1402" s="319"/>
      <c r="U1402" s="322"/>
      <c r="V1402" s="322"/>
      <c r="W1402" s="322"/>
      <c r="X1402" s="322"/>
      <c r="Y1402" s="319"/>
      <c r="Z1402" s="136" t="str">
        <f t="shared" si="16"/>
        <v/>
      </c>
      <c r="AA1402" s="137" t="str">
        <f t="shared" si="17"/>
        <v/>
      </c>
      <c r="AB1402" s="138" t="str">
        <f t="shared" si="19"/>
        <v/>
      </c>
      <c r="AC1402" s="322"/>
      <c r="AD1402" s="319"/>
      <c r="AE1402" s="320"/>
    </row>
    <row r="1403" ht="18.0" customHeight="1">
      <c r="A1403" s="118" t="str">
        <f t="shared" si="15"/>
        <v/>
      </c>
      <c r="B1403" s="109"/>
      <c r="C1403" s="119"/>
      <c r="D1403" s="119"/>
      <c r="E1403" s="330"/>
      <c r="F1403" s="121"/>
      <c r="G1403" s="153"/>
      <c r="H1403" s="153"/>
      <c r="I1403" s="153"/>
      <c r="J1403" s="112"/>
      <c r="K1403" s="153"/>
      <c r="L1403" s="114"/>
      <c r="M1403" s="151"/>
      <c r="N1403" s="152"/>
      <c r="O1403" s="150"/>
      <c r="P1403" s="114"/>
      <c r="Q1403" s="114"/>
      <c r="R1403" s="151"/>
      <c r="S1403" s="152"/>
      <c r="T1403" s="153"/>
      <c r="U1403" s="152"/>
      <c r="V1403" s="152"/>
      <c r="W1403" s="152"/>
      <c r="X1403" s="152"/>
      <c r="Y1403" s="153"/>
      <c r="Z1403" s="125" t="str">
        <f t="shared" si="16"/>
        <v/>
      </c>
      <c r="AA1403" s="126" t="str">
        <f t="shared" si="17"/>
        <v/>
      </c>
      <c r="AB1403" s="117" t="str">
        <f t="shared" si="19"/>
        <v/>
      </c>
      <c r="AC1403" s="152"/>
      <c r="AD1403" s="153"/>
      <c r="AE1403" s="156"/>
    </row>
    <row r="1404" ht="18.0" customHeight="1">
      <c r="A1404" s="127" t="str">
        <f t="shared" si="15"/>
        <v/>
      </c>
      <c r="B1404" s="128"/>
      <c r="C1404" s="129"/>
      <c r="D1404" s="129"/>
      <c r="E1404" s="325"/>
      <c r="F1404" s="131"/>
      <c r="G1404" s="319"/>
      <c r="H1404" s="319"/>
      <c r="I1404" s="319"/>
      <c r="J1404" s="132"/>
      <c r="K1404" s="319"/>
      <c r="L1404" s="135"/>
      <c r="M1404" s="321"/>
      <c r="N1404" s="322"/>
      <c r="O1404" s="150"/>
      <c r="P1404" s="135"/>
      <c r="Q1404" s="135"/>
      <c r="R1404" s="321"/>
      <c r="S1404" s="322"/>
      <c r="T1404" s="319"/>
      <c r="U1404" s="322"/>
      <c r="V1404" s="322"/>
      <c r="W1404" s="322"/>
      <c r="X1404" s="322"/>
      <c r="Y1404" s="319"/>
      <c r="Z1404" s="136" t="str">
        <f t="shared" si="16"/>
        <v/>
      </c>
      <c r="AA1404" s="137" t="str">
        <f t="shared" si="17"/>
        <v/>
      </c>
      <c r="AB1404" s="138" t="str">
        <f t="shared" si="19"/>
        <v/>
      </c>
      <c r="AC1404" s="322"/>
      <c r="AD1404" s="319"/>
      <c r="AE1404" s="320"/>
    </row>
    <row r="1405" ht="18.0" customHeight="1">
      <c r="A1405" s="118" t="str">
        <f t="shared" si="15"/>
        <v/>
      </c>
      <c r="B1405" s="109"/>
      <c r="C1405" s="119"/>
      <c r="D1405" s="119"/>
      <c r="E1405" s="330"/>
      <c r="F1405" s="121"/>
      <c r="G1405" s="153"/>
      <c r="H1405" s="153"/>
      <c r="I1405" s="153"/>
      <c r="J1405" s="112"/>
      <c r="K1405" s="153"/>
      <c r="L1405" s="114"/>
      <c r="M1405" s="151"/>
      <c r="N1405" s="152"/>
      <c r="O1405" s="150"/>
      <c r="P1405" s="114"/>
      <c r="Q1405" s="114"/>
      <c r="R1405" s="151"/>
      <c r="S1405" s="152"/>
      <c r="T1405" s="153"/>
      <c r="U1405" s="152"/>
      <c r="V1405" s="152"/>
      <c r="W1405" s="152"/>
      <c r="X1405" s="152"/>
      <c r="Y1405" s="153"/>
      <c r="Z1405" s="125" t="str">
        <f t="shared" si="16"/>
        <v/>
      </c>
      <c r="AA1405" s="126" t="str">
        <f t="shared" si="17"/>
        <v/>
      </c>
      <c r="AB1405" s="117" t="str">
        <f t="shared" si="19"/>
        <v/>
      </c>
      <c r="AC1405" s="152"/>
      <c r="AD1405" s="153"/>
      <c r="AE1405" s="156"/>
    </row>
    <row r="1406" ht="18.0" customHeight="1">
      <c r="A1406" s="127" t="str">
        <f t="shared" si="15"/>
        <v/>
      </c>
      <c r="B1406" s="128"/>
      <c r="C1406" s="129"/>
      <c r="D1406" s="129"/>
      <c r="E1406" s="325"/>
      <c r="F1406" s="131"/>
      <c r="G1406" s="319"/>
      <c r="H1406" s="319"/>
      <c r="I1406" s="319"/>
      <c r="J1406" s="132"/>
      <c r="K1406" s="319"/>
      <c r="L1406" s="135"/>
      <c r="M1406" s="321"/>
      <c r="N1406" s="322"/>
      <c r="O1406" s="150"/>
      <c r="P1406" s="135"/>
      <c r="Q1406" s="135"/>
      <c r="R1406" s="321"/>
      <c r="S1406" s="322"/>
      <c r="T1406" s="319"/>
      <c r="U1406" s="322"/>
      <c r="V1406" s="322"/>
      <c r="W1406" s="322"/>
      <c r="X1406" s="322"/>
      <c r="Y1406" s="319"/>
      <c r="Z1406" s="136" t="str">
        <f t="shared" si="16"/>
        <v/>
      </c>
      <c r="AA1406" s="137" t="str">
        <f t="shared" si="17"/>
        <v/>
      </c>
      <c r="AB1406" s="138" t="str">
        <f t="shared" si="19"/>
        <v/>
      </c>
      <c r="AC1406" s="322"/>
      <c r="AD1406" s="319"/>
      <c r="AE1406" s="320"/>
    </row>
    <row r="1407" ht="18.0" customHeight="1">
      <c r="A1407" s="118" t="str">
        <f t="shared" si="15"/>
        <v/>
      </c>
      <c r="B1407" s="109"/>
      <c r="C1407" s="119"/>
      <c r="D1407" s="119"/>
      <c r="E1407" s="330"/>
      <c r="F1407" s="121"/>
      <c r="G1407" s="153"/>
      <c r="H1407" s="153"/>
      <c r="I1407" s="153"/>
      <c r="J1407" s="112"/>
      <c r="K1407" s="153"/>
      <c r="L1407" s="114"/>
      <c r="M1407" s="151"/>
      <c r="N1407" s="152"/>
      <c r="O1407" s="150"/>
      <c r="P1407" s="114"/>
      <c r="Q1407" s="114"/>
      <c r="R1407" s="151"/>
      <c r="S1407" s="152"/>
      <c r="T1407" s="153"/>
      <c r="U1407" s="152"/>
      <c r="V1407" s="152"/>
      <c r="W1407" s="152"/>
      <c r="X1407" s="152"/>
      <c r="Y1407" s="153"/>
      <c r="Z1407" s="125" t="str">
        <f t="shared" si="16"/>
        <v/>
      </c>
      <c r="AA1407" s="126" t="str">
        <f t="shared" si="17"/>
        <v/>
      </c>
      <c r="AB1407" s="117" t="str">
        <f t="shared" si="19"/>
        <v/>
      </c>
      <c r="AC1407" s="152"/>
      <c r="AD1407" s="153"/>
      <c r="AE1407" s="156"/>
    </row>
    <row r="1408" ht="18.0" customHeight="1">
      <c r="A1408" s="127" t="str">
        <f t="shared" si="15"/>
        <v/>
      </c>
      <c r="B1408" s="128"/>
      <c r="C1408" s="129"/>
      <c r="D1408" s="129"/>
      <c r="E1408" s="325"/>
      <c r="F1408" s="131"/>
      <c r="G1408" s="319"/>
      <c r="H1408" s="319"/>
      <c r="I1408" s="319"/>
      <c r="J1408" s="132"/>
      <c r="K1408" s="319"/>
      <c r="L1408" s="135"/>
      <c r="M1408" s="321"/>
      <c r="N1408" s="322"/>
      <c r="O1408" s="150"/>
      <c r="P1408" s="135"/>
      <c r="Q1408" s="135"/>
      <c r="R1408" s="321"/>
      <c r="S1408" s="322"/>
      <c r="T1408" s="319"/>
      <c r="U1408" s="322"/>
      <c r="V1408" s="322"/>
      <c r="W1408" s="322"/>
      <c r="X1408" s="322"/>
      <c r="Y1408" s="319"/>
      <c r="Z1408" s="136" t="str">
        <f t="shared" si="16"/>
        <v/>
      </c>
      <c r="AA1408" s="137" t="str">
        <f t="shared" si="17"/>
        <v/>
      </c>
      <c r="AB1408" s="138" t="str">
        <f t="shared" si="19"/>
        <v/>
      </c>
      <c r="AC1408" s="322"/>
      <c r="AD1408" s="319"/>
      <c r="AE1408" s="320"/>
    </row>
    <row r="1409" ht="18.0" customHeight="1">
      <c r="A1409" s="118" t="str">
        <f t="shared" si="15"/>
        <v/>
      </c>
      <c r="B1409" s="109"/>
      <c r="C1409" s="119"/>
      <c r="D1409" s="119"/>
      <c r="E1409" s="330"/>
      <c r="F1409" s="121"/>
      <c r="G1409" s="153"/>
      <c r="H1409" s="153"/>
      <c r="I1409" s="153"/>
      <c r="J1409" s="112"/>
      <c r="K1409" s="153"/>
      <c r="L1409" s="114"/>
      <c r="M1409" s="151"/>
      <c r="N1409" s="152"/>
      <c r="O1409" s="150"/>
      <c r="P1409" s="114"/>
      <c r="Q1409" s="114"/>
      <c r="R1409" s="151"/>
      <c r="S1409" s="152"/>
      <c r="T1409" s="153"/>
      <c r="U1409" s="152"/>
      <c r="V1409" s="152"/>
      <c r="W1409" s="152"/>
      <c r="X1409" s="152"/>
      <c r="Y1409" s="153"/>
      <c r="Z1409" s="125" t="str">
        <f t="shared" si="16"/>
        <v/>
      </c>
      <c r="AA1409" s="126" t="str">
        <f t="shared" si="17"/>
        <v/>
      </c>
      <c r="AB1409" s="117" t="str">
        <f t="shared" si="19"/>
        <v/>
      </c>
      <c r="AC1409" s="152"/>
      <c r="AD1409" s="153"/>
      <c r="AE1409" s="156"/>
    </row>
    <row r="1410" ht="18.0" customHeight="1">
      <c r="A1410" s="127" t="str">
        <f t="shared" si="15"/>
        <v/>
      </c>
      <c r="B1410" s="128"/>
      <c r="C1410" s="129"/>
      <c r="D1410" s="129"/>
      <c r="E1410" s="325"/>
      <c r="F1410" s="131"/>
      <c r="G1410" s="319"/>
      <c r="H1410" s="319"/>
      <c r="I1410" s="319"/>
      <c r="J1410" s="132"/>
      <c r="K1410" s="319"/>
      <c r="L1410" s="135"/>
      <c r="M1410" s="321"/>
      <c r="N1410" s="322"/>
      <c r="O1410" s="150"/>
      <c r="P1410" s="135"/>
      <c r="Q1410" s="135"/>
      <c r="R1410" s="321"/>
      <c r="S1410" s="322"/>
      <c r="T1410" s="319"/>
      <c r="U1410" s="322"/>
      <c r="V1410" s="322"/>
      <c r="W1410" s="322"/>
      <c r="X1410" s="322"/>
      <c r="Y1410" s="319"/>
      <c r="Z1410" s="136" t="str">
        <f t="shared" si="16"/>
        <v/>
      </c>
      <c r="AA1410" s="137" t="str">
        <f t="shared" si="17"/>
        <v/>
      </c>
      <c r="AB1410" s="138" t="str">
        <f t="shared" si="19"/>
        <v/>
      </c>
      <c r="AC1410" s="322"/>
      <c r="AD1410" s="319"/>
      <c r="AE1410" s="320"/>
    </row>
    <row r="1411" ht="18.0" customHeight="1">
      <c r="A1411" s="118" t="str">
        <f t="shared" si="15"/>
        <v/>
      </c>
      <c r="B1411" s="109"/>
      <c r="C1411" s="119"/>
      <c r="D1411" s="119"/>
      <c r="E1411" s="330"/>
      <c r="F1411" s="121"/>
      <c r="G1411" s="153"/>
      <c r="H1411" s="153"/>
      <c r="I1411" s="153"/>
      <c r="J1411" s="112"/>
      <c r="K1411" s="153"/>
      <c r="L1411" s="114"/>
      <c r="M1411" s="151"/>
      <c r="N1411" s="152"/>
      <c r="O1411" s="150"/>
      <c r="P1411" s="114"/>
      <c r="Q1411" s="114"/>
      <c r="R1411" s="151"/>
      <c r="S1411" s="152"/>
      <c r="T1411" s="153"/>
      <c r="U1411" s="152"/>
      <c r="V1411" s="152"/>
      <c r="W1411" s="152"/>
      <c r="X1411" s="152"/>
      <c r="Y1411" s="153"/>
      <c r="Z1411" s="125" t="str">
        <f t="shared" si="16"/>
        <v/>
      </c>
      <c r="AA1411" s="126" t="str">
        <f t="shared" si="17"/>
        <v/>
      </c>
      <c r="AB1411" s="117" t="str">
        <f t="shared" si="19"/>
        <v/>
      </c>
      <c r="AC1411" s="152"/>
      <c r="AD1411" s="153"/>
      <c r="AE1411" s="156"/>
    </row>
    <row r="1412" ht="18.0" customHeight="1">
      <c r="A1412" s="127" t="str">
        <f t="shared" si="15"/>
        <v/>
      </c>
      <c r="B1412" s="128"/>
      <c r="C1412" s="129"/>
      <c r="D1412" s="129"/>
      <c r="E1412" s="325"/>
      <c r="F1412" s="131"/>
      <c r="G1412" s="319"/>
      <c r="H1412" s="319"/>
      <c r="I1412" s="319"/>
      <c r="J1412" s="132"/>
      <c r="K1412" s="319"/>
      <c r="L1412" s="135"/>
      <c r="M1412" s="321"/>
      <c r="N1412" s="322"/>
      <c r="O1412" s="150"/>
      <c r="P1412" s="135"/>
      <c r="Q1412" s="135"/>
      <c r="R1412" s="321"/>
      <c r="S1412" s="322"/>
      <c r="T1412" s="319"/>
      <c r="U1412" s="322"/>
      <c r="V1412" s="322"/>
      <c r="W1412" s="322"/>
      <c r="X1412" s="322"/>
      <c r="Y1412" s="319"/>
      <c r="Z1412" s="136" t="str">
        <f t="shared" si="16"/>
        <v/>
      </c>
      <c r="AA1412" s="137" t="str">
        <f t="shared" si="17"/>
        <v/>
      </c>
      <c r="AB1412" s="138" t="str">
        <f t="shared" si="19"/>
        <v/>
      </c>
      <c r="AC1412" s="322"/>
      <c r="AD1412" s="319"/>
      <c r="AE1412" s="320"/>
    </row>
    <row r="1413" ht="18.0" customHeight="1">
      <c r="A1413" s="118" t="str">
        <f t="shared" si="15"/>
        <v/>
      </c>
      <c r="B1413" s="109"/>
      <c r="C1413" s="119"/>
      <c r="D1413" s="119"/>
      <c r="E1413" s="330"/>
      <c r="F1413" s="121"/>
      <c r="G1413" s="153"/>
      <c r="H1413" s="153"/>
      <c r="I1413" s="153"/>
      <c r="J1413" s="112"/>
      <c r="K1413" s="153"/>
      <c r="L1413" s="114"/>
      <c r="M1413" s="151"/>
      <c r="N1413" s="152"/>
      <c r="O1413" s="150"/>
      <c r="P1413" s="114"/>
      <c r="Q1413" s="114"/>
      <c r="R1413" s="151"/>
      <c r="S1413" s="152"/>
      <c r="T1413" s="153"/>
      <c r="U1413" s="152"/>
      <c r="V1413" s="152"/>
      <c r="W1413" s="152"/>
      <c r="X1413" s="152"/>
      <c r="Y1413" s="153"/>
      <c r="Z1413" s="125" t="str">
        <f t="shared" si="16"/>
        <v/>
      </c>
      <c r="AA1413" s="126" t="str">
        <f t="shared" si="17"/>
        <v/>
      </c>
      <c r="AB1413" s="117" t="str">
        <f t="shared" si="19"/>
        <v/>
      </c>
      <c r="AC1413" s="152"/>
      <c r="AD1413" s="153"/>
      <c r="AE1413" s="156"/>
    </row>
    <row r="1414" ht="18.0" customHeight="1">
      <c r="A1414" s="127" t="str">
        <f t="shared" si="15"/>
        <v/>
      </c>
      <c r="B1414" s="128"/>
      <c r="C1414" s="129"/>
      <c r="D1414" s="129"/>
      <c r="E1414" s="325"/>
      <c r="F1414" s="131"/>
      <c r="G1414" s="319"/>
      <c r="H1414" s="319"/>
      <c r="I1414" s="319"/>
      <c r="J1414" s="132"/>
      <c r="K1414" s="319"/>
      <c r="L1414" s="135"/>
      <c r="M1414" s="321"/>
      <c r="N1414" s="322"/>
      <c r="O1414" s="150"/>
      <c r="P1414" s="135"/>
      <c r="Q1414" s="135"/>
      <c r="R1414" s="321"/>
      <c r="S1414" s="322"/>
      <c r="T1414" s="319"/>
      <c r="U1414" s="322"/>
      <c r="V1414" s="322"/>
      <c r="W1414" s="322"/>
      <c r="X1414" s="322"/>
      <c r="Y1414" s="319"/>
      <c r="Z1414" s="136" t="str">
        <f t="shared" si="16"/>
        <v/>
      </c>
      <c r="AA1414" s="137" t="str">
        <f t="shared" si="17"/>
        <v/>
      </c>
      <c r="AB1414" s="138" t="str">
        <f t="shared" si="19"/>
        <v/>
      </c>
      <c r="AC1414" s="322"/>
      <c r="AD1414" s="319"/>
      <c r="AE1414" s="320"/>
    </row>
    <row r="1415" ht="18.0" customHeight="1">
      <c r="A1415" s="118" t="str">
        <f t="shared" si="15"/>
        <v/>
      </c>
      <c r="B1415" s="109"/>
      <c r="C1415" s="119"/>
      <c r="D1415" s="119"/>
      <c r="E1415" s="330"/>
      <c r="F1415" s="121"/>
      <c r="G1415" s="153"/>
      <c r="H1415" s="153"/>
      <c r="I1415" s="153"/>
      <c r="J1415" s="112"/>
      <c r="K1415" s="153"/>
      <c r="L1415" s="114"/>
      <c r="M1415" s="151"/>
      <c r="N1415" s="152"/>
      <c r="O1415" s="150"/>
      <c r="P1415" s="114"/>
      <c r="Q1415" s="114"/>
      <c r="R1415" s="151"/>
      <c r="S1415" s="152"/>
      <c r="T1415" s="153"/>
      <c r="U1415" s="152"/>
      <c r="V1415" s="152"/>
      <c r="W1415" s="152"/>
      <c r="X1415" s="152"/>
      <c r="Y1415" s="153"/>
      <c r="Z1415" s="125" t="str">
        <f t="shared" si="16"/>
        <v/>
      </c>
      <c r="AA1415" s="126" t="str">
        <f t="shared" si="17"/>
        <v/>
      </c>
      <c r="AB1415" s="117" t="str">
        <f t="shared" si="19"/>
        <v/>
      </c>
      <c r="AC1415" s="152"/>
      <c r="AD1415" s="153"/>
      <c r="AE1415" s="156"/>
    </row>
    <row r="1416" ht="18.0" customHeight="1">
      <c r="A1416" s="127" t="str">
        <f t="shared" si="15"/>
        <v/>
      </c>
      <c r="B1416" s="128"/>
      <c r="C1416" s="129"/>
      <c r="D1416" s="129"/>
      <c r="E1416" s="325"/>
      <c r="F1416" s="131"/>
      <c r="G1416" s="319"/>
      <c r="H1416" s="319"/>
      <c r="I1416" s="319"/>
      <c r="J1416" s="132"/>
      <c r="K1416" s="319"/>
      <c r="L1416" s="135"/>
      <c r="M1416" s="321"/>
      <c r="N1416" s="322"/>
      <c r="O1416" s="150"/>
      <c r="P1416" s="135"/>
      <c r="Q1416" s="135"/>
      <c r="R1416" s="321"/>
      <c r="S1416" s="322"/>
      <c r="T1416" s="319"/>
      <c r="U1416" s="322"/>
      <c r="V1416" s="322"/>
      <c r="W1416" s="322"/>
      <c r="X1416" s="322"/>
      <c r="Y1416" s="319"/>
      <c r="Z1416" s="136" t="str">
        <f t="shared" si="16"/>
        <v/>
      </c>
      <c r="AA1416" s="137" t="str">
        <f t="shared" si="17"/>
        <v/>
      </c>
      <c r="AB1416" s="138" t="str">
        <f t="shared" si="19"/>
        <v/>
      </c>
      <c r="AC1416" s="322"/>
      <c r="AD1416" s="319"/>
      <c r="AE1416" s="320"/>
    </row>
    <row r="1417" ht="18.0" customHeight="1">
      <c r="A1417" s="118" t="str">
        <f t="shared" si="15"/>
        <v/>
      </c>
      <c r="B1417" s="109"/>
      <c r="C1417" s="119"/>
      <c r="D1417" s="119"/>
      <c r="E1417" s="330"/>
      <c r="F1417" s="121"/>
      <c r="G1417" s="153"/>
      <c r="H1417" s="153"/>
      <c r="I1417" s="153"/>
      <c r="J1417" s="112"/>
      <c r="K1417" s="153"/>
      <c r="L1417" s="114"/>
      <c r="M1417" s="151"/>
      <c r="N1417" s="152"/>
      <c r="O1417" s="150"/>
      <c r="P1417" s="114"/>
      <c r="Q1417" s="114"/>
      <c r="R1417" s="151"/>
      <c r="S1417" s="152"/>
      <c r="T1417" s="153"/>
      <c r="U1417" s="152"/>
      <c r="V1417" s="152"/>
      <c r="W1417" s="152"/>
      <c r="X1417" s="152"/>
      <c r="Y1417" s="153"/>
      <c r="Z1417" s="125" t="str">
        <f t="shared" si="16"/>
        <v/>
      </c>
      <c r="AA1417" s="126" t="str">
        <f t="shared" si="17"/>
        <v/>
      </c>
      <c r="AB1417" s="117" t="str">
        <f t="shared" si="19"/>
        <v/>
      </c>
      <c r="AC1417" s="152"/>
      <c r="AD1417" s="153"/>
      <c r="AE1417" s="156"/>
    </row>
    <row r="1418" ht="18.0" customHeight="1">
      <c r="A1418" s="127" t="str">
        <f t="shared" si="15"/>
        <v/>
      </c>
      <c r="B1418" s="128"/>
      <c r="C1418" s="129"/>
      <c r="D1418" s="129"/>
      <c r="E1418" s="325"/>
      <c r="F1418" s="131"/>
      <c r="G1418" s="319"/>
      <c r="H1418" s="319"/>
      <c r="I1418" s="319"/>
      <c r="J1418" s="132"/>
      <c r="K1418" s="319"/>
      <c r="L1418" s="135"/>
      <c r="M1418" s="321"/>
      <c r="N1418" s="322"/>
      <c r="O1418" s="150"/>
      <c r="P1418" s="135"/>
      <c r="Q1418" s="135"/>
      <c r="R1418" s="321"/>
      <c r="S1418" s="322"/>
      <c r="T1418" s="319"/>
      <c r="U1418" s="322"/>
      <c r="V1418" s="322"/>
      <c r="W1418" s="322"/>
      <c r="X1418" s="322"/>
      <c r="Y1418" s="319"/>
      <c r="Z1418" s="136" t="str">
        <f t="shared" si="16"/>
        <v/>
      </c>
      <c r="AA1418" s="137" t="str">
        <f t="shared" si="17"/>
        <v/>
      </c>
      <c r="AB1418" s="138" t="str">
        <f t="shared" si="19"/>
        <v/>
      </c>
      <c r="AC1418" s="322"/>
      <c r="AD1418" s="319"/>
      <c r="AE1418" s="320"/>
    </row>
    <row r="1419" ht="18.0" customHeight="1">
      <c r="A1419" s="118" t="str">
        <f t="shared" si="15"/>
        <v/>
      </c>
      <c r="B1419" s="109"/>
      <c r="C1419" s="119"/>
      <c r="D1419" s="119"/>
      <c r="E1419" s="330"/>
      <c r="F1419" s="121"/>
      <c r="G1419" s="153"/>
      <c r="H1419" s="153"/>
      <c r="I1419" s="153"/>
      <c r="J1419" s="112"/>
      <c r="K1419" s="153"/>
      <c r="L1419" s="114"/>
      <c r="M1419" s="151"/>
      <c r="N1419" s="152"/>
      <c r="O1419" s="150"/>
      <c r="P1419" s="114"/>
      <c r="Q1419" s="114"/>
      <c r="R1419" s="151"/>
      <c r="S1419" s="152"/>
      <c r="T1419" s="153"/>
      <c r="U1419" s="152"/>
      <c r="V1419" s="152"/>
      <c r="W1419" s="152"/>
      <c r="X1419" s="152"/>
      <c r="Y1419" s="153"/>
      <c r="Z1419" s="125" t="str">
        <f t="shared" si="16"/>
        <v/>
      </c>
      <c r="AA1419" s="126" t="str">
        <f t="shared" si="17"/>
        <v/>
      </c>
      <c r="AB1419" s="117" t="str">
        <f t="shared" si="19"/>
        <v/>
      </c>
      <c r="AC1419" s="152"/>
      <c r="AD1419" s="153"/>
      <c r="AE1419" s="156"/>
    </row>
    <row r="1420" ht="18.0" customHeight="1">
      <c r="A1420" s="127" t="str">
        <f t="shared" si="15"/>
        <v/>
      </c>
      <c r="B1420" s="128"/>
      <c r="C1420" s="129"/>
      <c r="D1420" s="129"/>
      <c r="E1420" s="325"/>
      <c r="F1420" s="131"/>
      <c r="G1420" s="319"/>
      <c r="H1420" s="319"/>
      <c r="I1420" s="319"/>
      <c r="J1420" s="132"/>
      <c r="K1420" s="319"/>
      <c r="L1420" s="135"/>
      <c r="M1420" s="321"/>
      <c r="N1420" s="322"/>
      <c r="O1420" s="150"/>
      <c r="P1420" s="135"/>
      <c r="Q1420" s="135"/>
      <c r="R1420" s="321"/>
      <c r="S1420" s="322"/>
      <c r="T1420" s="319"/>
      <c r="U1420" s="322"/>
      <c r="V1420" s="322"/>
      <c r="W1420" s="322"/>
      <c r="X1420" s="322"/>
      <c r="Y1420" s="319"/>
      <c r="Z1420" s="136" t="str">
        <f t="shared" si="16"/>
        <v/>
      </c>
      <c r="AA1420" s="137" t="str">
        <f t="shared" si="17"/>
        <v/>
      </c>
      <c r="AB1420" s="138" t="str">
        <f t="shared" si="19"/>
        <v/>
      </c>
      <c r="AC1420" s="322"/>
      <c r="AD1420" s="319"/>
      <c r="AE1420" s="320"/>
    </row>
    <row r="1421" ht="18.0" customHeight="1">
      <c r="A1421" s="118" t="str">
        <f t="shared" si="15"/>
        <v/>
      </c>
      <c r="B1421" s="109"/>
      <c r="C1421" s="119"/>
      <c r="D1421" s="119"/>
      <c r="E1421" s="330"/>
      <c r="F1421" s="121"/>
      <c r="G1421" s="153"/>
      <c r="H1421" s="153"/>
      <c r="I1421" s="153"/>
      <c r="J1421" s="112"/>
      <c r="K1421" s="153"/>
      <c r="L1421" s="114"/>
      <c r="M1421" s="151"/>
      <c r="N1421" s="152"/>
      <c r="O1421" s="150"/>
      <c r="P1421" s="114"/>
      <c r="Q1421" s="114"/>
      <c r="R1421" s="151"/>
      <c r="S1421" s="152"/>
      <c r="T1421" s="153"/>
      <c r="U1421" s="152"/>
      <c r="V1421" s="152"/>
      <c r="W1421" s="152"/>
      <c r="X1421" s="152"/>
      <c r="Y1421" s="153"/>
      <c r="Z1421" s="125" t="str">
        <f t="shared" si="16"/>
        <v/>
      </c>
      <c r="AA1421" s="126" t="str">
        <f t="shared" si="17"/>
        <v/>
      </c>
      <c r="AB1421" s="117" t="str">
        <f t="shared" si="19"/>
        <v/>
      </c>
      <c r="AC1421" s="152"/>
      <c r="AD1421" s="153"/>
      <c r="AE1421" s="156"/>
    </row>
    <row r="1422" ht="18.0" customHeight="1">
      <c r="A1422" s="127" t="str">
        <f t="shared" si="15"/>
        <v/>
      </c>
      <c r="B1422" s="128"/>
      <c r="C1422" s="129"/>
      <c r="D1422" s="129"/>
      <c r="E1422" s="325"/>
      <c r="F1422" s="131"/>
      <c r="G1422" s="319"/>
      <c r="H1422" s="319"/>
      <c r="I1422" s="319"/>
      <c r="J1422" s="132"/>
      <c r="K1422" s="319"/>
      <c r="L1422" s="135"/>
      <c r="M1422" s="321"/>
      <c r="N1422" s="322"/>
      <c r="O1422" s="150"/>
      <c r="P1422" s="135"/>
      <c r="Q1422" s="135"/>
      <c r="R1422" s="321"/>
      <c r="S1422" s="322"/>
      <c r="T1422" s="319"/>
      <c r="U1422" s="322"/>
      <c r="V1422" s="322"/>
      <c r="W1422" s="322"/>
      <c r="X1422" s="322"/>
      <c r="Y1422" s="319"/>
      <c r="Z1422" s="136" t="str">
        <f t="shared" si="16"/>
        <v/>
      </c>
      <c r="AA1422" s="137" t="str">
        <f t="shared" si="17"/>
        <v/>
      </c>
      <c r="AB1422" s="138" t="str">
        <f t="shared" si="19"/>
        <v/>
      </c>
      <c r="AC1422" s="322"/>
      <c r="AD1422" s="319"/>
      <c r="AE1422" s="320"/>
    </row>
    <row r="1423" ht="18.0" customHeight="1">
      <c r="A1423" s="118" t="str">
        <f t="shared" si="15"/>
        <v/>
      </c>
      <c r="B1423" s="109"/>
      <c r="C1423" s="119"/>
      <c r="D1423" s="119"/>
      <c r="E1423" s="330"/>
      <c r="F1423" s="121"/>
      <c r="G1423" s="153"/>
      <c r="H1423" s="153"/>
      <c r="I1423" s="153"/>
      <c r="J1423" s="112"/>
      <c r="K1423" s="153"/>
      <c r="L1423" s="114"/>
      <c r="M1423" s="151"/>
      <c r="N1423" s="152"/>
      <c r="O1423" s="150"/>
      <c r="P1423" s="114"/>
      <c r="Q1423" s="114"/>
      <c r="R1423" s="151"/>
      <c r="S1423" s="152"/>
      <c r="T1423" s="153"/>
      <c r="U1423" s="152"/>
      <c r="V1423" s="152"/>
      <c r="W1423" s="152"/>
      <c r="X1423" s="152"/>
      <c r="Y1423" s="153"/>
      <c r="Z1423" s="125" t="str">
        <f t="shared" si="16"/>
        <v/>
      </c>
      <c r="AA1423" s="126" t="str">
        <f t="shared" si="17"/>
        <v/>
      </c>
      <c r="AB1423" s="117" t="str">
        <f t="shared" si="19"/>
        <v/>
      </c>
      <c r="AC1423" s="152"/>
      <c r="AD1423" s="153"/>
      <c r="AE1423" s="156"/>
    </row>
    <row r="1424" ht="18.0" customHeight="1">
      <c r="A1424" s="127" t="str">
        <f t="shared" si="15"/>
        <v/>
      </c>
      <c r="B1424" s="128"/>
      <c r="C1424" s="129"/>
      <c r="D1424" s="129"/>
      <c r="E1424" s="325"/>
      <c r="F1424" s="131"/>
      <c r="G1424" s="319"/>
      <c r="H1424" s="319"/>
      <c r="I1424" s="319"/>
      <c r="J1424" s="132"/>
      <c r="K1424" s="319"/>
      <c r="L1424" s="135"/>
      <c r="M1424" s="321"/>
      <c r="N1424" s="322"/>
      <c r="O1424" s="150"/>
      <c r="P1424" s="135"/>
      <c r="Q1424" s="135"/>
      <c r="R1424" s="321"/>
      <c r="S1424" s="322"/>
      <c r="T1424" s="319"/>
      <c r="U1424" s="322"/>
      <c r="V1424" s="322"/>
      <c r="W1424" s="322"/>
      <c r="X1424" s="322"/>
      <c r="Y1424" s="319"/>
      <c r="Z1424" s="136" t="str">
        <f t="shared" si="16"/>
        <v/>
      </c>
      <c r="AA1424" s="137" t="str">
        <f t="shared" si="17"/>
        <v/>
      </c>
      <c r="AB1424" s="138" t="str">
        <f t="shared" si="19"/>
        <v/>
      </c>
      <c r="AC1424" s="322"/>
      <c r="AD1424" s="319"/>
      <c r="AE1424" s="320"/>
    </row>
    <row r="1425" ht="18.0" customHeight="1">
      <c r="A1425" s="118" t="str">
        <f t="shared" si="15"/>
        <v/>
      </c>
      <c r="B1425" s="109"/>
      <c r="C1425" s="119"/>
      <c r="D1425" s="119"/>
      <c r="E1425" s="330"/>
      <c r="F1425" s="121"/>
      <c r="G1425" s="153"/>
      <c r="H1425" s="153"/>
      <c r="I1425" s="153"/>
      <c r="J1425" s="112"/>
      <c r="K1425" s="153"/>
      <c r="L1425" s="114"/>
      <c r="M1425" s="151"/>
      <c r="N1425" s="152"/>
      <c r="O1425" s="150"/>
      <c r="P1425" s="114"/>
      <c r="Q1425" s="114"/>
      <c r="R1425" s="151"/>
      <c r="S1425" s="152"/>
      <c r="T1425" s="153"/>
      <c r="U1425" s="152"/>
      <c r="V1425" s="152"/>
      <c r="W1425" s="152"/>
      <c r="X1425" s="152"/>
      <c r="Y1425" s="153"/>
      <c r="Z1425" s="125" t="str">
        <f t="shared" si="16"/>
        <v/>
      </c>
      <c r="AA1425" s="126" t="str">
        <f t="shared" si="17"/>
        <v/>
      </c>
      <c r="AB1425" s="117" t="str">
        <f t="shared" si="19"/>
        <v/>
      </c>
      <c r="AC1425" s="152"/>
      <c r="AD1425" s="153"/>
      <c r="AE1425" s="156"/>
    </row>
    <row r="1426" ht="18.0" customHeight="1">
      <c r="A1426" s="127" t="str">
        <f t="shared" si="15"/>
        <v/>
      </c>
      <c r="B1426" s="128"/>
      <c r="C1426" s="129"/>
      <c r="D1426" s="129"/>
      <c r="E1426" s="325"/>
      <c r="F1426" s="131"/>
      <c r="G1426" s="319"/>
      <c r="H1426" s="319"/>
      <c r="I1426" s="319"/>
      <c r="J1426" s="132"/>
      <c r="K1426" s="319"/>
      <c r="L1426" s="135"/>
      <c r="M1426" s="321"/>
      <c r="N1426" s="322"/>
      <c r="O1426" s="150"/>
      <c r="P1426" s="135"/>
      <c r="Q1426" s="135"/>
      <c r="R1426" s="321"/>
      <c r="S1426" s="322"/>
      <c r="T1426" s="319"/>
      <c r="U1426" s="322"/>
      <c r="V1426" s="322"/>
      <c r="W1426" s="322"/>
      <c r="X1426" s="322"/>
      <c r="Y1426" s="319"/>
      <c r="Z1426" s="136" t="str">
        <f t="shared" si="16"/>
        <v/>
      </c>
      <c r="AA1426" s="137" t="str">
        <f t="shared" si="17"/>
        <v/>
      </c>
      <c r="AB1426" s="138" t="str">
        <f t="shared" si="19"/>
        <v/>
      </c>
      <c r="AC1426" s="322"/>
      <c r="AD1426" s="319"/>
      <c r="AE1426" s="320"/>
    </row>
    <row r="1427" ht="18.0" customHeight="1">
      <c r="A1427" s="118" t="str">
        <f t="shared" si="15"/>
        <v/>
      </c>
      <c r="B1427" s="109"/>
      <c r="C1427" s="119"/>
      <c r="D1427" s="119"/>
      <c r="E1427" s="330"/>
      <c r="F1427" s="121"/>
      <c r="G1427" s="153"/>
      <c r="H1427" s="153"/>
      <c r="I1427" s="153"/>
      <c r="J1427" s="112"/>
      <c r="K1427" s="153"/>
      <c r="L1427" s="114"/>
      <c r="M1427" s="151"/>
      <c r="N1427" s="152"/>
      <c r="O1427" s="150"/>
      <c r="P1427" s="114"/>
      <c r="Q1427" s="114"/>
      <c r="R1427" s="151"/>
      <c r="S1427" s="152"/>
      <c r="T1427" s="153"/>
      <c r="U1427" s="152"/>
      <c r="V1427" s="152"/>
      <c r="W1427" s="152"/>
      <c r="X1427" s="152"/>
      <c r="Y1427" s="153"/>
      <c r="Z1427" s="125" t="str">
        <f t="shared" si="16"/>
        <v/>
      </c>
      <c r="AA1427" s="126" t="str">
        <f t="shared" si="17"/>
        <v/>
      </c>
      <c r="AB1427" s="117" t="str">
        <f t="shared" si="19"/>
        <v/>
      </c>
      <c r="AC1427" s="152"/>
      <c r="AD1427" s="153"/>
      <c r="AE1427" s="156"/>
    </row>
    <row r="1428" ht="18.0" customHeight="1">
      <c r="A1428" s="127" t="str">
        <f t="shared" si="15"/>
        <v/>
      </c>
      <c r="B1428" s="128"/>
      <c r="C1428" s="129"/>
      <c r="D1428" s="129"/>
      <c r="E1428" s="325"/>
      <c r="F1428" s="131"/>
      <c r="G1428" s="319"/>
      <c r="H1428" s="319"/>
      <c r="I1428" s="319"/>
      <c r="J1428" s="132"/>
      <c r="K1428" s="319"/>
      <c r="L1428" s="135"/>
      <c r="M1428" s="321"/>
      <c r="N1428" s="322"/>
      <c r="O1428" s="150"/>
      <c r="P1428" s="135"/>
      <c r="Q1428" s="135"/>
      <c r="R1428" s="321"/>
      <c r="S1428" s="322"/>
      <c r="T1428" s="319"/>
      <c r="U1428" s="322"/>
      <c r="V1428" s="322"/>
      <c r="W1428" s="322"/>
      <c r="X1428" s="322"/>
      <c r="Y1428" s="319"/>
      <c r="Z1428" s="136" t="str">
        <f t="shared" si="16"/>
        <v/>
      </c>
      <c r="AA1428" s="137" t="str">
        <f t="shared" si="17"/>
        <v/>
      </c>
      <c r="AB1428" s="138" t="str">
        <f t="shared" si="19"/>
        <v/>
      </c>
      <c r="AC1428" s="322"/>
      <c r="AD1428" s="319"/>
      <c r="AE1428" s="320"/>
    </row>
    <row r="1429" ht="18.0" customHeight="1">
      <c r="A1429" s="118" t="str">
        <f t="shared" si="15"/>
        <v/>
      </c>
      <c r="B1429" s="109"/>
      <c r="C1429" s="119"/>
      <c r="D1429" s="119"/>
      <c r="E1429" s="330"/>
      <c r="F1429" s="121"/>
      <c r="G1429" s="153"/>
      <c r="H1429" s="153"/>
      <c r="I1429" s="153"/>
      <c r="J1429" s="112"/>
      <c r="K1429" s="153"/>
      <c r="L1429" s="114"/>
      <c r="M1429" s="151"/>
      <c r="N1429" s="152"/>
      <c r="O1429" s="150"/>
      <c r="P1429" s="114"/>
      <c r="Q1429" s="114"/>
      <c r="R1429" s="151"/>
      <c r="S1429" s="152"/>
      <c r="T1429" s="153"/>
      <c r="U1429" s="152"/>
      <c r="V1429" s="152"/>
      <c r="W1429" s="152"/>
      <c r="X1429" s="152"/>
      <c r="Y1429" s="153"/>
      <c r="Z1429" s="125" t="str">
        <f t="shared" si="16"/>
        <v/>
      </c>
      <c r="AA1429" s="126" t="str">
        <f t="shared" si="17"/>
        <v/>
      </c>
      <c r="AB1429" s="117" t="str">
        <f t="shared" si="19"/>
        <v/>
      </c>
      <c r="AC1429" s="152"/>
      <c r="AD1429" s="153"/>
      <c r="AE1429" s="156"/>
    </row>
    <row r="1430" ht="18.0" customHeight="1">
      <c r="A1430" s="127" t="str">
        <f t="shared" si="15"/>
        <v/>
      </c>
      <c r="B1430" s="128"/>
      <c r="C1430" s="129"/>
      <c r="D1430" s="129"/>
      <c r="E1430" s="325"/>
      <c r="F1430" s="131"/>
      <c r="G1430" s="319"/>
      <c r="H1430" s="319"/>
      <c r="I1430" s="319"/>
      <c r="J1430" s="132"/>
      <c r="K1430" s="319"/>
      <c r="L1430" s="135"/>
      <c r="M1430" s="321"/>
      <c r="N1430" s="322"/>
      <c r="O1430" s="150"/>
      <c r="P1430" s="135"/>
      <c r="Q1430" s="135"/>
      <c r="R1430" s="321"/>
      <c r="S1430" s="322"/>
      <c r="T1430" s="319"/>
      <c r="U1430" s="322"/>
      <c r="V1430" s="322"/>
      <c r="W1430" s="322"/>
      <c r="X1430" s="322"/>
      <c r="Y1430" s="319"/>
      <c r="Z1430" s="136" t="str">
        <f t="shared" si="16"/>
        <v/>
      </c>
      <c r="AA1430" s="137" t="str">
        <f t="shared" si="17"/>
        <v/>
      </c>
      <c r="AB1430" s="138" t="str">
        <f t="shared" si="19"/>
        <v/>
      </c>
      <c r="AC1430" s="322"/>
      <c r="AD1430" s="319"/>
      <c r="AE1430" s="320"/>
    </row>
    <row r="1431" ht="18.0" customHeight="1">
      <c r="A1431" s="118" t="str">
        <f t="shared" si="15"/>
        <v/>
      </c>
      <c r="B1431" s="109"/>
      <c r="C1431" s="119"/>
      <c r="D1431" s="119"/>
      <c r="E1431" s="330"/>
      <c r="F1431" s="121"/>
      <c r="G1431" s="153"/>
      <c r="H1431" s="153"/>
      <c r="I1431" s="153"/>
      <c r="J1431" s="112"/>
      <c r="K1431" s="153"/>
      <c r="L1431" s="114"/>
      <c r="M1431" s="151"/>
      <c r="N1431" s="152"/>
      <c r="O1431" s="150"/>
      <c r="P1431" s="114"/>
      <c r="Q1431" s="114"/>
      <c r="R1431" s="151"/>
      <c r="S1431" s="152"/>
      <c r="T1431" s="153"/>
      <c r="U1431" s="152"/>
      <c r="V1431" s="152"/>
      <c r="W1431" s="152"/>
      <c r="X1431" s="152"/>
      <c r="Y1431" s="153"/>
      <c r="Z1431" s="125" t="str">
        <f t="shared" si="16"/>
        <v/>
      </c>
      <c r="AA1431" s="126" t="str">
        <f t="shared" si="17"/>
        <v/>
      </c>
      <c r="AB1431" s="117" t="str">
        <f t="shared" si="19"/>
        <v/>
      </c>
      <c r="AC1431" s="152"/>
      <c r="AD1431" s="153"/>
      <c r="AE1431" s="156"/>
    </row>
    <row r="1432" ht="18.0" customHeight="1">
      <c r="A1432" s="127" t="str">
        <f t="shared" si="15"/>
        <v/>
      </c>
      <c r="B1432" s="128"/>
      <c r="C1432" s="129"/>
      <c r="D1432" s="129"/>
      <c r="E1432" s="325"/>
      <c r="F1432" s="131"/>
      <c r="G1432" s="319"/>
      <c r="H1432" s="319"/>
      <c r="I1432" s="319"/>
      <c r="J1432" s="132"/>
      <c r="K1432" s="319"/>
      <c r="L1432" s="135"/>
      <c r="M1432" s="321"/>
      <c r="N1432" s="322"/>
      <c r="O1432" s="150"/>
      <c r="P1432" s="135"/>
      <c r="Q1432" s="135"/>
      <c r="R1432" s="321"/>
      <c r="S1432" s="322"/>
      <c r="T1432" s="319"/>
      <c r="U1432" s="322"/>
      <c r="V1432" s="322"/>
      <c r="W1432" s="322"/>
      <c r="X1432" s="322"/>
      <c r="Y1432" s="319"/>
      <c r="Z1432" s="136" t="str">
        <f t="shared" si="16"/>
        <v/>
      </c>
      <c r="AA1432" s="137" t="str">
        <f t="shared" si="17"/>
        <v/>
      </c>
      <c r="AB1432" s="138" t="str">
        <f t="shared" si="19"/>
        <v/>
      </c>
      <c r="AC1432" s="322"/>
      <c r="AD1432" s="319"/>
      <c r="AE1432" s="320"/>
    </row>
    <row r="1433" ht="18.0" customHeight="1">
      <c r="A1433" s="118" t="str">
        <f t="shared" si="15"/>
        <v/>
      </c>
      <c r="B1433" s="109"/>
      <c r="C1433" s="119"/>
      <c r="D1433" s="119"/>
      <c r="E1433" s="330"/>
      <c r="F1433" s="121"/>
      <c r="G1433" s="153"/>
      <c r="H1433" s="153"/>
      <c r="I1433" s="153"/>
      <c r="J1433" s="112"/>
      <c r="K1433" s="153"/>
      <c r="L1433" s="114"/>
      <c r="M1433" s="151"/>
      <c r="N1433" s="152"/>
      <c r="O1433" s="150"/>
      <c r="P1433" s="114"/>
      <c r="Q1433" s="114"/>
      <c r="R1433" s="151"/>
      <c r="S1433" s="152"/>
      <c r="T1433" s="153"/>
      <c r="U1433" s="152"/>
      <c r="V1433" s="152"/>
      <c r="W1433" s="152"/>
      <c r="X1433" s="152"/>
      <c r="Y1433" s="153"/>
      <c r="Z1433" s="125" t="str">
        <f t="shared" si="16"/>
        <v/>
      </c>
      <c r="AA1433" s="126" t="str">
        <f t="shared" si="17"/>
        <v/>
      </c>
      <c r="AB1433" s="117" t="str">
        <f t="shared" si="19"/>
        <v/>
      </c>
      <c r="AC1433" s="152"/>
      <c r="AD1433" s="153"/>
      <c r="AE1433" s="156"/>
    </row>
    <row r="1434" ht="18.0" customHeight="1">
      <c r="A1434" s="127" t="str">
        <f t="shared" si="15"/>
        <v/>
      </c>
      <c r="B1434" s="128"/>
      <c r="C1434" s="129"/>
      <c r="D1434" s="129"/>
      <c r="E1434" s="325"/>
      <c r="F1434" s="131"/>
      <c r="G1434" s="319"/>
      <c r="H1434" s="319"/>
      <c r="I1434" s="319"/>
      <c r="J1434" s="132"/>
      <c r="K1434" s="319"/>
      <c r="L1434" s="135"/>
      <c r="M1434" s="321"/>
      <c r="N1434" s="322"/>
      <c r="O1434" s="150"/>
      <c r="P1434" s="135"/>
      <c r="Q1434" s="135"/>
      <c r="R1434" s="321"/>
      <c r="S1434" s="322"/>
      <c r="T1434" s="319"/>
      <c r="U1434" s="322"/>
      <c r="V1434" s="322"/>
      <c r="W1434" s="322"/>
      <c r="X1434" s="322"/>
      <c r="Y1434" s="319"/>
      <c r="Z1434" s="136" t="str">
        <f t="shared" si="16"/>
        <v/>
      </c>
      <c r="AA1434" s="137" t="str">
        <f t="shared" si="17"/>
        <v/>
      </c>
      <c r="AB1434" s="138" t="str">
        <f t="shared" si="19"/>
        <v/>
      </c>
      <c r="AC1434" s="322"/>
      <c r="AD1434" s="319"/>
      <c r="AE1434" s="320"/>
    </row>
    <row r="1435" ht="18.0" customHeight="1">
      <c r="A1435" s="118" t="str">
        <f t="shared" si="15"/>
        <v/>
      </c>
      <c r="B1435" s="109"/>
      <c r="C1435" s="119"/>
      <c r="D1435" s="119"/>
      <c r="E1435" s="330"/>
      <c r="F1435" s="121"/>
      <c r="G1435" s="153"/>
      <c r="H1435" s="153"/>
      <c r="I1435" s="153"/>
      <c r="J1435" s="112"/>
      <c r="K1435" s="153"/>
      <c r="L1435" s="114"/>
      <c r="M1435" s="151"/>
      <c r="N1435" s="152"/>
      <c r="O1435" s="150"/>
      <c r="P1435" s="114"/>
      <c r="Q1435" s="114"/>
      <c r="R1435" s="151"/>
      <c r="S1435" s="152"/>
      <c r="T1435" s="153"/>
      <c r="U1435" s="152"/>
      <c r="V1435" s="152"/>
      <c r="W1435" s="152"/>
      <c r="X1435" s="152"/>
      <c r="Y1435" s="153"/>
      <c r="Z1435" s="125" t="str">
        <f t="shared" si="16"/>
        <v/>
      </c>
      <c r="AA1435" s="126" t="str">
        <f t="shared" si="17"/>
        <v/>
      </c>
      <c r="AB1435" s="117" t="str">
        <f t="shared" si="19"/>
        <v/>
      </c>
      <c r="AC1435" s="152"/>
      <c r="AD1435" s="153"/>
      <c r="AE1435" s="156"/>
    </row>
    <row r="1436" ht="18.0" customHeight="1">
      <c r="A1436" s="127" t="str">
        <f t="shared" si="15"/>
        <v/>
      </c>
      <c r="B1436" s="128"/>
      <c r="C1436" s="129"/>
      <c r="D1436" s="129"/>
      <c r="E1436" s="325"/>
      <c r="F1436" s="131"/>
      <c r="G1436" s="319"/>
      <c r="H1436" s="319"/>
      <c r="I1436" s="319"/>
      <c r="J1436" s="132"/>
      <c r="K1436" s="319"/>
      <c r="L1436" s="135"/>
      <c r="M1436" s="321"/>
      <c r="N1436" s="322"/>
      <c r="O1436" s="150"/>
      <c r="P1436" s="135"/>
      <c r="Q1436" s="135"/>
      <c r="R1436" s="321"/>
      <c r="S1436" s="322"/>
      <c r="T1436" s="319"/>
      <c r="U1436" s="322"/>
      <c r="V1436" s="322"/>
      <c r="W1436" s="322"/>
      <c r="X1436" s="322"/>
      <c r="Y1436" s="319"/>
      <c r="Z1436" s="136" t="str">
        <f t="shared" si="16"/>
        <v/>
      </c>
      <c r="AA1436" s="137" t="str">
        <f t="shared" si="17"/>
        <v/>
      </c>
      <c r="AB1436" s="138" t="str">
        <f t="shared" si="19"/>
        <v/>
      </c>
      <c r="AC1436" s="322"/>
      <c r="AD1436" s="319"/>
      <c r="AE1436" s="320"/>
    </row>
    <row r="1437" ht="18.0" customHeight="1">
      <c r="A1437" s="118" t="str">
        <f t="shared" si="15"/>
        <v/>
      </c>
      <c r="B1437" s="109"/>
      <c r="C1437" s="119"/>
      <c r="D1437" s="119"/>
      <c r="E1437" s="330"/>
      <c r="F1437" s="121"/>
      <c r="G1437" s="153"/>
      <c r="H1437" s="153"/>
      <c r="I1437" s="153"/>
      <c r="J1437" s="112"/>
      <c r="K1437" s="153"/>
      <c r="L1437" s="114"/>
      <c r="M1437" s="151"/>
      <c r="N1437" s="152"/>
      <c r="O1437" s="150"/>
      <c r="P1437" s="114"/>
      <c r="Q1437" s="114"/>
      <c r="R1437" s="151"/>
      <c r="S1437" s="152"/>
      <c r="T1437" s="153"/>
      <c r="U1437" s="152"/>
      <c r="V1437" s="152"/>
      <c r="W1437" s="152"/>
      <c r="X1437" s="152"/>
      <c r="Y1437" s="153"/>
      <c r="Z1437" s="125" t="str">
        <f t="shared" si="16"/>
        <v/>
      </c>
      <c r="AA1437" s="126" t="str">
        <f t="shared" si="17"/>
        <v/>
      </c>
      <c r="AB1437" s="117" t="str">
        <f t="shared" si="19"/>
        <v/>
      </c>
      <c r="AC1437" s="152"/>
      <c r="AD1437" s="153"/>
      <c r="AE1437" s="156"/>
    </row>
    <row r="1438" ht="18.0" customHeight="1">
      <c r="A1438" s="127" t="str">
        <f t="shared" si="15"/>
        <v/>
      </c>
      <c r="B1438" s="128"/>
      <c r="C1438" s="129"/>
      <c r="D1438" s="129"/>
      <c r="E1438" s="325"/>
      <c r="F1438" s="131"/>
      <c r="G1438" s="319"/>
      <c r="H1438" s="319"/>
      <c r="I1438" s="319"/>
      <c r="J1438" s="132"/>
      <c r="K1438" s="319"/>
      <c r="L1438" s="135"/>
      <c r="M1438" s="321"/>
      <c r="N1438" s="322"/>
      <c r="O1438" s="150"/>
      <c r="P1438" s="135"/>
      <c r="Q1438" s="135"/>
      <c r="R1438" s="321"/>
      <c r="S1438" s="322"/>
      <c r="T1438" s="319"/>
      <c r="U1438" s="322"/>
      <c r="V1438" s="322"/>
      <c r="W1438" s="322"/>
      <c r="X1438" s="322"/>
      <c r="Y1438" s="319"/>
      <c r="Z1438" s="136" t="str">
        <f t="shared" si="16"/>
        <v/>
      </c>
      <c r="AA1438" s="137" t="str">
        <f t="shared" si="17"/>
        <v/>
      </c>
      <c r="AB1438" s="138" t="str">
        <f t="shared" si="19"/>
        <v/>
      </c>
      <c r="AC1438" s="322"/>
      <c r="AD1438" s="319"/>
      <c r="AE1438" s="320"/>
    </row>
    <row r="1439" ht="18.0" customHeight="1">
      <c r="A1439" s="118" t="str">
        <f t="shared" si="15"/>
        <v/>
      </c>
      <c r="B1439" s="109"/>
      <c r="C1439" s="119"/>
      <c r="D1439" s="119"/>
      <c r="E1439" s="330"/>
      <c r="F1439" s="121"/>
      <c r="G1439" s="153"/>
      <c r="H1439" s="153"/>
      <c r="I1439" s="153"/>
      <c r="J1439" s="112"/>
      <c r="K1439" s="153"/>
      <c r="L1439" s="114"/>
      <c r="M1439" s="151"/>
      <c r="N1439" s="152"/>
      <c r="O1439" s="150"/>
      <c r="P1439" s="114"/>
      <c r="Q1439" s="114"/>
      <c r="R1439" s="151"/>
      <c r="S1439" s="152"/>
      <c r="T1439" s="153"/>
      <c r="U1439" s="152"/>
      <c r="V1439" s="152"/>
      <c r="W1439" s="152"/>
      <c r="X1439" s="152"/>
      <c r="Y1439" s="153"/>
      <c r="Z1439" s="125" t="str">
        <f t="shared" si="16"/>
        <v/>
      </c>
      <c r="AA1439" s="126" t="str">
        <f t="shared" si="17"/>
        <v/>
      </c>
      <c r="AB1439" s="117" t="str">
        <f t="shared" si="19"/>
        <v/>
      </c>
      <c r="AC1439" s="152"/>
      <c r="AD1439" s="153"/>
      <c r="AE1439" s="156"/>
    </row>
    <row r="1440" ht="18.0" customHeight="1">
      <c r="A1440" s="127" t="str">
        <f t="shared" si="15"/>
        <v/>
      </c>
      <c r="B1440" s="128"/>
      <c r="C1440" s="129"/>
      <c r="D1440" s="129"/>
      <c r="E1440" s="325"/>
      <c r="F1440" s="131"/>
      <c r="G1440" s="319"/>
      <c r="H1440" s="319"/>
      <c r="I1440" s="319"/>
      <c r="J1440" s="132"/>
      <c r="K1440" s="319"/>
      <c r="L1440" s="135"/>
      <c r="M1440" s="321"/>
      <c r="N1440" s="322"/>
      <c r="O1440" s="150"/>
      <c r="P1440" s="135"/>
      <c r="Q1440" s="135"/>
      <c r="R1440" s="321"/>
      <c r="S1440" s="322"/>
      <c r="T1440" s="319"/>
      <c r="U1440" s="322"/>
      <c r="V1440" s="322"/>
      <c r="W1440" s="322"/>
      <c r="X1440" s="322"/>
      <c r="Y1440" s="319"/>
      <c r="Z1440" s="136" t="str">
        <f t="shared" si="16"/>
        <v/>
      </c>
      <c r="AA1440" s="137" t="str">
        <f t="shared" si="17"/>
        <v/>
      </c>
      <c r="AB1440" s="138" t="str">
        <f t="shared" si="19"/>
        <v/>
      </c>
      <c r="AC1440" s="322"/>
      <c r="AD1440" s="319"/>
      <c r="AE1440" s="320"/>
    </row>
    <row r="1441" ht="18.0" customHeight="1">
      <c r="A1441" s="118" t="str">
        <f t="shared" si="15"/>
        <v/>
      </c>
      <c r="B1441" s="109"/>
      <c r="C1441" s="119"/>
      <c r="D1441" s="119"/>
      <c r="E1441" s="330"/>
      <c r="F1441" s="121"/>
      <c r="G1441" s="153"/>
      <c r="H1441" s="153"/>
      <c r="I1441" s="153"/>
      <c r="J1441" s="112"/>
      <c r="K1441" s="153"/>
      <c r="L1441" s="114"/>
      <c r="M1441" s="151"/>
      <c r="N1441" s="152"/>
      <c r="O1441" s="150"/>
      <c r="P1441" s="114"/>
      <c r="Q1441" s="114"/>
      <c r="R1441" s="151"/>
      <c r="S1441" s="152"/>
      <c r="T1441" s="153"/>
      <c r="U1441" s="152"/>
      <c r="V1441" s="152"/>
      <c r="W1441" s="152"/>
      <c r="X1441" s="152"/>
      <c r="Y1441" s="153"/>
      <c r="Z1441" s="125" t="str">
        <f t="shared" si="16"/>
        <v/>
      </c>
      <c r="AA1441" s="126" t="str">
        <f t="shared" si="17"/>
        <v/>
      </c>
      <c r="AB1441" s="117" t="str">
        <f t="shared" si="19"/>
        <v/>
      </c>
      <c r="AC1441" s="152"/>
      <c r="AD1441" s="153"/>
      <c r="AE1441" s="156"/>
    </row>
    <row r="1442" ht="18.0" customHeight="1">
      <c r="A1442" s="127" t="str">
        <f t="shared" si="15"/>
        <v/>
      </c>
      <c r="B1442" s="128"/>
      <c r="C1442" s="129"/>
      <c r="D1442" s="129"/>
      <c r="E1442" s="325"/>
      <c r="F1442" s="131"/>
      <c r="G1442" s="319"/>
      <c r="H1442" s="319"/>
      <c r="I1442" s="319"/>
      <c r="J1442" s="132"/>
      <c r="K1442" s="319"/>
      <c r="L1442" s="135"/>
      <c r="M1442" s="321"/>
      <c r="N1442" s="322"/>
      <c r="O1442" s="150"/>
      <c r="P1442" s="135"/>
      <c r="Q1442" s="135"/>
      <c r="R1442" s="321"/>
      <c r="S1442" s="322"/>
      <c r="T1442" s="319"/>
      <c r="U1442" s="322"/>
      <c r="V1442" s="322"/>
      <c r="W1442" s="322"/>
      <c r="X1442" s="322"/>
      <c r="Y1442" s="319"/>
      <c r="Z1442" s="136" t="str">
        <f t="shared" si="16"/>
        <v/>
      </c>
      <c r="AA1442" s="137" t="str">
        <f t="shared" si="17"/>
        <v/>
      </c>
      <c r="AB1442" s="138" t="str">
        <f t="shared" si="19"/>
        <v/>
      </c>
      <c r="AC1442" s="322"/>
      <c r="AD1442" s="319"/>
      <c r="AE1442" s="320"/>
    </row>
    <row r="1443" ht="18.0" customHeight="1">
      <c r="A1443" s="118" t="str">
        <f t="shared" si="15"/>
        <v/>
      </c>
      <c r="B1443" s="109"/>
      <c r="C1443" s="119"/>
      <c r="D1443" s="119"/>
      <c r="E1443" s="330"/>
      <c r="F1443" s="121"/>
      <c r="G1443" s="153"/>
      <c r="H1443" s="153"/>
      <c r="I1443" s="153"/>
      <c r="J1443" s="112"/>
      <c r="K1443" s="153"/>
      <c r="L1443" s="114"/>
      <c r="M1443" s="151"/>
      <c r="N1443" s="152"/>
      <c r="O1443" s="150"/>
      <c r="P1443" s="114"/>
      <c r="Q1443" s="114"/>
      <c r="R1443" s="151"/>
      <c r="S1443" s="152"/>
      <c r="T1443" s="153"/>
      <c r="U1443" s="152"/>
      <c r="V1443" s="152"/>
      <c r="W1443" s="152"/>
      <c r="X1443" s="152"/>
      <c r="Y1443" s="153"/>
      <c r="Z1443" s="125" t="str">
        <f t="shared" si="16"/>
        <v/>
      </c>
      <c r="AA1443" s="126" t="str">
        <f t="shared" si="17"/>
        <v/>
      </c>
      <c r="AB1443" s="117" t="str">
        <f t="shared" si="19"/>
        <v/>
      </c>
      <c r="AC1443" s="152"/>
      <c r="AD1443" s="153"/>
      <c r="AE1443" s="156"/>
    </row>
    <row r="1444" ht="18.0" customHeight="1">
      <c r="A1444" s="127" t="str">
        <f t="shared" si="15"/>
        <v/>
      </c>
      <c r="B1444" s="128"/>
      <c r="C1444" s="129"/>
      <c r="D1444" s="129"/>
      <c r="E1444" s="325"/>
      <c r="F1444" s="131"/>
      <c r="G1444" s="319"/>
      <c r="H1444" s="319"/>
      <c r="I1444" s="319"/>
      <c r="J1444" s="132"/>
      <c r="K1444" s="319"/>
      <c r="L1444" s="135"/>
      <c r="M1444" s="321"/>
      <c r="N1444" s="322"/>
      <c r="O1444" s="150"/>
      <c r="P1444" s="135"/>
      <c r="Q1444" s="135"/>
      <c r="R1444" s="321"/>
      <c r="S1444" s="322"/>
      <c r="T1444" s="319"/>
      <c r="U1444" s="322"/>
      <c r="V1444" s="322"/>
      <c r="W1444" s="322"/>
      <c r="X1444" s="322"/>
      <c r="Y1444" s="319"/>
      <c r="Z1444" s="136" t="str">
        <f t="shared" si="16"/>
        <v/>
      </c>
      <c r="AA1444" s="137" t="str">
        <f t="shared" si="17"/>
        <v/>
      </c>
      <c r="AB1444" s="138" t="str">
        <f t="shared" si="19"/>
        <v/>
      </c>
      <c r="AC1444" s="322"/>
      <c r="AD1444" s="319"/>
      <c r="AE1444" s="320"/>
    </row>
    <row r="1445" ht="18.0" customHeight="1">
      <c r="A1445" s="118" t="str">
        <f t="shared" si="15"/>
        <v/>
      </c>
      <c r="B1445" s="109"/>
      <c r="C1445" s="119"/>
      <c r="D1445" s="119"/>
      <c r="E1445" s="330"/>
      <c r="F1445" s="121"/>
      <c r="G1445" s="153"/>
      <c r="H1445" s="153"/>
      <c r="I1445" s="153"/>
      <c r="J1445" s="112"/>
      <c r="K1445" s="153"/>
      <c r="L1445" s="114"/>
      <c r="M1445" s="151"/>
      <c r="N1445" s="152"/>
      <c r="O1445" s="150"/>
      <c r="P1445" s="114"/>
      <c r="Q1445" s="114"/>
      <c r="R1445" s="151"/>
      <c r="S1445" s="152"/>
      <c r="T1445" s="153"/>
      <c r="U1445" s="152"/>
      <c r="V1445" s="152"/>
      <c r="W1445" s="152"/>
      <c r="X1445" s="152"/>
      <c r="Y1445" s="153"/>
      <c r="Z1445" s="125" t="str">
        <f t="shared" si="16"/>
        <v/>
      </c>
      <c r="AA1445" s="126" t="str">
        <f t="shared" si="17"/>
        <v/>
      </c>
      <c r="AB1445" s="117" t="str">
        <f t="shared" si="19"/>
        <v/>
      </c>
      <c r="AC1445" s="152"/>
      <c r="AD1445" s="153"/>
      <c r="AE1445" s="156"/>
    </row>
    <row r="1446" ht="18.0" customHeight="1">
      <c r="A1446" s="127" t="str">
        <f t="shared" si="15"/>
        <v/>
      </c>
      <c r="B1446" s="128"/>
      <c r="C1446" s="129"/>
      <c r="D1446" s="129"/>
      <c r="E1446" s="325"/>
      <c r="F1446" s="131"/>
      <c r="G1446" s="319"/>
      <c r="H1446" s="319"/>
      <c r="I1446" s="319"/>
      <c r="J1446" s="132"/>
      <c r="K1446" s="319"/>
      <c r="L1446" s="135"/>
      <c r="M1446" s="321"/>
      <c r="N1446" s="322"/>
      <c r="O1446" s="150"/>
      <c r="P1446" s="135"/>
      <c r="Q1446" s="135"/>
      <c r="R1446" s="321"/>
      <c r="S1446" s="322"/>
      <c r="T1446" s="319"/>
      <c r="U1446" s="322"/>
      <c r="V1446" s="322"/>
      <c r="W1446" s="322"/>
      <c r="X1446" s="322"/>
      <c r="Y1446" s="319"/>
      <c r="Z1446" s="136" t="str">
        <f t="shared" si="16"/>
        <v/>
      </c>
      <c r="AA1446" s="137" t="str">
        <f t="shared" si="17"/>
        <v/>
      </c>
      <c r="AB1446" s="138" t="str">
        <f t="shared" si="19"/>
        <v/>
      </c>
      <c r="AC1446" s="322"/>
      <c r="AD1446" s="319"/>
      <c r="AE1446" s="320"/>
    </row>
    <row r="1447" ht="18.0" customHeight="1">
      <c r="A1447" s="118" t="str">
        <f t="shared" si="15"/>
        <v/>
      </c>
      <c r="B1447" s="109"/>
      <c r="C1447" s="119"/>
      <c r="D1447" s="119"/>
      <c r="E1447" s="330"/>
      <c r="F1447" s="121"/>
      <c r="G1447" s="153"/>
      <c r="H1447" s="153"/>
      <c r="I1447" s="153"/>
      <c r="J1447" s="112"/>
      <c r="K1447" s="153"/>
      <c r="L1447" s="114"/>
      <c r="M1447" s="151"/>
      <c r="N1447" s="152"/>
      <c r="O1447" s="150"/>
      <c r="P1447" s="114"/>
      <c r="Q1447" s="114"/>
      <c r="R1447" s="151"/>
      <c r="S1447" s="152"/>
      <c r="T1447" s="153"/>
      <c r="U1447" s="152"/>
      <c r="V1447" s="152"/>
      <c r="W1447" s="152"/>
      <c r="X1447" s="152"/>
      <c r="Y1447" s="153"/>
      <c r="Z1447" s="125" t="str">
        <f t="shared" si="16"/>
        <v/>
      </c>
      <c r="AA1447" s="126" t="str">
        <f t="shared" si="17"/>
        <v/>
      </c>
      <c r="AB1447" s="117" t="str">
        <f t="shared" si="19"/>
        <v/>
      </c>
      <c r="AC1447" s="152"/>
      <c r="AD1447" s="153"/>
      <c r="AE1447" s="156"/>
    </row>
    <row r="1448" ht="18.0" customHeight="1">
      <c r="A1448" s="127" t="str">
        <f t="shared" si="15"/>
        <v/>
      </c>
      <c r="B1448" s="128"/>
      <c r="C1448" s="129"/>
      <c r="D1448" s="129"/>
      <c r="E1448" s="325"/>
      <c r="F1448" s="131"/>
      <c r="G1448" s="319"/>
      <c r="H1448" s="319"/>
      <c r="I1448" s="319"/>
      <c r="J1448" s="132"/>
      <c r="K1448" s="319"/>
      <c r="L1448" s="135"/>
      <c r="M1448" s="321"/>
      <c r="N1448" s="322"/>
      <c r="O1448" s="150"/>
      <c r="P1448" s="135"/>
      <c r="Q1448" s="135"/>
      <c r="R1448" s="321"/>
      <c r="S1448" s="322"/>
      <c r="T1448" s="319"/>
      <c r="U1448" s="322"/>
      <c r="V1448" s="322"/>
      <c r="W1448" s="322"/>
      <c r="X1448" s="322"/>
      <c r="Y1448" s="319"/>
      <c r="Z1448" s="136" t="str">
        <f t="shared" si="16"/>
        <v/>
      </c>
      <c r="AA1448" s="137" t="str">
        <f t="shared" si="17"/>
        <v/>
      </c>
      <c r="AB1448" s="138" t="str">
        <f t="shared" si="19"/>
        <v/>
      </c>
      <c r="AC1448" s="322"/>
      <c r="AD1448" s="319"/>
      <c r="AE1448" s="320"/>
    </row>
    <row r="1449" ht="18.0" customHeight="1">
      <c r="A1449" s="118" t="str">
        <f t="shared" si="15"/>
        <v/>
      </c>
      <c r="B1449" s="109"/>
      <c r="C1449" s="119"/>
      <c r="D1449" s="119"/>
      <c r="E1449" s="330"/>
      <c r="F1449" s="121"/>
      <c r="G1449" s="153"/>
      <c r="H1449" s="153"/>
      <c r="I1449" s="153"/>
      <c r="J1449" s="112"/>
      <c r="K1449" s="153"/>
      <c r="L1449" s="114"/>
      <c r="M1449" s="151"/>
      <c r="N1449" s="152"/>
      <c r="O1449" s="150"/>
      <c r="P1449" s="114"/>
      <c r="Q1449" s="114"/>
      <c r="R1449" s="151"/>
      <c r="S1449" s="152"/>
      <c r="T1449" s="153"/>
      <c r="U1449" s="152"/>
      <c r="V1449" s="152"/>
      <c r="W1449" s="152"/>
      <c r="X1449" s="152"/>
      <c r="Y1449" s="153"/>
      <c r="Z1449" s="125" t="str">
        <f t="shared" si="16"/>
        <v/>
      </c>
      <c r="AA1449" s="126" t="str">
        <f t="shared" si="17"/>
        <v/>
      </c>
      <c r="AB1449" s="117" t="str">
        <f t="shared" si="19"/>
        <v/>
      </c>
      <c r="AC1449" s="152"/>
      <c r="AD1449" s="153"/>
      <c r="AE1449" s="156"/>
    </row>
    <row r="1450" ht="18.0" customHeight="1">
      <c r="A1450" s="127" t="str">
        <f t="shared" si="15"/>
        <v/>
      </c>
      <c r="B1450" s="128"/>
      <c r="C1450" s="129"/>
      <c r="D1450" s="129"/>
      <c r="E1450" s="325"/>
      <c r="F1450" s="131"/>
      <c r="G1450" s="319"/>
      <c r="H1450" s="319"/>
      <c r="I1450" s="319"/>
      <c r="J1450" s="132"/>
      <c r="K1450" s="319"/>
      <c r="L1450" s="135"/>
      <c r="M1450" s="321"/>
      <c r="N1450" s="322"/>
      <c r="O1450" s="150"/>
      <c r="P1450" s="135"/>
      <c r="Q1450" s="135"/>
      <c r="R1450" s="321"/>
      <c r="S1450" s="322"/>
      <c r="T1450" s="319"/>
      <c r="U1450" s="322"/>
      <c r="V1450" s="322"/>
      <c r="W1450" s="322"/>
      <c r="X1450" s="322"/>
      <c r="Y1450" s="319"/>
      <c r="Z1450" s="136" t="str">
        <f t="shared" si="16"/>
        <v/>
      </c>
      <c r="AA1450" s="137" t="str">
        <f t="shared" si="17"/>
        <v/>
      </c>
      <c r="AB1450" s="138" t="str">
        <f t="shared" si="19"/>
        <v/>
      </c>
      <c r="AC1450" s="322"/>
      <c r="AD1450" s="319"/>
      <c r="AE1450" s="320"/>
    </row>
    <row r="1451" ht="18.0" customHeight="1">
      <c r="A1451" s="118" t="str">
        <f t="shared" si="15"/>
        <v/>
      </c>
      <c r="B1451" s="109"/>
      <c r="C1451" s="119"/>
      <c r="D1451" s="119"/>
      <c r="E1451" s="330"/>
      <c r="F1451" s="121"/>
      <c r="G1451" s="153"/>
      <c r="H1451" s="153"/>
      <c r="I1451" s="153"/>
      <c r="J1451" s="112"/>
      <c r="K1451" s="153"/>
      <c r="L1451" s="114"/>
      <c r="M1451" s="151"/>
      <c r="N1451" s="152"/>
      <c r="O1451" s="150"/>
      <c r="P1451" s="114"/>
      <c r="Q1451" s="114"/>
      <c r="R1451" s="151"/>
      <c r="S1451" s="152"/>
      <c r="T1451" s="153"/>
      <c r="U1451" s="152"/>
      <c r="V1451" s="152"/>
      <c r="W1451" s="152"/>
      <c r="X1451" s="152"/>
      <c r="Y1451" s="153"/>
      <c r="Z1451" s="125" t="str">
        <f t="shared" si="16"/>
        <v/>
      </c>
      <c r="AA1451" s="126" t="str">
        <f t="shared" si="17"/>
        <v/>
      </c>
      <c r="AB1451" s="117" t="str">
        <f t="shared" si="19"/>
        <v/>
      </c>
      <c r="AC1451" s="152"/>
      <c r="AD1451" s="153"/>
      <c r="AE1451" s="156"/>
    </row>
    <row r="1452" ht="18.0" customHeight="1">
      <c r="A1452" s="127" t="str">
        <f t="shared" si="15"/>
        <v/>
      </c>
      <c r="B1452" s="128"/>
      <c r="C1452" s="129"/>
      <c r="D1452" s="129"/>
      <c r="E1452" s="325"/>
      <c r="F1452" s="131"/>
      <c r="G1452" s="319"/>
      <c r="H1452" s="319"/>
      <c r="I1452" s="319"/>
      <c r="J1452" s="132"/>
      <c r="K1452" s="319"/>
      <c r="L1452" s="135"/>
      <c r="M1452" s="321"/>
      <c r="N1452" s="322"/>
      <c r="O1452" s="150"/>
      <c r="P1452" s="135"/>
      <c r="Q1452" s="135"/>
      <c r="R1452" s="321"/>
      <c r="S1452" s="322"/>
      <c r="T1452" s="319"/>
      <c r="U1452" s="322"/>
      <c r="V1452" s="322"/>
      <c r="W1452" s="322"/>
      <c r="X1452" s="322"/>
      <c r="Y1452" s="319"/>
      <c r="Z1452" s="136" t="str">
        <f t="shared" si="16"/>
        <v/>
      </c>
      <c r="AA1452" s="137" t="str">
        <f t="shared" si="17"/>
        <v/>
      </c>
      <c r="AB1452" s="138" t="str">
        <f t="shared" si="19"/>
        <v/>
      </c>
      <c r="AC1452" s="322"/>
      <c r="AD1452" s="319"/>
      <c r="AE1452" s="320"/>
    </row>
    <row r="1453" ht="18.0" customHeight="1">
      <c r="A1453" s="118" t="str">
        <f t="shared" si="15"/>
        <v/>
      </c>
      <c r="B1453" s="109"/>
      <c r="C1453" s="119"/>
      <c r="D1453" s="119"/>
      <c r="E1453" s="330"/>
      <c r="F1453" s="121"/>
      <c r="G1453" s="153"/>
      <c r="H1453" s="153"/>
      <c r="I1453" s="153"/>
      <c r="J1453" s="112"/>
      <c r="K1453" s="153"/>
      <c r="L1453" s="114"/>
      <c r="M1453" s="151"/>
      <c r="N1453" s="152"/>
      <c r="O1453" s="150"/>
      <c r="P1453" s="114"/>
      <c r="Q1453" s="114"/>
      <c r="R1453" s="151"/>
      <c r="S1453" s="152"/>
      <c r="T1453" s="153"/>
      <c r="U1453" s="152"/>
      <c r="V1453" s="152"/>
      <c r="W1453" s="152"/>
      <c r="X1453" s="152"/>
      <c r="Y1453" s="153"/>
      <c r="Z1453" s="125" t="str">
        <f t="shared" si="16"/>
        <v/>
      </c>
      <c r="AA1453" s="126" t="str">
        <f t="shared" si="17"/>
        <v/>
      </c>
      <c r="AB1453" s="117" t="str">
        <f t="shared" si="19"/>
        <v/>
      </c>
      <c r="AC1453" s="152"/>
      <c r="AD1453" s="153"/>
      <c r="AE1453" s="156"/>
    </row>
    <row r="1454" ht="18.0" customHeight="1">
      <c r="A1454" s="127" t="str">
        <f t="shared" si="15"/>
        <v/>
      </c>
      <c r="B1454" s="128"/>
      <c r="C1454" s="129"/>
      <c r="D1454" s="129"/>
      <c r="E1454" s="325"/>
      <c r="F1454" s="131"/>
      <c r="G1454" s="319"/>
      <c r="H1454" s="319"/>
      <c r="I1454" s="319"/>
      <c r="J1454" s="132"/>
      <c r="K1454" s="319"/>
      <c r="L1454" s="135"/>
      <c r="M1454" s="321"/>
      <c r="N1454" s="322"/>
      <c r="O1454" s="150"/>
      <c r="P1454" s="135"/>
      <c r="Q1454" s="135"/>
      <c r="R1454" s="321"/>
      <c r="S1454" s="322"/>
      <c r="T1454" s="319"/>
      <c r="U1454" s="322"/>
      <c r="V1454" s="322"/>
      <c r="W1454" s="322"/>
      <c r="X1454" s="322"/>
      <c r="Y1454" s="319"/>
      <c r="Z1454" s="136" t="str">
        <f t="shared" si="16"/>
        <v/>
      </c>
      <c r="AA1454" s="137" t="str">
        <f t="shared" si="17"/>
        <v/>
      </c>
      <c r="AB1454" s="138" t="str">
        <f t="shared" si="19"/>
        <v/>
      </c>
      <c r="AC1454" s="322"/>
      <c r="AD1454" s="319"/>
      <c r="AE1454" s="320"/>
    </row>
    <row r="1455" ht="18.0" customHeight="1">
      <c r="A1455" s="118" t="str">
        <f t="shared" si="15"/>
        <v/>
      </c>
      <c r="B1455" s="109"/>
      <c r="C1455" s="119"/>
      <c r="D1455" s="119"/>
      <c r="E1455" s="330"/>
      <c r="F1455" s="121"/>
      <c r="G1455" s="153"/>
      <c r="H1455" s="153"/>
      <c r="I1455" s="153"/>
      <c r="J1455" s="112"/>
      <c r="K1455" s="153"/>
      <c r="L1455" s="114"/>
      <c r="M1455" s="151"/>
      <c r="N1455" s="152"/>
      <c r="O1455" s="150"/>
      <c r="P1455" s="114"/>
      <c r="Q1455" s="114"/>
      <c r="R1455" s="151"/>
      <c r="S1455" s="152"/>
      <c r="T1455" s="153"/>
      <c r="U1455" s="152"/>
      <c r="V1455" s="152"/>
      <c r="W1455" s="152"/>
      <c r="X1455" s="152"/>
      <c r="Y1455" s="153"/>
      <c r="Z1455" s="125" t="str">
        <f t="shared" si="16"/>
        <v/>
      </c>
      <c r="AA1455" s="126" t="str">
        <f t="shared" si="17"/>
        <v/>
      </c>
      <c r="AB1455" s="117" t="str">
        <f t="shared" si="19"/>
        <v/>
      </c>
      <c r="AC1455" s="152"/>
      <c r="AD1455" s="153"/>
      <c r="AE1455" s="156"/>
    </row>
    <row r="1456" ht="18.0" customHeight="1">
      <c r="A1456" s="127" t="str">
        <f t="shared" si="15"/>
        <v/>
      </c>
      <c r="B1456" s="128"/>
      <c r="C1456" s="129"/>
      <c r="D1456" s="129"/>
      <c r="E1456" s="325"/>
      <c r="F1456" s="131"/>
      <c r="G1456" s="319"/>
      <c r="H1456" s="319"/>
      <c r="I1456" s="319"/>
      <c r="J1456" s="132"/>
      <c r="K1456" s="319"/>
      <c r="L1456" s="135"/>
      <c r="M1456" s="321"/>
      <c r="N1456" s="322"/>
      <c r="O1456" s="150"/>
      <c r="P1456" s="135"/>
      <c r="Q1456" s="135"/>
      <c r="R1456" s="321"/>
      <c r="S1456" s="322"/>
      <c r="T1456" s="319"/>
      <c r="U1456" s="322"/>
      <c r="V1456" s="322"/>
      <c r="W1456" s="322"/>
      <c r="X1456" s="322"/>
      <c r="Y1456" s="319"/>
      <c r="Z1456" s="136" t="str">
        <f t="shared" si="16"/>
        <v/>
      </c>
      <c r="AA1456" s="137" t="str">
        <f t="shared" si="17"/>
        <v/>
      </c>
      <c r="AB1456" s="138" t="str">
        <f t="shared" si="19"/>
        <v/>
      </c>
      <c r="AC1456" s="322"/>
      <c r="AD1456" s="319"/>
      <c r="AE1456" s="320"/>
    </row>
    <row r="1457" ht="18.0" customHeight="1">
      <c r="A1457" s="118" t="str">
        <f t="shared" si="15"/>
        <v/>
      </c>
      <c r="B1457" s="109"/>
      <c r="C1457" s="119"/>
      <c r="D1457" s="119"/>
      <c r="E1457" s="330"/>
      <c r="F1457" s="121"/>
      <c r="G1457" s="153"/>
      <c r="H1457" s="153"/>
      <c r="I1457" s="153"/>
      <c r="J1457" s="112"/>
      <c r="K1457" s="153"/>
      <c r="L1457" s="114"/>
      <c r="M1457" s="151"/>
      <c r="N1457" s="152"/>
      <c r="O1457" s="150"/>
      <c r="P1457" s="114"/>
      <c r="Q1457" s="114"/>
      <c r="R1457" s="151"/>
      <c r="S1457" s="152"/>
      <c r="T1457" s="153"/>
      <c r="U1457" s="152"/>
      <c r="V1457" s="152"/>
      <c r="W1457" s="152"/>
      <c r="X1457" s="152"/>
      <c r="Y1457" s="153"/>
      <c r="Z1457" s="125" t="str">
        <f t="shared" si="16"/>
        <v/>
      </c>
      <c r="AA1457" s="126" t="str">
        <f t="shared" si="17"/>
        <v/>
      </c>
      <c r="AB1457" s="117" t="str">
        <f t="shared" si="19"/>
        <v/>
      </c>
      <c r="AC1457" s="152"/>
      <c r="AD1457" s="153"/>
      <c r="AE1457" s="156"/>
    </row>
    <row r="1458" ht="18.0" customHeight="1">
      <c r="A1458" s="127" t="str">
        <f t="shared" si="15"/>
        <v/>
      </c>
      <c r="B1458" s="128"/>
      <c r="C1458" s="129"/>
      <c r="D1458" s="129"/>
      <c r="E1458" s="325"/>
      <c r="F1458" s="131"/>
      <c r="G1458" s="319"/>
      <c r="H1458" s="319"/>
      <c r="I1458" s="319"/>
      <c r="J1458" s="132"/>
      <c r="K1458" s="319"/>
      <c r="L1458" s="135"/>
      <c r="M1458" s="321"/>
      <c r="N1458" s="322"/>
      <c r="O1458" s="150"/>
      <c r="P1458" s="135"/>
      <c r="Q1458" s="135"/>
      <c r="R1458" s="321"/>
      <c r="S1458" s="322"/>
      <c r="T1458" s="319"/>
      <c r="U1458" s="322"/>
      <c r="V1458" s="322"/>
      <c r="W1458" s="322"/>
      <c r="X1458" s="322"/>
      <c r="Y1458" s="319"/>
      <c r="Z1458" s="136" t="str">
        <f t="shared" si="16"/>
        <v/>
      </c>
      <c r="AA1458" s="137" t="str">
        <f t="shared" si="17"/>
        <v/>
      </c>
      <c r="AB1458" s="138" t="str">
        <f t="shared" si="19"/>
        <v/>
      </c>
      <c r="AC1458" s="322"/>
      <c r="AD1458" s="319"/>
      <c r="AE1458" s="320"/>
    </row>
    <row r="1459" ht="18.0" customHeight="1">
      <c r="A1459" s="118" t="str">
        <f t="shared" si="15"/>
        <v/>
      </c>
      <c r="B1459" s="109"/>
      <c r="C1459" s="119"/>
      <c r="D1459" s="119"/>
      <c r="E1459" s="330"/>
      <c r="F1459" s="121"/>
      <c r="G1459" s="153"/>
      <c r="H1459" s="153"/>
      <c r="I1459" s="153"/>
      <c r="J1459" s="112"/>
      <c r="K1459" s="153"/>
      <c r="L1459" s="114"/>
      <c r="M1459" s="151"/>
      <c r="N1459" s="152"/>
      <c r="O1459" s="150"/>
      <c r="P1459" s="114"/>
      <c r="Q1459" s="114"/>
      <c r="R1459" s="151"/>
      <c r="S1459" s="152"/>
      <c r="T1459" s="153"/>
      <c r="U1459" s="152"/>
      <c r="V1459" s="152"/>
      <c r="W1459" s="152"/>
      <c r="X1459" s="152"/>
      <c r="Y1459" s="153"/>
      <c r="Z1459" s="125" t="str">
        <f t="shared" si="16"/>
        <v/>
      </c>
      <c r="AA1459" s="126" t="str">
        <f t="shared" si="17"/>
        <v/>
      </c>
      <c r="AB1459" s="117" t="str">
        <f t="shared" si="19"/>
        <v/>
      </c>
      <c r="AC1459" s="152"/>
      <c r="AD1459" s="153"/>
      <c r="AE1459" s="156"/>
    </row>
    <row r="1460" ht="18.0" customHeight="1">
      <c r="A1460" s="127" t="str">
        <f t="shared" si="15"/>
        <v/>
      </c>
      <c r="B1460" s="128"/>
      <c r="C1460" s="129"/>
      <c r="D1460" s="129"/>
      <c r="E1460" s="325"/>
      <c r="F1460" s="131"/>
      <c r="G1460" s="319"/>
      <c r="H1460" s="319"/>
      <c r="I1460" s="319"/>
      <c r="J1460" s="132"/>
      <c r="K1460" s="319"/>
      <c r="L1460" s="135"/>
      <c r="M1460" s="321"/>
      <c r="N1460" s="322"/>
      <c r="O1460" s="150"/>
      <c r="P1460" s="135"/>
      <c r="Q1460" s="135"/>
      <c r="R1460" s="321"/>
      <c r="S1460" s="322"/>
      <c r="T1460" s="319"/>
      <c r="U1460" s="322"/>
      <c r="V1460" s="322"/>
      <c r="W1460" s="322"/>
      <c r="X1460" s="322"/>
      <c r="Y1460" s="319"/>
      <c r="Z1460" s="136" t="str">
        <f t="shared" si="16"/>
        <v/>
      </c>
      <c r="AA1460" s="137" t="str">
        <f t="shared" si="17"/>
        <v/>
      </c>
      <c r="AB1460" s="138" t="str">
        <f t="shared" si="19"/>
        <v/>
      </c>
      <c r="AC1460" s="322"/>
      <c r="AD1460" s="319"/>
      <c r="AE1460" s="320"/>
    </row>
    <row r="1461" ht="18.0" customHeight="1">
      <c r="A1461" s="118" t="str">
        <f t="shared" si="15"/>
        <v/>
      </c>
      <c r="B1461" s="109"/>
      <c r="C1461" s="119"/>
      <c r="D1461" s="119"/>
      <c r="E1461" s="330"/>
      <c r="F1461" s="121"/>
      <c r="G1461" s="153"/>
      <c r="H1461" s="153"/>
      <c r="I1461" s="153"/>
      <c r="J1461" s="112"/>
      <c r="K1461" s="153"/>
      <c r="L1461" s="114"/>
      <c r="M1461" s="151"/>
      <c r="N1461" s="152"/>
      <c r="O1461" s="150"/>
      <c r="P1461" s="114"/>
      <c r="Q1461" s="114"/>
      <c r="R1461" s="151"/>
      <c r="S1461" s="152"/>
      <c r="T1461" s="153"/>
      <c r="U1461" s="152"/>
      <c r="V1461" s="152"/>
      <c r="W1461" s="152"/>
      <c r="X1461" s="152"/>
      <c r="Y1461" s="153"/>
      <c r="Z1461" s="125" t="str">
        <f t="shared" si="16"/>
        <v/>
      </c>
      <c r="AA1461" s="126" t="str">
        <f t="shared" si="17"/>
        <v/>
      </c>
      <c r="AB1461" s="117" t="str">
        <f t="shared" si="19"/>
        <v/>
      </c>
      <c r="AC1461" s="152"/>
      <c r="AD1461" s="153"/>
      <c r="AE1461" s="156"/>
    </row>
    <row r="1462" ht="18.0" customHeight="1">
      <c r="A1462" s="127" t="str">
        <f t="shared" si="15"/>
        <v/>
      </c>
      <c r="B1462" s="128"/>
      <c r="C1462" s="129"/>
      <c r="D1462" s="129"/>
      <c r="E1462" s="325"/>
      <c r="F1462" s="131"/>
      <c r="G1462" s="319"/>
      <c r="H1462" s="319"/>
      <c r="I1462" s="319"/>
      <c r="J1462" s="132"/>
      <c r="K1462" s="319"/>
      <c r="L1462" s="135"/>
      <c r="M1462" s="321"/>
      <c r="N1462" s="322"/>
      <c r="O1462" s="150"/>
      <c r="P1462" s="135"/>
      <c r="Q1462" s="135"/>
      <c r="R1462" s="321"/>
      <c r="S1462" s="322"/>
      <c r="T1462" s="319"/>
      <c r="U1462" s="322"/>
      <c r="V1462" s="322"/>
      <c r="W1462" s="322"/>
      <c r="X1462" s="322"/>
      <c r="Y1462" s="319"/>
      <c r="Z1462" s="136" t="str">
        <f t="shared" si="16"/>
        <v/>
      </c>
      <c r="AA1462" s="137" t="str">
        <f t="shared" si="17"/>
        <v/>
      </c>
      <c r="AB1462" s="138" t="str">
        <f t="shared" si="19"/>
        <v/>
      </c>
      <c r="AC1462" s="322"/>
      <c r="AD1462" s="319"/>
      <c r="AE1462" s="320"/>
    </row>
    <row r="1463" ht="18.0" customHeight="1">
      <c r="A1463" s="118" t="str">
        <f t="shared" si="15"/>
        <v/>
      </c>
      <c r="B1463" s="109"/>
      <c r="C1463" s="119"/>
      <c r="D1463" s="119"/>
      <c r="E1463" s="330"/>
      <c r="F1463" s="121"/>
      <c r="G1463" s="153"/>
      <c r="H1463" s="153"/>
      <c r="I1463" s="153"/>
      <c r="J1463" s="112"/>
      <c r="K1463" s="153"/>
      <c r="L1463" s="114"/>
      <c r="M1463" s="151"/>
      <c r="N1463" s="152"/>
      <c r="O1463" s="150"/>
      <c r="P1463" s="114"/>
      <c r="Q1463" s="114"/>
      <c r="R1463" s="151"/>
      <c r="S1463" s="152"/>
      <c r="T1463" s="153"/>
      <c r="U1463" s="152"/>
      <c r="V1463" s="152"/>
      <c r="W1463" s="152"/>
      <c r="X1463" s="152"/>
      <c r="Y1463" s="153"/>
      <c r="Z1463" s="125" t="str">
        <f t="shared" si="16"/>
        <v/>
      </c>
      <c r="AA1463" s="126" t="str">
        <f t="shared" si="17"/>
        <v/>
      </c>
      <c r="AB1463" s="117" t="str">
        <f t="shared" si="19"/>
        <v/>
      </c>
      <c r="AC1463" s="152"/>
      <c r="AD1463" s="153"/>
      <c r="AE1463" s="156"/>
    </row>
    <row r="1464" ht="18.0" customHeight="1">
      <c r="A1464" s="127" t="str">
        <f t="shared" si="15"/>
        <v/>
      </c>
      <c r="B1464" s="128"/>
      <c r="C1464" s="129"/>
      <c r="D1464" s="129"/>
      <c r="E1464" s="325"/>
      <c r="F1464" s="131"/>
      <c r="G1464" s="319"/>
      <c r="H1464" s="319"/>
      <c r="I1464" s="319"/>
      <c r="J1464" s="132"/>
      <c r="K1464" s="319"/>
      <c r="L1464" s="135"/>
      <c r="M1464" s="321"/>
      <c r="N1464" s="322"/>
      <c r="O1464" s="150"/>
      <c r="P1464" s="135"/>
      <c r="Q1464" s="135"/>
      <c r="R1464" s="321"/>
      <c r="S1464" s="322"/>
      <c r="T1464" s="319"/>
      <c r="U1464" s="322"/>
      <c r="V1464" s="322"/>
      <c r="W1464" s="322"/>
      <c r="X1464" s="322"/>
      <c r="Y1464" s="319"/>
      <c r="Z1464" s="136" t="str">
        <f t="shared" si="16"/>
        <v/>
      </c>
      <c r="AA1464" s="137" t="str">
        <f t="shared" si="17"/>
        <v/>
      </c>
      <c r="AB1464" s="138" t="str">
        <f t="shared" si="19"/>
        <v/>
      </c>
      <c r="AC1464" s="322"/>
      <c r="AD1464" s="319"/>
      <c r="AE1464" s="320"/>
    </row>
    <row r="1465" ht="18.0" customHeight="1">
      <c r="A1465" s="118" t="str">
        <f t="shared" si="15"/>
        <v/>
      </c>
      <c r="B1465" s="109"/>
      <c r="C1465" s="119"/>
      <c r="D1465" s="119"/>
      <c r="E1465" s="330"/>
      <c r="F1465" s="121"/>
      <c r="G1465" s="153"/>
      <c r="H1465" s="153"/>
      <c r="I1465" s="153"/>
      <c r="J1465" s="112"/>
      <c r="K1465" s="153"/>
      <c r="L1465" s="114"/>
      <c r="M1465" s="151"/>
      <c r="N1465" s="152"/>
      <c r="O1465" s="150"/>
      <c r="P1465" s="114"/>
      <c r="Q1465" s="114"/>
      <c r="R1465" s="151"/>
      <c r="S1465" s="152"/>
      <c r="T1465" s="153"/>
      <c r="U1465" s="152"/>
      <c r="V1465" s="152"/>
      <c r="W1465" s="152"/>
      <c r="X1465" s="152"/>
      <c r="Y1465" s="153"/>
      <c r="Z1465" s="125" t="str">
        <f t="shared" si="16"/>
        <v/>
      </c>
      <c r="AA1465" s="126" t="str">
        <f t="shared" si="17"/>
        <v/>
      </c>
      <c r="AB1465" s="117" t="str">
        <f t="shared" si="19"/>
        <v/>
      </c>
      <c r="AC1465" s="152"/>
      <c r="AD1465" s="153"/>
      <c r="AE1465" s="156"/>
    </row>
    <row r="1466" ht="18.0" customHeight="1">
      <c r="A1466" s="127" t="str">
        <f t="shared" si="15"/>
        <v/>
      </c>
      <c r="B1466" s="128"/>
      <c r="C1466" s="129"/>
      <c r="D1466" s="129"/>
      <c r="E1466" s="325"/>
      <c r="F1466" s="131"/>
      <c r="G1466" s="319"/>
      <c r="H1466" s="319"/>
      <c r="I1466" s="319"/>
      <c r="J1466" s="132"/>
      <c r="K1466" s="319"/>
      <c r="L1466" s="135"/>
      <c r="M1466" s="321"/>
      <c r="N1466" s="322"/>
      <c r="O1466" s="150"/>
      <c r="P1466" s="135"/>
      <c r="Q1466" s="135"/>
      <c r="R1466" s="321"/>
      <c r="S1466" s="322"/>
      <c r="T1466" s="319"/>
      <c r="U1466" s="322"/>
      <c r="V1466" s="322"/>
      <c r="W1466" s="322"/>
      <c r="X1466" s="322"/>
      <c r="Y1466" s="319"/>
      <c r="Z1466" s="136" t="str">
        <f t="shared" si="16"/>
        <v/>
      </c>
      <c r="AA1466" s="137" t="str">
        <f t="shared" si="17"/>
        <v/>
      </c>
      <c r="AB1466" s="138" t="str">
        <f t="shared" si="19"/>
        <v/>
      </c>
      <c r="AC1466" s="322"/>
      <c r="AD1466" s="319"/>
      <c r="AE1466" s="320"/>
    </row>
    <row r="1467" ht="18.0" customHeight="1">
      <c r="A1467" s="118" t="str">
        <f t="shared" si="15"/>
        <v/>
      </c>
      <c r="B1467" s="109"/>
      <c r="C1467" s="119"/>
      <c r="D1467" s="119"/>
      <c r="E1467" s="330"/>
      <c r="F1467" s="121"/>
      <c r="G1467" s="153"/>
      <c r="H1467" s="153"/>
      <c r="I1467" s="153"/>
      <c r="J1467" s="112"/>
      <c r="K1467" s="153"/>
      <c r="L1467" s="114"/>
      <c r="M1467" s="151"/>
      <c r="N1467" s="152"/>
      <c r="O1467" s="150"/>
      <c r="P1467" s="114"/>
      <c r="Q1467" s="114"/>
      <c r="R1467" s="151"/>
      <c r="S1467" s="152"/>
      <c r="T1467" s="153"/>
      <c r="U1467" s="152"/>
      <c r="V1467" s="152"/>
      <c r="W1467" s="152"/>
      <c r="X1467" s="152"/>
      <c r="Y1467" s="153"/>
      <c r="Z1467" s="125" t="str">
        <f t="shared" si="16"/>
        <v/>
      </c>
      <c r="AA1467" s="126" t="str">
        <f t="shared" si="17"/>
        <v/>
      </c>
      <c r="AB1467" s="117" t="str">
        <f t="shared" si="19"/>
        <v/>
      </c>
      <c r="AC1467" s="152"/>
      <c r="AD1467" s="153"/>
      <c r="AE1467" s="156"/>
    </row>
    <row r="1468" ht="18.0" customHeight="1">
      <c r="A1468" s="127" t="str">
        <f t="shared" si="15"/>
        <v/>
      </c>
      <c r="B1468" s="128"/>
      <c r="C1468" s="129"/>
      <c r="D1468" s="129"/>
      <c r="E1468" s="325"/>
      <c r="F1468" s="131"/>
      <c r="G1468" s="319"/>
      <c r="H1468" s="319"/>
      <c r="I1468" s="319"/>
      <c r="J1468" s="132"/>
      <c r="K1468" s="319"/>
      <c r="L1468" s="135"/>
      <c r="M1468" s="321"/>
      <c r="N1468" s="322"/>
      <c r="O1468" s="150"/>
      <c r="P1468" s="135"/>
      <c r="Q1468" s="135"/>
      <c r="R1468" s="321"/>
      <c r="S1468" s="322"/>
      <c r="T1468" s="319"/>
      <c r="U1468" s="322"/>
      <c r="V1468" s="322"/>
      <c r="W1468" s="322"/>
      <c r="X1468" s="322"/>
      <c r="Y1468" s="319"/>
      <c r="Z1468" s="136" t="str">
        <f t="shared" si="16"/>
        <v/>
      </c>
      <c r="AA1468" s="137" t="str">
        <f t="shared" si="17"/>
        <v/>
      </c>
      <c r="AB1468" s="138" t="str">
        <f t="shared" si="19"/>
        <v/>
      </c>
      <c r="AC1468" s="322"/>
      <c r="AD1468" s="319"/>
      <c r="AE1468" s="320"/>
    </row>
    <row r="1469" ht="18.0" customHeight="1">
      <c r="A1469" s="118" t="str">
        <f t="shared" si="15"/>
        <v/>
      </c>
      <c r="B1469" s="109"/>
      <c r="C1469" s="119"/>
      <c r="D1469" s="119"/>
      <c r="E1469" s="330"/>
      <c r="F1469" s="121"/>
      <c r="G1469" s="153"/>
      <c r="H1469" s="153"/>
      <c r="I1469" s="153"/>
      <c r="J1469" s="112"/>
      <c r="K1469" s="153"/>
      <c r="L1469" s="114"/>
      <c r="M1469" s="151"/>
      <c r="N1469" s="152"/>
      <c r="O1469" s="150"/>
      <c r="P1469" s="114"/>
      <c r="Q1469" s="114"/>
      <c r="R1469" s="151"/>
      <c r="S1469" s="152"/>
      <c r="T1469" s="153"/>
      <c r="U1469" s="152"/>
      <c r="V1469" s="152"/>
      <c r="W1469" s="152"/>
      <c r="X1469" s="152"/>
      <c r="Y1469" s="153"/>
      <c r="Z1469" s="125" t="str">
        <f t="shared" si="16"/>
        <v/>
      </c>
      <c r="AA1469" s="126" t="str">
        <f t="shared" si="17"/>
        <v/>
      </c>
      <c r="AB1469" s="117" t="str">
        <f t="shared" si="19"/>
        <v/>
      </c>
      <c r="AC1469" s="152"/>
      <c r="AD1469" s="153"/>
      <c r="AE1469" s="156"/>
    </row>
    <row r="1470" ht="18.0" customHeight="1">
      <c r="A1470" s="127" t="str">
        <f t="shared" si="15"/>
        <v/>
      </c>
      <c r="B1470" s="128"/>
      <c r="C1470" s="129"/>
      <c r="D1470" s="129"/>
      <c r="E1470" s="325"/>
      <c r="F1470" s="131"/>
      <c r="G1470" s="319"/>
      <c r="H1470" s="319"/>
      <c r="I1470" s="319"/>
      <c r="J1470" s="132"/>
      <c r="K1470" s="319"/>
      <c r="L1470" s="135"/>
      <c r="M1470" s="321"/>
      <c r="N1470" s="322"/>
      <c r="O1470" s="150"/>
      <c r="P1470" s="135"/>
      <c r="Q1470" s="135"/>
      <c r="R1470" s="321"/>
      <c r="S1470" s="322"/>
      <c r="T1470" s="319"/>
      <c r="U1470" s="322"/>
      <c r="V1470" s="322"/>
      <c r="W1470" s="322"/>
      <c r="X1470" s="322"/>
      <c r="Y1470" s="319"/>
      <c r="Z1470" s="136" t="str">
        <f t="shared" si="16"/>
        <v/>
      </c>
      <c r="AA1470" s="137" t="str">
        <f t="shared" si="17"/>
        <v/>
      </c>
      <c r="AB1470" s="138" t="str">
        <f t="shared" si="19"/>
        <v/>
      </c>
      <c r="AC1470" s="322"/>
      <c r="AD1470" s="319"/>
      <c r="AE1470" s="320"/>
    </row>
    <row r="1471" ht="18.0" customHeight="1">
      <c r="A1471" s="118" t="str">
        <f t="shared" si="15"/>
        <v/>
      </c>
      <c r="B1471" s="109"/>
      <c r="C1471" s="119"/>
      <c r="D1471" s="119"/>
      <c r="E1471" s="330"/>
      <c r="F1471" s="121"/>
      <c r="G1471" s="153"/>
      <c r="H1471" s="153"/>
      <c r="I1471" s="153"/>
      <c r="J1471" s="112"/>
      <c r="K1471" s="153"/>
      <c r="L1471" s="114"/>
      <c r="M1471" s="151"/>
      <c r="N1471" s="152"/>
      <c r="O1471" s="150"/>
      <c r="P1471" s="114"/>
      <c r="Q1471" s="114"/>
      <c r="R1471" s="151"/>
      <c r="S1471" s="152"/>
      <c r="T1471" s="153"/>
      <c r="U1471" s="152"/>
      <c r="V1471" s="152"/>
      <c r="W1471" s="152"/>
      <c r="X1471" s="152"/>
      <c r="Y1471" s="153"/>
      <c r="Z1471" s="125" t="str">
        <f t="shared" si="16"/>
        <v/>
      </c>
      <c r="AA1471" s="126" t="str">
        <f t="shared" si="17"/>
        <v/>
      </c>
      <c r="AB1471" s="117" t="str">
        <f t="shared" si="19"/>
        <v/>
      </c>
      <c r="AC1471" s="152"/>
      <c r="AD1471" s="153"/>
      <c r="AE1471" s="156"/>
    </row>
    <row r="1472" ht="18.0" customHeight="1">
      <c r="A1472" s="127" t="str">
        <f t="shared" si="15"/>
        <v/>
      </c>
      <c r="B1472" s="128"/>
      <c r="C1472" s="129"/>
      <c r="D1472" s="129"/>
      <c r="E1472" s="325"/>
      <c r="F1472" s="131"/>
      <c r="G1472" s="319"/>
      <c r="H1472" s="319"/>
      <c r="I1472" s="319"/>
      <c r="J1472" s="132"/>
      <c r="K1472" s="319"/>
      <c r="L1472" s="135"/>
      <c r="M1472" s="321"/>
      <c r="N1472" s="322"/>
      <c r="O1472" s="150"/>
      <c r="P1472" s="135"/>
      <c r="Q1472" s="135"/>
      <c r="R1472" s="321"/>
      <c r="S1472" s="322"/>
      <c r="T1472" s="319"/>
      <c r="U1472" s="322"/>
      <c r="V1472" s="322"/>
      <c r="W1472" s="322"/>
      <c r="X1472" s="322"/>
      <c r="Y1472" s="319"/>
      <c r="Z1472" s="136" t="str">
        <f t="shared" si="16"/>
        <v/>
      </c>
      <c r="AA1472" s="137" t="str">
        <f t="shared" si="17"/>
        <v/>
      </c>
      <c r="AB1472" s="138" t="str">
        <f t="shared" si="19"/>
        <v/>
      </c>
      <c r="AC1472" s="322"/>
      <c r="AD1472" s="319"/>
      <c r="AE1472" s="320"/>
    </row>
    <row r="1473" ht="18.0" customHeight="1">
      <c r="A1473" s="118" t="str">
        <f t="shared" si="15"/>
        <v/>
      </c>
      <c r="B1473" s="109"/>
      <c r="C1473" s="119"/>
      <c r="D1473" s="119"/>
      <c r="E1473" s="330"/>
      <c r="F1473" s="121"/>
      <c r="G1473" s="153"/>
      <c r="H1473" s="153"/>
      <c r="I1473" s="153"/>
      <c r="J1473" s="112"/>
      <c r="K1473" s="153"/>
      <c r="L1473" s="114"/>
      <c r="M1473" s="151"/>
      <c r="N1473" s="152"/>
      <c r="O1473" s="150"/>
      <c r="P1473" s="114"/>
      <c r="Q1473" s="114"/>
      <c r="R1473" s="151"/>
      <c r="S1473" s="152"/>
      <c r="T1473" s="153"/>
      <c r="U1473" s="152"/>
      <c r="V1473" s="152"/>
      <c r="W1473" s="152"/>
      <c r="X1473" s="152"/>
      <c r="Y1473" s="153"/>
      <c r="Z1473" s="125" t="str">
        <f t="shared" si="16"/>
        <v/>
      </c>
      <c r="AA1473" s="126" t="str">
        <f t="shared" si="17"/>
        <v/>
      </c>
      <c r="AB1473" s="117" t="str">
        <f t="shared" si="19"/>
        <v/>
      </c>
      <c r="AC1473" s="152"/>
      <c r="AD1473" s="153"/>
      <c r="AE1473" s="156"/>
    </row>
    <row r="1474" ht="18.0" customHeight="1">
      <c r="A1474" s="127" t="str">
        <f t="shared" si="15"/>
        <v/>
      </c>
      <c r="B1474" s="128"/>
      <c r="C1474" s="129"/>
      <c r="D1474" s="129"/>
      <c r="E1474" s="325"/>
      <c r="F1474" s="131"/>
      <c r="G1474" s="319"/>
      <c r="H1474" s="319"/>
      <c r="I1474" s="319"/>
      <c r="J1474" s="132"/>
      <c r="K1474" s="319"/>
      <c r="L1474" s="135"/>
      <c r="M1474" s="321"/>
      <c r="N1474" s="322"/>
      <c r="O1474" s="150"/>
      <c r="P1474" s="135"/>
      <c r="Q1474" s="135"/>
      <c r="R1474" s="321"/>
      <c r="S1474" s="322"/>
      <c r="T1474" s="319"/>
      <c r="U1474" s="322"/>
      <c r="V1474" s="322"/>
      <c r="W1474" s="322"/>
      <c r="X1474" s="322"/>
      <c r="Y1474" s="319"/>
      <c r="Z1474" s="136" t="str">
        <f t="shared" si="16"/>
        <v/>
      </c>
      <c r="AA1474" s="137" t="str">
        <f t="shared" si="17"/>
        <v/>
      </c>
      <c r="AB1474" s="138" t="str">
        <f t="shared" si="19"/>
        <v/>
      </c>
      <c r="AC1474" s="322"/>
      <c r="AD1474" s="319"/>
      <c r="AE1474" s="320"/>
    </row>
    <row r="1475" ht="18.0" customHeight="1">
      <c r="A1475" s="118" t="str">
        <f t="shared" si="15"/>
        <v/>
      </c>
      <c r="B1475" s="109"/>
      <c r="C1475" s="119"/>
      <c r="D1475" s="119"/>
      <c r="E1475" s="330"/>
      <c r="F1475" s="121"/>
      <c r="G1475" s="153"/>
      <c r="H1475" s="153"/>
      <c r="I1475" s="153"/>
      <c r="J1475" s="112"/>
      <c r="K1475" s="153"/>
      <c r="L1475" s="114"/>
      <c r="M1475" s="151"/>
      <c r="N1475" s="152"/>
      <c r="O1475" s="150"/>
      <c r="P1475" s="114"/>
      <c r="Q1475" s="114"/>
      <c r="R1475" s="151"/>
      <c r="S1475" s="152"/>
      <c r="T1475" s="153"/>
      <c r="U1475" s="152"/>
      <c r="V1475" s="152"/>
      <c r="W1475" s="152"/>
      <c r="X1475" s="152"/>
      <c r="Y1475" s="153"/>
      <c r="Z1475" s="125" t="str">
        <f t="shared" si="16"/>
        <v/>
      </c>
      <c r="AA1475" s="126" t="str">
        <f t="shared" si="17"/>
        <v/>
      </c>
      <c r="AB1475" s="117" t="str">
        <f t="shared" si="19"/>
        <v/>
      </c>
      <c r="AC1475" s="152"/>
      <c r="AD1475" s="153"/>
      <c r="AE1475" s="156"/>
    </row>
    <row r="1476" ht="18.0" customHeight="1">
      <c r="A1476" s="127" t="str">
        <f t="shared" si="15"/>
        <v/>
      </c>
      <c r="B1476" s="128"/>
      <c r="C1476" s="129"/>
      <c r="D1476" s="129"/>
      <c r="E1476" s="325"/>
      <c r="F1476" s="131"/>
      <c r="G1476" s="319"/>
      <c r="H1476" s="319"/>
      <c r="I1476" s="319"/>
      <c r="J1476" s="132"/>
      <c r="K1476" s="319"/>
      <c r="L1476" s="135"/>
      <c r="M1476" s="321"/>
      <c r="N1476" s="322"/>
      <c r="O1476" s="150"/>
      <c r="P1476" s="135"/>
      <c r="Q1476" s="135"/>
      <c r="R1476" s="321"/>
      <c r="S1476" s="322"/>
      <c r="T1476" s="319"/>
      <c r="U1476" s="322"/>
      <c r="V1476" s="322"/>
      <c r="W1476" s="322"/>
      <c r="X1476" s="322"/>
      <c r="Y1476" s="319"/>
      <c r="Z1476" s="136" t="str">
        <f t="shared" si="16"/>
        <v/>
      </c>
      <c r="AA1476" s="137" t="str">
        <f t="shared" si="17"/>
        <v/>
      </c>
      <c r="AB1476" s="138" t="str">
        <f t="shared" si="19"/>
        <v/>
      </c>
      <c r="AC1476" s="322"/>
      <c r="AD1476" s="319"/>
      <c r="AE1476" s="320"/>
    </row>
    <row r="1477" ht="18.0" customHeight="1">
      <c r="A1477" s="118" t="str">
        <f t="shared" si="15"/>
        <v/>
      </c>
      <c r="B1477" s="109"/>
      <c r="C1477" s="119"/>
      <c r="D1477" s="119"/>
      <c r="E1477" s="330"/>
      <c r="F1477" s="121"/>
      <c r="G1477" s="153"/>
      <c r="H1477" s="153"/>
      <c r="I1477" s="153"/>
      <c r="J1477" s="112"/>
      <c r="K1477" s="153"/>
      <c r="L1477" s="114"/>
      <c r="M1477" s="151"/>
      <c r="N1477" s="152"/>
      <c r="O1477" s="150"/>
      <c r="P1477" s="114"/>
      <c r="Q1477" s="114"/>
      <c r="R1477" s="151"/>
      <c r="S1477" s="152"/>
      <c r="T1477" s="153"/>
      <c r="U1477" s="152"/>
      <c r="V1477" s="152"/>
      <c r="W1477" s="152"/>
      <c r="X1477" s="152"/>
      <c r="Y1477" s="153"/>
      <c r="Z1477" s="125" t="str">
        <f t="shared" si="16"/>
        <v/>
      </c>
      <c r="AA1477" s="126" t="str">
        <f t="shared" si="17"/>
        <v/>
      </c>
      <c r="AB1477" s="117" t="str">
        <f t="shared" si="19"/>
        <v/>
      </c>
      <c r="AC1477" s="152"/>
      <c r="AD1477" s="153"/>
      <c r="AE1477" s="156"/>
    </row>
    <row r="1478" ht="18.0" customHeight="1">
      <c r="A1478" s="127" t="str">
        <f t="shared" si="15"/>
        <v/>
      </c>
      <c r="B1478" s="128"/>
      <c r="C1478" s="129"/>
      <c r="D1478" s="129"/>
      <c r="E1478" s="325"/>
      <c r="F1478" s="131"/>
      <c r="G1478" s="319"/>
      <c r="H1478" s="319"/>
      <c r="I1478" s="319"/>
      <c r="J1478" s="132"/>
      <c r="K1478" s="319"/>
      <c r="L1478" s="135"/>
      <c r="M1478" s="321"/>
      <c r="N1478" s="322"/>
      <c r="O1478" s="150"/>
      <c r="P1478" s="135"/>
      <c r="Q1478" s="135"/>
      <c r="R1478" s="321"/>
      <c r="S1478" s="322"/>
      <c r="T1478" s="319"/>
      <c r="U1478" s="322"/>
      <c r="V1478" s="322"/>
      <c r="W1478" s="322"/>
      <c r="X1478" s="322"/>
      <c r="Y1478" s="319"/>
      <c r="Z1478" s="136" t="str">
        <f t="shared" si="16"/>
        <v/>
      </c>
      <c r="AA1478" s="137" t="str">
        <f t="shared" si="17"/>
        <v/>
      </c>
      <c r="AB1478" s="138" t="str">
        <f t="shared" si="19"/>
        <v/>
      </c>
      <c r="AC1478" s="322"/>
      <c r="AD1478" s="319"/>
      <c r="AE1478" s="320"/>
    </row>
    <row r="1479" ht="18.0" customHeight="1">
      <c r="A1479" s="118" t="str">
        <f t="shared" si="15"/>
        <v/>
      </c>
      <c r="B1479" s="109"/>
      <c r="C1479" s="119"/>
      <c r="D1479" s="119"/>
      <c r="E1479" s="330"/>
      <c r="F1479" s="121"/>
      <c r="G1479" s="153"/>
      <c r="H1479" s="153"/>
      <c r="I1479" s="153"/>
      <c r="J1479" s="112"/>
      <c r="K1479" s="153"/>
      <c r="L1479" s="114"/>
      <c r="M1479" s="151"/>
      <c r="N1479" s="152"/>
      <c r="O1479" s="150"/>
      <c r="P1479" s="114"/>
      <c r="Q1479" s="114"/>
      <c r="R1479" s="151"/>
      <c r="S1479" s="152"/>
      <c r="T1479" s="153"/>
      <c r="U1479" s="152"/>
      <c r="V1479" s="152"/>
      <c r="W1479" s="152"/>
      <c r="X1479" s="152"/>
      <c r="Y1479" s="153"/>
      <c r="Z1479" s="125" t="str">
        <f t="shared" si="16"/>
        <v/>
      </c>
      <c r="AA1479" s="126" t="str">
        <f t="shared" si="17"/>
        <v/>
      </c>
      <c r="AB1479" s="117" t="str">
        <f t="shared" si="19"/>
        <v/>
      </c>
      <c r="AC1479" s="152"/>
      <c r="AD1479" s="153"/>
      <c r="AE1479" s="156"/>
    </row>
    <row r="1480" ht="18.0" customHeight="1">
      <c r="A1480" s="127" t="str">
        <f t="shared" si="15"/>
        <v/>
      </c>
      <c r="B1480" s="128"/>
      <c r="C1480" s="129"/>
      <c r="D1480" s="129"/>
      <c r="E1480" s="325"/>
      <c r="F1480" s="131"/>
      <c r="G1480" s="319"/>
      <c r="H1480" s="319"/>
      <c r="I1480" s="319"/>
      <c r="J1480" s="132"/>
      <c r="K1480" s="319"/>
      <c r="L1480" s="135"/>
      <c r="M1480" s="321"/>
      <c r="N1480" s="322"/>
      <c r="O1480" s="150"/>
      <c r="P1480" s="135"/>
      <c r="Q1480" s="135"/>
      <c r="R1480" s="321"/>
      <c r="S1480" s="322"/>
      <c r="T1480" s="319"/>
      <c r="U1480" s="322"/>
      <c r="V1480" s="322"/>
      <c r="W1480" s="322"/>
      <c r="X1480" s="322"/>
      <c r="Y1480" s="319"/>
      <c r="Z1480" s="136" t="str">
        <f t="shared" si="16"/>
        <v/>
      </c>
      <c r="AA1480" s="137" t="str">
        <f t="shared" si="17"/>
        <v/>
      </c>
      <c r="AB1480" s="138" t="str">
        <f t="shared" si="19"/>
        <v/>
      </c>
      <c r="AC1480" s="322"/>
      <c r="AD1480" s="319"/>
      <c r="AE1480" s="320"/>
    </row>
    <row r="1481" ht="18.0" customHeight="1">
      <c r="A1481" s="118" t="str">
        <f t="shared" si="15"/>
        <v/>
      </c>
      <c r="B1481" s="109"/>
      <c r="C1481" s="119"/>
      <c r="D1481" s="119"/>
      <c r="E1481" s="330"/>
      <c r="F1481" s="121"/>
      <c r="G1481" s="153"/>
      <c r="H1481" s="153"/>
      <c r="I1481" s="153"/>
      <c r="J1481" s="112"/>
      <c r="K1481" s="153"/>
      <c r="L1481" s="114"/>
      <c r="M1481" s="151"/>
      <c r="N1481" s="152"/>
      <c r="O1481" s="150"/>
      <c r="P1481" s="114"/>
      <c r="Q1481" s="114"/>
      <c r="R1481" s="151"/>
      <c r="S1481" s="152"/>
      <c r="T1481" s="153"/>
      <c r="U1481" s="152"/>
      <c r="V1481" s="152"/>
      <c r="W1481" s="152"/>
      <c r="X1481" s="152"/>
      <c r="Y1481" s="153"/>
      <c r="Z1481" s="125" t="str">
        <f t="shared" si="16"/>
        <v/>
      </c>
      <c r="AA1481" s="126" t="str">
        <f t="shared" si="17"/>
        <v/>
      </c>
      <c r="AB1481" s="117" t="str">
        <f t="shared" si="19"/>
        <v/>
      </c>
      <c r="AC1481" s="152"/>
      <c r="AD1481" s="153"/>
      <c r="AE1481" s="156"/>
    </row>
    <row r="1482" ht="18.0" customHeight="1">
      <c r="A1482" s="127" t="str">
        <f t="shared" si="15"/>
        <v/>
      </c>
      <c r="B1482" s="128"/>
      <c r="C1482" s="129"/>
      <c r="D1482" s="129"/>
      <c r="E1482" s="325"/>
      <c r="F1482" s="131"/>
      <c r="G1482" s="319"/>
      <c r="H1482" s="319"/>
      <c r="I1482" s="319"/>
      <c r="J1482" s="132"/>
      <c r="K1482" s="319"/>
      <c r="L1482" s="135"/>
      <c r="M1482" s="321"/>
      <c r="N1482" s="322"/>
      <c r="O1482" s="150"/>
      <c r="P1482" s="135"/>
      <c r="Q1482" s="135"/>
      <c r="R1482" s="321"/>
      <c r="S1482" s="322"/>
      <c r="T1482" s="319"/>
      <c r="U1482" s="322"/>
      <c r="V1482" s="322"/>
      <c r="W1482" s="322"/>
      <c r="X1482" s="322"/>
      <c r="Y1482" s="319"/>
      <c r="Z1482" s="136" t="str">
        <f t="shared" si="16"/>
        <v/>
      </c>
      <c r="AA1482" s="137" t="str">
        <f t="shared" si="17"/>
        <v/>
      </c>
      <c r="AB1482" s="138" t="str">
        <f t="shared" si="19"/>
        <v/>
      </c>
      <c r="AC1482" s="322"/>
      <c r="AD1482" s="319"/>
      <c r="AE1482" s="320"/>
    </row>
    <row r="1483" ht="18.0" customHeight="1">
      <c r="A1483" s="118" t="str">
        <f t="shared" si="15"/>
        <v/>
      </c>
      <c r="B1483" s="109"/>
      <c r="C1483" s="119"/>
      <c r="D1483" s="119"/>
      <c r="E1483" s="330"/>
      <c r="F1483" s="121"/>
      <c r="G1483" s="153"/>
      <c r="H1483" s="153"/>
      <c r="I1483" s="153"/>
      <c r="J1483" s="112"/>
      <c r="K1483" s="153"/>
      <c r="L1483" s="114"/>
      <c r="M1483" s="151"/>
      <c r="N1483" s="152"/>
      <c r="O1483" s="150"/>
      <c r="P1483" s="114"/>
      <c r="Q1483" s="114"/>
      <c r="R1483" s="151"/>
      <c r="S1483" s="152"/>
      <c r="T1483" s="153"/>
      <c r="U1483" s="152"/>
      <c r="V1483" s="152"/>
      <c r="W1483" s="152"/>
      <c r="X1483" s="152"/>
      <c r="Y1483" s="153"/>
      <c r="Z1483" s="125" t="str">
        <f t="shared" si="16"/>
        <v/>
      </c>
      <c r="AA1483" s="126" t="str">
        <f t="shared" si="17"/>
        <v/>
      </c>
      <c r="AB1483" s="117" t="str">
        <f t="shared" si="19"/>
        <v/>
      </c>
      <c r="AC1483" s="152"/>
      <c r="AD1483" s="153"/>
      <c r="AE1483" s="156"/>
    </row>
    <row r="1484" ht="18.0" customHeight="1">
      <c r="A1484" s="127" t="str">
        <f t="shared" si="15"/>
        <v/>
      </c>
      <c r="B1484" s="128"/>
      <c r="C1484" s="129"/>
      <c r="D1484" s="129"/>
      <c r="E1484" s="325"/>
      <c r="F1484" s="131"/>
      <c r="G1484" s="319"/>
      <c r="H1484" s="319"/>
      <c r="I1484" s="319"/>
      <c r="J1484" s="132"/>
      <c r="K1484" s="319"/>
      <c r="L1484" s="135"/>
      <c r="M1484" s="321"/>
      <c r="N1484" s="322"/>
      <c r="O1484" s="150"/>
      <c r="P1484" s="135"/>
      <c r="Q1484" s="135"/>
      <c r="R1484" s="321"/>
      <c r="S1484" s="322"/>
      <c r="T1484" s="319"/>
      <c r="U1484" s="322"/>
      <c r="V1484" s="322"/>
      <c r="W1484" s="322"/>
      <c r="X1484" s="322"/>
      <c r="Y1484" s="319"/>
      <c r="Z1484" s="136" t="str">
        <f t="shared" si="16"/>
        <v/>
      </c>
      <c r="AA1484" s="137" t="str">
        <f t="shared" si="17"/>
        <v/>
      </c>
      <c r="AB1484" s="138" t="str">
        <f t="shared" si="19"/>
        <v/>
      </c>
      <c r="AC1484" s="322"/>
      <c r="AD1484" s="319"/>
      <c r="AE1484" s="320"/>
    </row>
    <row r="1485" ht="18.0" customHeight="1">
      <c r="A1485" s="118" t="str">
        <f t="shared" si="15"/>
        <v/>
      </c>
      <c r="B1485" s="109"/>
      <c r="C1485" s="119"/>
      <c r="D1485" s="119"/>
      <c r="E1485" s="330"/>
      <c r="F1485" s="121"/>
      <c r="G1485" s="153"/>
      <c r="H1485" s="153"/>
      <c r="I1485" s="153"/>
      <c r="J1485" s="112"/>
      <c r="K1485" s="153"/>
      <c r="L1485" s="114"/>
      <c r="M1485" s="151"/>
      <c r="N1485" s="152"/>
      <c r="O1485" s="150"/>
      <c r="P1485" s="114"/>
      <c r="Q1485" s="114"/>
      <c r="R1485" s="151"/>
      <c r="S1485" s="152"/>
      <c r="T1485" s="153"/>
      <c r="U1485" s="152"/>
      <c r="V1485" s="152"/>
      <c r="W1485" s="152"/>
      <c r="X1485" s="152"/>
      <c r="Y1485" s="153"/>
      <c r="Z1485" s="125" t="str">
        <f t="shared" si="16"/>
        <v/>
      </c>
      <c r="AA1485" s="126" t="str">
        <f t="shared" si="17"/>
        <v/>
      </c>
      <c r="AB1485" s="117" t="str">
        <f t="shared" si="19"/>
        <v/>
      </c>
      <c r="AC1485" s="152"/>
      <c r="AD1485" s="153"/>
      <c r="AE1485" s="156"/>
    </row>
    <row r="1486" ht="18.0" customHeight="1">
      <c r="A1486" s="127" t="str">
        <f t="shared" si="15"/>
        <v/>
      </c>
      <c r="B1486" s="128"/>
      <c r="C1486" s="129"/>
      <c r="D1486" s="129"/>
      <c r="E1486" s="325"/>
      <c r="F1486" s="131"/>
      <c r="G1486" s="319"/>
      <c r="H1486" s="319"/>
      <c r="I1486" s="319"/>
      <c r="J1486" s="132"/>
      <c r="K1486" s="319"/>
      <c r="L1486" s="135"/>
      <c r="M1486" s="321"/>
      <c r="N1486" s="322"/>
      <c r="O1486" s="150"/>
      <c r="P1486" s="135"/>
      <c r="Q1486" s="135"/>
      <c r="R1486" s="321"/>
      <c r="S1486" s="322"/>
      <c r="T1486" s="319"/>
      <c r="U1486" s="322"/>
      <c r="V1486" s="322"/>
      <c r="W1486" s="322"/>
      <c r="X1486" s="322"/>
      <c r="Y1486" s="319"/>
      <c r="Z1486" s="136" t="str">
        <f t="shared" si="16"/>
        <v/>
      </c>
      <c r="AA1486" s="137" t="str">
        <f t="shared" si="17"/>
        <v/>
      </c>
      <c r="AB1486" s="138" t="str">
        <f t="shared" si="19"/>
        <v/>
      </c>
      <c r="AC1486" s="322"/>
      <c r="AD1486" s="319"/>
      <c r="AE1486" s="320"/>
    </row>
    <row r="1487" ht="18.0" customHeight="1">
      <c r="A1487" s="118" t="str">
        <f t="shared" si="15"/>
        <v/>
      </c>
      <c r="B1487" s="109"/>
      <c r="C1487" s="119"/>
      <c r="D1487" s="119"/>
      <c r="E1487" s="330"/>
      <c r="F1487" s="121"/>
      <c r="G1487" s="153"/>
      <c r="H1487" s="153"/>
      <c r="I1487" s="153"/>
      <c r="J1487" s="112"/>
      <c r="K1487" s="153"/>
      <c r="L1487" s="114"/>
      <c r="M1487" s="151"/>
      <c r="N1487" s="152"/>
      <c r="O1487" s="150"/>
      <c r="P1487" s="114"/>
      <c r="Q1487" s="114"/>
      <c r="R1487" s="151"/>
      <c r="S1487" s="152"/>
      <c r="T1487" s="153"/>
      <c r="U1487" s="152"/>
      <c r="V1487" s="152"/>
      <c r="W1487" s="152"/>
      <c r="X1487" s="152"/>
      <c r="Y1487" s="153"/>
      <c r="Z1487" s="125" t="str">
        <f t="shared" si="16"/>
        <v/>
      </c>
      <c r="AA1487" s="126" t="str">
        <f t="shared" si="17"/>
        <v/>
      </c>
      <c r="AB1487" s="117" t="str">
        <f t="shared" si="19"/>
        <v/>
      </c>
      <c r="AC1487" s="152"/>
      <c r="AD1487" s="153"/>
      <c r="AE1487" s="156"/>
    </row>
    <row r="1488" ht="18.0" customHeight="1">
      <c r="A1488" s="127" t="str">
        <f t="shared" si="15"/>
        <v/>
      </c>
      <c r="B1488" s="128"/>
      <c r="C1488" s="129"/>
      <c r="D1488" s="129"/>
      <c r="E1488" s="325"/>
      <c r="F1488" s="131"/>
      <c r="G1488" s="319"/>
      <c r="H1488" s="319"/>
      <c r="I1488" s="319"/>
      <c r="J1488" s="132"/>
      <c r="K1488" s="319"/>
      <c r="L1488" s="135"/>
      <c r="M1488" s="321"/>
      <c r="N1488" s="322"/>
      <c r="O1488" s="150"/>
      <c r="P1488" s="135"/>
      <c r="Q1488" s="135"/>
      <c r="R1488" s="321"/>
      <c r="S1488" s="322"/>
      <c r="T1488" s="319"/>
      <c r="U1488" s="322"/>
      <c r="V1488" s="322"/>
      <c r="W1488" s="322"/>
      <c r="X1488" s="322"/>
      <c r="Y1488" s="319"/>
      <c r="Z1488" s="136" t="str">
        <f t="shared" si="16"/>
        <v/>
      </c>
      <c r="AA1488" s="137" t="str">
        <f t="shared" si="17"/>
        <v/>
      </c>
      <c r="AB1488" s="138" t="str">
        <f t="shared" si="19"/>
        <v/>
      </c>
      <c r="AC1488" s="322"/>
      <c r="AD1488" s="319"/>
      <c r="AE1488" s="320"/>
    </row>
    <row r="1489" ht="18.0" customHeight="1">
      <c r="A1489" s="118" t="str">
        <f t="shared" si="15"/>
        <v/>
      </c>
      <c r="B1489" s="109"/>
      <c r="C1489" s="119"/>
      <c r="D1489" s="119"/>
      <c r="E1489" s="330"/>
      <c r="F1489" s="121"/>
      <c r="G1489" s="153"/>
      <c r="H1489" s="153"/>
      <c r="I1489" s="153"/>
      <c r="J1489" s="112"/>
      <c r="K1489" s="153"/>
      <c r="L1489" s="114"/>
      <c r="M1489" s="151"/>
      <c r="N1489" s="152"/>
      <c r="O1489" s="150"/>
      <c r="P1489" s="114"/>
      <c r="Q1489" s="114"/>
      <c r="R1489" s="151"/>
      <c r="S1489" s="152"/>
      <c r="T1489" s="153"/>
      <c r="U1489" s="152"/>
      <c r="V1489" s="152"/>
      <c r="W1489" s="152"/>
      <c r="X1489" s="152"/>
      <c r="Y1489" s="153"/>
      <c r="Z1489" s="125" t="str">
        <f t="shared" si="16"/>
        <v/>
      </c>
      <c r="AA1489" s="126" t="str">
        <f t="shared" si="17"/>
        <v/>
      </c>
      <c r="AB1489" s="117" t="str">
        <f t="shared" si="19"/>
        <v/>
      </c>
      <c r="AC1489" s="152"/>
      <c r="AD1489" s="153"/>
      <c r="AE1489" s="156"/>
    </row>
    <row r="1490" ht="18.0" customHeight="1">
      <c r="A1490" s="127" t="str">
        <f t="shared" si="15"/>
        <v/>
      </c>
      <c r="B1490" s="128"/>
      <c r="C1490" s="129"/>
      <c r="D1490" s="129"/>
      <c r="E1490" s="325"/>
      <c r="F1490" s="131"/>
      <c r="G1490" s="319"/>
      <c r="H1490" s="319"/>
      <c r="I1490" s="319"/>
      <c r="J1490" s="132"/>
      <c r="K1490" s="319"/>
      <c r="L1490" s="135"/>
      <c r="M1490" s="321"/>
      <c r="N1490" s="322"/>
      <c r="O1490" s="150"/>
      <c r="P1490" s="135"/>
      <c r="Q1490" s="135"/>
      <c r="R1490" s="321"/>
      <c r="S1490" s="322"/>
      <c r="T1490" s="319"/>
      <c r="U1490" s="322"/>
      <c r="V1490" s="322"/>
      <c r="W1490" s="322"/>
      <c r="X1490" s="322"/>
      <c r="Y1490" s="319"/>
      <c r="Z1490" s="136" t="str">
        <f t="shared" si="16"/>
        <v/>
      </c>
      <c r="AA1490" s="137" t="str">
        <f t="shared" si="17"/>
        <v/>
      </c>
      <c r="AB1490" s="138" t="str">
        <f t="shared" si="19"/>
        <v/>
      </c>
      <c r="AC1490" s="322"/>
      <c r="AD1490" s="319"/>
      <c r="AE1490" s="320"/>
    </row>
    <row r="1491" ht="18.0" customHeight="1">
      <c r="A1491" s="118" t="str">
        <f t="shared" si="15"/>
        <v/>
      </c>
      <c r="B1491" s="109"/>
      <c r="C1491" s="119"/>
      <c r="D1491" s="119"/>
      <c r="E1491" s="330"/>
      <c r="F1491" s="121"/>
      <c r="G1491" s="153"/>
      <c r="H1491" s="153"/>
      <c r="I1491" s="153"/>
      <c r="J1491" s="112"/>
      <c r="K1491" s="153"/>
      <c r="L1491" s="114"/>
      <c r="M1491" s="151"/>
      <c r="N1491" s="152"/>
      <c r="O1491" s="150"/>
      <c r="P1491" s="114"/>
      <c r="Q1491" s="114"/>
      <c r="R1491" s="151"/>
      <c r="S1491" s="152"/>
      <c r="T1491" s="153"/>
      <c r="U1491" s="152"/>
      <c r="V1491" s="152"/>
      <c r="W1491" s="152"/>
      <c r="X1491" s="152"/>
      <c r="Y1491" s="153"/>
      <c r="Z1491" s="125" t="str">
        <f t="shared" si="16"/>
        <v/>
      </c>
      <c r="AA1491" s="126" t="str">
        <f t="shared" si="17"/>
        <v/>
      </c>
      <c r="AB1491" s="117" t="str">
        <f t="shared" si="19"/>
        <v/>
      </c>
      <c r="AC1491" s="152"/>
      <c r="AD1491" s="153"/>
      <c r="AE1491" s="156"/>
    </row>
    <row r="1492" ht="18.0" customHeight="1">
      <c r="A1492" s="127" t="str">
        <f t="shared" si="15"/>
        <v/>
      </c>
      <c r="B1492" s="128"/>
      <c r="C1492" s="129"/>
      <c r="D1492" s="129"/>
      <c r="E1492" s="325"/>
      <c r="F1492" s="131"/>
      <c r="G1492" s="319"/>
      <c r="H1492" s="319"/>
      <c r="I1492" s="319"/>
      <c r="J1492" s="132"/>
      <c r="K1492" s="319"/>
      <c r="L1492" s="135"/>
      <c r="M1492" s="321"/>
      <c r="N1492" s="322"/>
      <c r="O1492" s="150"/>
      <c r="P1492" s="135"/>
      <c r="Q1492" s="135"/>
      <c r="R1492" s="321"/>
      <c r="S1492" s="322"/>
      <c r="T1492" s="319"/>
      <c r="U1492" s="322"/>
      <c r="V1492" s="322"/>
      <c r="W1492" s="322"/>
      <c r="X1492" s="322"/>
      <c r="Y1492" s="319"/>
      <c r="Z1492" s="136" t="str">
        <f t="shared" si="16"/>
        <v/>
      </c>
      <c r="AA1492" s="137" t="str">
        <f t="shared" si="17"/>
        <v/>
      </c>
      <c r="AB1492" s="138" t="str">
        <f t="shared" si="19"/>
        <v/>
      </c>
      <c r="AC1492" s="322"/>
      <c r="AD1492" s="319"/>
      <c r="AE1492" s="320"/>
    </row>
    <row r="1493" ht="18.0" customHeight="1">
      <c r="A1493" s="118" t="str">
        <f t="shared" si="15"/>
        <v/>
      </c>
      <c r="B1493" s="109"/>
      <c r="C1493" s="119"/>
      <c r="D1493" s="119"/>
      <c r="E1493" s="330"/>
      <c r="F1493" s="121"/>
      <c r="G1493" s="153"/>
      <c r="H1493" s="153"/>
      <c r="I1493" s="153"/>
      <c r="J1493" s="112"/>
      <c r="K1493" s="153"/>
      <c r="L1493" s="114"/>
      <c r="M1493" s="151"/>
      <c r="N1493" s="152"/>
      <c r="O1493" s="150"/>
      <c r="P1493" s="114"/>
      <c r="Q1493" s="114"/>
      <c r="R1493" s="151"/>
      <c r="S1493" s="152"/>
      <c r="T1493" s="153"/>
      <c r="U1493" s="152"/>
      <c r="V1493" s="152"/>
      <c r="W1493" s="152"/>
      <c r="X1493" s="152"/>
      <c r="Y1493" s="153"/>
      <c r="Z1493" s="125" t="str">
        <f t="shared" si="16"/>
        <v/>
      </c>
      <c r="AA1493" s="126" t="str">
        <f t="shared" si="17"/>
        <v/>
      </c>
      <c r="AB1493" s="117" t="str">
        <f t="shared" si="19"/>
        <v/>
      </c>
      <c r="AC1493" s="152"/>
      <c r="AD1493" s="153"/>
      <c r="AE1493" s="156"/>
    </row>
    <row r="1494" ht="18.0" customHeight="1">
      <c r="A1494" s="127" t="str">
        <f t="shared" si="15"/>
        <v/>
      </c>
      <c r="B1494" s="128"/>
      <c r="C1494" s="129"/>
      <c r="D1494" s="129"/>
      <c r="E1494" s="325"/>
      <c r="F1494" s="131"/>
      <c r="G1494" s="319"/>
      <c r="H1494" s="319"/>
      <c r="I1494" s="319"/>
      <c r="J1494" s="132"/>
      <c r="K1494" s="319"/>
      <c r="L1494" s="135"/>
      <c r="M1494" s="321"/>
      <c r="N1494" s="322"/>
      <c r="O1494" s="150"/>
      <c r="P1494" s="135"/>
      <c r="Q1494" s="135"/>
      <c r="R1494" s="321"/>
      <c r="S1494" s="322"/>
      <c r="T1494" s="319"/>
      <c r="U1494" s="322"/>
      <c r="V1494" s="322"/>
      <c r="W1494" s="322"/>
      <c r="X1494" s="322"/>
      <c r="Y1494" s="319"/>
      <c r="Z1494" s="136" t="str">
        <f t="shared" si="16"/>
        <v/>
      </c>
      <c r="AA1494" s="137" t="str">
        <f t="shared" si="17"/>
        <v/>
      </c>
      <c r="AB1494" s="138" t="str">
        <f t="shared" si="19"/>
        <v/>
      </c>
      <c r="AC1494" s="322"/>
      <c r="AD1494" s="319"/>
      <c r="AE1494" s="320"/>
    </row>
    <row r="1495" ht="18.0" customHeight="1">
      <c r="A1495" s="118" t="str">
        <f t="shared" si="15"/>
        <v/>
      </c>
      <c r="B1495" s="109"/>
      <c r="C1495" s="119"/>
      <c r="D1495" s="119"/>
      <c r="E1495" s="330"/>
      <c r="F1495" s="121"/>
      <c r="G1495" s="153"/>
      <c r="H1495" s="153"/>
      <c r="I1495" s="153"/>
      <c r="J1495" s="112"/>
      <c r="K1495" s="153"/>
      <c r="L1495" s="114"/>
      <c r="M1495" s="151"/>
      <c r="N1495" s="152"/>
      <c r="O1495" s="150"/>
      <c r="P1495" s="114"/>
      <c r="Q1495" s="114"/>
      <c r="R1495" s="151"/>
      <c r="S1495" s="152"/>
      <c r="T1495" s="153"/>
      <c r="U1495" s="152"/>
      <c r="V1495" s="152"/>
      <c r="W1495" s="152"/>
      <c r="X1495" s="152"/>
      <c r="Y1495" s="153"/>
      <c r="Z1495" s="125" t="str">
        <f t="shared" si="16"/>
        <v/>
      </c>
      <c r="AA1495" s="126" t="str">
        <f t="shared" si="17"/>
        <v/>
      </c>
      <c r="AB1495" s="117" t="str">
        <f t="shared" si="19"/>
        <v/>
      </c>
      <c r="AC1495" s="152"/>
      <c r="AD1495" s="153"/>
      <c r="AE1495" s="156"/>
    </row>
    <row r="1496" ht="18.0" customHeight="1">
      <c r="A1496" s="127" t="str">
        <f t="shared" si="15"/>
        <v/>
      </c>
      <c r="B1496" s="128"/>
      <c r="C1496" s="129"/>
      <c r="D1496" s="129"/>
      <c r="E1496" s="325"/>
      <c r="F1496" s="131"/>
      <c r="G1496" s="319"/>
      <c r="H1496" s="319"/>
      <c r="I1496" s="319"/>
      <c r="J1496" s="132"/>
      <c r="K1496" s="319"/>
      <c r="L1496" s="135"/>
      <c r="M1496" s="321"/>
      <c r="N1496" s="322"/>
      <c r="O1496" s="150"/>
      <c r="P1496" s="135"/>
      <c r="Q1496" s="135"/>
      <c r="R1496" s="321"/>
      <c r="S1496" s="322"/>
      <c r="T1496" s="319"/>
      <c r="U1496" s="322"/>
      <c r="V1496" s="322"/>
      <c r="W1496" s="322"/>
      <c r="X1496" s="322"/>
      <c r="Y1496" s="319"/>
      <c r="Z1496" s="136" t="str">
        <f t="shared" si="16"/>
        <v/>
      </c>
      <c r="AA1496" s="137" t="str">
        <f t="shared" si="17"/>
        <v/>
      </c>
      <c r="AB1496" s="138" t="str">
        <f t="shared" si="19"/>
        <v/>
      </c>
      <c r="AC1496" s="322"/>
      <c r="AD1496" s="319"/>
      <c r="AE1496" s="320"/>
    </row>
    <row r="1497" ht="18.0" customHeight="1">
      <c r="A1497" s="118" t="str">
        <f t="shared" si="15"/>
        <v/>
      </c>
      <c r="B1497" s="109"/>
      <c r="C1497" s="119"/>
      <c r="D1497" s="119"/>
      <c r="E1497" s="330"/>
      <c r="F1497" s="121"/>
      <c r="G1497" s="153"/>
      <c r="H1497" s="153"/>
      <c r="I1497" s="153"/>
      <c r="J1497" s="112"/>
      <c r="K1497" s="153"/>
      <c r="L1497" s="114"/>
      <c r="M1497" s="151"/>
      <c r="N1497" s="152"/>
      <c r="O1497" s="150"/>
      <c r="P1497" s="114"/>
      <c r="Q1497" s="114"/>
      <c r="R1497" s="151"/>
      <c r="S1497" s="152"/>
      <c r="T1497" s="153"/>
      <c r="U1497" s="152"/>
      <c r="V1497" s="152"/>
      <c r="W1497" s="152"/>
      <c r="X1497" s="152"/>
      <c r="Y1497" s="153"/>
      <c r="Z1497" s="125" t="str">
        <f t="shared" si="16"/>
        <v/>
      </c>
      <c r="AA1497" s="126" t="str">
        <f t="shared" si="17"/>
        <v/>
      </c>
      <c r="AB1497" s="117" t="str">
        <f t="shared" si="19"/>
        <v/>
      </c>
      <c r="AC1497" s="152"/>
      <c r="AD1497" s="153"/>
      <c r="AE1497" s="156"/>
    </row>
    <row r="1498" ht="18.0" customHeight="1">
      <c r="A1498" s="127" t="str">
        <f t="shared" si="15"/>
        <v/>
      </c>
      <c r="B1498" s="128"/>
      <c r="C1498" s="129"/>
      <c r="D1498" s="129"/>
      <c r="E1498" s="325"/>
      <c r="F1498" s="131"/>
      <c r="G1498" s="319"/>
      <c r="H1498" s="319"/>
      <c r="I1498" s="319"/>
      <c r="J1498" s="132"/>
      <c r="K1498" s="319"/>
      <c r="L1498" s="135"/>
      <c r="M1498" s="321"/>
      <c r="N1498" s="322"/>
      <c r="O1498" s="150"/>
      <c r="P1498" s="135"/>
      <c r="Q1498" s="135"/>
      <c r="R1498" s="321"/>
      <c r="S1498" s="322"/>
      <c r="T1498" s="319"/>
      <c r="U1498" s="322"/>
      <c r="V1498" s="322"/>
      <c r="W1498" s="322"/>
      <c r="X1498" s="322"/>
      <c r="Y1498" s="319"/>
      <c r="Z1498" s="136" t="str">
        <f t="shared" si="16"/>
        <v/>
      </c>
      <c r="AA1498" s="137" t="str">
        <f t="shared" si="17"/>
        <v/>
      </c>
      <c r="AB1498" s="138" t="str">
        <f t="shared" si="19"/>
        <v/>
      </c>
      <c r="AC1498" s="322"/>
      <c r="AD1498" s="319"/>
      <c r="AE1498" s="320"/>
    </row>
    <row r="1499" ht="18.0" customHeight="1">
      <c r="A1499" s="118" t="str">
        <f t="shared" si="15"/>
        <v/>
      </c>
      <c r="B1499" s="109"/>
      <c r="C1499" s="119"/>
      <c r="D1499" s="119"/>
      <c r="E1499" s="330"/>
      <c r="F1499" s="121"/>
      <c r="G1499" s="153"/>
      <c r="H1499" s="153"/>
      <c r="I1499" s="153"/>
      <c r="J1499" s="112"/>
      <c r="K1499" s="153"/>
      <c r="L1499" s="114"/>
      <c r="M1499" s="151"/>
      <c r="N1499" s="152"/>
      <c r="O1499" s="150"/>
      <c r="P1499" s="114"/>
      <c r="Q1499" s="114"/>
      <c r="R1499" s="151"/>
      <c r="S1499" s="152"/>
      <c r="T1499" s="153"/>
      <c r="U1499" s="152"/>
      <c r="V1499" s="152"/>
      <c r="W1499" s="152"/>
      <c r="X1499" s="152"/>
      <c r="Y1499" s="153"/>
      <c r="Z1499" s="125" t="str">
        <f t="shared" si="16"/>
        <v/>
      </c>
      <c r="AA1499" s="126" t="str">
        <f t="shared" si="17"/>
        <v/>
      </c>
      <c r="AB1499" s="117" t="str">
        <f t="shared" si="19"/>
        <v/>
      </c>
      <c r="AC1499" s="152"/>
      <c r="AD1499" s="153"/>
      <c r="AE1499" s="156"/>
    </row>
    <row r="1500" ht="18.0" customHeight="1">
      <c r="A1500" s="127" t="str">
        <f t="shared" si="15"/>
        <v/>
      </c>
      <c r="B1500" s="128"/>
      <c r="C1500" s="129"/>
      <c r="D1500" s="129"/>
      <c r="E1500" s="325"/>
      <c r="F1500" s="131"/>
      <c r="G1500" s="319"/>
      <c r="H1500" s="319"/>
      <c r="I1500" s="319"/>
      <c r="J1500" s="132"/>
      <c r="K1500" s="319"/>
      <c r="L1500" s="135"/>
      <c r="M1500" s="321"/>
      <c r="N1500" s="322"/>
      <c r="O1500" s="150"/>
      <c r="P1500" s="135"/>
      <c r="Q1500" s="135"/>
      <c r="R1500" s="321"/>
      <c r="S1500" s="322"/>
      <c r="T1500" s="319"/>
      <c r="U1500" s="322"/>
      <c r="V1500" s="322"/>
      <c r="W1500" s="322"/>
      <c r="X1500" s="322"/>
      <c r="Y1500" s="319"/>
      <c r="Z1500" s="136" t="str">
        <f t="shared" si="16"/>
        <v/>
      </c>
      <c r="AA1500" s="137" t="str">
        <f t="shared" si="17"/>
        <v/>
      </c>
      <c r="AB1500" s="138" t="str">
        <f t="shared" si="19"/>
        <v/>
      </c>
      <c r="AC1500" s="322"/>
      <c r="AD1500" s="319"/>
      <c r="AE1500" s="320"/>
    </row>
    <row r="1501" ht="18.0" customHeight="1">
      <c r="A1501" s="118" t="str">
        <f t="shared" si="15"/>
        <v/>
      </c>
      <c r="B1501" s="109"/>
      <c r="C1501" s="119"/>
      <c r="D1501" s="119"/>
      <c r="E1501" s="330"/>
      <c r="F1501" s="121"/>
      <c r="G1501" s="153"/>
      <c r="H1501" s="153"/>
      <c r="I1501" s="153"/>
      <c r="J1501" s="112"/>
      <c r="K1501" s="153"/>
      <c r="L1501" s="114"/>
      <c r="M1501" s="151"/>
      <c r="N1501" s="152"/>
      <c r="O1501" s="150"/>
      <c r="P1501" s="114"/>
      <c r="Q1501" s="114"/>
      <c r="R1501" s="151"/>
      <c r="S1501" s="152"/>
      <c r="T1501" s="153"/>
      <c r="U1501" s="152"/>
      <c r="V1501" s="152"/>
      <c r="W1501" s="152"/>
      <c r="X1501" s="152"/>
      <c r="Y1501" s="153"/>
      <c r="Z1501" s="125" t="str">
        <f t="shared" si="16"/>
        <v/>
      </c>
      <c r="AA1501" s="126" t="str">
        <f t="shared" si="17"/>
        <v/>
      </c>
      <c r="AB1501" s="117" t="str">
        <f t="shared" si="19"/>
        <v/>
      </c>
      <c r="AC1501" s="152"/>
      <c r="AD1501" s="153"/>
      <c r="AE1501" s="156"/>
    </row>
    <row r="1502" ht="18.0" customHeight="1">
      <c r="A1502" s="127" t="str">
        <f t="shared" si="15"/>
        <v/>
      </c>
      <c r="B1502" s="128"/>
      <c r="C1502" s="129"/>
      <c r="D1502" s="129"/>
      <c r="E1502" s="325"/>
      <c r="F1502" s="131"/>
      <c r="G1502" s="319"/>
      <c r="H1502" s="319"/>
      <c r="I1502" s="319"/>
      <c r="J1502" s="132"/>
      <c r="K1502" s="319"/>
      <c r="L1502" s="135"/>
      <c r="M1502" s="321"/>
      <c r="N1502" s="322"/>
      <c r="O1502" s="150"/>
      <c r="P1502" s="135"/>
      <c r="Q1502" s="135"/>
      <c r="R1502" s="321"/>
      <c r="S1502" s="322"/>
      <c r="T1502" s="319"/>
      <c r="U1502" s="322"/>
      <c r="V1502" s="322"/>
      <c r="W1502" s="322"/>
      <c r="X1502" s="322"/>
      <c r="Y1502" s="319"/>
      <c r="Z1502" s="136" t="str">
        <f t="shared" si="16"/>
        <v/>
      </c>
      <c r="AA1502" s="137" t="str">
        <f t="shared" si="17"/>
        <v/>
      </c>
      <c r="AB1502" s="138" t="str">
        <f t="shared" si="19"/>
        <v/>
      </c>
      <c r="AC1502" s="322"/>
      <c r="AD1502" s="319"/>
      <c r="AE1502" s="320"/>
    </row>
    <row r="1503" ht="18.0" customHeight="1">
      <c r="A1503" s="118" t="str">
        <f t="shared" si="15"/>
        <v/>
      </c>
      <c r="B1503" s="109"/>
      <c r="C1503" s="119"/>
      <c r="D1503" s="119"/>
      <c r="E1503" s="330"/>
      <c r="F1503" s="121"/>
      <c r="G1503" s="153"/>
      <c r="H1503" s="153"/>
      <c r="I1503" s="153"/>
      <c r="J1503" s="112"/>
      <c r="K1503" s="153"/>
      <c r="L1503" s="114"/>
      <c r="M1503" s="151"/>
      <c r="N1503" s="152"/>
      <c r="O1503" s="150"/>
      <c r="P1503" s="114"/>
      <c r="Q1503" s="114"/>
      <c r="R1503" s="151"/>
      <c r="S1503" s="152"/>
      <c r="T1503" s="153"/>
      <c r="U1503" s="152"/>
      <c r="V1503" s="152"/>
      <c r="W1503" s="152"/>
      <c r="X1503" s="152"/>
      <c r="Y1503" s="153"/>
      <c r="Z1503" s="125" t="str">
        <f t="shared" si="16"/>
        <v/>
      </c>
      <c r="AA1503" s="126" t="str">
        <f t="shared" si="17"/>
        <v/>
      </c>
      <c r="AB1503" s="117" t="str">
        <f t="shared" si="19"/>
        <v/>
      </c>
      <c r="AC1503" s="152"/>
      <c r="AD1503" s="153"/>
      <c r="AE1503" s="156"/>
    </row>
    <row r="1504" ht="18.0" customHeight="1">
      <c r="A1504" s="127" t="str">
        <f t="shared" si="15"/>
        <v/>
      </c>
      <c r="B1504" s="128"/>
      <c r="C1504" s="129"/>
      <c r="D1504" s="129"/>
      <c r="E1504" s="325"/>
      <c r="F1504" s="131"/>
      <c r="G1504" s="319"/>
      <c r="H1504" s="319"/>
      <c r="I1504" s="319"/>
      <c r="J1504" s="132"/>
      <c r="K1504" s="319"/>
      <c r="L1504" s="135"/>
      <c r="M1504" s="321"/>
      <c r="N1504" s="322"/>
      <c r="O1504" s="150"/>
      <c r="P1504" s="135"/>
      <c r="Q1504" s="135"/>
      <c r="R1504" s="321"/>
      <c r="S1504" s="322"/>
      <c r="T1504" s="319"/>
      <c r="U1504" s="322"/>
      <c r="V1504" s="322"/>
      <c r="W1504" s="322"/>
      <c r="X1504" s="322"/>
      <c r="Y1504" s="319"/>
      <c r="Z1504" s="136" t="str">
        <f t="shared" si="16"/>
        <v/>
      </c>
      <c r="AA1504" s="137" t="str">
        <f t="shared" si="17"/>
        <v/>
      </c>
      <c r="AB1504" s="138" t="str">
        <f t="shared" si="19"/>
        <v/>
      </c>
      <c r="AC1504" s="322"/>
      <c r="AD1504" s="319"/>
      <c r="AE1504" s="320"/>
    </row>
    <row r="1505" ht="18.0" customHeight="1">
      <c r="A1505" s="118" t="str">
        <f t="shared" si="15"/>
        <v/>
      </c>
      <c r="B1505" s="109"/>
      <c r="C1505" s="119"/>
      <c r="D1505" s="119"/>
      <c r="E1505" s="330"/>
      <c r="F1505" s="121"/>
      <c r="G1505" s="153"/>
      <c r="H1505" s="153"/>
      <c r="I1505" s="153"/>
      <c r="J1505" s="112"/>
      <c r="K1505" s="153"/>
      <c r="L1505" s="114"/>
      <c r="M1505" s="151"/>
      <c r="N1505" s="152"/>
      <c r="O1505" s="150"/>
      <c r="P1505" s="114"/>
      <c r="Q1505" s="114"/>
      <c r="R1505" s="151"/>
      <c r="S1505" s="152"/>
      <c r="T1505" s="153"/>
      <c r="U1505" s="152"/>
      <c r="V1505" s="152"/>
      <c r="W1505" s="152"/>
      <c r="X1505" s="152"/>
      <c r="Y1505" s="153"/>
      <c r="Z1505" s="125" t="str">
        <f t="shared" si="16"/>
        <v/>
      </c>
      <c r="AA1505" s="126" t="str">
        <f t="shared" si="17"/>
        <v/>
      </c>
      <c r="AB1505" s="117" t="str">
        <f t="shared" si="19"/>
        <v/>
      </c>
      <c r="AC1505" s="152"/>
      <c r="AD1505" s="153"/>
      <c r="AE1505" s="156"/>
    </row>
    <row r="1506" ht="18.0" customHeight="1">
      <c r="A1506" s="127" t="str">
        <f t="shared" si="15"/>
        <v/>
      </c>
      <c r="B1506" s="128"/>
      <c r="C1506" s="129"/>
      <c r="D1506" s="129"/>
      <c r="E1506" s="325"/>
      <c r="F1506" s="131"/>
      <c r="G1506" s="319"/>
      <c r="H1506" s="319"/>
      <c r="I1506" s="319"/>
      <c r="J1506" s="132"/>
      <c r="K1506" s="319"/>
      <c r="L1506" s="135"/>
      <c r="M1506" s="321"/>
      <c r="N1506" s="322"/>
      <c r="O1506" s="150"/>
      <c r="P1506" s="135"/>
      <c r="Q1506" s="135"/>
      <c r="R1506" s="321"/>
      <c r="S1506" s="322"/>
      <c r="T1506" s="319"/>
      <c r="U1506" s="322"/>
      <c r="V1506" s="322"/>
      <c r="W1506" s="322"/>
      <c r="X1506" s="322"/>
      <c r="Y1506" s="319"/>
      <c r="Z1506" s="136" t="str">
        <f t="shared" si="16"/>
        <v/>
      </c>
      <c r="AA1506" s="137" t="str">
        <f t="shared" si="17"/>
        <v/>
      </c>
      <c r="AB1506" s="138" t="str">
        <f t="shared" si="19"/>
        <v/>
      </c>
      <c r="AC1506" s="322"/>
      <c r="AD1506" s="319"/>
      <c r="AE1506" s="320"/>
    </row>
    <row r="1507" ht="18.0" customHeight="1">
      <c r="A1507" s="118" t="str">
        <f t="shared" si="15"/>
        <v/>
      </c>
      <c r="B1507" s="109"/>
      <c r="C1507" s="119"/>
      <c r="D1507" s="119"/>
      <c r="E1507" s="330"/>
      <c r="F1507" s="121"/>
      <c r="G1507" s="153"/>
      <c r="H1507" s="153"/>
      <c r="I1507" s="153"/>
      <c r="J1507" s="112"/>
      <c r="K1507" s="153"/>
      <c r="L1507" s="114"/>
      <c r="M1507" s="151"/>
      <c r="N1507" s="152"/>
      <c r="O1507" s="150"/>
      <c r="P1507" s="114"/>
      <c r="Q1507" s="114"/>
      <c r="R1507" s="151"/>
      <c r="S1507" s="152"/>
      <c r="T1507" s="153"/>
      <c r="U1507" s="152"/>
      <c r="V1507" s="152"/>
      <c r="W1507" s="152"/>
      <c r="X1507" s="152"/>
      <c r="Y1507" s="153"/>
      <c r="Z1507" s="125" t="str">
        <f t="shared" si="16"/>
        <v/>
      </c>
      <c r="AA1507" s="126" t="str">
        <f t="shared" si="17"/>
        <v/>
      </c>
      <c r="AB1507" s="117" t="str">
        <f t="shared" si="19"/>
        <v/>
      </c>
      <c r="AC1507" s="152"/>
      <c r="AD1507" s="153"/>
      <c r="AE1507" s="156"/>
    </row>
    <row r="1508" ht="18.0" customHeight="1">
      <c r="A1508" s="127" t="str">
        <f t="shared" si="15"/>
        <v/>
      </c>
      <c r="B1508" s="128"/>
      <c r="C1508" s="129"/>
      <c r="D1508" s="129"/>
      <c r="E1508" s="325"/>
      <c r="F1508" s="131"/>
      <c r="G1508" s="319"/>
      <c r="H1508" s="319"/>
      <c r="I1508" s="319"/>
      <c r="J1508" s="132"/>
      <c r="K1508" s="319"/>
      <c r="L1508" s="135"/>
      <c r="M1508" s="321"/>
      <c r="N1508" s="322"/>
      <c r="O1508" s="150"/>
      <c r="P1508" s="135"/>
      <c r="Q1508" s="135"/>
      <c r="R1508" s="321"/>
      <c r="S1508" s="322"/>
      <c r="T1508" s="319"/>
      <c r="U1508" s="322"/>
      <c r="V1508" s="322"/>
      <c r="W1508" s="322"/>
      <c r="X1508" s="322"/>
      <c r="Y1508" s="319"/>
      <c r="Z1508" s="136" t="str">
        <f t="shared" si="16"/>
        <v/>
      </c>
      <c r="AA1508" s="137" t="str">
        <f t="shared" si="17"/>
        <v/>
      </c>
      <c r="AB1508" s="138" t="str">
        <f t="shared" si="19"/>
        <v/>
      </c>
      <c r="AC1508" s="322"/>
      <c r="AD1508" s="319"/>
      <c r="AE1508" s="320"/>
    </row>
    <row r="1509" ht="18.0" customHeight="1">
      <c r="A1509" s="118" t="str">
        <f t="shared" si="15"/>
        <v/>
      </c>
      <c r="B1509" s="109"/>
      <c r="C1509" s="119"/>
      <c r="D1509" s="119"/>
      <c r="E1509" s="330"/>
      <c r="F1509" s="121"/>
      <c r="G1509" s="153"/>
      <c r="H1509" s="153"/>
      <c r="I1509" s="153"/>
      <c r="J1509" s="112"/>
      <c r="K1509" s="153"/>
      <c r="L1509" s="114"/>
      <c r="M1509" s="151"/>
      <c r="N1509" s="152"/>
      <c r="O1509" s="150"/>
      <c r="P1509" s="114"/>
      <c r="Q1509" s="114"/>
      <c r="R1509" s="151"/>
      <c r="S1509" s="152"/>
      <c r="T1509" s="153"/>
      <c r="U1509" s="152"/>
      <c r="V1509" s="152"/>
      <c r="W1509" s="152"/>
      <c r="X1509" s="152"/>
      <c r="Y1509" s="153"/>
      <c r="Z1509" s="125" t="str">
        <f t="shared" si="16"/>
        <v/>
      </c>
      <c r="AA1509" s="126" t="str">
        <f t="shared" si="17"/>
        <v/>
      </c>
      <c r="AB1509" s="117" t="str">
        <f t="shared" si="19"/>
        <v/>
      </c>
      <c r="AC1509" s="152"/>
      <c r="AD1509" s="153"/>
      <c r="AE1509" s="156"/>
    </row>
    <row r="1510" ht="18.0" customHeight="1">
      <c r="A1510" s="127" t="str">
        <f t="shared" si="15"/>
        <v/>
      </c>
      <c r="B1510" s="128"/>
      <c r="C1510" s="129"/>
      <c r="D1510" s="129"/>
      <c r="E1510" s="325"/>
      <c r="F1510" s="131"/>
      <c r="G1510" s="319"/>
      <c r="H1510" s="319"/>
      <c r="I1510" s="319"/>
      <c r="J1510" s="132"/>
      <c r="K1510" s="319"/>
      <c r="L1510" s="135"/>
      <c r="M1510" s="321"/>
      <c r="N1510" s="322"/>
      <c r="O1510" s="150"/>
      <c r="P1510" s="135"/>
      <c r="Q1510" s="135"/>
      <c r="R1510" s="321"/>
      <c r="S1510" s="322"/>
      <c r="T1510" s="319"/>
      <c r="U1510" s="322"/>
      <c r="V1510" s="322"/>
      <c r="W1510" s="322"/>
      <c r="X1510" s="322"/>
      <c r="Y1510" s="319"/>
      <c r="Z1510" s="136" t="str">
        <f t="shared" si="16"/>
        <v/>
      </c>
      <c r="AA1510" s="137" t="str">
        <f t="shared" si="17"/>
        <v/>
      </c>
      <c r="AB1510" s="138" t="str">
        <f t="shared" si="19"/>
        <v/>
      </c>
      <c r="AC1510" s="322"/>
      <c r="AD1510" s="319"/>
      <c r="AE1510" s="320"/>
    </row>
    <row r="1511" ht="18.0" customHeight="1">
      <c r="A1511" s="118" t="str">
        <f t="shared" si="15"/>
        <v/>
      </c>
      <c r="B1511" s="109"/>
      <c r="C1511" s="119"/>
      <c r="D1511" s="119"/>
      <c r="E1511" s="330"/>
      <c r="F1511" s="121"/>
      <c r="G1511" s="153"/>
      <c r="H1511" s="153"/>
      <c r="I1511" s="153"/>
      <c r="J1511" s="112"/>
      <c r="K1511" s="153"/>
      <c r="L1511" s="114"/>
      <c r="M1511" s="151"/>
      <c r="N1511" s="152"/>
      <c r="O1511" s="150"/>
      <c r="P1511" s="114"/>
      <c r="Q1511" s="114"/>
      <c r="R1511" s="151"/>
      <c r="S1511" s="152"/>
      <c r="T1511" s="153"/>
      <c r="U1511" s="152"/>
      <c r="V1511" s="152"/>
      <c r="W1511" s="152"/>
      <c r="X1511" s="152"/>
      <c r="Y1511" s="153"/>
      <c r="Z1511" s="125" t="str">
        <f t="shared" si="16"/>
        <v/>
      </c>
      <c r="AA1511" s="126" t="str">
        <f t="shared" si="17"/>
        <v/>
      </c>
      <c r="AB1511" s="117" t="str">
        <f t="shared" si="19"/>
        <v/>
      </c>
      <c r="AC1511" s="152"/>
      <c r="AD1511" s="153"/>
      <c r="AE1511" s="156"/>
    </row>
    <row r="1512" ht="18.0" customHeight="1">
      <c r="A1512" s="127" t="str">
        <f t="shared" si="15"/>
        <v/>
      </c>
      <c r="B1512" s="128"/>
      <c r="C1512" s="129"/>
      <c r="D1512" s="129"/>
      <c r="E1512" s="325"/>
      <c r="F1512" s="131"/>
      <c r="G1512" s="319"/>
      <c r="H1512" s="319"/>
      <c r="I1512" s="319"/>
      <c r="J1512" s="132"/>
      <c r="K1512" s="319"/>
      <c r="L1512" s="135"/>
      <c r="M1512" s="321"/>
      <c r="N1512" s="322"/>
      <c r="O1512" s="150"/>
      <c r="P1512" s="135"/>
      <c r="Q1512" s="135"/>
      <c r="R1512" s="321"/>
      <c r="S1512" s="322"/>
      <c r="T1512" s="319"/>
      <c r="U1512" s="322"/>
      <c r="V1512" s="322"/>
      <c r="W1512" s="322"/>
      <c r="X1512" s="322"/>
      <c r="Y1512" s="319"/>
      <c r="Z1512" s="136" t="str">
        <f t="shared" si="16"/>
        <v/>
      </c>
      <c r="AA1512" s="137" t="str">
        <f t="shared" si="17"/>
        <v/>
      </c>
      <c r="AB1512" s="138" t="str">
        <f t="shared" si="19"/>
        <v/>
      </c>
      <c r="AC1512" s="322"/>
      <c r="AD1512" s="319"/>
      <c r="AE1512" s="320"/>
    </row>
    <row r="1513" ht="18.0" customHeight="1">
      <c r="A1513" s="118" t="str">
        <f t="shared" si="15"/>
        <v/>
      </c>
      <c r="B1513" s="109"/>
      <c r="C1513" s="119"/>
      <c r="D1513" s="119"/>
      <c r="E1513" s="330"/>
      <c r="F1513" s="121"/>
      <c r="G1513" s="153"/>
      <c r="H1513" s="153"/>
      <c r="I1513" s="153"/>
      <c r="J1513" s="112"/>
      <c r="K1513" s="153"/>
      <c r="L1513" s="114"/>
      <c r="M1513" s="151"/>
      <c r="N1513" s="152"/>
      <c r="O1513" s="150"/>
      <c r="P1513" s="114"/>
      <c r="Q1513" s="114"/>
      <c r="R1513" s="151"/>
      <c r="S1513" s="152"/>
      <c r="T1513" s="153"/>
      <c r="U1513" s="152"/>
      <c r="V1513" s="152"/>
      <c r="W1513" s="152"/>
      <c r="X1513" s="152"/>
      <c r="Y1513" s="153"/>
      <c r="Z1513" s="125" t="str">
        <f t="shared" si="16"/>
        <v/>
      </c>
      <c r="AA1513" s="126" t="str">
        <f t="shared" si="17"/>
        <v/>
      </c>
      <c r="AB1513" s="117" t="str">
        <f t="shared" si="19"/>
        <v/>
      </c>
      <c r="AC1513" s="152"/>
      <c r="AD1513" s="153"/>
      <c r="AE1513" s="156"/>
    </row>
    <row r="1514" ht="18.0" customHeight="1">
      <c r="A1514" s="127" t="str">
        <f t="shared" si="15"/>
        <v/>
      </c>
      <c r="B1514" s="128"/>
      <c r="C1514" s="129"/>
      <c r="D1514" s="129"/>
      <c r="E1514" s="325"/>
      <c r="F1514" s="131"/>
      <c r="G1514" s="319"/>
      <c r="H1514" s="319"/>
      <c r="I1514" s="319"/>
      <c r="J1514" s="132"/>
      <c r="K1514" s="319"/>
      <c r="L1514" s="135"/>
      <c r="M1514" s="321"/>
      <c r="N1514" s="322"/>
      <c r="O1514" s="150"/>
      <c r="P1514" s="135"/>
      <c r="Q1514" s="135"/>
      <c r="R1514" s="321"/>
      <c r="S1514" s="322"/>
      <c r="T1514" s="319"/>
      <c r="U1514" s="322"/>
      <c r="V1514" s="322"/>
      <c r="W1514" s="322"/>
      <c r="X1514" s="322"/>
      <c r="Y1514" s="319"/>
      <c r="Z1514" s="136" t="str">
        <f t="shared" si="16"/>
        <v/>
      </c>
      <c r="AA1514" s="137" t="str">
        <f t="shared" si="17"/>
        <v/>
      </c>
      <c r="AB1514" s="138" t="str">
        <f t="shared" si="19"/>
        <v/>
      </c>
      <c r="AC1514" s="322"/>
      <c r="AD1514" s="319"/>
      <c r="AE1514" s="320"/>
    </row>
    <row r="1515" ht="18.0" customHeight="1">
      <c r="A1515" s="118" t="str">
        <f t="shared" si="15"/>
        <v/>
      </c>
      <c r="B1515" s="109"/>
      <c r="C1515" s="119"/>
      <c r="D1515" s="119"/>
      <c r="E1515" s="330"/>
      <c r="F1515" s="121"/>
      <c r="G1515" s="153"/>
      <c r="H1515" s="153"/>
      <c r="I1515" s="153"/>
      <c r="J1515" s="112"/>
      <c r="K1515" s="153"/>
      <c r="L1515" s="114"/>
      <c r="M1515" s="151"/>
      <c r="N1515" s="152"/>
      <c r="O1515" s="150"/>
      <c r="P1515" s="114"/>
      <c r="Q1515" s="114"/>
      <c r="R1515" s="151"/>
      <c r="S1515" s="152"/>
      <c r="T1515" s="153"/>
      <c r="U1515" s="152"/>
      <c r="V1515" s="152"/>
      <c r="W1515" s="152"/>
      <c r="X1515" s="152"/>
      <c r="Y1515" s="153"/>
      <c r="Z1515" s="125" t="str">
        <f t="shared" si="16"/>
        <v/>
      </c>
      <c r="AA1515" s="126" t="str">
        <f t="shared" si="17"/>
        <v/>
      </c>
      <c r="AB1515" s="117" t="str">
        <f t="shared" si="19"/>
        <v/>
      </c>
      <c r="AC1515" s="152"/>
      <c r="AD1515" s="153"/>
      <c r="AE1515" s="156"/>
    </row>
    <row r="1516" ht="18.0" customHeight="1">
      <c r="A1516" s="127" t="str">
        <f t="shared" si="15"/>
        <v/>
      </c>
      <c r="B1516" s="128"/>
      <c r="C1516" s="129"/>
      <c r="D1516" s="129"/>
      <c r="E1516" s="325"/>
      <c r="F1516" s="131"/>
      <c r="G1516" s="319"/>
      <c r="H1516" s="319"/>
      <c r="I1516" s="319"/>
      <c r="J1516" s="132"/>
      <c r="K1516" s="319"/>
      <c r="L1516" s="135"/>
      <c r="M1516" s="321"/>
      <c r="N1516" s="322"/>
      <c r="O1516" s="150"/>
      <c r="P1516" s="135"/>
      <c r="Q1516" s="135"/>
      <c r="R1516" s="321"/>
      <c r="S1516" s="322"/>
      <c r="T1516" s="319"/>
      <c r="U1516" s="322"/>
      <c r="V1516" s="322"/>
      <c r="W1516" s="322"/>
      <c r="X1516" s="322"/>
      <c r="Y1516" s="319"/>
      <c r="Z1516" s="136" t="str">
        <f t="shared" si="16"/>
        <v/>
      </c>
      <c r="AA1516" s="137" t="str">
        <f t="shared" si="17"/>
        <v/>
      </c>
      <c r="AB1516" s="138" t="str">
        <f t="shared" si="19"/>
        <v/>
      </c>
      <c r="AC1516" s="322"/>
      <c r="AD1516" s="319"/>
      <c r="AE1516" s="320"/>
    </row>
    <row r="1517" ht="18.0" customHeight="1">
      <c r="A1517" s="118" t="str">
        <f t="shared" si="15"/>
        <v/>
      </c>
      <c r="B1517" s="109"/>
      <c r="C1517" s="119"/>
      <c r="D1517" s="119"/>
      <c r="E1517" s="330"/>
      <c r="F1517" s="121"/>
      <c r="G1517" s="153"/>
      <c r="H1517" s="153"/>
      <c r="I1517" s="153"/>
      <c r="J1517" s="112"/>
      <c r="K1517" s="153"/>
      <c r="L1517" s="114"/>
      <c r="M1517" s="151"/>
      <c r="N1517" s="152"/>
      <c r="O1517" s="150"/>
      <c r="P1517" s="114"/>
      <c r="Q1517" s="114"/>
      <c r="R1517" s="151"/>
      <c r="S1517" s="152"/>
      <c r="T1517" s="153"/>
      <c r="U1517" s="152"/>
      <c r="V1517" s="152"/>
      <c r="W1517" s="152"/>
      <c r="X1517" s="152"/>
      <c r="Y1517" s="153"/>
      <c r="Z1517" s="125" t="str">
        <f t="shared" si="16"/>
        <v/>
      </c>
      <c r="AA1517" s="126" t="str">
        <f t="shared" si="17"/>
        <v/>
      </c>
      <c r="AB1517" s="117" t="str">
        <f t="shared" si="19"/>
        <v/>
      </c>
      <c r="AC1517" s="152"/>
      <c r="AD1517" s="153"/>
      <c r="AE1517" s="156"/>
    </row>
    <row r="1518" ht="18.0" customHeight="1">
      <c r="A1518" s="127" t="str">
        <f t="shared" si="15"/>
        <v/>
      </c>
      <c r="B1518" s="128"/>
      <c r="C1518" s="129"/>
      <c r="D1518" s="129"/>
      <c r="E1518" s="325"/>
      <c r="F1518" s="131"/>
      <c r="G1518" s="319"/>
      <c r="H1518" s="319"/>
      <c r="I1518" s="319"/>
      <c r="J1518" s="132"/>
      <c r="K1518" s="319"/>
      <c r="L1518" s="135"/>
      <c r="M1518" s="321"/>
      <c r="N1518" s="322"/>
      <c r="O1518" s="150"/>
      <c r="P1518" s="135"/>
      <c r="Q1518" s="135"/>
      <c r="R1518" s="321"/>
      <c r="S1518" s="322"/>
      <c r="T1518" s="319"/>
      <c r="U1518" s="322"/>
      <c r="V1518" s="322"/>
      <c r="W1518" s="322"/>
      <c r="X1518" s="322"/>
      <c r="Y1518" s="319"/>
      <c r="Z1518" s="136" t="str">
        <f t="shared" si="16"/>
        <v/>
      </c>
      <c r="AA1518" s="137" t="str">
        <f t="shared" si="17"/>
        <v/>
      </c>
      <c r="AB1518" s="138" t="str">
        <f t="shared" si="19"/>
        <v/>
      </c>
      <c r="AC1518" s="322"/>
      <c r="AD1518" s="319"/>
      <c r="AE1518" s="320"/>
    </row>
    <row r="1519" ht="18.0" customHeight="1">
      <c r="A1519" s="118" t="str">
        <f t="shared" si="15"/>
        <v/>
      </c>
      <c r="B1519" s="109"/>
      <c r="C1519" s="119"/>
      <c r="D1519" s="119"/>
      <c r="E1519" s="330"/>
      <c r="F1519" s="121"/>
      <c r="G1519" s="153"/>
      <c r="H1519" s="153"/>
      <c r="I1519" s="153"/>
      <c r="J1519" s="112"/>
      <c r="K1519" s="153"/>
      <c r="L1519" s="114"/>
      <c r="M1519" s="151"/>
      <c r="N1519" s="152"/>
      <c r="O1519" s="150"/>
      <c r="P1519" s="114"/>
      <c r="Q1519" s="114"/>
      <c r="R1519" s="151"/>
      <c r="S1519" s="152"/>
      <c r="T1519" s="153"/>
      <c r="U1519" s="152"/>
      <c r="V1519" s="152"/>
      <c r="W1519" s="152"/>
      <c r="X1519" s="152"/>
      <c r="Y1519" s="153"/>
      <c r="Z1519" s="125" t="str">
        <f t="shared" si="16"/>
        <v/>
      </c>
      <c r="AA1519" s="126" t="str">
        <f t="shared" si="17"/>
        <v/>
      </c>
      <c r="AB1519" s="117" t="str">
        <f t="shared" si="19"/>
        <v/>
      </c>
      <c r="AC1519" s="152"/>
      <c r="AD1519" s="153"/>
      <c r="AE1519" s="156"/>
    </row>
    <row r="1520" ht="18.0" customHeight="1">
      <c r="A1520" s="127" t="str">
        <f t="shared" si="15"/>
        <v/>
      </c>
      <c r="B1520" s="128"/>
      <c r="C1520" s="129"/>
      <c r="D1520" s="129"/>
      <c r="E1520" s="325"/>
      <c r="F1520" s="131"/>
      <c r="G1520" s="319"/>
      <c r="H1520" s="319"/>
      <c r="I1520" s="319"/>
      <c r="J1520" s="132"/>
      <c r="K1520" s="319"/>
      <c r="L1520" s="135"/>
      <c r="M1520" s="321"/>
      <c r="N1520" s="322"/>
      <c r="O1520" s="150"/>
      <c r="P1520" s="135"/>
      <c r="Q1520" s="135"/>
      <c r="R1520" s="321"/>
      <c r="S1520" s="322"/>
      <c r="T1520" s="319"/>
      <c r="U1520" s="322"/>
      <c r="V1520" s="322"/>
      <c r="W1520" s="322"/>
      <c r="X1520" s="322"/>
      <c r="Y1520" s="319"/>
      <c r="Z1520" s="136" t="str">
        <f t="shared" si="16"/>
        <v/>
      </c>
      <c r="AA1520" s="137" t="str">
        <f t="shared" si="17"/>
        <v/>
      </c>
      <c r="AB1520" s="138" t="str">
        <f t="shared" si="19"/>
        <v/>
      </c>
      <c r="AC1520" s="322"/>
      <c r="AD1520" s="319"/>
      <c r="AE1520" s="320"/>
    </row>
    <row r="1521" ht="18.0" customHeight="1">
      <c r="A1521" s="118" t="str">
        <f t="shared" si="15"/>
        <v/>
      </c>
      <c r="B1521" s="109"/>
      <c r="C1521" s="119"/>
      <c r="D1521" s="119"/>
      <c r="E1521" s="330"/>
      <c r="F1521" s="121"/>
      <c r="G1521" s="153"/>
      <c r="H1521" s="153"/>
      <c r="I1521" s="153"/>
      <c r="J1521" s="112"/>
      <c r="K1521" s="153"/>
      <c r="L1521" s="114"/>
      <c r="M1521" s="151"/>
      <c r="N1521" s="152"/>
      <c r="O1521" s="150"/>
      <c r="P1521" s="114"/>
      <c r="Q1521" s="114"/>
      <c r="R1521" s="151"/>
      <c r="S1521" s="152"/>
      <c r="T1521" s="153"/>
      <c r="U1521" s="152"/>
      <c r="V1521" s="152"/>
      <c r="W1521" s="152"/>
      <c r="X1521" s="152"/>
      <c r="Y1521" s="153"/>
      <c r="Z1521" s="125" t="str">
        <f t="shared" si="16"/>
        <v/>
      </c>
      <c r="AA1521" s="126" t="str">
        <f t="shared" si="17"/>
        <v/>
      </c>
      <c r="AB1521" s="117" t="str">
        <f t="shared" si="19"/>
        <v/>
      </c>
      <c r="AC1521" s="152"/>
      <c r="AD1521" s="153"/>
      <c r="AE1521" s="156"/>
    </row>
    <row r="1522" ht="18.0" customHeight="1">
      <c r="A1522" s="127" t="str">
        <f t="shared" si="15"/>
        <v/>
      </c>
      <c r="B1522" s="128"/>
      <c r="C1522" s="129"/>
      <c r="D1522" s="129"/>
      <c r="E1522" s="325"/>
      <c r="F1522" s="131"/>
      <c r="G1522" s="319"/>
      <c r="H1522" s="319"/>
      <c r="I1522" s="319"/>
      <c r="J1522" s="132"/>
      <c r="K1522" s="319"/>
      <c r="L1522" s="135"/>
      <c r="M1522" s="321"/>
      <c r="N1522" s="322"/>
      <c r="O1522" s="150"/>
      <c r="P1522" s="135"/>
      <c r="Q1522" s="135"/>
      <c r="R1522" s="321"/>
      <c r="S1522" s="322"/>
      <c r="T1522" s="319"/>
      <c r="U1522" s="322"/>
      <c r="V1522" s="322"/>
      <c r="W1522" s="322"/>
      <c r="X1522" s="322"/>
      <c r="Y1522" s="319"/>
      <c r="Z1522" s="136" t="str">
        <f t="shared" si="16"/>
        <v/>
      </c>
      <c r="AA1522" s="137" t="str">
        <f t="shared" si="17"/>
        <v/>
      </c>
      <c r="AB1522" s="138" t="str">
        <f t="shared" si="19"/>
        <v/>
      </c>
      <c r="AC1522" s="322"/>
      <c r="AD1522" s="319"/>
      <c r="AE1522" s="320"/>
    </row>
    <row r="1523" ht="18.0" customHeight="1">
      <c r="A1523" s="118" t="str">
        <f t="shared" si="15"/>
        <v/>
      </c>
      <c r="B1523" s="109"/>
      <c r="C1523" s="119"/>
      <c r="D1523" s="119"/>
      <c r="E1523" s="330"/>
      <c r="F1523" s="121"/>
      <c r="G1523" s="153"/>
      <c r="H1523" s="153"/>
      <c r="I1523" s="153"/>
      <c r="J1523" s="112"/>
      <c r="K1523" s="153"/>
      <c r="L1523" s="114"/>
      <c r="M1523" s="151"/>
      <c r="N1523" s="152"/>
      <c r="O1523" s="150"/>
      <c r="P1523" s="114"/>
      <c r="Q1523" s="114"/>
      <c r="R1523" s="151"/>
      <c r="S1523" s="152"/>
      <c r="T1523" s="153"/>
      <c r="U1523" s="152"/>
      <c r="V1523" s="152"/>
      <c r="W1523" s="152"/>
      <c r="X1523" s="152"/>
      <c r="Y1523" s="153"/>
      <c r="Z1523" s="125" t="str">
        <f t="shared" si="16"/>
        <v/>
      </c>
      <c r="AA1523" s="126" t="str">
        <f t="shared" si="17"/>
        <v/>
      </c>
      <c r="AB1523" s="117" t="str">
        <f t="shared" si="19"/>
        <v/>
      </c>
      <c r="AC1523" s="152"/>
      <c r="AD1523" s="153"/>
      <c r="AE1523" s="156"/>
    </row>
    <row r="1524" ht="18.0" customHeight="1">
      <c r="A1524" s="127" t="str">
        <f t="shared" si="15"/>
        <v/>
      </c>
      <c r="B1524" s="128"/>
      <c r="C1524" s="129"/>
      <c r="D1524" s="129"/>
      <c r="E1524" s="325"/>
      <c r="F1524" s="131"/>
      <c r="G1524" s="319"/>
      <c r="H1524" s="319"/>
      <c r="I1524" s="319"/>
      <c r="J1524" s="132"/>
      <c r="K1524" s="319"/>
      <c r="L1524" s="135"/>
      <c r="M1524" s="321"/>
      <c r="N1524" s="322"/>
      <c r="O1524" s="150"/>
      <c r="P1524" s="135"/>
      <c r="Q1524" s="135"/>
      <c r="R1524" s="321"/>
      <c r="S1524" s="322"/>
      <c r="T1524" s="319"/>
      <c r="U1524" s="322"/>
      <c r="V1524" s="322"/>
      <c r="W1524" s="322"/>
      <c r="X1524" s="322"/>
      <c r="Y1524" s="319"/>
      <c r="Z1524" s="136" t="str">
        <f t="shared" si="16"/>
        <v/>
      </c>
      <c r="AA1524" s="137" t="str">
        <f t="shared" si="17"/>
        <v/>
      </c>
      <c r="AB1524" s="138" t="str">
        <f t="shared" si="19"/>
        <v/>
      </c>
      <c r="AC1524" s="322"/>
      <c r="AD1524" s="319"/>
      <c r="AE1524" s="320"/>
    </row>
    <row r="1525" ht="18.0" customHeight="1">
      <c r="A1525" s="118" t="str">
        <f t="shared" si="15"/>
        <v/>
      </c>
      <c r="B1525" s="109"/>
      <c r="C1525" s="119"/>
      <c r="D1525" s="119"/>
      <c r="E1525" s="330"/>
      <c r="F1525" s="121"/>
      <c r="G1525" s="153"/>
      <c r="H1525" s="153"/>
      <c r="I1525" s="153"/>
      <c r="J1525" s="112"/>
      <c r="K1525" s="153"/>
      <c r="L1525" s="114"/>
      <c r="M1525" s="151"/>
      <c r="N1525" s="152"/>
      <c r="O1525" s="150"/>
      <c r="P1525" s="114"/>
      <c r="Q1525" s="114"/>
      <c r="R1525" s="151"/>
      <c r="S1525" s="152"/>
      <c r="T1525" s="153"/>
      <c r="U1525" s="152"/>
      <c r="V1525" s="152"/>
      <c r="W1525" s="152"/>
      <c r="X1525" s="152"/>
      <c r="Y1525" s="153"/>
      <c r="Z1525" s="125" t="str">
        <f t="shared" si="16"/>
        <v/>
      </c>
      <c r="AA1525" s="126" t="str">
        <f t="shared" si="17"/>
        <v/>
      </c>
      <c r="AB1525" s="117" t="str">
        <f t="shared" si="19"/>
        <v/>
      </c>
      <c r="AC1525" s="152"/>
      <c r="AD1525" s="153"/>
      <c r="AE1525" s="156"/>
    </row>
    <row r="1526" ht="18.0" customHeight="1">
      <c r="A1526" s="127" t="str">
        <f t="shared" si="15"/>
        <v/>
      </c>
      <c r="B1526" s="128"/>
      <c r="C1526" s="129"/>
      <c r="D1526" s="129"/>
      <c r="E1526" s="325"/>
      <c r="F1526" s="131"/>
      <c r="G1526" s="319"/>
      <c r="H1526" s="319"/>
      <c r="I1526" s="319"/>
      <c r="J1526" s="132"/>
      <c r="K1526" s="319"/>
      <c r="L1526" s="135"/>
      <c r="M1526" s="321"/>
      <c r="N1526" s="322"/>
      <c r="O1526" s="150"/>
      <c r="P1526" s="135"/>
      <c r="Q1526" s="135"/>
      <c r="R1526" s="321"/>
      <c r="S1526" s="322"/>
      <c r="T1526" s="319"/>
      <c r="U1526" s="322"/>
      <c r="V1526" s="322"/>
      <c r="W1526" s="322"/>
      <c r="X1526" s="322"/>
      <c r="Y1526" s="319"/>
      <c r="Z1526" s="136" t="str">
        <f t="shared" si="16"/>
        <v/>
      </c>
      <c r="AA1526" s="137" t="str">
        <f t="shared" si="17"/>
        <v/>
      </c>
      <c r="AB1526" s="138" t="str">
        <f t="shared" si="19"/>
        <v/>
      </c>
      <c r="AC1526" s="322"/>
      <c r="AD1526" s="319"/>
      <c r="AE1526" s="320"/>
    </row>
    <row r="1527" ht="18.0" customHeight="1">
      <c r="A1527" s="118" t="str">
        <f t="shared" si="15"/>
        <v/>
      </c>
      <c r="B1527" s="109"/>
      <c r="C1527" s="119"/>
      <c r="D1527" s="119"/>
      <c r="E1527" s="330"/>
      <c r="F1527" s="121"/>
      <c r="G1527" s="153"/>
      <c r="H1527" s="153"/>
      <c r="I1527" s="153"/>
      <c r="J1527" s="112"/>
      <c r="K1527" s="153"/>
      <c r="L1527" s="114"/>
      <c r="M1527" s="151"/>
      <c r="N1527" s="152"/>
      <c r="O1527" s="150"/>
      <c r="P1527" s="114"/>
      <c r="Q1527" s="114"/>
      <c r="R1527" s="151"/>
      <c r="S1527" s="152"/>
      <c r="T1527" s="153"/>
      <c r="U1527" s="152"/>
      <c r="V1527" s="152"/>
      <c r="W1527" s="152"/>
      <c r="X1527" s="152"/>
      <c r="Y1527" s="153"/>
      <c r="Z1527" s="125" t="str">
        <f t="shared" si="16"/>
        <v/>
      </c>
      <c r="AA1527" s="126" t="str">
        <f t="shared" si="17"/>
        <v/>
      </c>
      <c r="AB1527" s="117" t="str">
        <f t="shared" si="19"/>
        <v/>
      </c>
      <c r="AC1527" s="152"/>
      <c r="AD1527" s="153"/>
      <c r="AE1527" s="156"/>
    </row>
    <row r="1528" ht="18.0" customHeight="1">
      <c r="A1528" s="127" t="str">
        <f t="shared" si="15"/>
        <v/>
      </c>
      <c r="B1528" s="128"/>
      <c r="C1528" s="129"/>
      <c r="D1528" s="129"/>
      <c r="E1528" s="325"/>
      <c r="F1528" s="131"/>
      <c r="G1528" s="319"/>
      <c r="H1528" s="319"/>
      <c r="I1528" s="319"/>
      <c r="J1528" s="132"/>
      <c r="K1528" s="319"/>
      <c r="L1528" s="135"/>
      <c r="M1528" s="321"/>
      <c r="N1528" s="322"/>
      <c r="O1528" s="150"/>
      <c r="P1528" s="135"/>
      <c r="Q1528" s="135"/>
      <c r="R1528" s="321"/>
      <c r="S1528" s="322"/>
      <c r="T1528" s="319"/>
      <c r="U1528" s="322"/>
      <c r="V1528" s="322"/>
      <c r="W1528" s="322"/>
      <c r="X1528" s="322"/>
      <c r="Y1528" s="319"/>
      <c r="Z1528" s="136" t="str">
        <f t="shared" si="16"/>
        <v/>
      </c>
      <c r="AA1528" s="137" t="str">
        <f t="shared" si="17"/>
        <v/>
      </c>
      <c r="AB1528" s="138" t="str">
        <f t="shared" si="19"/>
        <v/>
      </c>
      <c r="AC1528" s="322"/>
      <c r="AD1528" s="319"/>
      <c r="AE1528" s="320"/>
    </row>
    <row r="1529" ht="18.0" customHeight="1">
      <c r="A1529" s="118" t="str">
        <f t="shared" si="15"/>
        <v/>
      </c>
      <c r="B1529" s="109"/>
      <c r="C1529" s="119"/>
      <c r="D1529" s="119"/>
      <c r="E1529" s="330"/>
      <c r="F1529" s="121"/>
      <c r="G1529" s="153"/>
      <c r="H1529" s="153"/>
      <c r="I1529" s="153"/>
      <c r="J1529" s="112"/>
      <c r="K1529" s="153"/>
      <c r="L1529" s="114"/>
      <c r="M1529" s="151"/>
      <c r="N1529" s="152"/>
      <c r="O1529" s="150"/>
      <c r="P1529" s="114"/>
      <c r="Q1529" s="114"/>
      <c r="R1529" s="151"/>
      <c r="S1529" s="152"/>
      <c r="T1529" s="153"/>
      <c r="U1529" s="152"/>
      <c r="V1529" s="152"/>
      <c r="W1529" s="152"/>
      <c r="X1529" s="152"/>
      <c r="Y1529" s="153"/>
      <c r="Z1529" s="125" t="str">
        <f t="shared" si="16"/>
        <v/>
      </c>
      <c r="AA1529" s="126" t="str">
        <f t="shared" si="17"/>
        <v/>
      </c>
      <c r="AB1529" s="117" t="str">
        <f t="shared" si="19"/>
        <v/>
      </c>
      <c r="AC1529" s="152"/>
      <c r="AD1529" s="153"/>
      <c r="AE1529" s="156"/>
    </row>
    <row r="1530" ht="18.0" customHeight="1">
      <c r="A1530" s="127" t="str">
        <f t="shared" si="15"/>
        <v/>
      </c>
      <c r="B1530" s="128"/>
      <c r="C1530" s="129"/>
      <c r="D1530" s="129"/>
      <c r="E1530" s="325"/>
      <c r="F1530" s="131"/>
      <c r="G1530" s="319"/>
      <c r="H1530" s="319"/>
      <c r="I1530" s="319"/>
      <c r="J1530" s="132"/>
      <c r="K1530" s="319"/>
      <c r="L1530" s="135"/>
      <c r="M1530" s="321"/>
      <c r="N1530" s="322"/>
      <c r="O1530" s="150"/>
      <c r="P1530" s="135"/>
      <c r="Q1530" s="135"/>
      <c r="R1530" s="321"/>
      <c r="S1530" s="322"/>
      <c r="T1530" s="319"/>
      <c r="U1530" s="322"/>
      <c r="V1530" s="322"/>
      <c r="W1530" s="322"/>
      <c r="X1530" s="322"/>
      <c r="Y1530" s="319"/>
      <c r="Z1530" s="136" t="str">
        <f t="shared" si="16"/>
        <v/>
      </c>
      <c r="AA1530" s="137" t="str">
        <f t="shared" si="17"/>
        <v/>
      </c>
      <c r="AB1530" s="138" t="str">
        <f t="shared" si="19"/>
        <v/>
      </c>
      <c r="AC1530" s="322"/>
      <c r="AD1530" s="319"/>
      <c r="AE1530" s="320"/>
    </row>
    <row r="1531" ht="18.0" customHeight="1">
      <c r="A1531" s="118" t="str">
        <f t="shared" si="15"/>
        <v/>
      </c>
      <c r="B1531" s="109"/>
      <c r="C1531" s="119"/>
      <c r="D1531" s="119"/>
      <c r="E1531" s="330"/>
      <c r="F1531" s="121"/>
      <c r="G1531" s="153"/>
      <c r="H1531" s="153"/>
      <c r="I1531" s="153"/>
      <c r="J1531" s="112"/>
      <c r="K1531" s="153"/>
      <c r="L1531" s="114"/>
      <c r="M1531" s="151"/>
      <c r="N1531" s="152"/>
      <c r="O1531" s="150"/>
      <c r="P1531" s="114"/>
      <c r="Q1531" s="114"/>
      <c r="R1531" s="151"/>
      <c r="S1531" s="152"/>
      <c r="T1531" s="153"/>
      <c r="U1531" s="152"/>
      <c r="V1531" s="152"/>
      <c r="W1531" s="152"/>
      <c r="X1531" s="152"/>
      <c r="Y1531" s="153"/>
      <c r="Z1531" s="125" t="str">
        <f t="shared" si="16"/>
        <v/>
      </c>
      <c r="AA1531" s="126" t="str">
        <f t="shared" si="17"/>
        <v/>
      </c>
      <c r="AB1531" s="117" t="str">
        <f t="shared" si="19"/>
        <v/>
      </c>
      <c r="AC1531" s="152"/>
      <c r="AD1531" s="153"/>
      <c r="AE1531" s="156"/>
    </row>
    <row r="1532" ht="18.0" customHeight="1">
      <c r="A1532" s="127" t="str">
        <f t="shared" si="15"/>
        <v/>
      </c>
      <c r="B1532" s="128"/>
      <c r="C1532" s="129"/>
      <c r="D1532" s="129"/>
      <c r="E1532" s="325"/>
      <c r="F1532" s="131"/>
      <c r="G1532" s="319"/>
      <c r="H1532" s="319"/>
      <c r="I1532" s="319"/>
      <c r="J1532" s="132"/>
      <c r="K1532" s="319"/>
      <c r="L1532" s="135"/>
      <c r="M1532" s="321"/>
      <c r="N1532" s="322"/>
      <c r="O1532" s="150"/>
      <c r="P1532" s="135"/>
      <c r="Q1532" s="135"/>
      <c r="R1532" s="321"/>
      <c r="S1532" s="322"/>
      <c r="T1532" s="319"/>
      <c r="U1532" s="322"/>
      <c r="V1532" s="322"/>
      <c r="W1532" s="322"/>
      <c r="X1532" s="322"/>
      <c r="Y1532" s="319"/>
      <c r="Z1532" s="136" t="str">
        <f t="shared" si="16"/>
        <v/>
      </c>
      <c r="AA1532" s="137" t="str">
        <f t="shared" si="17"/>
        <v/>
      </c>
      <c r="AB1532" s="138" t="str">
        <f t="shared" si="19"/>
        <v/>
      </c>
      <c r="AC1532" s="322"/>
      <c r="AD1532" s="319"/>
      <c r="AE1532" s="320"/>
    </row>
    <row r="1533" ht="18.0" customHeight="1">
      <c r="A1533" s="118" t="str">
        <f t="shared" si="15"/>
        <v/>
      </c>
      <c r="B1533" s="109"/>
      <c r="C1533" s="119"/>
      <c r="D1533" s="119"/>
      <c r="E1533" s="330"/>
      <c r="F1533" s="121"/>
      <c r="G1533" s="153"/>
      <c r="H1533" s="153"/>
      <c r="I1533" s="153"/>
      <c r="J1533" s="112"/>
      <c r="K1533" s="153"/>
      <c r="L1533" s="114"/>
      <c r="M1533" s="151"/>
      <c r="N1533" s="152"/>
      <c r="O1533" s="150"/>
      <c r="P1533" s="114"/>
      <c r="Q1533" s="114"/>
      <c r="R1533" s="151"/>
      <c r="S1533" s="152"/>
      <c r="T1533" s="153"/>
      <c r="U1533" s="152"/>
      <c r="V1533" s="152"/>
      <c r="W1533" s="152"/>
      <c r="X1533" s="152"/>
      <c r="Y1533" s="153"/>
      <c r="Z1533" s="125" t="str">
        <f t="shared" si="16"/>
        <v/>
      </c>
      <c r="AA1533" s="126" t="str">
        <f t="shared" si="17"/>
        <v/>
      </c>
      <c r="AB1533" s="117" t="str">
        <f t="shared" si="19"/>
        <v/>
      </c>
      <c r="AC1533" s="152"/>
      <c r="AD1533" s="153"/>
      <c r="AE1533" s="156"/>
    </row>
    <row r="1534" ht="18.0" customHeight="1">
      <c r="A1534" s="127" t="str">
        <f t="shared" si="15"/>
        <v/>
      </c>
      <c r="B1534" s="128"/>
      <c r="C1534" s="129"/>
      <c r="D1534" s="129"/>
      <c r="E1534" s="325"/>
      <c r="F1534" s="131"/>
      <c r="G1534" s="319"/>
      <c r="H1534" s="319"/>
      <c r="I1534" s="319"/>
      <c r="J1534" s="132"/>
      <c r="K1534" s="319"/>
      <c r="L1534" s="135"/>
      <c r="M1534" s="321"/>
      <c r="N1534" s="322"/>
      <c r="O1534" s="150"/>
      <c r="P1534" s="135"/>
      <c r="Q1534" s="135"/>
      <c r="R1534" s="321"/>
      <c r="S1534" s="322"/>
      <c r="T1534" s="319"/>
      <c r="U1534" s="322"/>
      <c r="V1534" s="322"/>
      <c r="W1534" s="322"/>
      <c r="X1534" s="322"/>
      <c r="Y1534" s="319"/>
      <c r="Z1534" s="136" t="str">
        <f t="shared" si="16"/>
        <v/>
      </c>
      <c r="AA1534" s="137" t="str">
        <f t="shared" si="17"/>
        <v/>
      </c>
      <c r="AB1534" s="138" t="str">
        <f t="shared" si="19"/>
        <v/>
      </c>
      <c r="AC1534" s="322"/>
      <c r="AD1534" s="319"/>
      <c r="AE1534" s="320"/>
    </row>
    <row r="1535" ht="18.0" customHeight="1">
      <c r="A1535" s="118" t="str">
        <f t="shared" si="15"/>
        <v/>
      </c>
      <c r="B1535" s="109"/>
      <c r="C1535" s="119"/>
      <c r="D1535" s="119"/>
      <c r="E1535" s="330"/>
      <c r="F1535" s="121"/>
      <c r="G1535" s="153"/>
      <c r="H1535" s="153"/>
      <c r="I1535" s="153"/>
      <c r="J1535" s="112"/>
      <c r="K1535" s="153"/>
      <c r="L1535" s="114"/>
      <c r="M1535" s="151"/>
      <c r="N1535" s="152"/>
      <c r="O1535" s="150"/>
      <c r="P1535" s="114"/>
      <c r="Q1535" s="114"/>
      <c r="R1535" s="151"/>
      <c r="S1535" s="152"/>
      <c r="T1535" s="153"/>
      <c r="U1535" s="152"/>
      <c r="V1535" s="152"/>
      <c r="W1535" s="152"/>
      <c r="X1535" s="152"/>
      <c r="Y1535" s="153"/>
      <c r="Z1535" s="125" t="str">
        <f t="shared" si="16"/>
        <v/>
      </c>
      <c r="AA1535" s="126" t="str">
        <f t="shared" si="17"/>
        <v/>
      </c>
      <c r="AB1535" s="117" t="str">
        <f t="shared" si="19"/>
        <v/>
      </c>
      <c r="AC1535" s="152"/>
      <c r="AD1535" s="153"/>
      <c r="AE1535" s="156"/>
    </row>
    <row r="1536" ht="18.0" customHeight="1">
      <c r="A1536" s="127" t="str">
        <f t="shared" si="15"/>
        <v/>
      </c>
      <c r="B1536" s="128"/>
      <c r="C1536" s="129"/>
      <c r="D1536" s="129"/>
      <c r="E1536" s="325"/>
      <c r="F1536" s="131"/>
      <c r="G1536" s="319"/>
      <c r="H1536" s="319"/>
      <c r="I1536" s="319"/>
      <c r="J1536" s="132"/>
      <c r="K1536" s="319"/>
      <c r="L1536" s="135"/>
      <c r="M1536" s="321"/>
      <c r="N1536" s="322"/>
      <c r="O1536" s="150"/>
      <c r="P1536" s="135"/>
      <c r="Q1536" s="135"/>
      <c r="R1536" s="321"/>
      <c r="S1536" s="322"/>
      <c r="T1536" s="319"/>
      <c r="U1536" s="322"/>
      <c r="V1536" s="322"/>
      <c r="W1536" s="322"/>
      <c r="X1536" s="322"/>
      <c r="Y1536" s="319"/>
      <c r="Z1536" s="136" t="str">
        <f t="shared" si="16"/>
        <v/>
      </c>
      <c r="AA1536" s="137" t="str">
        <f t="shared" si="17"/>
        <v/>
      </c>
      <c r="AB1536" s="138" t="str">
        <f t="shared" si="19"/>
        <v/>
      </c>
      <c r="AC1536" s="322"/>
      <c r="AD1536" s="319"/>
      <c r="AE1536" s="320"/>
    </row>
    <row r="1537" ht="18.0" customHeight="1">
      <c r="A1537" s="118" t="str">
        <f t="shared" si="15"/>
        <v/>
      </c>
      <c r="B1537" s="109"/>
      <c r="C1537" s="119"/>
      <c r="D1537" s="119"/>
      <c r="E1537" s="330"/>
      <c r="F1537" s="121"/>
      <c r="G1537" s="153"/>
      <c r="H1537" s="153"/>
      <c r="I1537" s="153"/>
      <c r="J1537" s="112"/>
      <c r="K1537" s="153"/>
      <c r="L1537" s="114"/>
      <c r="M1537" s="151"/>
      <c r="N1537" s="152"/>
      <c r="O1537" s="150"/>
      <c r="P1537" s="114"/>
      <c r="Q1537" s="114"/>
      <c r="R1537" s="151"/>
      <c r="S1537" s="152"/>
      <c r="T1537" s="153"/>
      <c r="U1537" s="152"/>
      <c r="V1537" s="152"/>
      <c r="W1537" s="152"/>
      <c r="X1537" s="152"/>
      <c r="Y1537" s="153"/>
      <c r="Z1537" s="125" t="str">
        <f t="shared" si="16"/>
        <v/>
      </c>
      <c r="AA1537" s="126" t="str">
        <f t="shared" si="17"/>
        <v/>
      </c>
      <c r="AB1537" s="117" t="str">
        <f t="shared" si="19"/>
        <v/>
      </c>
      <c r="AC1537" s="152"/>
      <c r="AD1537" s="153"/>
      <c r="AE1537" s="156"/>
    </row>
    <row r="1538" ht="18.0" customHeight="1">
      <c r="A1538" s="127" t="str">
        <f t="shared" si="15"/>
        <v/>
      </c>
      <c r="B1538" s="128"/>
      <c r="C1538" s="129"/>
      <c r="D1538" s="129"/>
      <c r="E1538" s="325"/>
      <c r="F1538" s="131"/>
      <c r="G1538" s="319"/>
      <c r="H1538" s="319"/>
      <c r="I1538" s="319"/>
      <c r="J1538" s="132"/>
      <c r="K1538" s="319"/>
      <c r="L1538" s="135"/>
      <c r="M1538" s="321"/>
      <c r="N1538" s="322"/>
      <c r="O1538" s="150"/>
      <c r="P1538" s="135"/>
      <c r="Q1538" s="135"/>
      <c r="R1538" s="321"/>
      <c r="S1538" s="322"/>
      <c r="T1538" s="319"/>
      <c r="U1538" s="322"/>
      <c r="V1538" s="322"/>
      <c r="W1538" s="322"/>
      <c r="X1538" s="322"/>
      <c r="Y1538" s="319"/>
      <c r="Z1538" s="136" t="str">
        <f t="shared" si="16"/>
        <v/>
      </c>
      <c r="AA1538" s="137" t="str">
        <f t="shared" si="17"/>
        <v/>
      </c>
      <c r="AB1538" s="138" t="str">
        <f t="shared" si="19"/>
        <v/>
      </c>
      <c r="AC1538" s="322"/>
      <c r="AD1538" s="319"/>
      <c r="AE1538" s="320"/>
    </row>
    <row r="1539" ht="18.0" customHeight="1">
      <c r="A1539" s="118" t="str">
        <f t="shared" si="15"/>
        <v/>
      </c>
      <c r="B1539" s="109"/>
      <c r="C1539" s="119"/>
      <c r="D1539" s="119"/>
      <c r="E1539" s="330"/>
      <c r="F1539" s="121"/>
      <c r="G1539" s="153"/>
      <c r="H1539" s="153"/>
      <c r="I1539" s="153"/>
      <c r="J1539" s="112"/>
      <c r="K1539" s="153"/>
      <c r="L1539" s="114"/>
      <c r="M1539" s="151"/>
      <c r="N1539" s="152"/>
      <c r="O1539" s="150"/>
      <c r="P1539" s="114"/>
      <c r="Q1539" s="114"/>
      <c r="R1539" s="151"/>
      <c r="S1539" s="152"/>
      <c r="T1539" s="153"/>
      <c r="U1539" s="152"/>
      <c r="V1539" s="152"/>
      <c r="W1539" s="152"/>
      <c r="X1539" s="152"/>
      <c r="Y1539" s="153"/>
      <c r="Z1539" s="125" t="str">
        <f t="shared" si="16"/>
        <v/>
      </c>
      <c r="AA1539" s="126" t="str">
        <f t="shared" si="17"/>
        <v/>
      </c>
      <c r="AB1539" s="117" t="str">
        <f t="shared" si="19"/>
        <v/>
      </c>
      <c r="AC1539" s="152"/>
      <c r="AD1539" s="153"/>
      <c r="AE1539" s="156"/>
    </row>
    <row r="1540" ht="18.0" customHeight="1">
      <c r="A1540" s="127" t="str">
        <f t="shared" si="15"/>
        <v/>
      </c>
      <c r="B1540" s="128"/>
      <c r="C1540" s="129"/>
      <c r="D1540" s="129"/>
      <c r="E1540" s="325"/>
      <c r="F1540" s="131"/>
      <c r="G1540" s="319"/>
      <c r="H1540" s="319"/>
      <c r="I1540" s="319"/>
      <c r="J1540" s="132"/>
      <c r="K1540" s="319"/>
      <c r="L1540" s="135"/>
      <c r="M1540" s="321"/>
      <c r="N1540" s="322"/>
      <c r="O1540" s="150"/>
      <c r="P1540" s="135"/>
      <c r="Q1540" s="135"/>
      <c r="R1540" s="321"/>
      <c r="S1540" s="322"/>
      <c r="T1540" s="319"/>
      <c r="U1540" s="322"/>
      <c r="V1540" s="322"/>
      <c r="W1540" s="322"/>
      <c r="X1540" s="322"/>
      <c r="Y1540" s="319"/>
      <c r="Z1540" s="136" t="str">
        <f t="shared" si="16"/>
        <v/>
      </c>
      <c r="AA1540" s="137" t="str">
        <f t="shared" si="17"/>
        <v/>
      </c>
      <c r="AB1540" s="138" t="str">
        <f t="shared" si="19"/>
        <v/>
      </c>
      <c r="AC1540" s="322"/>
      <c r="AD1540" s="319"/>
      <c r="AE1540" s="320"/>
    </row>
    <row r="1541" ht="18.0" customHeight="1">
      <c r="A1541" s="118" t="str">
        <f t="shared" si="15"/>
        <v/>
      </c>
      <c r="B1541" s="109"/>
      <c r="C1541" s="119"/>
      <c r="D1541" s="119"/>
      <c r="E1541" s="330"/>
      <c r="F1541" s="121"/>
      <c r="G1541" s="153"/>
      <c r="H1541" s="153"/>
      <c r="I1541" s="153"/>
      <c r="J1541" s="112"/>
      <c r="K1541" s="153"/>
      <c r="L1541" s="114"/>
      <c r="M1541" s="151"/>
      <c r="N1541" s="152"/>
      <c r="O1541" s="150"/>
      <c r="P1541" s="114"/>
      <c r="Q1541" s="114"/>
      <c r="R1541" s="151"/>
      <c r="S1541" s="152"/>
      <c r="T1541" s="153"/>
      <c r="U1541" s="152"/>
      <c r="V1541" s="152"/>
      <c r="W1541" s="152"/>
      <c r="X1541" s="152"/>
      <c r="Y1541" s="153"/>
      <c r="Z1541" s="125" t="str">
        <f t="shared" si="16"/>
        <v/>
      </c>
      <c r="AA1541" s="126" t="str">
        <f t="shared" si="17"/>
        <v/>
      </c>
      <c r="AB1541" s="117" t="str">
        <f t="shared" si="19"/>
        <v/>
      </c>
      <c r="AC1541" s="152"/>
      <c r="AD1541" s="153"/>
      <c r="AE1541" s="156"/>
    </row>
    <row r="1542" ht="18.0" customHeight="1">
      <c r="A1542" s="127" t="str">
        <f t="shared" si="15"/>
        <v/>
      </c>
      <c r="B1542" s="128"/>
      <c r="C1542" s="129"/>
      <c r="D1542" s="129"/>
      <c r="E1542" s="325"/>
      <c r="F1542" s="131"/>
      <c r="G1542" s="319"/>
      <c r="H1542" s="319"/>
      <c r="I1542" s="319"/>
      <c r="J1542" s="132"/>
      <c r="K1542" s="319"/>
      <c r="L1542" s="135"/>
      <c r="M1542" s="321"/>
      <c r="N1542" s="322"/>
      <c r="O1542" s="150"/>
      <c r="P1542" s="135"/>
      <c r="Q1542" s="135"/>
      <c r="R1542" s="321"/>
      <c r="S1542" s="322"/>
      <c r="T1542" s="319"/>
      <c r="U1542" s="322"/>
      <c r="V1542" s="322"/>
      <c r="W1542" s="322"/>
      <c r="X1542" s="322"/>
      <c r="Y1542" s="319"/>
      <c r="Z1542" s="136" t="str">
        <f t="shared" si="16"/>
        <v/>
      </c>
      <c r="AA1542" s="137" t="str">
        <f t="shared" si="17"/>
        <v/>
      </c>
      <c r="AB1542" s="138" t="str">
        <f t="shared" si="19"/>
        <v/>
      </c>
      <c r="AC1542" s="322"/>
      <c r="AD1542" s="319"/>
      <c r="AE1542" s="320"/>
    </row>
    <row r="1543" ht="18.0" customHeight="1">
      <c r="A1543" s="118" t="str">
        <f t="shared" si="15"/>
        <v/>
      </c>
      <c r="B1543" s="109"/>
      <c r="C1543" s="119"/>
      <c r="D1543" s="119"/>
      <c r="E1543" s="330"/>
      <c r="F1543" s="121"/>
      <c r="G1543" s="153"/>
      <c r="H1543" s="153"/>
      <c r="I1543" s="153"/>
      <c r="J1543" s="112"/>
      <c r="K1543" s="153"/>
      <c r="L1543" s="114"/>
      <c r="M1543" s="151"/>
      <c r="N1543" s="152"/>
      <c r="O1543" s="150"/>
      <c r="P1543" s="114"/>
      <c r="Q1543" s="114"/>
      <c r="R1543" s="151"/>
      <c r="S1543" s="152"/>
      <c r="T1543" s="153"/>
      <c r="U1543" s="152"/>
      <c r="V1543" s="152"/>
      <c r="W1543" s="152"/>
      <c r="X1543" s="152"/>
      <c r="Y1543" s="153"/>
      <c r="Z1543" s="125" t="str">
        <f t="shared" si="16"/>
        <v/>
      </c>
      <c r="AA1543" s="126" t="str">
        <f t="shared" si="17"/>
        <v/>
      </c>
      <c r="AB1543" s="117" t="str">
        <f t="shared" si="19"/>
        <v/>
      </c>
      <c r="AC1543" s="152"/>
      <c r="AD1543" s="153"/>
      <c r="AE1543" s="156"/>
    </row>
    <row r="1544" ht="18.0" customHeight="1">
      <c r="A1544" s="127" t="str">
        <f t="shared" si="15"/>
        <v/>
      </c>
      <c r="B1544" s="128"/>
      <c r="C1544" s="129"/>
      <c r="D1544" s="129"/>
      <c r="E1544" s="325"/>
      <c r="F1544" s="131"/>
      <c r="G1544" s="319"/>
      <c r="H1544" s="319"/>
      <c r="I1544" s="319"/>
      <c r="J1544" s="132"/>
      <c r="K1544" s="319"/>
      <c r="L1544" s="135"/>
      <c r="M1544" s="321"/>
      <c r="N1544" s="322"/>
      <c r="O1544" s="150"/>
      <c r="P1544" s="135"/>
      <c r="Q1544" s="135"/>
      <c r="R1544" s="321"/>
      <c r="S1544" s="322"/>
      <c r="T1544" s="319"/>
      <c r="U1544" s="322"/>
      <c r="V1544" s="322"/>
      <c r="W1544" s="322"/>
      <c r="X1544" s="322"/>
      <c r="Y1544" s="319"/>
      <c r="Z1544" s="136" t="str">
        <f t="shared" si="16"/>
        <v/>
      </c>
      <c r="AA1544" s="137" t="str">
        <f t="shared" si="17"/>
        <v/>
      </c>
      <c r="AB1544" s="138" t="str">
        <f t="shared" si="19"/>
        <v/>
      </c>
      <c r="AC1544" s="322"/>
      <c r="AD1544" s="319"/>
      <c r="AE1544" s="320"/>
    </row>
    <row r="1545" ht="18.0" customHeight="1">
      <c r="A1545" s="118" t="str">
        <f t="shared" si="15"/>
        <v/>
      </c>
      <c r="B1545" s="109"/>
      <c r="C1545" s="119"/>
      <c r="D1545" s="119"/>
      <c r="E1545" s="330"/>
      <c r="F1545" s="121"/>
      <c r="G1545" s="153"/>
      <c r="H1545" s="153"/>
      <c r="I1545" s="153"/>
      <c r="J1545" s="112"/>
      <c r="K1545" s="153"/>
      <c r="L1545" s="114"/>
      <c r="M1545" s="151"/>
      <c r="N1545" s="152"/>
      <c r="O1545" s="150"/>
      <c r="P1545" s="114"/>
      <c r="Q1545" s="114"/>
      <c r="R1545" s="151"/>
      <c r="S1545" s="152"/>
      <c r="T1545" s="153"/>
      <c r="U1545" s="152"/>
      <c r="V1545" s="152"/>
      <c r="W1545" s="152"/>
      <c r="X1545" s="152"/>
      <c r="Y1545" s="153"/>
      <c r="Z1545" s="125" t="str">
        <f t="shared" si="16"/>
        <v/>
      </c>
      <c r="AA1545" s="126" t="str">
        <f t="shared" si="17"/>
        <v/>
      </c>
      <c r="AB1545" s="117" t="str">
        <f t="shared" si="19"/>
        <v/>
      </c>
      <c r="AC1545" s="152"/>
      <c r="AD1545" s="153"/>
      <c r="AE1545" s="156"/>
    </row>
    <row r="1546" ht="18.0" customHeight="1">
      <c r="A1546" s="127" t="str">
        <f t="shared" si="15"/>
        <v/>
      </c>
      <c r="B1546" s="128"/>
      <c r="C1546" s="129"/>
      <c r="D1546" s="129"/>
      <c r="E1546" s="325"/>
      <c r="F1546" s="131"/>
      <c r="G1546" s="319"/>
      <c r="H1546" s="319"/>
      <c r="I1546" s="319"/>
      <c r="J1546" s="132"/>
      <c r="K1546" s="319"/>
      <c r="L1546" s="135"/>
      <c r="M1546" s="321"/>
      <c r="N1546" s="322"/>
      <c r="O1546" s="150"/>
      <c r="P1546" s="135"/>
      <c r="Q1546" s="135"/>
      <c r="R1546" s="321"/>
      <c r="S1546" s="322"/>
      <c r="T1546" s="319"/>
      <c r="U1546" s="322"/>
      <c r="V1546" s="322"/>
      <c r="W1546" s="322"/>
      <c r="X1546" s="322"/>
      <c r="Y1546" s="319"/>
      <c r="Z1546" s="136" t="str">
        <f t="shared" si="16"/>
        <v/>
      </c>
      <c r="AA1546" s="137" t="str">
        <f t="shared" si="17"/>
        <v/>
      </c>
      <c r="AB1546" s="138" t="str">
        <f t="shared" si="19"/>
        <v/>
      </c>
      <c r="AC1546" s="322"/>
      <c r="AD1546" s="319"/>
      <c r="AE1546" s="320"/>
    </row>
    <row r="1547" ht="18.0" customHeight="1">
      <c r="A1547" s="118" t="str">
        <f t="shared" si="15"/>
        <v/>
      </c>
      <c r="B1547" s="109"/>
      <c r="C1547" s="119"/>
      <c r="D1547" s="119"/>
      <c r="E1547" s="330"/>
      <c r="F1547" s="121"/>
      <c r="G1547" s="153"/>
      <c r="H1547" s="153"/>
      <c r="I1547" s="153"/>
      <c r="J1547" s="112"/>
      <c r="K1547" s="153"/>
      <c r="L1547" s="114"/>
      <c r="M1547" s="151"/>
      <c r="N1547" s="152"/>
      <c r="O1547" s="150"/>
      <c r="P1547" s="114"/>
      <c r="Q1547" s="114"/>
      <c r="R1547" s="151"/>
      <c r="S1547" s="152"/>
      <c r="T1547" s="153"/>
      <c r="U1547" s="152"/>
      <c r="V1547" s="152"/>
      <c r="W1547" s="152"/>
      <c r="X1547" s="152"/>
      <c r="Y1547" s="153"/>
      <c r="Z1547" s="125" t="str">
        <f t="shared" si="16"/>
        <v/>
      </c>
      <c r="AA1547" s="126" t="str">
        <f t="shared" si="17"/>
        <v/>
      </c>
      <c r="AB1547" s="117" t="str">
        <f t="shared" si="19"/>
        <v/>
      </c>
      <c r="AC1547" s="152"/>
      <c r="AD1547" s="153"/>
      <c r="AE1547" s="156"/>
    </row>
    <row r="1548" ht="18.0" customHeight="1">
      <c r="A1548" s="127" t="str">
        <f t="shared" si="15"/>
        <v/>
      </c>
      <c r="B1548" s="128"/>
      <c r="C1548" s="129"/>
      <c r="D1548" s="129"/>
      <c r="E1548" s="325"/>
      <c r="F1548" s="131"/>
      <c r="G1548" s="319"/>
      <c r="H1548" s="319"/>
      <c r="I1548" s="319"/>
      <c r="J1548" s="132"/>
      <c r="K1548" s="319"/>
      <c r="L1548" s="135"/>
      <c r="M1548" s="321"/>
      <c r="N1548" s="322"/>
      <c r="O1548" s="150"/>
      <c r="P1548" s="135"/>
      <c r="Q1548" s="135"/>
      <c r="R1548" s="321"/>
      <c r="S1548" s="322"/>
      <c r="T1548" s="319"/>
      <c r="U1548" s="322"/>
      <c r="V1548" s="322"/>
      <c r="W1548" s="322"/>
      <c r="X1548" s="322"/>
      <c r="Y1548" s="319"/>
      <c r="Z1548" s="136" t="str">
        <f t="shared" si="16"/>
        <v/>
      </c>
      <c r="AA1548" s="137" t="str">
        <f t="shared" si="17"/>
        <v/>
      </c>
      <c r="AB1548" s="138" t="str">
        <f t="shared" si="19"/>
        <v/>
      </c>
      <c r="AC1548" s="322"/>
      <c r="AD1548" s="319"/>
      <c r="AE1548" s="320"/>
    </row>
    <row r="1549" ht="18.0" customHeight="1">
      <c r="A1549" s="118" t="str">
        <f t="shared" si="15"/>
        <v/>
      </c>
      <c r="B1549" s="109"/>
      <c r="C1549" s="119"/>
      <c r="D1549" s="119"/>
      <c r="E1549" s="330"/>
      <c r="F1549" s="121"/>
      <c r="G1549" s="153"/>
      <c r="H1549" s="153"/>
      <c r="I1549" s="153"/>
      <c r="J1549" s="112"/>
      <c r="K1549" s="153"/>
      <c r="L1549" s="114"/>
      <c r="M1549" s="151"/>
      <c r="N1549" s="152"/>
      <c r="O1549" s="150"/>
      <c r="P1549" s="114"/>
      <c r="Q1549" s="114"/>
      <c r="R1549" s="151"/>
      <c r="S1549" s="152"/>
      <c r="T1549" s="153"/>
      <c r="U1549" s="152"/>
      <c r="V1549" s="152"/>
      <c r="W1549" s="152"/>
      <c r="X1549" s="152"/>
      <c r="Y1549" s="153"/>
      <c r="Z1549" s="125" t="str">
        <f t="shared" si="16"/>
        <v/>
      </c>
      <c r="AA1549" s="126" t="str">
        <f t="shared" si="17"/>
        <v/>
      </c>
      <c r="AB1549" s="117" t="str">
        <f t="shared" si="19"/>
        <v/>
      </c>
      <c r="AC1549" s="152"/>
      <c r="AD1549" s="153"/>
      <c r="AE1549" s="156"/>
    </row>
    <row r="1550" ht="18.0" customHeight="1">
      <c r="A1550" s="127" t="str">
        <f t="shared" si="15"/>
        <v/>
      </c>
      <c r="B1550" s="128"/>
      <c r="C1550" s="129"/>
      <c r="D1550" s="129"/>
      <c r="E1550" s="325"/>
      <c r="F1550" s="131"/>
      <c r="G1550" s="319"/>
      <c r="H1550" s="319"/>
      <c r="I1550" s="319"/>
      <c r="J1550" s="132"/>
      <c r="K1550" s="319"/>
      <c r="L1550" s="135"/>
      <c r="M1550" s="321"/>
      <c r="N1550" s="322"/>
      <c r="O1550" s="150"/>
      <c r="P1550" s="135"/>
      <c r="Q1550" s="135"/>
      <c r="R1550" s="321"/>
      <c r="S1550" s="322"/>
      <c r="T1550" s="319"/>
      <c r="U1550" s="322"/>
      <c r="V1550" s="322"/>
      <c r="W1550" s="322"/>
      <c r="X1550" s="322"/>
      <c r="Y1550" s="319"/>
      <c r="Z1550" s="136" t="str">
        <f t="shared" si="16"/>
        <v/>
      </c>
      <c r="AA1550" s="137" t="str">
        <f t="shared" si="17"/>
        <v/>
      </c>
      <c r="AB1550" s="138" t="str">
        <f t="shared" si="19"/>
        <v/>
      </c>
      <c r="AC1550" s="322"/>
      <c r="AD1550" s="319"/>
      <c r="AE1550" s="320"/>
    </row>
    <row r="1551" ht="18.0" customHeight="1">
      <c r="A1551" s="118" t="str">
        <f t="shared" si="15"/>
        <v/>
      </c>
      <c r="B1551" s="109"/>
      <c r="C1551" s="119"/>
      <c r="D1551" s="119"/>
      <c r="E1551" s="330"/>
      <c r="F1551" s="121"/>
      <c r="G1551" s="153"/>
      <c r="H1551" s="153"/>
      <c r="I1551" s="153"/>
      <c r="J1551" s="112"/>
      <c r="K1551" s="153"/>
      <c r="L1551" s="114"/>
      <c r="M1551" s="151"/>
      <c r="N1551" s="152"/>
      <c r="O1551" s="150"/>
      <c r="P1551" s="114"/>
      <c r="Q1551" s="114"/>
      <c r="R1551" s="151"/>
      <c r="S1551" s="152"/>
      <c r="T1551" s="153"/>
      <c r="U1551" s="152"/>
      <c r="V1551" s="152"/>
      <c r="W1551" s="152"/>
      <c r="X1551" s="152"/>
      <c r="Y1551" s="153"/>
      <c r="Z1551" s="125" t="str">
        <f t="shared" si="16"/>
        <v/>
      </c>
      <c r="AA1551" s="126" t="str">
        <f t="shared" si="17"/>
        <v/>
      </c>
      <c r="AB1551" s="117" t="str">
        <f t="shared" si="19"/>
        <v/>
      </c>
      <c r="AC1551" s="152"/>
      <c r="AD1551" s="153"/>
      <c r="AE1551" s="156"/>
    </row>
    <row r="1552" ht="18.0" customHeight="1">
      <c r="A1552" s="127" t="str">
        <f t="shared" si="15"/>
        <v/>
      </c>
      <c r="B1552" s="128"/>
      <c r="C1552" s="129"/>
      <c r="D1552" s="129"/>
      <c r="E1552" s="325"/>
      <c r="F1552" s="131"/>
      <c r="G1552" s="319"/>
      <c r="H1552" s="319"/>
      <c r="I1552" s="319"/>
      <c r="J1552" s="132"/>
      <c r="K1552" s="319"/>
      <c r="L1552" s="135"/>
      <c r="M1552" s="321"/>
      <c r="N1552" s="322"/>
      <c r="O1552" s="150"/>
      <c r="P1552" s="135"/>
      <c r="Q1552" s="135"/>
      <c r="R1552" s="321"/>
      <c r="S1552" s="322"/>
      <c r="T1552" s="319"/>
      <c r="U1552" s="322"/>
      <c r="V1552" s="322"/>
      <c r="W1552" s="322"/>
      <c r="X1552" s="322"/>
      <c r="Y1552" s="319"/>
      <c r="Z1552" s="136" t="str">
        <f t="shared" si="16"/>
        <v/>
      </c>
      <c r="AA1552" s="137" t="str">
        <f t="shared" si="17"/>
        <v/>
      </c>
      <c r="AB1552" s="138" t="str">
        <f t="shared" si="19"/>
        <v/>
      </c>
      <c r="AC1552" s="322"/>
      <c r="AD1552" s="319"/>
      <c r="AE1552" s="320"/>
    </row>
    <row r="1553" ht="18.0" customHeight="1">
      <c r="A1553" s="118" t="str">
        <f t="shared" si="15"/>
        <v/>
      </c>
      <c r="B1553" s="109"/>
      <c r="C1553" s="119"/>
      <c r="D1553" s="119"/>
      <c r="E1553" s="330"/>
      <c r="F1553" s="121"/>
      <c r="G1553" s="153"/>
      <c r="H1553" s="153"/>
      <c r="I1553" s="153"/>
      <c r="J1553" s="112"/>
      <c r="K1553" s="153"/>
      <c r="L1553" s="114"/>
      <c r="M1553" s="151"/>
      <c r="N1553" s="152"/>
      <c r="O1553" s="150"/>
      <c r="P1553" s="114"/>
      <c r="Q1553" s="114"/>
      <c r="R1553" s="151"/>
      <c r="S1553" s="152"/>
      <c r="T1553" s="153"/>
      <c r="U1553" s="152"/>
      <c r="V1553" s="152"/>
      <c r="W1553" s="152"/>
      <c r="X1553" s="152"/>
      <c r="Y1553" s="153"/>
      <c r="Z1553" s="125" t="str">
        <f t="shared" si="16"/>
        <v/>
      </c>
      <c r="AA1553" s="126" t="str">
        <f t="shared" si="17"/>
        <v/>
      </c>
      <c r="AB1553" s="117" t="str">
        <f t="shared" si="19"/>
        <v/>
      </c>
      <c r="AC1553" s="152"/>
      <c r="AD1553" s="153"/>
      <c r="AE1553" s="156"/>
    </row>
    <row r="1554" ht="18.0" customHeight="1">
      <c r="A1554" s="127" t="str">
        <f t="shared" si="15"/>
        <v/>
      </c>
      <c r="B1554" s="128"/>
      <c r="C1554" s="129"/>
      <c r="D1554" s="129"/>
      <c r="E1554" s="325"/>
      <c r="F1554" s="131"/>
      <c r="G1554" s="319"/>
      <c r="H1554" s="319"/>
      <c r="I1554" s="319"/>
      <c r="J1554" s="132"/>
      <c r="K1554" s="319"/>
      <c r="L1554" s="135"/>
      <c r="M1554" s="321"/>
      <c r="N1554" s="322"/>
      <c r="O1554" s="150"/>
      <c r="P1554" s="135"/>
      <c r="Q1554" s="135"/>
      <c r="R1554" s="321"/>
      <c r="S1554" s="322"/>
      <c r="T1554" s="319"/>
      <c r="U1554" s="322"/>
      <c r="V1554" s="322"/>
      <c r="W1554" s="322"/>
      <c r="X1554" s="322"/>
      <c r="Y1554" s="319"/>
      <c r="Z1554" s="136" t="str">
        <f t="shared" si="16"/>
        <v/>
      </c>
      <c r="AA1554" s="137" t="str">
        <f t="shared" si="17"/>
        <v/>
      </c>
      <c r="AB1554" s="138" t="str">
        <f t="shared" si="19"/>
        <v/>
      </c>
      <c r="AC1554" s="322"/>
      <c r="AD1554" s="319"/>
      <c r="AE1554" s="320"/>
    </row>
    <row r="1555" ht="18.0" customHeight="1">
      <c r="A1555" s="118" t="str">
        <f t="shared" si="15"/>
        <v/>
      </c>
      <c r="B1555" s="109"/>
      <c r="C1555" s="119"/>
      <c r="D1555" s="119"/>
      <c r="E1555" s="330"/>
      <c r="F1555" s="121"/>
      <c r="G1555" s="153"/>
      <c r="H1555" s="153"/>
      <c r="I1555" s="153"/>
      <c r="J1555" s="112"/>
      <c r="K1555" s="153"/>
      <c r="L1555" s="114"/>
      <c r="M1555" s="151"/>
      <c r="N1555" s="152"/>
      <c r="O1555" s="150"/>
      <c r="P1555" s="114"/>
      <c r="Q1555" s="114"/>
      <c r="R1555" s="151"/>
      <c r="S1555" s="152"/>
      <c r="T1555" s="153"/>
      <c r="U1555" s="152"/>
      <c r="V1555" s="152"/>
      <c r="W1555" s="152"/>
      <c r="X1555" s="152"/>
      <c r="Y1555" s="153"/>
      <c r="Z1555" s="125" t="str">
        <f t="shared" si="16"/>
        <v/>
      </c>
      <c r="AA1555" s="126" t="str">
        <f t="shared" si="17"/>
        <v/>
      </c>
      <c r="AB1555" s="117" t="str">
        <f t="shared" si="19"/>
        <v/>
      </c>
      <c r="AC1555" s="152"/>
      <c r="AD1555" s="153"/>
      <c r="AE1555" s="156"/>
    </row>
    <row r="1556" ht="18.0" customHeight="1">
      <c r="A1556" s="127" t="str">
        <f t="shared" si="15"/>
        <v/>
      </c>
      <c r="B1556" s="128"/>
      <c r="C1556" s="129"/>
      <c r="D1556" s="129"/>
      <c r="E1556" s="325"/>
      <c r="F1556" s="131"/>
      <c r="G1556" s="319"/>
      <c r="H1556" s="319"/>
      <c r="I1556" s="319"/>
      <c r="J1556" s="132"/>
      <c r="K1556" s="319"/>
      <c r="L1556" s="135"/>
      <c r="M1556" s="321"/>
      <c r="N1556" s="322"/>
      <c r="O1556" s="150"/>
      <c r="P1556" s="135"/>
      <c r="Q1556" s="135"/>
      <c r="R1556" s="321"/>
      <c r="S1556" s="322"/>
      <c r="T1556" s="319"/>
      <c r="U1556" s="322"/>
      <c r="V1556" s="322"/>
      <c r="W1556" s="322"/>
      <c r="X1556" s="322"/>
      <c r="Y1556" s="319"/>
      <c r="Z1556" s="136" t="str">
        <f t="shared" si="16"/>
        <v/>
      </c>
      <c r="AA1556" s="137" t="str">
        <f t="shared" si="17"/>
        <v/>
      </c>
      <c r="AB1556" s="138" t="str">
        <f t="shared" si="19"/>
        <v/>
      </c>
      <c r="AC1556" s="322"/>
      <c r="AD1556" s="319"/>
      <c r="AE1556" s="320"/>
    </row>
    <row r="1557" ht="18.0" customHeight="1">
      <c r="A1557" s="118" t="str">
        <f t="shared" si="15"/>
        <v/>
      </c>
      <c r="B1557" s="109"/>
      <c r="C1557" s="119"/>
      <c r="D1557" s="119"/>
      <c r="E1557" s="330"/>
      <c r="F1557" s="121"/>
      <c r="G1557" s="153"/>
      <c r="H1557" s="153"/>
      <c r="I1557" s="153"/>
      <c r="J1557" s="112"/>
      <c r="K1557" s="153"/>
      <c r="L1557" s="114"/>
      <c r="M1557" s="151"/>
      <c r="N1557" s="152"/>
      <c r="O1557" s="150"/>
      <c r="P1557" s="114"/>
      <c r="Q1557" s="114"/>
      <c r="R1557" s="151"/>
      <c r="S1557" s="152"/>
      <c r="T1557" s="153"/>
      <c r="U1557" s="152"/>
      <c r="V1557" s="152"/>
      <c r="W1557" s="152"/>
      <c r="X1557" s="152"/>
      <c r="Y1557" s="153"/>
      <c r="Z1557" s="125" t="str">
        <f t="shared" si="16"/>
        <v/>
      </c>
      <c r="AA1557" s="126" t="str">
        <f t="shared" si="17"/>
        <v/>
      </c>
      <c r="AB1557" s="117" t="str">
        <f t="shared" si="19"/>
        <v/>
      </c>
      <c r="AC1557" s="152"/>
      <c r="AD1557" s="153"/>
      <c r="AE1557" s="156"/>
    </row>
    <row r="1558" ht="18.0" customHeight="1">
      <c r="A1558" s="127" t="str">
        <f t="shared" si="15"/>
        <v/>
      </c>
      <c r="B1558" s="128"/>
      <c r="C1558" s="129"/>
      <c r="D1558" s="129"/>
      <c r="E1558" s="325"/>
      <c r="F1558" s="131"/>
      <c r="G1558" s="319"/>
      <c r="H1558" s="319"/>
      <c r="I1558" s="319"/>
      <c r="J1558" s="132"/>
      <c r="K1558" s="319"/>
      <c r="L1558" s="135"/>
      <c r="M1558" s="321"/>
      <c r="N1558" s="322"/>
      <c r="O1558" s="150"/>
      <c r="P1558" s="135"/>
      <c r="Q1558" s="135"/>
      <c r="R1558" s="321"/>
      <c r="S1558" s="322"/>
      <c r="T1558" s="319"/>
      <c r="U1558" s="322"/>
      <c r="V1558" s="322"/>
      <c r="W1558" s="322"/>
      <c r="X1558" s="322"/>
      <c r="Y1558" s="319"/>
      <c r="Z1558" s="136" t="str">
        <f t="shared" si="16"/>
        <v/>
      </c>
      <c r="AA1558" s="137" t="str">
        <f t="shared" si="17"/>
        <v/>
      </c>
      <c r="AB1558" s="138" t="str">
        <f t="shared" si="19"/>
        <v/>
      </c>
      <c r="AC1558" s="322"/>
      <c r="AD1558" s="319"/>
      <c r="AE1558" s="320"/>
    </row>
    <row r="1559" ht="18.0" customHeight="1">
      <c r="A1559" s="118" t="str">
        <f t="shared" si="15"/>
        <v/>
      </c>
      <c r="B1559" s="109"/>
      <c r="C1559" s="119"/>
      <c r="D1559" s="119"/>
      <c r="E1559" s="330"/>
      <c r="F1559" s="121"/>
      <c r="G1559" s="153"/>
      <c r="H1559" s="153"/>
      <c r="I1559" s="153"/>
      <c r="J1559" s="112"/>
      <c r="K1559" s="153"/>
      <c r="L1559" s="114"/>
      <c r="M1559" s="151"/>
      <c r="N1559" s="152"/>
      <c r="O1559" s="150"/>
      <c r="P1559" s="114"/>
      <c r="Q1559" s="114"/>
      <c r="R1559" s="151"/>
      <c r="S1559" s="152"/>
      <c r="T1559" s="153"/>
      <c r="U1559" s="152"/>
      <c r="V1559" s="152"/>
      <c r="W1559" s="152"/>
      <c r="X1559" s="152"/>
      <c r="Y1559" s="153"/>
      <c r="Z1559" s="125" t="str">
        <f t="shared" si="16"/>
        <v/>
      </c>
      <c r="AA1559" s="126" t="str">
        <f t="shared" si="17"/>
        <v/>
      </c>
      <c r="AB1559" s="117" t="str">
        <f t="shared" si="19"/>
        <v/>
      </c>
      <c r="AC1559" s="152"/>
      <c r="AD1559" s="153"/>
      <c r="AE1559" s="156"/>
    </row>
    <row r="1560" ht="18.0" customHeight="1">
      <c r="A1560" s="127" t="str">
        <f t="shared" si="15"/>
        <v/>
      </c>
      <c r="B1560" s="128"/>
      <c r="C1560" s="129"/>
      <c r="D1560" s="129"/>
      <c r="E1560" s="325"/>
      <c r="F1560" s="131"/>
      <c r="G1560" s="319"/>
      <c r="H1560" s="319"/>
      <c r="I1560" s="319"/>
      <c r="J1560" s="132"/>
      <c r="K1560" s="319"/>
      <c r="L1560" s="135"/>
      <c r="M1560" s="321"/>
      <c r="N1560" s="322"/>
      <c r="O1560" s="150"/>
      <c r="P1560" s="135"/>
      <c r="Q1560" s="135"/>
      <c r="R1560" s="321"/>
      <c r="S1560" s="322"/>
      <c r="T1560" s="319"/>
      <c r="U1560" s="322"/>
      <c r="V1560" s="322"/>
      <c r="W1560" s="322"/>
      <c r="X1560" s="322"/>
      <c r="Y1560" s="319"/>
      <c r="Z1560" s="136" t="str">
        <f t="shared" si="16"/>
        <v/>
      </c>
      <c r="AA1560" s="137" t="str">
        <f t="shared" si="17"/>
        <v/>
      </c>
      <c r="AB1560" s="138" t="str">
        <f t="shared" si="19"/>
        <v/>
      </c>
      <c r="AC1560" s="322"/>
      <c r="AD1560" s="319"/>
      <c r="AE1560" s="320"/>
    </row>
    <row r="1561" ht="18.0" customHeight="1">
      <c r="A1561" s="118" t="str">
        <f t="shared" si="15"/>
        <v/>
      </c>
      <c r="B1561" s="109"/>
      <c r="C1561" s="119"/>
      <c r="D1561" s="119"/>
      <c r="E1561" s="330"/>
      <c r="F1561" s="121"/>
      <c r="G1561" s="153"/>
      <c r="H1561" s="153"/>
      <c r="I1561" s="153"/>
      <c r="J1561" s="112"/>
      <c r="K1561" s="153"/>
      <c r="L1561" s="114"/>
      <c r="M1561" s="151"/>
      <c r="N1561" s="152"/>
      <c r="O1561" s="150"/>
      <c r="P1561" s="114"/>
      <c r="Q1561" s="114"/>
      <c r="R1561" s="151"/>
      <c r="S1561" s="152"/>
      <c r="T1561" s="153"/>
      <c r="U1561" s="152"/>
      <c r="V1561" s="152"/>
      <c r="W1561" s="152"/>
      <c r="X1561" s="152"/>
      <c r="Y1561" s="153"/>
      <c r="Z1561" s="125" t="str">
        <f t="shared" si="16"/>
        <v/>
      </c>
      <c r="AA1561" s="126" t="str">
        <f t="shared" si="17"/>
        <v/>
      </c>
      <c r="AB1561" s="117" t="str">
        <f t="shared" si="19"/>
        <v/>
      </c>
      <c r="AC1561" s="152"/>
      <c r="AD1561" s="153"/>
      <c r="AE1561" s="156"/>
    </row>
    <row r="1562" ht="18.0" customHeight="1">
      <c r="A1562" s="127" t="str">
        <f t="shared" si="15"/>
        <v/>
      </c>
      <c r="B1562" s="128"/>
      <c r="C1562" s="129"/>
      <c r="D1562" s="129"/>
      <c r="E1562" s="325"/>
      <c r="F1562" s="131"/>
      <c r="G1562" s="319"/>
      <c r="H1562" s="319"/>
      <c r="I1562" s="319"/>
      <c r="J1562" s="132"/>
      <c r="K1562" s="319"/>
      <c r="L1562" s="135"/>
      <c r="M1562" s="321"/>
      <c r="N1562" s="322"/>
      <c r="O1562" s="150"/>
      <c r="P1562" s="135"/>
      <c r="Q1562" s="135"/>
      <c r="R1562" s="321"/>
      <c r="S1562" s="322"/>
      <c r="T1562" s="319"/>
      <c r="U1562" s="322"/>
      <c r="V1562" s="322"/>
      <c r="W1562" s="322"/>
      <c r="X1562" s="322"/>
      <c r="Y1562" s="319"/>
      <c r="Z1562" s="136" t="str">
        <f t="shared" si="16"/>
        <v/>
      </c>
      <c r="AA1562" s="137" t="str">
        <f t="shared" si="17"/>
        <v/>
      </c>
      <c r="AB1562" s="138" t="str">
        <f t="shared" si="19"/>
        <v/>
      </c>
      <c r="AC1562" s="322"/>
      <c r="AD1562" s="319"/>
      <c r="AE1562" s="320"/>
    </row>
    <row r="1563" ht="18.0" customHeight="1">
      <c r="A1563" s="118" t="str">
        <f t="shared" si="15"/>
        <v/>
      </c>
      <c r="B1563" s="109"/>
      <c r="C1563" s="119"/>
      <c r="D1563" s="119"/>
      <c r="E1563" s="330"/>
      <c r="F1563" s="121"/>
      <c r="G1563" s="153"/>
      <c r="H1563" s="153"/>
      <c r="I1563" s="153"/>
      <c r="J1563" s="112"/>
      <c r="K1563" s="153"/>
      <c r="L1563" s="114"/>
      <c r="M1563" s="151"/>
      <c r="N1563" s="152"/>
      <c r="O1563" s="150"/>
      <c r="P1563" s="114"/>
      <c r="Q1563" s="114"/>
      <c r="R1563" s="151"/>
      <c r="S1563" s="152"/>
      <c r="T1563" s="153"/>
      <c r="U1563" s="152"/>
      <c r="V1563" s="152"/>
      <c r="W1563" s="152"/>
      <c r="X1563" s="152"/>
      <c r="Y1563" s="153"/>
      <c r="Z1563" s="125" t="str">
        <f t="shared" si="16"/>
        <v/>
      </c>
      <c r="AA1563" s="126" t="str">
        <f t="shared" si="17"/>
        <v/>
      </c>
      <c r="AB1563" s="117" t="str">
        <f t="shared" si="19"/>
        <v/>
      </c>
      <c r="AC1563" s="152"/>
      <c r="AD1563" s="153"/>
      <c r="AE1563" s="156"/>
    </row>
    <row r="1564" ht="18.0" customHeight="1">
      <c r="A1564" s="127" t="str">
        <f t="shared" si="15"/>
        <v/>
      </c>
      <c r="B1564" s="128"/>
      <c r="C1564" s="129"/>
      <c r="D1564" s="129"/>
      <c r="E1564" s="325"/>
      <c r="F1564" s="131"/>
      <c r="G1564" s="319"/>
      <c r="H1564" s="319"/>
      <c r="I1564" s="319"/>
      <c r="J1564" s="132"/>
      <c r="K1564" s="319"/>
      <c r="L1564" s="135"/>
      <c r="M1564" s="321"/>
      <c r="N1564" s="322"/>
      <c r="O1564" s="150"/>
      <c r="P1564" s="135"/>
      <c r="Q1564" s="135"/>
      <c r="R1564" s="321"/>
      <c r="S1564" s="322"/>
      <c r="T1564" s="319"/>
      <c r="U1564" s="322"/>
      <c r="V1564" s="322"/>
      <c r="W1564" s="322"/>
      <c r="X1564" s="322"/>
      <c r="Y1564" s="319"/>
      <c r="Z1564" s="136" t="str">
        <f t="shared" si="16"/>
        <v/>
      </c>
      <c r="AA1564" s="137" t="str">
        <f t="shared" si="17"/>
        <v/>
      </c>
      <c r="AB1564" s="138" t="str">
        <f t="shared" si="19"/>
        <v/>
      </c>
      <c r="AC1564" s="322"/>
      <c r="AD1564" s="319"/>
      <c r="AE1564" s="320"/>
    </row>
    <row r="1565" ht="18.0" customHeight="1">
      <c r="A1565" s="118" t="str">
        <f t="shared" si="15"/>
        <v/>
      </c>
      <c r="B1565" s="109"/>
      <c r="C1565" s="119"/>
      <c r="D1565" s="119"/>
      <c r="E1565" s="330"/>
      <c r="F1565" s="121"/>
      <c r="G1565" s="153"/>
      <c r="H1565" s="153"/>
      <c r="I1565" s="153"/>
      <c r="J1565" s="112"/>
      <c r="K1565" s="153"/>
      <c r="L1565" s="114"/>
      <c r="M1565" s="151"/>
      <c r="N1565" s="152"/>
      <c r="O1565" s="150"/>
      <c r="P1565" s="114"/>
      <c r="Q1565" s="114"/>
      <c r="R1565" s="151"/>
      <c r="S1565" s="152"/>
      <c r="T1565" s="153"/>
      <c r="U1565" s="152"/>
      <c r="V1565" s="152"/>
      <c r="W1565" s="152"/>
      <c r="X1565" s="152"/>
      <c r="Y1565" s="153"/>
      <c r="Z1565" s="125" t="str">
        <f t="shared" si="16"/>
        <v/>
      </c>
      <c r="AA1565" s="126" t="str">
        <f t="shared" si="17"/>
        <v/>
      </c>
      <c r="AB1565" s="117" t="str">
        <f t="shared" si="19"/>
        <v/>
      </c>
      <c r="AC1565" s="152"/>
      <c r="AD1565" s="153"/>
      <c r="AE1565" s="156"/>
    </row>
    <row r="1566" ht="18.0" customHeight="1">
      <c r="A1566" s="127" t="str">
        <f t="shared" si="15"/>
        <v/>
      </c>
      <c r="B1566" s="128"/>
      <c r="C1566" s="129"/>
      <c r="D1566" s="129"/>
      <c r="E1566" s="325"/>
      <c r="F1566" s="131"/>
      <c r="G1566" s="319"/>
      <c r="H1566" s="319"/>
      <c r="I1566" s="319"/>
      <c r="J1566" s="132"/>
      <c r="K1566" s="319"/>
      <c r="L1566" s="135"/>
      <c r="M1566" s="321"/>
      <c r="N1566" s="322"/>
      <c r="O1566" s="150"/>
      <c r="P1566" s="135"/>
      <c r="Q1566" s="135"/>
      <c r="R1566" s="321"/>
      <c r="S1566" s="322"/>
      <c r="T1566" s="319"/>
      <c r="U1566" s="322"/>
      <c r="V1566" s="322"/>
      <c r="W1566" s="322"/>
      <c r="X1566" s="322"/>
      <c r="Y1566" s="319"/>
      <c r="Z1566" s="136" t="str">
        <f t="shared" si="16"/>
        <v/>
      </c>
      <c r="AA1566" s="137" t="str">
        <f t="shared" si="17"/>
        <v/>
      </c>
      <c r="AB1566" s="138" t="str">
        <f t="shared" si="19"/>
        <v/>
      </c>
      <c r="AC1566" s="322"/>
      <c r="AD1566" s="319"/>
      <c r="AE1566" s="320"/>
    </row>
    <row r="1567" ht="18.0" customHeight="1">
      <c r="A1567" s="118" t="str">
        <f t="shared" si="15"/>
        <v/>
      </c>
      <c r="B1567" s="109"/>
      <c r="C1567" s="119"/>
      <c r="D1567" s="119"/>
      <c r="E1567" s="330"/>
      <c r="F1567" s="121"/>
      <c r="G1567" s="153"/>
      <c r="H1567" s="153"/>
      <c r="I1567" s="153"/>
      <c r="J1567" s="112"/>
      <c r="K1567" s="153"/>
      <c r="L1567" s="114"/>
      <c r="M1567" s="151"/>
      <c r="N1567" s="152"/>
      <c r="O1567" s="150"/>
      <c r="P1567" s="114"/>
      <c r="Q1567" s="114"/>
      <c r="R1567" s="151"/>
      <c r="S1567" s="152"/>
      <c r="T1567" s="153"/>
      <c r="U1567" s="152"/>
      <c r="V1567" s="152"/>
      <c r="W1567" s="152"/>
      <c r="X1567" s="152"/>
      <c r="Y1567" s="153"/>
      <c r="Z1567" s="125" t="str">
        <f t="shared" si="16"/>
        <v/>
      </c>
      <c r="AA1567" s="126" t="str">
        <f t="shared" si="17"/>
        <v/>
      </c>
      <c r="AB1567" s="117" t="str">
        <f t="shared" si="19"/>
        <v/>
      </c>
      <c r="AC1567" s="152"/>
      <c r="AD1567" s="153"/>
      <c r="AE1567" s="156"/>
    </row>
    <row r="1568" ht="18.0" customHeight="1">
      <c r="A1568" s="127" t="str">
        <f t="shared" si="15"/>
        <v/>
      </c>
      <c r="B1568" s="128"/>
      <c r="C1568" s="129"/>
      <c r="D1568" s="129"/>
      <c r="E1568" s="325"/>
      <c r="F1568" s="131"/>
      <c r="G1568" s="319"/>
      <c r="H1568" s="319"/>
      <c r="I1568" s="319"/>
      <c r="J1568" s="132"/>
      <c r="K1568" s="319"/>
      <c r="L1568" s="135"/>
      <c r="M1568" s="321"/>
      <c r="N1568" s="322"/>
      <c r="O1568" s="150"/>
      <c r="P1568" s="135"/>
      <c r="Q1568" s="135"/>
      <c r="R1568" s="321"/>
      <c r="S1568" s="322"/>
      <c r="T1568" s="319"/>
      <c r="U1568" s="322"/>
      <c r="V1568" s="322"/>
      <c r="W1568" s="322"/>
      <c r="X1568" s="322"/>
      <c r="Y1568" s="319"/>
      <c r="Z1568" s="136" t="str">
        <f t="shared" si="16"/>
        <v/>
      </c>
      <c r="AA1568" s="137" t="str">
        <f t="shared" si="17"/>
        <v/>
      </c>
      <c r="AB1568" s="138" t="str">
        <f t="shared" si="19"/>
        <v/>
      </c>
      <c r="AC1568" s="322"/>
      <c r="AD1568" s="319"/>
      <c r="AE1568" s="320"/>
    </row>
    <row r="1569" ht="18.0" customHeight="1">
      <c r="A1569" s="118" t="str">
        <f t="shared" si="15"/>
        <v/>
      </c>
      <c r="B1569" s="109"/>
      <c r="C1569" s="119"/>
      <c r="D1569" s="119"/>
      <c r="E1569" s="330"/>
      <c r="F1569" s="121"/>
      <c r="G1569" s="153"/>
      <c r="H1569" s="153"/>
      <c r="I1569" s="153"/>
      <c r="J1569" s="112"/>
      <c r="K1569" s="153"/>
      <c r="L1569" s="114"/>
      <c r="M1569" s="151"/>
      <c r="N1569" s="152"/>
      <c r="O1569" s="150"/>
      <c r="P1569" s="114"/>
      <c r="Q1569" s="114"/>
      <c r="R1569" s="151"/>
      <c r="S1569" s="152"/>
      <c r="T1569" s="153"/>
      <c r="U1569" s="152"/>
      <c r="V1569" s="152"/>
      <c r="W1569" s="152"/>
      <c r="X1569" s="152"/>
      <c r="Y1569" s="153"/>
      <c r="Z1569" s="125" t="str">
        <f t="shared" si="16"/>
        <v/>
      </c>
      <c r="AA1569" s="126" t="str">
        <f t="shared" si="17"/>
        <v/>
      </c>
      <c r="AB1569" s="117" t="str">
        <f t="shared" si="19"/>
        <v/>
      </c>
      <c r="AC1569" s="152"/>
      <c r="AD1569" s="153"/>
      <c r="AE1569" s="156"/>
    </row>
    <row r="1570" ht="18.0" customHeight="1">
      <c r="A1570" s="127" t="str">
        <f t="shared" si="15"/>
        <v/>
      </c>
      <c r="B1570" s="128"/>
      <c r="C1570" s="129"/>
      <c r="D1570" s="129"/>
      <c r="E1570" s="325"/>
      <c r="F1570" s="131"/>
      <c r="G1570" s="319"/>
      <c r="H1570" s="319"/>
      <c r="I1570" s="319"/>
      <c r="J1570" s="132"/>
      <c r="K1570" s="319"/>
      <c r="L1570" s="135"/>
      <c r="M1570" s="321"/>
      <c r="N1570" s="322"/>
      <c r="O1570" s="150"/>
      <c r="P1570" s="135"/>
      <c r="Q1570" s="135"/>
      <c r="R1570" s="321"/>
      <c r="S1570" s="322"/>
      <c r="T1570" s="319"/>
      <c r="U1570" s="322"/>
      <c r="V1570" s="322"/>
      <c r="W1570" s="322"/>
      <c r="X1570" s="322"/>
      <c r="Y1570" s="319"/>
      <c r="Z1570" s="136" t="str">
        <f t="shared" si="16"/>
        <v/>
      </c>
      <c r="AA1570" s="137" t="str">
        <f t="shared" si="17"/>
        <v/>
      </c>
      <c r="AB1570" s="138" t="str">
        <f t="shared" si="19"/>
        <v/>
      </c>
      <c r="AC1570" s="322"/>
      <c r="AD1570" s="319"/>
      <c r="AE1570" s="320"/>
    </row>
    <row r="1571" ht="18.0" customHeight="1">
      <c r="A1571" s="118" t="str">
        <f t="shared" si="15"/>
        <v/>
      </c>
      <c r="B1571" s="109"/>
      <c r="C1571" s="119"/>
      <c r="D1571" s="119"/>
      <c r="E1571" s="330"/>
      <c r="F1571" s="121"/>
      <c r="G1571" s="153"/>
      <c r="H1571" s="153"/>
      <c r="I1571" s="153"/>
      <c r="J1571" s="112"/>
      <c r="K1571" s="153"/>
      <c r="L1571" s="114"/>
      <c r="M1571" s="151"/>
      <c r="N1571" s="152"/>
      <c r="O1571" s="150"/>
      <c r="P1571" s="114"/>
      <c r="Q1571" s="114"/>
      <c r="R1571" s="151"/>
      <c r="S1571" s="152"/>
      <c r="T1571" s="153"/>
      <c r="U1571" s="152"/>
      <c r="V1571" s="152"/>
      <c r="W1571" s="152"/>
      <c r="X1571" s="152"/>
      <c r="Y1571" s="153"/>
      <c r="Z1571" s="125" t="str">
        <f t="shared" si="16"/>
        <v/>
      </c>
      <c r="AA1571" s="126" t="str">
        <f t="shared" si="17"/>
        <v/>
      </c>
      <c r="AB1571" s="117" t="str">
        <f t="shared" si="19"/>
        <v/>
      </c>
      <c r="AC1571" s="152"/>
      <c r="AD1571" s="153"/>
      <c r="AE1571" s="156"/>
    </row>
    <row r="1572" ht="18.0" customHeight="1">
      <c r="A1572" s="127" t="str">
        <f t="shared" si="15"/>
        <v/>
      </c>
      <c r="B1572" s="128"/>
      <c r="C1572" s="129"/>
      <c r="D1572" s="129"/>
      <c r="E1572" s="325"/>
      <c r="F1572" s="131"/>
      <c r="G1572" s="319"/>
      <c r="H1572" s="319"/>
      <c r="I1572" s="319"/>
      <c r="J1572" s="132"/>
      <c r="K1572" s="319"/>
      <c r="L1572" s="135"/>
      <c r="M1572" s="321"/>
      <c r="N1572" s="322"/>
      <c r="O1572" s="150"/>
      <c r="P1572" s="135"/>
      <c r="Q1572" s="135"/>
      <c r="R1572" s="321"/>
      <c r="S1572" s="322"/>
      <c r="T1572" s="319"/>
      <c r="U1572" s="322"/>
      <c r="V1572" s="322"/>
      <c r="W1572" s="322"/>
      <c r="X1572" s="322"/>
      <c r="Y1572" s="319"/>
      <c r="Z1572" s="136" t="str">
        <f t="shared" si="16"/>
        <v/>
      </c>
      <c r="AA1572" s="137" t="str">
        <f t="shared" si="17"/>
        <v/>
      </c>
      <c r="AB1572" s="138" t="str">
        <f t="shared" si="19"/>
        <v/>
      </c>
      <c r="AC1572" s="322"/>
      <c r="AD1572" s="319"/>
      <c r="AE1572" s="320"/>
    </row>
    <row r="1573" ht="18.0" customHeight="1">
      <c r="A1573" s="118" t="str">
        <f t="shared" si="15"/>
        <v/>
      </c>
      <c r="B1573" s="109"/>
      <c r="C1573" s="119"/>
      <c r="D1573" s="119"/>
      <c r="E1573" s="330"/>
      <c r="F1573" s="121"/>
      <c r="G1573" s="153"/>
      <c r="H1573" s="153"/>
      <c r="I1573" s="153"/>
      <c r="J1573" s="112"/>
      <c r="K1573" s="153"/>
      <c r="L1573" s="114"/>
      <c r="M1573" s="151"/>
      <c r="N1573" s="152"/>
      <c r="O1573" s="150"/>
      <c r="P1573" s="114"/>
      <c r="Q1573" s="114"/>
      <c r="R1573" s="151"/>
      <c r="S1573" s="152"/>
      <c r="T1573" s="153"/>
      <c r="U1573" s="152"/>
      <c r="V1573" s="152"/>
      <c r="W1573" s="152"/>
      <c r="X1573" s="152"/>
      <c r="Y1573" s="153"/>
      <c r="Z1573" s="125" t="str">
        <f t="shared" si="16"/>
        <v/>
      </c>
      <c r="AA1573" s="126" t="str">
        <f t="shared" si="17"/>
        <v/>
      </c>
      <c r="AB1573" s="117" t="str">
        <f t="shared" si="19"/>
        <v/>
      </c>
      <c r="AC1573" s="152"/>
      <c r="AD1573" s="153"/>
      <c r="AE1573" s="156"/>
    </row>
    <row r="1574" ht="18.0" customHeight="1">
      <c r="A1574" s="127" t="str">
        <f t="shared" si="15"/>
        <v/>
      </c>
      <c r="B1574" s="128"/>
      <c r="C1574" s="129"/>
      <c r="D1574" s="129"/>
      <c r="E1574" s="325"/>
      <c r="F1574" s="131"/>
      <c r="G1574" s="319"/>
      <c r="H1574" s="319"/>
      <c r="I1574" s="319"/>
      <c r="J1574" s="132"/>
      <c r="K1574" s="319"/>
      <c r="L1574" s="135"/>
      <c r="M1574" s="321"/>
      <c r="N1574" s="322"/>
      <c r="O1574" s="150"/>
      <c r="P1574" s="135"/>
      <c r="Q1574" s="135"/>
      <c r="R1574" s="321"/>
      <c r="S1574" s="322"/>
      <c r="T1574" s="319"/>
      <c r="U1574" s="322"/>
      <c r="V1574" s="322"/>
      <c r="W1574" s="322"/>
      <c r="X1574" s="322"/>
      <c r="Y1574" s="319"/>
      <c r="Z1574" s="136" t="str">
        <f t="shared" si="16"/>
        <v/>
      </c>
      <c r="AA1574" s="137" t="str">
        <f t="shared" si="17"/>
        <v/>
      </c>
      <c r="AB1574" s="138" t="str">
        <f t="shared" si="19"/>
        <v/>
      </c>
      <c r="AC1574" s="322"/>
      <c r="AD1574" s="319"/>
      <c r="AE1574" s="320"/>
    </row>
    <row r="1575" ht="18.0" customHeight="1">
      <c r="A1575" s="118" t="str">
        <f t="shared" si="15"/>
        <v/>
      </c>
      <c r="B1575" s="109"/>
      <c r="C1575" s="119"/>
      <c r="D1575" s="119"/>
      <c r="E1575" s="330"/>
      <c r="F1575" s="121"/>
      <c r="G1575" s="153"/>
      <c r="H1575" s="153"/>
      <c r="I1575" s="153"/>
      <c r="J1575" s="112"/>
      <c r="K1575" s="153"/>
      <c r="L1575" s="114"/>
      <c r="M1575" s="151"/>
      <c r="N1575" s="152"/>
      <c r="O1575" s="150"/>
      <c r="P1575" s="114"/>
      <c r="Q1575" s="114"/>
      <c r="R1575" s="151"/>
      <c r="S1575" s="152"/>
      <c r="T1575" s="153"/>
      <c r="U1575" s="152"/>
      <c r="V1575" s="152"/>
      <c r="W1575" s="152"/>
      <c r="X1575" s="152"/>
      <c r="Y1575" s="153"/>
      <c r="Z1575" s="125" t="str">
        <f t="shared" si="16"/>
        <v/>
      </c>
      <c r="AA1575" s="126" t="str">
        <f t="shared" si="17"/>
        <v/>
      </c>
      <c r="AB1575" s="117" t="str">
        <f t="shared" si="19"/>
        <v/>
      </c>
      <c r="AC1575" s="152"/>
      <c r="AD1575" s="153"/>
      <c r="AE1575" s="156"/>
    </row>
    <row r="1576" ht="18.0" customHeight="1">
      <c r="A1576" s="127" t="str">
        <f t="shared" si="15"/>
        <v/>
      </c>
      <c r="B1576" s="128"/>
      <c r="C1576" s="129"/>
      <c r="D1576" s="129"/>
      <c r="E1576" s="325"/>
      <c r="F1576" s="131"/>
      <c r="G1576" s="319"/>
      <c r="H1576" s="319"/>
      <c r="I1576" s="319"/>
      <c r="J1576" s="132"/>
      <c r="K1576" s="319"/>
      <c r="L1576" s="135"/>
      <c r="M1576" s="321"/>
      <c r="N1576" s="322"/>
      <c r="O1576" s="150"/>
      <c r="P1576" s="135"/>
      <c r="Q1576" s="135"/>
      <c r="R1576" s="321"/>
      <c r="S1576" s="322"/>
      <c r="T1576" s="319"/>
      <c r="U1576" s="322"/>
      <c r="V1576" s="322"/>
      <c r="W1576" s="322"/>
      <c r="X1576" s="322"/>
      <c r="Y1576" s="319"/>
      <c r="Z1576" s="136" t="str">
        <f t="shared" si="16"/>
        <v/>
      </c>
      <c r="AA1576" s="137" t="str">
        <f t="shared" si="17"/>
        <v/>
      </c>
      <c r="AB1576" s="138" t="str">
        <f t="shared" si="19"/>
        <v/>
      </c>
      <c r="AC1576" s="322"/>
      <c r="AD1576" s="319"/>
      <c r="AE1576" s="320"/>
    </row>
    <row r="1577" ht="18.0" customHeight="1">
      <c r="A1577" s="118" t="str">
        <f t="shared" si="15"/>
        <v/>
      </c>
      <c r="B1577" s="109"/>
      <c r="C1577" s="119"/>
      <c r="D1577" s="119"/>
      <c r="E1577" s="330"/>
      <c r="F1577" s="121"/>
      <c r="G1577" s="153"/>
      <c r="H1577" s="153"/>
      <c r="I1577" s="153"/>
      <c r="J1577" s="112"/>
      <c r="K1577" s="153"/>
      <c r="L1577" s="114"/>
      <c r="M1577" s="151"/>
      <c r="N1577" s="152"/>
      <c r="O1577" s="150"/>
      <c r="P1577" s="114"/>
      <c r="Q1577" s="114"/>
      <c r="R1577" s="151"/>
      <c r="S1577" s="152"/>
      <c r="T1577" s="153"/>
      <c r="U1577" s="152"/>
      <c r="V1577" s="152"/>
      <c r="W1577" s="152"/>
      <c r="X1577" s="152"/>
      <c r="Y1577" s="153"/>
      <c r="Z1577" s="125" t="str">
        <f t="shared" si="16"/>
        <v/>
      </c>
      <c r="AA1577" s="126" t="str">
        <f t="shared" si="17"/>
        <v/>
      </c>
      <c r="AB1577" s="117" t="str">
        <f t="shared" si="19"/>
        <v/>
      </c>
      <c r="AC1577" s="152"/>
      <c r="AD1577" s="153"/>
      <c r="AE1577" s="156"/>
    </row>
    <row r="1578" ht="18.0" customHeight="1">
      <c r="A1578" s="127" t="str">
        <f t="shared" si="15"/>
        <v/>
      </c>
      <c r="B1578" s="128"/>
      <c r="C1578" s="129"/>
      <c r="D1578" s="129"/>
      <c r="E1578" s="325"/>
      <c r="F1578" s="131"/>
      <c r="G1578" s="319"/>
      <c r="H1578" s="319"/>
      <c r="I1578" s="319"/>
      <c r="J1578" s="132"/>
      <c r="K1578" s="319"/>
      <c r="L1578" s="135"/>
      <c r="M1578" s="321"/>
      <c r="N1578" s="322"/>
      <c r="O1578" s="150"/>
      <c r="P1578" s="135"/>
      <c r="Q1578" s="135"/>
      <c r="R1578" s="321"/>
      <c r="S1578" s="322"/>
      <c r="T1578" s="319"/>
      <c r="U1578" s="322"/>
      <c r="V1578" s="322"/>
      <c r="W1578" s="322"/>
      <c r="X1578" s="322"/>
      <c r="Y1578" s="319"/>
      <c r="Z1578" s="136" t="str">
        <f t="shared" si="16"/>
        <v/>
      </c>
      <c r="AA1578" s="137" t="str">
        <f t="shared" si="17"/>
        <v/>
      </c>
      <c r="AB1578" s="138" t="str">
        <f t="shared" si="19"/>
        <v/>
      </c>
      <c r="AC1578" s="322"/>
      <c r="AD1578" s="319"/>
      <c r="AE1578" s="320"/>
    </row>
    <row r="1579" ht="18.0" customHeight="1">
      <c r="A1579" s="118" t="str">
        <f t="shared" si="15"/>
        <v/>
      </c>
      <c r="B1579" s="109"/>
      <c r="C1579" s="119"/>
      <c r="D1579" s="119"/>
      <c r="E1579" s="330"/>
      <c r="F1579" s="121"/>
      <c r="G1579" s="153"/>
      <c r="H1579" s="153"/>
      <c r="I1579" s="153"/>
      <c r="J1579" s="112"/>
      <c r="K1579" s="153"/>
      <c r="L1579" s="114"/>
      <c r="M1579" s="151"/>
      <c r="N1579" s="152"/>
      <c r="O1579" s="150"/>
      <c r="P1579" s="114"/>
      <c r="Q1579" s="114"/>
      <c r="R1579" s="151"/>
      <c r="S1579" s="152"/>
      <c r="T1579" s="153"/>
      <c r="U1579" s="152"/>
      <c r="V1579" s="152"/>
      <c r="W1579" s="152"/>
      <c r="X1579" s="152"/>
      <c r="Y1579" s="153"/>
      <c r="Z1579" s="125" t="str">
        <f t="shared" si="16"/>
        <v/>
      </c>
      <c r="AA1579" s="126" t="str">
        <f t="shared" si="17"/>
        <v/>
      </c>
      <c r="AB1579" s="117" t="str">
        <f t="shared" si="19"/>
        <v/>
      </c>
      <c r="AC1579" s="152"/>
      <c r="AD1579" s="153"/>
      <c r="AE1579" s="156"/>
    </row>
    <row r="1580" ht="18.0" customHeight="1">
      <c r="A1580" s="127" t="str">
        <f t="shared" si="15"/>
        <v/>
      </c>
      <c r="B1580" s="128"/>
      <c r="C1580" s="129"/>
      <c r="D1580" s="129"/>
      <c r="E1580" s="325"/>
      <c r="F1580" s="131"/>
      <c r="G1580" s="319"/>
      <c r="H1580" s="319"/>
      <c r="I1580" s="319"/>
      <c r="J1580" s="132"/>
      <c r="K1580" s="319"/>
      <c r="L1580" s="135"/>
      <c r="M1580" s="321"/>
      <c r="N1580" s="322"/>
      <c r="O1580" s="150"/>
      <c r="P1580" s="135"/>
      <c r="Q1580" s="135"/>
      <c r="R1580" s="321"/>
      <c r="S1580" s="322"/>
      <c r="T1580" s="319"/>
      <c r="U1580" s="322"/>
      <c r="V1580" s="322"/>
      <c r="W1580" s="322"/>
      <c r="X1580" s="322"/>
      <c r="Y1580" s="319"/>
      <c r="Z1580" s="136" t="str">
        <f t="shared" si="16"/>
        <v/>
      </c>
      <c r="AA1580" s="137" t="str">
        <f t="shared" si="17"/>
        <v/>
      </c>
      <c r="AB1580" s="138" t="str">
        <f t="shared" si="19"/>
        <v/>
      </c>
      <c r="AC1580" s="322"/>
      <c r="AD1580" s="319"/>
      <c r="AE1580" s="320"/>
    </row>
    <row r="1581" ht="18.0" customHeight="1">
      <c r="A1581" s="118" t="str">
        <f t="shared" si="15"/>
        <v/>
      </c>
      <c r="B1581" s="109"/>
      <c r="C1581" s="119"/>
      <c r="D1581" s="119"/>
      <c r="E1581" s="330"/>
      <c r="F1581" s="121"/>
      <c r="G1581" s="153"/>
      <c r="H1581" s="153"/>
      <c r="I1581" s="153"/>
      <c r="J1581" s="112"/>
      <c r="K1581" s="153"/>
      <c r="L1581" s="114"/>
      <c r="M1581" s="151"/>
      <c r="N1581" s="152"/>
      <c r="O1581" s="150"/>
      <c r="P1581" s="114"/>
      <c r="Q1581" s="114"/>
      <c r="R1581" s="151"/>
      <c r="S1581" s="152"/>
      <c r="T1581" s="153"/>
      <c r="U1581" s="152"/>
      <c r="V1581" s="152"/>
      <c r="W1581" s="152"/>
      <c r="X1581" s="152"/>
      <c r="Y1581" s="153"/>
      <c r="Z1581" s="125" t="str">
        <f t="shared" si="16"/>
        <v/>
      </c>
      <c r="AA1581" s="126" t="str">
        <f t="shared" si="17"/>
        <v/>
      </c>
      <c r="AB1581" s="117" t="str">
        <f t="shared" si="19"/>
        <v/>
      </c>
      <c r="AC1581" s="152"/>
      <c r="AD1581" s="153"/>
      <c r="AE1581" s="156"/>
    </row>
    <row r="1582" ht="18.0" customHeight="1">
      <c r="A1582" s="127" t="str">
        <f t="shared" si="15"/>
        <v/>
      </c>
      <c r="B1582" s="128"/>
      <c r="C1582" s="129"/>
      <c r="D1582" s="129"/>
      <c r="E1582" s="325"/>
      <c r="F1582" s="131"/>
      <c r="G1582" s="319"/>
      <c r="H1582" s="319"/>
      <c r="I1582" s="319"/>
      <c r="J1582" s="132"/>
      <c r="K1582" s="319"/>
      <c r="L1582" s="135"/>
      <c r="M1582" s="321"/>
      <c r="N1582" s="322"/>
      <c r="O1582" s="150"/>
      <c r="P1582" s="135"/>
      <c r="Q1582" s="135"/>
      <c r="R1582" s="321"/>
      <c r="S1582" s="322"/>
      <c r="T1582" s="319"/>
      <c r="U1582" s="322"/>
      <c r="V1582" s="322"/>
      <c r="W1582" s="322"/>
      <c r="X1582" s="322"/>
      <c r="Y1582" s="319"/>
      <c r="Z1582" s="136" t="str">
        <f t="shared" si="16"/>
        <v/>
      </c>
      <c r="AA1582" s="137" t="str">
        <f t="shared" si="17"/>
        <v/>
      </c>
      <c r="AB1582" s="138" t="str">
        <f t="shared" si="19"/>
        <v/>
      </c>
      <c r="AC1582" s="322"/>
      <c r="AD1582" s="319"/>
      <c r="AE1582" s="320"/>
    </row>
    <row r="1583" ht="18.0" customHeight="1">
      <c r="A1583" s="118" t="str">
        <f t="shared" si="15"/>
        <v/>
      </c>
      <c r="B1583" s="109"/>
      <c r="C1583" s="119"/>
      <c r="D1583" s="119"/>
      <c r="E1583" s="330"/>
      <c r="F1583" s="121"/>
      <c r="G1583" s="153"/>
      <c r="H1583" s="153"/>
      <c r="I1583" s="153"/>
      <c r="J1583" s="112"/>
      <c r="K1583" s="153"/>
      <c r="L1583" s="114"/>
      <c r="M1583" s="151"/>
      <c r="N1583" s="152"/>
      <c r="O1583" s="150"/>
      <c r="P1583" s="114"/>
      <c r="Q1583" s="114"/>
      <c r="R1583" s="151"/>
      <c r="S1583" s="152"/>
      <c r="T1583" s="153"/>
      <c r="U1583" s="152"/>
      <c r="V1583" s="152"/>
      <c r="W1583" s="152"/>
      <c r="X1583" s="152"/>
      <c r="Y1583" s="153"/>
      <c r="Z1583" s="125" t="str">
        <f t="shared" si="16"/>
        <v/>
      </c>
      <c r="AA1583" s="126" t="str">
        <f t="shared" si="17"/>
        <v/>
      </c>
      <c r="AB1583" s="117" t="str">
        <f t="shared" si="19"/>
        <v/>
      </c>
      <c r="AC1583" s="152"/>
      <c r="AD1583" s="153"/>
      <c r="AE1583" s="156"/>
    </row>
    <row r="1584" ht="18.0" customHeight="1">
      <c r="A1584" s="127" t="str">
        <f t="shared" si="15"/>
        <v/>
      </c>
      <c r="B1584" s="128"/>
      <c r="C1584" s="129"/>
      <c r="D1584" s="129"/>
      <c r="E1584" s="325"/>
      <c r="F1584" s="131"/>
      <c r="G1584" s="319"/>
      <c r="H1584" s="319"/>
      <c r="I1584" s="319"/>
      <c r="J1584" s="132"/>
      <c r="K1584" s="319"/>
      <c r="L1584" s="135"/>
      <c r="M1584" s="321"/>
      <c r="N1584" s="322"/>
      <c r="O1584" s="150"/>
      <c r="P1584" s="135"/>
      <c r="Q1584" s="135"/>
      <c r="R1584" s="321"/>
      <c r="S1584" s="322"/>
      <c r="T1584" s="319"/>
      <c r="U1584" s="322"/>
      <c r="V1584" s="322"/>
      <c r="W1584" s="322"/>
      <c r="X1584" s="322"/>
      <c r="Y1584" s="319"/>
      <c r="Z1584" s="136" t="str">
        <f t="shared" si="16"/>
        <v/>
      </c>
      <c r="AA1584" s="137" t="str">
        <f t="shared" si="17"/>
        <v/>
      </c>
      <c r="AB1584" s="138" t="str">
        <f t="shared" si="19"/>
        <v/>
      </c>
      <c r="AC1584" s="322"/>
      <c r="AD1584" s="319"/>
      <c r="AE1584" s="320"/>
    </row>
    <row r="1585" ht="18.0" customHeight="1">
      <c r="A1585" s="118" t="str">
        <f t="shared" si="15"/>
        <v/>
      </c>
      <c r="B1585" s="109"/>
      <c r="C1585" s="119"/>
      <c r="D1585" s="119"/>
      <c r="E1585" s="330"/>
      <c r="F1585" s="121"/>
      <c r="G1585" s="153"/>
      <c r="H1585" s="153"/>
      <c r="I1585" s="153"/>
      <c r="J1585" s="112"/>
      <c r="K1585" s="153"/>
      <c r="L1585" s="114"/>
      <c r="M1585" s="151"/>
      <c r="N1585" s="152"/>
      <c r="O1585" s="150"/>
      <c r="P1585" s="114"/>
      <c r="Q1585" s="114"/>
      <c r="R1585" s="151"/>
      <c r="S1585" s="152"/>
      <c r="T1585" s="153"/>
      <c r="U1585" s="152"/>
      <c r="V1585" s="152"/>
      <c r="W1585" s="152"/>
      <c r="X1585" s="152"/>
      <c r="Y1585" s="153"/>
      <c r="Z1585" s="125" t="str">
        <f t="shared" si="16"/>
        <v/>
      </c>
      <c r="AA1585" s="126" t="str">
        <f t="shared" si="17"/>
        <v/>
      </c>
      <c r="AB1585" s="117" t="str">
        <f t="shared" si="19"/>
        <v/>
      </c>
      <c r="AC1585" s="152"/>
      <c r="AD1585" s="153"/>
      <c r="AE1585" s="156"/>
    </row>
    <row r="1586" ht="18.0" customHeight="1">
      <c r="A1586" s="127" t="str">
        <f t="shared" si="15"/>
        <v/>
      </c>
      <c r="B1586" s="128"/>
      <c r="C1586" s="129"/>
      <c r="D1586" s="129"/>
      <c r="E1586" s="325"/>
      <c r="F1586" s="131"/>
      <c r="G1586" s="319"/>
      <c r="H1586" s="319"/>
      <c r="I1586" s="319"/>
      <c r="J1586" s="132"/>
      <c r="K1586" s="319"/>
      <c r="L1586" s="135"/>
      <c r="M1586" s="321"/>
      <c r="N1586" s="322"/>
      <c r="O1586" s="150"/>
      <c r="P1586" s="135"/>
      <c r="Q1586" s="135"/>
      <c r="R1586" s="321"/>
      <c r="S1586" s="322"/>
      <c r="T1586" s="319"/>
      <c r="U1586" s="322"/>
      <c r="V1586" s="322"/>
      <c r="W1586" s="322"/>
      <c r="X1586" s="322"/>
      <c r="Y1586" s="319"/>
      <c r="Z1586" s="136" t="str">
        <f t="shared" si="16"/>
        <v/>
      </c>
      <c r="AA1586" s="137" t="str">
        <f t="shared" si="17"/>
        <v/>
      </c>
      <c r="AB1586" s="138" t="str">
        <f t="shared" si="19"/>
        <v/>
      </c>
      <c r="AC1586" s="322"/>
      <c r="AD1586" s="319"/>
      <c r="AE1586" s="320"/>
    </row>
    <row r="1587" ht="18.0" customHeight="1">
      <c r="A1587" s="118" t="str">
        <f t="shared" si="15"/>
        <v/>
      </c>
      <c r="B1587" s="109"/>
      <c r="C1587" s="119"/>
      <c r="D1587" s="119"/>
      <c r="E1587" s="330"/>
      <c r="F1587" s="121"/>
      <c r="G1587" s="153"/>
      <c r="H1587" s="153"/>
      <c r="I1587" s="153"/>
      <c r="J1587" s="112"/>
      <c r="K1587" s="153"/>
      <c r="L1587" s="114"/>
      <c r="M1587" s="151"/>
      <c r="N1587" s="152"/>
      <c r="O1587" s="150"/>
      <c r="P1587" s="114"/>
      <c r="Q1587" s="114"/>
      <c r="R1587" s="151"/>
      <c r="S1587" s="152"/>
      <c r="T1587" s="153"/>
      <c r="U1587" s="152"/>
      <c r="V1587" s="152"/>
      <c r="W1587" s="152"/>
      <c r="X1587" s="152"/>
      <c r="Y1587" s="153"/>
      <c r="Z1587" s="125" t="str">
        <f t="shared" si="16"/>
        <v/>
      </c>
      <c r="AA1587" s="126" t="str">
        <f t="shared" si="17"/>
        <v/>
      </c>
      <c r="AB1587" s="117" t="str">
        <f t="shared" si="19"/>
        <v/>
      </c>
      <c r="AC1587" s="152"/>
      <c r="AD1587" s="153"/>
      <c r="AE1587" s="156"/>
    </row>
    <row r="1588" ht="18.0" customHeight="1">
      <c r="A1588" s="127" t="str">
        <f t="shared" si="15"/>
        <v/>
      </c>
      <c r="B1588" s="128"/>
      <c r="C1588" s="129"/>
      <c r="D1588" s="129"/>
      <c r="E1588" s="325"/>
      <c r="F1588" s="131"/>
      <c r="G1588" s="319"/>
      <c r="H1588" s="319"/>
      <c r="I1588" s="319"/>
      <c r="J1588" s="132"/>
      <c r="K1588" s="319"/>
      <c r="L1588" s="135"/>
      <c r="M1588" s="321"/>
      <c r="N1588" s="322"/>
      <c r="O1588" s="150"/>
      <c r="P1588" s="135"/>
      <c r="Q1588" s="135"/>
      <c r="R1588" s="321"/>
      <c r="S1588" s="322"/>
      <c r="T1588" s="319"/>
      <c r="U1588" s="322"/>
      <c r="V1588" s="322"/>
      <c r="W1588" s="322"/>
      <c r="X1588" s="322"/>
      <c r="Y1588" s="319"/>
      <c r="Z1588" s="136" t="str">
        <f t="shared" si="16"/>
        <v/>
      </c>
      <c r="AA1588" s="137" t="str">
        <f t="shared" si="17"/>
        <v/>
      </c>
      <c r="AB1588" s="138" t="str">
        <f t="shared" si="19"/>
        <v/>
      </c>
      <c r="AC1588" s="322"/>
      <c r="AD1588" s="319"/>
      <c r="AE1588" s="320"/>
    </row>
    <row r="1589" ht="18.0" customHeight="1">
      <c r="A1589" s="118" t="str">
        <f t="shared" si="15"/>
        <v/>
      </c>
      <c r="B1589" s="109"/>
      <c r="C1589" s="119"/>
      <c r="D1589" s="119"/>
      <c r="E1589" s="330"/>
      <c r="F1589" s="121"/>
      <c r="G1589" s="153"/>
      <c r="H1589" s="153"/>
      <c r="I1589" s="153"/>
      <c r="J1589" s="112"/>
      <c r="K1589" s="153"/>
      <c r="L1589" s="114"/>
      <c r="M1589" s="151"/>
      <c r="N1589" s="152"/>
      <c r="O1589" s="150"/>
      <c r="P1589" s="114"/>
      <c r="Q1589" s="114"/>
      <c r="R1589" s="151"/>
      <c r="S1589" s="152"/>
      <c r="T1589" s="153"/>
      <c r="U1589" s="152"/>
      <c r="V1589" s="152"/>
      <c r="W1589" s="152"/>
      <c r="X1589" s="152"/>
      <c r="Y1589" s="153"/>
      <c r="Z1589" s="125" t="str">
        <f t="shared" si="16"/>
        <v/>
      </c>
      <c r="AA1589" s="126" t="str">
        <f t="shared" si="17"/>
        <v/>
      </c>
      <c r="AB1589" s="117" t="str">
        <f t="shared" si="19"/>
        <v/>
      </c>
      <c r="AC1589" s="152"/>
      <c r="AD1589" s="153"/>
      <c r="AE1589" s="156"/>
    </row>
    <row r="1590" ht="18.0" customHeight="1">
      <c r="A1590" s="127" t="str">
        <f t="shared" si="15"/>
        <v/>
      </c>
      <c r="B1590" s="128"/>
      <c r="C1590" s="129"/>
      <c r="D1590" s="129"/>
      <c r="E1590" s="325"/>
      <c r="F1590" s="131"/>
      <c r="G1590" s="319"/>
      <c r="H1590" s="319"/>
      <c r="I1590" s="319"/>
      <c r="J1590" s="132"/>
      <c r="K1590" s="319"/>
      <c r="L1590" s="135"/>
      <c r="M1590" s="321"/>
      <c r="N1590" s="322"/>
      <c r="O1590" s="150"/>
      <c r="P1590" s="135"/>
      <c r="Q1590" s="135"/>
      <c r="R1590" s="321"/>
      <c r="S1590" s="322"/>
      <c r="T1590" s="319"/>
      <c r="U1590" s="322"/>
      <c r="V1590" s="322"/>
      <c r="W1590" s="322"/>
      <c r="X1590" s="322"/>
      <c r="Y1590" s="319"/>
      <c r="Z1590" s="136" t="str">
        <f t="shared" si="16"/>
        <v/>
      </c>
      <c r="AA1590" s="137" t="str">
        <f t="shared" si="17"/>
        <v/>
      </c>
      <c r="AB1590" s="138" t="str">
        <f t="shared" si="19"/>
        <v/>
      </c>
      <c r="AC1590" s="322"/>
      <c r="AD1590" s="319"/>
      <c r="AE1590" s="320"/>
    </row>
    <row r="1591" ht="18.0" customHeight="1">
      <c r="A1591" s="118" t="str">
        <f t="shared" si="15"/>
        <v/>
      </c>
      <c r="B1591" s="109"/>
      <c r="C1591" s="119"/>
      <c r="D1591" s="119"/>
      <c r="E1591" s="330"/>
      <c r="F1591" s="121"/>
      <c r="G1591" s="153"/>
      <c r="H1591" s="153"/>
      <c r="I1591" s="153"/>
      <c r="J1591" s="112"/>
      <c r="K1591" s="153"/>
      <c r="L1591" s="114"/>
      <c r="M1591" s="151"/>
      <c r="N1591" s="152"/>
      <c r="O1591" s="150"/>
      <c r="P1591" s="114"/>
      <c r="Q1591" s="114"/>
      <c r="R1591" s="151"/>
      <c r="S1591" s="152"/>
      <c r="T1591" s="153"/>
      <c r="U1591" s="152"/>
      <c r="V1591" s="152"/>
      <c r="W1591" s="152"/>
      <c r="X1591" s="152"/>
      <c r="Y1591" s="153"/>
      <c r="Z1591" s="125" t="str">
        <f t="shared" si="16"/>
        <v/>
      </c>
      <c r="AA1591" s="126" t="str">
        <f t="shared" si="17"/>
        <v/>
      </c>
      <c r="AB1591" s="117" t="str">
        <f t="shared" si="19"/>
        <v/>
      </c>
      <c r="AC1591" s="152"/>
      <c r="AD1591" s="153"/>
      <c r="AE1591" s="156"/>
    </row>
    <row r="1592" ht="18.0" customHeight="1">
      <c r="A1592" s="127" t="str">
        <f t="shared" si="15"/>
        <v/>
      </c>
      <c r="B1592" s="128"/>
      <c r="C1592" s="129"/>
      <c r="D1592" s="129"/>
      <c r="E1592" s="325"/>
      <c r="F1592" s="131"/>
      <c r="G1592" s="319"/>
      <c r="H1592" s="319"/>
      <c r="I1592" s="319"/>
      <c r="J1592" s="132"/>
      <c r="K1592" s="319"/>
      <c r="L1592" s="135"/>
      <c r="M1592" s="321"/>
      <c r="N1592" s="322"/>
      <c r="O1592" s="150"/>
      <c r="P1592" s="135"/>
      <c r="Q1592" s="135"/>
      <c r="R1592" s="321"/>
      <c r="S1592" s="322"/>
      <c r="T1592" s="319"/>
      <c r="U1592" s="322"/>
      <c r="V1592" s="322"/>
      <c r="W1592" s="322"/>
      <c r="X1592" s="322"/>
      <c r="Y1592" s="319"/>
      <c r="Z1592" s="136" t="str">
        <f t="shared" si="16"/>
        <v/>
      </c>
      <c r="AA1592" s="137" t="str">
        <f t="shared" si="17"/>
        <v/>
      </c>
      <c r="AB1592" s="138" t="str">
        <f t="shared" si="19"/>
        <v/>
      </c>
      <c r="AC1592" s="322"/>
      <c r="AD1592" s="319"/>
      <c r="AE1592" s="320"/>
    </row>
    <row r="1593" ht="18.0" customHeight="1">
      <c r="A1593" s="118" t="str">
        <f t="shared" si="15"/>
        <v/>
      </c>
      <c r="B1593" s="109"/>
      <c r="C1593" s="119"/>
      <c r="D1593" s="119"/>
      <c r="E1593" s="330"/>
      <c r="F1593" s="121"/>
      <c r="G1593" s="153"/>
      <c r="H1593" s="153"/>
      <c r="I1593" s="153"/>
      <c r="J1593" s="112"/>
      <c r="K1593" s="153"/>
      <c r="L1593" s="114"/>
      <c r="M1593" s="151"/>
      <c r="N1593" s="152"/>
      <c r="O1593" s="150"/>
      <c r="P1593" s="114"/>
      <c r="Q1593" s="114"/>
      <c r="R1593" s="151"/>
      <c r="S1593" s="152"/>
      <c r="T1593" s="153"/>
      <c r="U1593" s="152"/>
      <c r="V1593" s="152"/>
      <c r="W1593" s="152"/>
      <c r="X1593" s="152"/>
      <c r="Y1593" s="153"/>
      <c r="Z1593" s="125" t="str">
        <f t="shared" si="16"/>
        <v/>
      </c>
      <c r="AA1593" s="126" t="str">
        <f t="shared" si="17"/>
        <v/>
      </c>
      <c r="AB1593" s="117" t="str">
        <f t="shared" si="19"/>
        <v/>
      </c>
      <c r="AC1593" s="152"/>
      <c r="AD1593" s="153"/>
      <c r="AE1593" s="156"/>
    </row>
    <row r="1594" ht="18.0" customHeight="1">
      <c r="A1594" s="127" t="str">
        <f t="shared" si="15"/>
        <v/>
      </c>
      <c r="B1594" s="128"/>
      <c r="C1594" s="129"/>
      <c r="D1594" s="129"/>
      <c r="E1594" s="325"/>
      <c r="F1594" s="131"/>
      <c r="G1594" s="319"/>
      <c r="H1594" s="319"/>
      <c r="I1594" s="319"/>
      <c r="J1594" s="132"/>
      <c r="K1594" s="319"/>
      <c r="L1594" s="135"/>
      <c r="M1594" s="321"/>
      <c r="N1594" s="322"/>
      <c r="O1594" s="150"/>
      <c r="P1594" s="135"/>
      <c r="Q1594" s="135"/>
      <c r="R1594" s="321"/>
      <c r="S1594" s="322"/>
      <c r="T1594" s="319"/>
      <c r="U1594" s="322"/>
      <c r="V1594" s="322"/>
      <c r="W1594" s="322"/>
      <c r="X1594" s="322"/>
      <c r="Y1594" s="319"/>
      <c r="Z1594" s="136" t="str">
        <f t="shared" si="16"/>
        <v/>
      </c>
      <c r="AA1594" s="137" t="str">
        <f t="shared" si="17"/>
        <v/>
      </c>
      <c r="AB1594" s="138" t="str">
        <f t="shared" si="19"/>
        <v/>
      </c>
      <c r="AC1594" s="322"/>
      <c r="AD1594" s="319"/>
      <c r="AE1594" s="320"/>
    </row>
    <row r="1595" ht="18.0" customHeight="1">
      <c r="A1595" s="118" t="str">
        <f t="shared" si="15"/>
        <v/>
      </c>
      <c r="B1595" s="109"/>
      <c r="C1595" s="119"/>
      <c r="D1595" s="119"/>
      <c r="E1595" s="330"/>
      <c r="F1595" s="121"/>
      <c r="G1595" s="153"/>
      <c r="H1595" s="153"/>
      <c r="I1595" s="153"/>
      <c r="J1595" s="112"/>
      <c r="K1595" s="153"/>
      <c r="L1595" s="114"/>
      <c r="M1595" s="151"/>
      <c r="N1595" s="152"/>
      <c r="O1595" s="150"/>
      <c r="P1595" s="114"/>
      <c r="Q1595" s="114"/>
      <c r="R1595" s="151"/>
      <c r="S1595" s="152"/>
      <c r="T1595" s="153"/>
      <c r="U1595" s="152"/>
      <c r="V1595" s="152"/>
      <c r="W1595" s="152"/>
      <c r="X1595" s="152"/>
      <c r="Y1595" s="153"/>
      <c r="Z1595" s="125" t="str">
        <f t="shared" si="16"/>
        <v/>
      </c>
      <c r="AA1595" s="126" t="str">
        <f t="shared" si="17"/>
        <v/>
      </c>
      <c r="AB1595" s="117" t="str">
        <f t="shared" si="19"/>
        <v/>
      </c>
      <c r="AC1595" s="152"/>
      <c r="AD1595" s="153"/>
      <c r="AE1595" s="156"/>
    </row>
    <row r="1596" ht="18.0" customHeight="1">
      <c r="A1596" s="127" t="str">
        <f t="shared" si="15"/>
        <v/>
      </c>
      <c r="B1596" s="128"/>
      <c r="C1596" s="129"/>
      <c r="D1596" s="129"/>
      <c r="E1596" s="325"/>
      <c r="F1596" s="131"/>
      <c r="G1596" s="319"/>
      <c r="H1596" s="319"/>
      <c r="I1596" s="319"/>
      <c r="J1596" s="132"/>
      <c r="K1596" s="319"/>
      <c r="L1596" s="135"/>
      <c r="M1596" s="321"/>
      <c r="N1596" s="322"/>
      <c r="O1596" s="150"/>
      <c r="P1596" s="135"/>
      <c r="Q1596" s="135"/>
      <c r="R1596" s="321"/>
      <c r="S1596" s="322"/>
      <c r="T1596" s="319"/>
      <c r="U1596" s="322"/>
      <c r="V1596" s="322"/>
      <c r="W1596" s="322"/>
      <c r="X1596" s="322"/>
      <c r="Y1596" s="319"/>
      <c r="Z1596" s="136" t="str">
        <f t="shared" si="16"/>
        <v/>
      </c>
      <c r="AA1596" s="137" t="str">
        <f t="shared" si="17"/>
        <v/>
      </c>
      <c r="AB1596" s="138" t="str">
        <f t="shared" si="19"/>
        <v/>
      </c>
      <c r="AC1596" s="322"/>
      <c r="AD1596" s="319"/>
      <c r="AE1596" s="320"/>
    </row>
    <row r="1597" ht="18.0" customHeight="1">
      <c r="A1597" s="118" t="str">
        <f t="shared" si="15"/>
        <v/>
      </c>
      <c r="B1597" s="109"/>
      <c r="C1597" s="119"/>
      <c r="D1597" s="119"/>
      <c r="E1597" s="330"/>
      <c r="F1597" s="121"/>
      <c r="G1597" s="153"/>
      <c r="H1597" s="153"/>
      <c r="I1597" s="153"/>
      <c r="J1597" s="112"/>
      <c r="K1597" s="153"/>
      <c r="L1597" s="114"/>
      <c r="M1597" s="151"/>
      <c r="N1597" s="152"/>
      <c r="O1597" s="150"/>
      <c r="P1597" s="114"/>
      <c r="Q1597" s="114"/>
      <c r="R1597" s="151"/>
      <c r="S1597" s="152"/>
      <c r="T1597" s="153"/>
      <c r="U1597" s="152"/>
      <c r="V1597" s="152"/>
      <c r="W1597" s="152"/>
      <c r="X1597" s="152"/>
      <c r="Y1597" s="153"/>
      <c r="Z1597" s="125" t="str">
        <f t="shared" si="16"/>
        <v/>
      </c>
      <c r="AA1597" s="126" t="str">
        <f t="shared" si="17"/>
        <v/>
      </c>
      <c r="AB1597" s="117" t="str">
        <f t="shared" si="19"/>
        <v/>
      </c>
      <c r="AC1597" s="152"/>
      <c r="AD1597" s="153"/>
      <c r="AE1597" s="156"/>
    </row>
    <row r="1598" ht="18.0" customHeight="1">
      <c r="A1598" s="127" t="str">
        <f t="shared" si="15"/>
        <v/>
      </c>
      <c r="B1598" s="128"/>
      <c r="C1598" s="129"/>
      <c r="D1598" s="129"/>
      <c r="E1598" s="325"/>
      <c r="F1598" s="131"/>
      <c r="G1598" s="319"/>
      <c r="H1598" s="319"/>
      <c r="I1598" s="319"/>
      <c r="J1598" s="132"/>
      <c r="K1598" s="319"/>
      <c r="L1598" s="135"/>
      <c r="M1598" s="321"/>
      <c r="N1598" s="322"/>
      <c r="O1598" s="150"/>
      <c r="P1598" s="135"/>
      <c r="Q1598" s="135"/>
      <c r="R1598" s="321"/>
      <c r="S1598" s="322"/>
      <c r="T1598" s="319"/>
      <c r="U1598" s="322"/>
      <c r="V1598" s="322"/>
      <c r="W1598" s="322"/>
      <c r="X1598" s="322"/>
      <c r="Y1598" s="319"/>
      <c r="Z1598" s="136" t="str">
        <f t="shared" si="16"/>
        <v/>
      </c>
      <c r="AA1598" s="137" t="str">
        <f t="shared" si="17"/>
        <v/>
      </c>
      <c r="AB1598" s="138" t="str">
        <f t="shared" si="19"/>
        <v/>
      </c>
      <c r="AC1598" s="322"/>
      <c r="AD1598" s="319"/>
      <c r="AE1598" s="320"/>
    </row>
    <row r="1599" ht="18.0" customHeight="1">
      <c r="A1599" s="118" t="str">
        <f t="shared" si="15"/>
        <v/>
      </c>
      <c r="B1599" s="109"/>
      <c r="C1599" s="119"/>
      <c r="D1599" s="119"/>
      <c r="E1599" s="330"/>
      <c r="F1599" s="121"/>
      <c r="G1599" s="153"/>
      <c r="H1599" s="153"/>
      <c r="I1599" s="153"/>
      <c r="J1599" s="112"/>
      <c r="K1599" s="153"/>
      <c r="L1599" s="114"/>
      <c r="M1599" s="151"/>
      <c r="N1599" s="152"/>
      <c r="O1599" s="150"/>
      <c r="P1599" s="114"/>
      <c r="Q1599" s="114"/>
      <c r="R1599" s="151"/>
      <c r="S1599" s="152"/>
      <c r="T1599" s="153"/>
      <c r="U1599" s="152"/>
      <c r="V1599" s="152"/>
      <c r="W1599" s="152"/>
      <c r="X1599" s="152"/>
      <c r="Y1599" s="153"/>
      <c r="Z1599" s="125" t="str">
        <f t="shared" si="16"/>
        <v/>
      </c>
      <c r="AA1599" s="126" t="str">
        <f t="shared" si="17"/>
        <v/>
      </c>
      <c r="AB1599" s="117" t="str">
        <f t="shared" si="19"/>
        <v/>
      </c>
      <c r="AC1599" s="152"/>
      <c r="AD1599" s="153"/>
      <c r="AE1599" s="156"/>
    </row>
    <row r="1600" ht="18.0" customHeight="1">
      <c r="A1600" s="127" t="str">
        <f t="shared" si="15"/>
        <v/>
      </c>
      <c r="B1600" s="128"/>
      <c r="C1600" s="129"/>
      <c r="D1600" s="129"/>
      <c r="E1600" s="325"/>
      <c r="F1600" s="131"/>
      <c r="G1600" s="319"/>
      <c r="H1600" s="319"/>
      <c r="I1600" s="319"/>
      <c r="J1600" s="132"/>
      <c r="K1600" s="319"/>
      <c r="L1600" s="135"/>
      <c r="M1600" s="321"/>
      <c r="N1600" s="322"/>
      <c r="O1600" s="150"/>
      <c r="P1600" s="135"/>
      <c r="Q1600" s="135"/>
      <c r="R1600" s="321"/>
      <c r="S1600" s="322"/>
      <c r="T1600" s="319"/>
      <c r="U1600" s="322"/>
      <c r="V1600" s="322"/>
      <c r="W1600" s="322"/>
      <c r="X1600" s="322"/>
      <c r="Y1600" s="319"/>
      <c r="Z1600" s="136" t="str">
        <f t="shared" si="16"/>
        <v/>
      </c>
      <c r="AA1600" s="137" t="str">
        <f t="shared" si="17"/>
        <v/>
      </c>
      <c r="AB1600" s="138" t="str">
        <f t="shared" si="19"/>
        <v/>
      </c>
      <c r="AC1600" s="322"/>
      <c r="AD1600" s="319"/>
      <c r="AE1600" s="320"/>
    </row>
    <row r="1601" ht="18.0" customHeight="1">
      <c r="A1601" s="118" t="str">
        <f t="shared" si="15"/>
        <v/>
      </c>
      <c r="B1601" s="109"/>
      <c r="C1601" s="119"/>
      <c r="D1601" s="119"/>
      <c r="E1601" s="330"/>
      <c r="F1601" s="121"/>
      <c r="G1601" s="153"/>
      <c r="H1601" s="153"/>
      <c r="I1601" s="153"/>
      <c r="J1601" s="112"/>
      <c r="K1601" s="153"/>
      <c r="L1601" s="114"/>
      <c r="M1601" s="151"/>
      <c r="N1601" s="152"/>
      <c r="O1601" s="150"/>
      <c r="P1601" s="114"/>
      <c r="Q1601" s="114"/>
      <c r="R1601" s="151"/>
      <c r="S1601" s="152"/>
      <c r="T1601" s="153"/>
      <c r="U1601" s="152"/>
      <c r="V1601" s="152"/>
      <c r="W1601" s="152"/>
      <c r="X1601" s="152"/>
      <c r="Y1601" s="153"/>
      <c r="Z1601" s="125" t="str">
        <f t="shared" si="16"/>
        <v/>
      </c>
      <c r="AA1601" s="126" t="str">
        <f t="shared" si="17"/>
        <v/>
      </c>
      <c r="AB1601" s="117" t="str">
        <f t="shared" si="19"/>
        <v/>
      </c>
      <c r="AC1601" s="152"/>
      <c r="AD1601" s="153"/>
      <c r="AE1601" s="156"/>
    </row>
    <row r="1602" ht="18.0" customHeight="1">
      <c r="A1602" s="127" t="str">
        <f t="shared" si="15"/>
        <v/>
      </c>
      <c r="B1602" s="128"/>
      <c r="C1602" s="129"/>
      <c r="D1602" s="129"/>
      <c r="E1602" s="325"/>
      <c r="F1602" s="131"/>
      <c r="G1602" s="319"/>
      <c r="H1602" s="319"/>
      <c r="I1602" s="319"/>
      <c r="J1602" s="132"/>
      <c r="K1602" s="319"/>
      <c r="L1602" s="135"/>
      <c r="M1602" s="321"/>
      <c r="N1602" s="322"/>
      <c r="O1602" s="150"/>
      <c r="P1602" s="135"/>
      <c r="Q1602" s="135"/>
      <c r="R1602" s="321"/>
      <c r="S1602" s="322"/>
      <c r="T1602" s="319"/>
      <c r="U1602" s="322"/>
      <c r="V1602" s="322"/>
      <c r="W1602" s="322"/>
      <c r="X1602" s="322"/>
      <c r="Y1602" s="319"/>
      <c r="Z1602" s="136" t="str">
        <f t="shared" si="16"/>
        <v/>
      </c>
      <c r="AA1602" s="137" t="str">
        <f t="shared" si="17"/>
        <v/>
      </c>
      <c r="AB1602" s="138" t="str">
        <f t="shared" si="19"/>
        <v/>
      </c>
      <c r="AC1602" s="322"/>
      <c r="AD1602" s="319"/>
      <c r="AE1602" s="320"/>
    </row>
    <row r="1603" ht="18.0" customHeight="1">
      <c r="A1603" s="118" t="str">
        <f t="shared" si="15"/>
        <v/>
      </c>
      <c r="B1603" s="109"/>
      <c r="C1603" s="119"/>
      <c r="D1603" s="119"/>
      <c r="E1603" s="330"/>
      <c r="F1603" s="121"/>
      <c r="G1603" s="153"/>
      <c r="H1603" s="153"/>
      <c r="I1603" s="153"/>
      <c r="J1603" s="112"/>
      <c r="K1603" s="153"/>
      <c r="L1603" s="114"/>
      <c r="M1603" s="151"/>
      <c r="N1603" s="152"/>
      <c r="O1603" s="150"/>
      <c r="P1603" s="114"/>
      <c r="Q1603" s="114"/>
      <c r="R1603" s="151"/>
      <c r="S1603" s="152"/>
      <c r="T1603" s="153"/>
      <c r="U1603" s="152"/>
      <c r="V1603" s="152"/>
      <c r="W1603" s="152"/>
      <c r="X1603" s="152"/>
      <c r="Y1603" s="153"/>
      <c r="Z1603" s="125" t="str">
        <f t="shared" si="16"/>
        <v/>
      </c>
      <c r="AA1603" s="126" t="str">
        <f t="shared" si="17"/>
        <v/>
      </c>
      <c r="AB1603" s="117" t="str">
        <f t="shared" si="19"/>
        <v/>
      </c>
      <c r="AC1603" s="152"/>
      <c r="AD1603" s="153"/>
      <c r="AE1603" s="156"/>
    </row>
    <row r="1604" ht="18.0" customHeight="1">
      <c r="A1604" s="127" t="str">
        <f t="shared" si="15"/>
        <v/>
      </c>
      <c r="B1604" s="128"/>
      <c r="C1604" s="129"/>
      <c r="D1604" s="129"/>
      <c r="E1604" s="325"/>
      <c r="F1604" s="131"/>
      <c r="G1604" s="319"/>
      <c r="H1604" s="319"/>
      <c r="I1604" s="319"/>
      <c r="J1604" s="132"/>
      <c r="K1604" s="319"/>
      <c r="L1604" s="135"/>
      <c r="M1604" s="321"/>
      <c r="N1604" s="322"/>
      <c r="O1604" s="150"/>
      <c r="P1604" s="135"/>
      <c r="Q1604" s="135"/>
      <c r="R1604" s="321"/>
      <c r="S1604" s="322"/>
      <c r="T1604" s="319"/>
      <c r="U1604" s="322"/>
      <c r="V1604" s="322"/>
      <c r="W1604" s="322"/>
      <c r="X1604" s="322"/>
      <c r="Y1604" s="319"/>
      <c r="Z1604" s="136" t="str">
        <f t="shared" si="16"/>
        <v/>
      </c>
      <c r="AA1604" s="137" t="str">
        <f t="shared" si="17"/>
        <v/>
      </c>
      <c r="AB1604" s="138" t="str">
        <f t="shared" si="19"/>
        <v/>
      </c>
      <c r="AC1604" s="322"/>
      <c r="AD1604" s="319"/>
      <c r="AE1604" s="320"/>
    </row>
    <row r="1605" ht="18.0" customHeight="1">
      <c r="A1605" s="118" t="str">
        <f t="shared" si="15"/>
        <v/>
      </c>
      <c r="B1605" s="109"/>
      <c r="C1605" s="119"/>
      <c r="D1605" s="119"/>
      <c r="E1605" s="330"/>
      <c r="F1605" s="121"/>
      <c r="G1605" s="153"/>
      <c r="H1605" s="153"/>
      <c r="I1605" s="153"/>
      <c r="J1605" s="112"/>
      <c r="K1605" s="153"/>
      <c r="L1605" s="114"/>
      <c r="M1605" s="151"/>
      <c r="N1605" s="152"/>
      <c r="O1605" s="150"/>
      <c r="P1605" s="114"/>
      <c r="Q1605" s="114"/>
      <c r="R1605" s="151"/>
      <c r="S1605" s="152"/>
      <c r="T1605" s="153"/>
      <c r="U1605" s="152"/>
      <c r="V1605" s="152"/>
      <c r="W1605" s="152"/>
      <c r="X1605" s="152"/>
      <c r="Y1605" s="153"/>
      <c r="Z1605" s="125" t="str">
        <f t="shared" si="16"/>
        <v/>
      </c>
      <c r="AA1605" s="126" t="str">
        <f t="shared" si="17"/>
        <v/>
      </c>
      <c r="AB1605" s="117" t="str">
        <f t="shared" si="19"/>
        <v/>
      </c>
      <c r="AC1605" s="152"/>
      <c r="AD1605" s="153"/>
      <c r="AE1605" s="156"/>
    </row>
    <row r="1606" ht="18.0" customHeight="1">
      <c r="A1606" s="127" t="str">
        <f t="shared" si="15"/>
        <v/>
      </c>
      <c r="B1606" s="128"/>
      <c r="C1606" s="129"/>
      <c r="D1606" s="129"/>
      <c r="E1606" s="325"/>
      <c r="F1606" s="131"/>
      <c r="G1606" s="319"/>
      <c r="H1606" s="319"/>
      <c r="I1606" s="319"/>
      <c r="J1606" s="132"/>
      <c r="K1606" s="319"/>
      <c r="L1606" s="135"/>
      <c r="M1606" s="321"/>
      <c r="N1606" s="322"/>
      <c r="O1606" s="150"/>
      <c r="P1606" s="135"/>
      <c r="Q1606" s="135"/>
      <c r="R1606" s="321"/>
      <c r="S1606" s="322"/>
      <c r="T1606" s="319"/>
      <c r="U1606" s="322"/>
      <c r="V1606" s="322"/>
      <c r="W1606" s="322"/>
      <c r="X1606" s="322"/>
      <c r="Y1606" s="319"/>
      <c r="Z1606" s="136" t="str">
        <f t="shared" si="16"/>
        <v/>
      </c>
      <c r="AA1606" s="137" t="str">
        <f t="shared" si="17"/>
        <v/>
      </c>
      <c r="AB1606" s="138" t="str">
        <f t="shared" si="19"/>
        <v/>
      </c>
      <c r="AC1606" s="322"/>
      <c r="AD1606" s="319"/>
      <c r="AE1606" s="320"/>
    </row>
    <row r="1607" ht="18.0" customHeight="1">
      <c r="A1607" s="118" t="str">
        <f t="shared" si="15"/>
        <v/>
      </c>
      <c r="B1607" s="109"/>
      <c r="C1607" s="119"/>
      <c r="D1607" s="119"/>
      <c r="E1607" s="330"/>
      <c r="F1607" s="121"/>
      <c r="G1607" s="153"/>
      <c r="H1607" s="153"/>
      <c r="I1607" s="153"/>
      <c r="J1607" s="112"/>
      <c r="K1607" s="153"/>
      <c r="L1607" s="114"/>
      <c r="M1607" s="151"/>
      <c r="N1607" s="152"/>
      <c r="O1607" s="150"/>
      <c r="P1607" s="114"/>
      <c r="Q1607" s="114"/>
      <c r="R1607" s="151"/>
      <c r="S1607" s="152"/>
      <c r="T1607" s="153"/>
      <c r="U1607" s="152"/>
      <c r="V1607" s="152"/>
      <c r="W1607" s="152"/>
      <c r="X1607" s="152"/>
      <c r="Y1607" s="153"/>
      <c r="Z1607" s="125" t="str">
        <f t="shared" si="16"/>
        <v/>
      </c>
      <c r="AA1607" s="126" t="str">
        <f t="shared" si="17"/>
        <v/>
      </c>
      <c r="AB1607" s="117" t="str">
        <f t="shared" si="19"/>
        <v/>
      </c>
      <c r="AC1607" s="152"/>
      <c r="AD1607" s="153"/>
      <c r="AE1607" s="156"/>
    </row>
    <row r="1608" ht="18.0" customHeight="1">
      <c r="A1608" s="127" t="str">
        <f t="shared" si="15"/>
        <v/>
      </c>
      <c r="B1608" s="128"/>
      <c r="C1608" s="129"/>
      <c r="D1608" s="129"/>
      <c r="E1608" s="325"/>
      <c r="F1608" s="131"/>
      <c r="G1608" s="319"/>
      <c r="H1608" s="319"/>
      <c r="I1608" s="319"/>
      <c r="J1608" s="132"/>
      <c r="K1608" s="319"/>
      <c r="L1608" s="135"/>
      <c r="M1608" s="321"/>
      <c r="N1608" s="322"/>
      <c r="O1608" s="150"/>
      <c r="P1608" s="135"/>
      <c r="Q1608" s="135"/>
      <c r="R1608" s="321"/>
      <c r="S1608" s="322"/>
      <c r="T1608" s="319"/>
      <c r="U1608" s="322"/>
      <c r="V1608" s="322"/>
      <c r="W1608" s="322"/>
      <c r="X1608" s="322"/>
      <c r="Y1608" s="319"/>
      <c r="Z1608" s="136" t="str">
        <f t="shared" si="16"/>
        <v/>
      </c>
      <c r="AA1608" s="137" t="str">
        <f t="shared" si="17"/>
        <v/>
      </c>
      <c r="AB1608" s="138" t="str">
        <f t="shared" si="19"/>
        <v/>
      </c>
      <c r="AC1608" s="322"/>
      <c r="AD1608" s="319"/>
      <c r="AE1608" s="320"/>
    </row>
    <row r="1609" ht="18.0" customHeight="1">
      <c r="A1609" s="118" t="str">
        <f t="shared" si="15"/>
        <v/>
      </c>
      <c r="B1609" s="109"/>
      <c r="C1609" s="119"/>
      <c r="D1609" s="119"/>
      <c r="E1609" s="330"/>
      <c r="F1609" s="121"/>
      <c r="G1609" s="153"/>
      <c r="H1609" s="153"/>
      <c r="I1609" s="153"/>
      <c r="J1609" s="112"/>
      <c r="K1609" s="153"/>
      <c r="L1609" s="114"/>
      <c r="M1609" s="151"/>
      <c r="N1609" s="152"/>
      <c r="O1609" s="150"/>
      <c r="P1609" s="114"/>
      <c r="Q1609" s="114"/>
      <c r="R1609" s="151"/>
      <c r="S1609" s="152"/>
      <c r="T1609" s="153"/>
      <c r="U1609" s="152"/>
      <c r="V1609" s="152"/>
      <c r="W1609" s="152"/>
      <c r="X1609" s="152"/>
      <c r="Y1609" s="153"/>
      <c r="Z1609" s="125" t="str">
        <f t="shared" si="16"/>
        <v/>
      </c>
      <c r="AA1609" s="126" t="str">
        <f t="shared" si="17"/>
        <v/>
      </c>
      <c r="AB1609" s="117" t="str">
        <f t="shared" si="19"/>
        <v/>
      </c>
      <c r="AC1609" s="152"/>
      <c r="AD1609" s="153"/>
      <c r="AE1609" s="156"/>
    </row>
    <row r="1610" ht="18.0" customHeight="1">
      <c r="A1610" s="127" t="str">
        <f t="shared" si="15"/>
        <v/>
      </c>
      <c r="B1610" s="128"/>
      <c r="C1610" s="129"/>
      <c r="D1610" s="129"/>
      <c r="E1610" s="325"/>
      <c r="F1610" s="131"/>
      <c r="G1610" s="319"/>
      <c r="H1610" s="319"/>
      <c r="I1610" s="319"/>
      <c r="J1610" s="132"/>
      <c r="K1610" s="319"/>
      <c r="L1610" s="135"/>
      <c r="M1610" s="321"/>
      <c r="N1610" s="322"/>
      <c r="O1610" s="150"/>
      <c r="P1610" s="135"/>
      <c r="Q1610" s="135"/>
      <c r="R1610" s="321"/>
      <c r="S1610" s="322"/>
      <c r="T1610" s="319"/>
      <c r="U1610" s="322"/>
      <c r="V1610" s="322"/>
      <c r="W1610" s="322"/>
      <c r="X1610" s="322"/>
      <c r="Y1610" s="319"/>
      <c r="Z1610" s="136" t="str">
        <f t="shared" si="16"/>
        <v/>
      </c>
      <c r="AA1610" s="137" t="str">
        <f t="shared" si="17"/>
        <v/>
      </c>
      <c r="AB1610" s="138" t="str">
        <f t="shared" si="19"/>
        <v/>
      </c>
      <c r="AC1610" s="322"/>
      <c r="AD1610" s="319"/>
      <c r="AE1610" s="320"/>
    </row>
    <row r="1611" ht="18.0" customHeight="1">
      <c r="A1611" s="118" t="str">
        <f t="shared" si="15"/>
        <v/>
      </c>
      <c r="B1611" s="109"/>
      <c r="C1611" s="119"/>
      <c r="D1611" s="119"/>
      <c r="E1611" s="330"/>
      <c r="F1611" s="121"/>
      <c r="G1611" s="153"/>
      <c r="H1611" s="153"/>
      <c r="I1611" s="153"/>
      <c r="J1611" s="112"/>
      <c r="K1611" s="153"/>
      <c r="L1611" s="114"/>
      <c r="M1611" s="151"/>
      <c r="N1611" s="152"/>
      <c r="O1611" s="150"/>
      <c r="P1611" s="114"/>
      <c r="Q1611" s="114"/>
      <c r="R1611" s="151"/>
      <c r="S1611" s="152"/>
      <c r="T1611" s="153"/>
      <c r="U1611" s="152"/>
      <c r="V1611" s="152"/>
      <c r="W1611" s="152"/>
      <c r="X1611" s="152"/>
      <c r="Y1611" s="153"/>
      <c r="Z1611" s="125" t="str">
        <f t="shared" si="16"/>
        <v/>
      </c>
      <c r="AA1611" s="126" t="str">
        <f t="shared" si="17"/>
        <v/>
      </c>
      <c r="AB1611" s="117" t="str">
        <f t="shared" si="19"/>
        <v/>
      </c>
      <c r="AC1611" s="152"/>
      <c r="AD1611" s="153"/>
      <c r="AE1611" s="156"/>
    </row>
    <row r="1612" ht="18.0" customHeight="1">
      <c r="A1612" s="127" t="str">
        <f t="shared" si="15"/>
        <v/>
      </c>
      <c r="B1612" s="128"/>
      <c r="C1612" s="129"/>
      <c r="D1612" s="129"/>
      <c r="E1612" s="325"/>
      <c r="F1612" s="131"/>
      <c r="G1612" s="319"/>
      <c r="H1612" s="319"/>
      <c r="I1612" s="319"/>
      <c r="J1612" s="132"/>
      <c r="K1612" s="319"/>
      <c r="L1612" s="135"/>
      <c r="M1612" s="321"/>
      <c r="N1612" s="322"/>
      <c r="O1612" s="150"/>
      <c r="P1612" s="135"/>
      <c r="Q1612" s="135"/>
      <c r="R1612" s="321"/>
      <c r="S1612" s="322"/>
      <c r="T1612" s="319"/>
      <c r="U1612" s="322"/>
      <c r="V1612" s="322"/>
      <c r="W1612" s="322"/>
      <c r="X1612" s="322"/>
      <c r="Y1612" s="319"/>
      <c r="Z1612" s="136" t="str">
        <f t="shared" si="16"/>
        <v/>
      </c>
      <c r="AA1612" s="137" t="str">
        <f t="shared" si="17"/>
        <v/>
      </c>
      <c r="AB1612" s="138" t="str">
        <f t="shared" si="19"/>
        <v/>
      </c>
      <c r="AC1612" s="322"/>
      <c r="AD1612" s="319"/>
      <c r="AE1612" s="320"/>
    </row>
    <row r="1613" ht="18.0" customHeight="1">
      <c r="A1613" s="118" t="str">
        <f t="shared" si="15"/>
        <v/>
      </c>
      <c r="B1613" s="109"/>
      <c r="C1613" s="119"/>
      <c r="D1613" s="119"/>
      <c r="E1613" s="330"/>
      <c r="F1613" s="121"/>
      <c r="G1613" s="153"/>
      <c r="H1613" s="153"/>
      <c r="I1613" s="153"/>
      <c r="J1613" s="112"/>
      <c r="K1613" s="153"/>
      <c r="L1613" s="114"/>
      <c r="M1613" s="151"/>
      <c r="N1613" s="152"/>
      <c r="O1613" s="150"/>
      <c r="P1613" s="114"/>
      <c r="Q1613" s="114"/>
      <c r="R1613" s="151"/>
      <c r="S1613" s="152"/>
      <c r="T1613" s="153"/>
      <c r="U1613" s="152"/>
      <c r="V1613" s="152"/>
      <c r="W1613" s="152"/>
      <c r="X1613" s="152"/>
      <c r="Y1613" s="153"/>
      <c r="Z1613" s="125" t="str">
        <f t="shared" si="16"/>
        <v/>
      </c>
      <c r="AA1613" s="126" t="str">
        <f t="shared" si="17"/>
        <v/>
      </c>
      <c r="AB1613" s="117" t="str">
        <f t="shared" si="19"/>
        <v/>
      </c>
      <c r="AC1613" s="152"/>
      <c r="AD1613" s="153"/>
      <c r="AE1613" s="156"/>
    </row>
    <row r="1614" ht="18.0" customHeight="1">
      <c r="A1614" s="127" t="str">
        <f t="shared" si="15"/>
        <v/>
      </c>
      <c r="B1614" s="128"/>
      <c r="C1614" s="129"/>
      <c r="D1614" s="129"/>
      <c r="E1614" s="325"/>
      <c r="F1614" s="131"/>
      <c r="G1614" s="319"/>
      <c r="H1614" s="319"/>
      <c r="I1614" s="319"/>
      <c r="J1614" s="132"/>
      <c r="K1614" s="319"/>
      <c r="L1614" s="135"/>
      <c r="M1614" s="321"/>
      <c r="N1614" s="322"/>
      <c r="O1614" s="150"/>
      <c r="P1614" s="135"/>
      <c r="Q1614" s="135"/>
      <c r="R1614" s="321"/>
      <c r="S1614" s="322"/>
      <c r="T1614" s="319"/>
      <c r="U1614" s="322"/>
      <c r="V1614" s="322"/>
      <c r="W1614" s="322"/>
      <c r="X1614" s="322"/>
      <c r="Y1614" s="319"/>
      <c r="Z1614" s="136" t="str">
        <f t="shared" si="16"/>
        <v/>
      </c>
      <c r="AA1614" s="137" t="str">
        <f t="shared" si="17"/>
        <v/>
      </c>
      <c r="AB1614" s="138" t="str">
        <f t="shared" si="19"/>
        <v/>
      </c>
      <c r="AC1614" s="322"/>
      <c r="AD1614" s="319"/>
      <c r="AE1614" s="320"/>
    </row>
    <row r="1615" ht="18.0" customHeight="1">
      <c r="A1615" s="118" t="str">
        <f t="shared" si="15"/>
        <v/>
      </c>
      <c r="B1615" s="109"/>
      <c r="C1615" s="119"/>
      <c r="D1615" s="119"/>
      <c r="E1615" s="330"/>
      <c r="F1615" s="121"/>
      <c r="G1615" s="153"/>
      <c r="H1615" s="153"/>
      <c r="I1615" s="153"/>
      <c r="J1615" s="112"/>
      <c r="K1615" s="153"/>
      <c r="L1615" s="114"/>
      <c r="M1615" s="151"/>
      <c r="N1615" s="152"/>
      <c r="O1615" s="150"/>
      <c r="P1615" s="114"/>
      <c r="Q1615" s="114"/>
      <c r="R1615" s="151"/>
      <c r="S1615" s="152"/>
      <c r="T1615" s="153"/>
      <c r="U1615" s="152"/>
      <c r="V1615" s="152"/>
      <c r="W1615" s="152"/>
      <c r="X1615" s="152"/>
      <c r="Y1615" s="153"/>
      <c r="Z1615" s="125" t="str">
        <f t="shared" si="16"/>
        <v/>
      </c>
      <c r="AA1615" s="126" t="str">
        <f t="shared" si="17"/>
        <v/>
      </c>
      <c r="AB1615" s="117" t="str">
        <f t="shared" si="19"/>
        <v/>
      </c>
      <c r="AC1615" s="152"/>
      <c r="AD1615" s="153"/>
      <c r="AE1615" s="156"/>
    </row>
    <row r="1616" ht="18.0" customHeight="1">
      <c r="A1616" s="127" t="str">
        <f t="shared" si="15"/>
        <v/>
      </c>
      <c r="B1616" s="128"/>
      <c r="C1616" s="129"/>
      <c r="D1616" s="129"/>
      <c r="E1616" s="325"/>
      <c r="F1616" s="131"/>
      <c r="G1616" s="319"/>
      <c r="H1616" s="319"/>
      <c r="I1616" s="319"/>
      <c r="J1616" s="132"/>
      <c r="K1616" s="319"/>
      <c r="L1616" s="135"/>
      <c r="M1616" s="321"/>
      <c r="N1616" s="322"/>
      <c r="O1616" s="150"/>
      <c r="P1616" s="135"/>
      <c r="Q1616" s="135"/>
      <c r="R1616" s="321"/>
      <c r="S1616" s="322"/>
      <c r="T1616" s="319"/>
      <c r="U1616" s="322"/>
      <c r="V1616" s="322"/>
      <c r="W1616" s="322"/>
      <c r="X1616" s="322"/>
      <c r="Y1616" s="319"/>
      <c r="Z1616" s="136" t="str">
        <f t="shared" si="16"/>
        <v/>
      </c>
      <c r="AA1616" s="137" t="str">
        <f t="shared" si="17"/>
        <v/>
      </c>
      <c r="AB1616" s="138" t="str">
        <f t="shared" si="19"/>
        <v/>
      </c>
      <c r="AC1616" s="322"/>
      <c r="AD1616" s="319"/>
      <c r="AE1616" s="320"/>
    </row>
    <row r="1617" ht="18.0" customHeight="1">
      <c r="A1617" s="118" t="str">
        <f t="shared" si="15"/>
        <v/>
      </c>
      <c r="B1617" s="109"/>
      <c r="C1617" s="119"/>
      <c r="D1617" s="119"/>
      <c r="E1617" s="330"/>
      <c r="F1617" s="121"/>
      <c r="G1617" s="153"/>
      <c r="H1617" s="153"/>
      <c r="I1617" s="153"/>
      <c r="J1617" s="112"/>
      <c r="K1617" s="153"/>
      <c r="L1617" s="114"/>
      <c r="M1617" s="151"/>
      <c r="N1617" s="152"/>
      <c r="O1617" s="150"/>
      <c r="P1617" s="114"/>
      <c r="Q1617" s="114"/>
      <c r="R1617" s="151"/>
      <c r="S1617" s="152"/>
      <c r="T1617" s="153"/>
      <c r="U1617" s="152"/>
      <c r="V1617" s="152"/>
      <c r="W1617" s="152"/>
      <c r="X1617" s="152"/>
      <c r="Y1617" s="153"/>
      <c r="Z1617" s="125" t="str">
        <f t="shared" si="16"/>
        <v/>
      </c>
      <c r="AA1617" s="126" t="str">
        <f t="shared" si="17"/>
        <v/>
      </c>
      <c r="AB1617" s="117" t="str">
        <f t="shared" si="19"/>
        <v/>
      </c>
      <c r="AC1617" s="152"/>
      <c r="AD1617" s="153"/>
      <c r="AE1617" s="156"/>
    </row>
    <row r="1618" ht="18.0" customHeight="1">
      <c r="A1618" s="127" t="str">
        <f t="shared" si="15"/>
        <v/>
      </c>
      <c r="B1618" s="128"/>
      <c r="C1618" s="129"/>
      <c r="D1618" s="129"/>
      <c r="E1618" s="325"/>
      <c r="F1618" s="131"/>
      <c r="G1618" s="319"/>
      <c r="H1618" s="319"/>
      <c r="I1618" s="319"/>
      <c r="J1618" s="132"/>
      <c r="K1618" s="319"/>
      <c r="L1618" s="135"/>
      <c r="M1618" s="321"/>
      <c r="N1618" s="322"/>
      <c r="O1618" s="150"/>
      <c r="P1618" s="135"/>
      <c r="Q1618" s="135"/>
      <c r="R1618" s="321"/>
      <c r="S1618" s="322"/>
      <c r="T1618" s="319"/>
      <c r="U1618" s="322"/>
      <c r="V1618" s="322"/>
      <c r="W1618" s="322"/>
      <c r="X1618" s="322"/>
      <c r="Y1618" s="319"/>
      <c r="Z1618" s="136" t="str">
        <f t="shared" si="16"/>
        <v/>
      </c>
      <c r="AA1618" s="137" t="str">
        <f t="shared" si="17"/>
        <v/>
      </c>
      <c r="AB1618" s="138" t="str">
        <f t="shared" si="19"/>
        <v/>
      </c>
      <c r="AC1618" s="322"/>
      <c r="AD1618" s="319"/>
      <c r="AE1618" s="320"/>
    </row>
    <row r="1619" ht="18.0" customHeight="1">
      <c r="A1619" s="118" t="str">
        <f t="shared" si="15"/>
        <v/>
      </c>
      <c r="B1619" s="109"/>
      <c r="C1619" s="119"/>
      <c r="D1619" s="119"/>
      <c r="E1619" s="330"/>
      <c r="F1619" s="121"/>
      <c r="G1619" s="153"/>
      <c r="H1619" s="153"/>
      <c r="I1619" s="153"/>
      <c r="J1619" s="112"/>
      <c r="K1619" s="153"/>
      <c r="L1619" s="114"/>
      <c r="M1619" s="151"/>
      <c r="N1619" s="152"/>
      <c r="O1619" s="150"/>
      <c r="P1619" s="114"/>
      <c r="Q1619" s="114"/>
      <c r="R1619" s="151"/>
      <c r="S1619" s="152"/>
      <c r="T1619" s="153"/>
      <c r="U1619" s="152"/>
      <c r="V1619" s="152"/>
      <c r="W1619" s="152"/>
      <c r="X1619" s="152"/>
      <c r="Y1619" s="153"/>
      <c r="Z1619" s="125" t="str">
        <f t="shared" si="16"/>
        <v/>
      </c>
      <c r="AA1619" s="126" t="str">
        <f t="shared" si="17"/>
        <v/>
      </c>
      <c r="AB1619" s="117" t="str">
        <f t="shared" si="19"/>
        <v/>
      </c>
      <c r="AC1619" s="152"/>
      <c r="AD1619" s="153"/>
      <c r="AE1619" s="156"/>
    </row>
    <row r="1620" ht="18.0" customHeight="1">
      <c r="A1620" s="127" t="str">
        <f t="shared" si="15"/>
        <v/>
      </c>
      <c r="B1620" s="128"/>
      <c r="C1620" s="129"/>
      <c r="D1620" s="129"/>
      <c r="E1620" s="325"/>
      <c r="F1620" s="131"/>
      <c r="G1620" s="319"/>
      <c r="H1620" s="319"/>
      <c r="I1620" s="319"/>
      <c r="J1620" s="132"/>
      <c r="K1620" s="319"/>
      <c r="L1620" s="135"/>
      <c r="M1620" s="321"/>
      <c r="N1620" s="322"/>
      <c r="O1620" s="150"/>
      <c r="P1620" s="135"/>
      <c r="Q1620" s="135"/>
      <c r="R1620" s="321"/>
      <c r="S1620" s="322"/>
      <c r="T1620" s="319"/>
      <c r="U1620" s="322"/>
      <c r="V1620" s="322"/>
      <c r="W1620" s="322"/>
      <c r="X1620" s="322"/>
      <c r="Y1620" s="319"/>
      <c r="Z1620" s="136" t="str">
        <f t="shared" si="16"/>
        <v/>
      </c>
      <c r="AA1620" s="137" t="str">
        <f t="shared" si="17"/>
        <v/>
      </c>
      <c r="AB1620" s="138" t="str">
        <f t="shared" si="19"/>
        <v/>
      </c>
      <c r="AC1620" s="322"/>
      <c r="AD1620" s="319"/>
      <c r="AE1620" s="320"/>
    </row>
    <row r="1621" ht="18.0" customHeight="1">
      <c r="A1621" s="118" t="str">
        <f t="shared" si="15"/>
        <v/>
      </c>
      <c r="B1621" s="109"/>
      <c r="C1621" s="119"/>
      <c r="D1621" s="119"/>
      <c r="E1621" s="330"/>
      <c r="F1621" s="121"/>
      <c r="G1621" s="153"/>
      <c r="H1621" s="153"/>
      <c r="I1621" s="153"/>
      <c r="J1621" s="112"/>
      <c r="K1621" s="153"/>
      <c r="L1621" s="114"/>
      <c r="M1621" s="151"/>
      <c r="N1621" s="152"/>
      <c r="O1621" s="150"/>
      <c r="P1621" s="114"/>
      <c r="Q1621" s="114"/>
      <c r="R1621" s="151"/>
      <c r="S1621" s="152"/>
      <c r="T1621" s="153"/>
      <c r="U1621" s="152"/>
      <c r="V1621" s="152"/>
      <c r="W1621" s="152"/>
      <c r="X1621" s="152"/>
      <c r="Y1621" s="153"/>
      <c r="Z1621" s="125" t="str">
        <f t="shared" si="16"/>
        <v/>
      </c>
      <c r="AA1621" s="126" t="str">
        <f t="shared" si="17"/>
        <v/>
      </c>
      <c r="AB1621" s="117" t="str">
        <f t="shared" si="19"/>
        <v/>
      </c>
      <c r="AC1621" s="152"/>
      <c r="AD1621" s="153"/>
      <c r="AE1621" s="156"/>
    </row>
    <row r="1622" ht="18.0" customHeight="1">
      <c r="A1622" s="127" t="str">
        <f t="shared" si="15"/>
        <v/>
      </c>
      <c r="B1622" s="128"/>
      <c r="C1622" s="129"/>
      <c r="D1622" s="129"/>
      <c r="E1622" s="325"/>
      <c r="F1622" s="131"/>
      <c r="G1622" s="319"/>
      <c r="H1622" s="319"/>
      <c r="I1622" s="319"/>
      <c r="J1622" s="132"/>
      <c r="K1622" s="319"/>
      <c r="L1622" s="135"/>
      <c r="M1622" s="321"/>
      <c r="N1622" s="322"/>
      <c r="O1622" s="150"/>
      <c r="P1622" s="135"/>
      <c r="Q1622" s="135"/>
      <c r="R1622" s="321"/>
      <c r="S1622" s="322"/>
      <c r="T1622" s="319"/>
      <c r="U1622" s="322"/>
      <c r="V1622" s="322"/>
      <c r="W1622" s="322"/>
      <c r="X1622" s="322"/>
      <c r="Y1622" s="319"/>
      <c r="Z1622" s="136" t="str">
        <f t="shared" si="16"/>
        <v/>
      </c>
      <c r="AA1622" s="137" t="str">
        <f t="shared" si="17"/>
        <v/>
      </c>
      <c r="AB1622" s="138" t="str">
        <f t="shared" si="19"/>
        <v/>
      </c>
      <c r="AC1622" s="322"/>
      <c r="AD1622" s="319"/>
      <c r="AE1622" s="320"/>
    </row>
    <row r="1623" ht="18.0" customHeight="1">
      <c r="A1623" s="118" t="str">
        <f t="shared" si="15"/>
        <v/>
      </c>
      <c r="B1623" s="109"/>
      <c r="C1623" s="119"/>
      <c r="D1623" s="119"/>
      <c r="E1623" s="330"/>
      <c r="F1623" s="121"/>
      <c r="G1623" s="153"/>
      <c r="H1623" s="153"/>
      <c r="I1623" s="153"/>
      <c r="J1623" s="112"/>
      <c r="K1623" s="153"/>
      <c r="L1623" s="114"/>
      <c r="M1623" s="151"/>
      <c r="N1623" s="152"/>
      <c r="O1623" s="150"/>
      <c r="P1623" s="114"/>
      <c r="Q1623" s="114"/>
      <c r="R1623" s="151"/>
      <c r="S1623" s="152"/>
      <c r="T1623" s="153"/>
      <c r="U1623" s="152"/>
      <c r="V1623" s="152"/>
      <c r="W1623" s="152"/>
      <c r="X1623" s="152"/>
      <c r="Y1623" s="153"/>
      <c r="Z1623" s="125" t="str">
        <f t="shared" si="16"/>
        <v/>
      </c>
      <c r="AA1623" s="126" t="str">
        <f t="shared" si="17"/>
        <v/>
      </c>
      <c r="AB1623" s="117" t="str">
        <f t="shared" si="19"/>
        <v/>
      </c>
      <c r="AC1623" s="152"/>
      <c r="AD1623" s="153"/>
      <c r="AE1623" s="156"/>
    </row>
    <row r="1624" ht="18.0" customHeight="1">
      <c r="A1624" s="127" t="str">
        <f t="shared" si="15"/>
        <v/>
      </c>
      <c r="B1624" s="128"/>
      <c r="C1624" s="129"/>
      <c r="D1624" s="129"/>
      <c r="E1624" s="325"/>
      <c r="F1624" s="131"/>
      <c r="G1624" s="319"/>
      <c r="H1624" s="319"/>
      <c r="I1624" s="319"/>
      <c r="J1624" s="132"/>
      <c r="K1624" s="319"/>
      <c r="L1624" s="135"/>
      <c r="M1624" s="321"/>
      <c r="N1624" s="322"/>
      <c r="O1624" s="150"/>
      <c r="P1624" s="135"/>
      <c r="Q1624" s="135"/>
      <c r="R1624" s="321"/>
      <c r="S1624" s="322"/>
      <c r="T1624" s="319"/>
      <c r="U1624" s="322"/>
      <c r="V1624" s="322"/>
      <c r="W1624" s="322"/>
      <c r="X1624" s="322"/>
      <c r="Y1624" s="319"/>
      <c r="Z1624" s="136" t="str">
        <f t="shared" si="16"/>
        <v/>
      </c>
      <c r="AA1624" s="137" t="str">
        <f t="shared" si="17"/>
        <v/>
      </c>
      <c r="AB1624" s="138" t="str">
        <f t="shared" si="19"/>
        <v/>
      </c>
      <c r="AC1624" s="322"/>
      <c r="AD1624" s="319"/>
      <c r="AE1624" s="320"/>
    </row>
    <row r="1625" ht="18.0" customHeight="1">
      <c r="A1625" s="118" t="str">
        <f t="shared" si="15"/>
        <v/>
      </c>
      <c r="B1625" s="109"/>
      <c r="C1625" s="119"/>
      <c r="D1625" s="119"/>
      <c r="E1625" s="330"/>
      <c r="F1625" s="121"/>
      <c r="G1625" s="153"/>
      <c r="H1625" s="153"/>
      <c r="I1625" s="153"/>
      <c r="J1625" s="112"/>
      <c r="K1625" s="153"/>
      <c r="L1625" s="114"/>
      <c r="M1625" s="151"/>
      <c r="N1625" s="152"/>
      <c r="O1625" s="150"/>
      <c r="P1625" s="114"/>
      <c r="Q1625" s="114"/>
      <c r="R1625" s="151"/>
      <c r="S1625" s="152"/>
      <c r="T1625" s="153"/>
      <c r="U1625" s="152"/>
      <c r="V1625" s="152"/>
      <c r="W1625" s="152"/>
      <c r="X1625" s="152"/>
      <c r="Y1625" s="153"/>
      <c r="Z1625" s="125" t="str">
        <f t="shared" si="16"/>
        <v/>
      </c>
      <c r="AA1625" s="126" t="str">
        <f t="shared" si="17"/>
        <v/>
      </c>
      <c r="AB1625" s="117" t="str">
        <f t="shared" si="19"/>
        <v/>
      </c>
      <c r="AC1625" s="152"/>
      <c r="AD1625" s="153"/>
      <c r="AE1625" s="156"/>
    </row>
    <row r="1626" ht="18.0" customHeight="1">
      <c r="A1626" s="127" t="str">
        <f t="shared" si="15"/>
        <v/>
      </c>
      <c r="B1626" s="128"/>
      <c r="C1626" s="129"/>
      <c r="D1626" s="129"/>
      <c r="E1626" s="325"/>
      <c r="F1626" s="131"/>
      <c r="G1626" s="319"/>
      <c r="H1626" s="319"/>
      <c r="I1626" s="319"/>
      <c r="J1626" s="132"/>
      <c r="K1626" s="319"/>
      <c r="L1626" s="135"/>
      <c r="M1626" s="321"/>
      <c r="N1626" s="322"/>
      <c r="O1626" s="150"/>
      <c r="P1626" s="135"/>
      <c r="Q1626" s="135"/>
      <c r="R1626" s="321"/>
      <c r="S1626" s="322"/>
      <c r="T1626" s="319"/>
      <c r="U1626" s="322"/>
      <c r="V1626" s="322"/>
      <c r="W1626" s="322"/>
      <c r="X1626" s="322"/>
      <c r="Y1626" s="319"/>
      <c r="Z1626" s="136" t="str">
        <f t="shared" si="16"/>
        <v/>
      </c>
      <c r="AA1626" s="137" t="str">
        <f t="shared" si="17"/>
        <v/>
      </c>
      <c r="AB1626" s="138" t="str">
        <f t="shared" si="19"/>
        <v/>
      </c>
      <c r="AC1626" s="322"/>
      <c r="AD1626" s="319"/>
      <c r="AE1626" s="320"/>
    </row>
    <row r="1627" ht="18.0" customHeight="1">
      <c r="A1627" s="118" t="str">
        <f t="shared" si="15"/>
        <v/>
      </c>
      <c r="B1627" s="109"/>
      <c r="C1627" s="119"/>
      <c r="D1627" s="119"/>
      <c r="E1627" s="330"/>
      <c r="F1627" s="121"/>
      <c r="G1627" s="153"/>
      <c r="H1627" s="153"/>
      <c r="I1627" s="153"/>
      <c r="J1627" s="112"/>
      <c r="K1627" s="153"/>
      <c r="L1627" s="114"/>
      <c r="M1627" s="151"/>
      <c r="N1627" s="152"/>
      <c r="O1627" s="150"/>
      <c r="P1627" s="114"/>
      <c r="Q1627" s="114"/>
      <c r="R1627" s="151"/>
      <c r="S1627" s="152"/>
      <c r="T1627" s="153"/>
      <c r="U1627" s="152"/>
      <c r="V1627" s="152"/>
      <c r="W1627" s="152"/>
      <c r="X1627" s="152"/>
      <c r="Y1627" s="153"/>
      <c r="Z1627" s="125" t="str">
        <f t="shared" si="16"/>
        <v/>
      </c>
      <c r="AA1627" s="126" t="str">
        <f t="shared" si="17"/>
        <v/>
      </c>
      <c r="AB1627" s="117" t="str">
        <f t="shared" si="19"/>
        <v/>
      </c>
      <c r="AC1627" s="152"/>
      <c r="AD1627" s="153"/>
      <c r="AE1627" s="156"/>
    </row>
    <row r="1628" ht="18.0" customHeight="1">
      <c r="A1628" s="127" t="str">
        <f t="shared" si="15"/>
        <v/>
      </c>
      <c r="B1628" s="128"/>
      <c r="C1628" s="129"/>
      <c r="D1628" s="129"/>
      <c r="E1628" s="325"/>
      <c r="F1628" s="131"/>
      <c r="G1628" s="319"/>
      <c r="H1628" s="319"/>
      <c r="I1628" s="319"/>
      <c r="J1628" s="132"/>
      <c r="K1628" s="319"/>
      <c r="L1628" s="135"/>
      <c r="M1628" s="321"/>
      <c r="N1628" s="322"/>
      <c r="O1628" s="150"/>
      <c r="P1628" s="135"/>
      <c r="Q1628" s="135"/>
      <c r="R1628" s="321"/>
      <c r="S1628" s="322"/>
      <c r="T1628" s="319"/>
      <c r="U1628" s="322"/>
      <c r="V1628" s="322"/>
      <c r="W1628" s="322"/>
      <c r="X1628" s="322"/>
      <c r="Y1628" s="319"/>
      <c r="Z1628" s="136" t="str">
        <f t="shared" si="16"/>
        <v/>
      </c>
      <c r="AA1628" s="137" t="str">
        <f t="shared" si="17"/>
        <v/>
      </c>
      <c r="AB1628" s="138" t="str">
        <f t="shared" si="19"/>
        <v/>
      </c>
      <c r="AC1628" s="322"/>
      <c r="AD1628" s="319"/>
      <c r="AE1628" s="320"/>
    </row>
    <row r="1629" ht="18.0" customHeight="1">
      <c r="A1629" s="118" t="str">
        <f t="shared" si="15"/>
        <v/>
      </c>
      <c r="B1629" s="109"/>
      <c r="C1629" s="119"/>
      <c r="D1629" s="119"/>
      <c r="E1629" s="330"/>
      <c r="F1629" s="121"/>
      <c r="G1629" s="153"/>
      <c r="H1629" s="153"/>
      <c r="I1629" s="153"/>
      <c r="J1629" s="112"/>
      <c r="K1629" s="153"/>
      <c r="L1629" s="114"/>
      <c r="M1629" s="151"/>
      <c r="N1629" s="152"/>
      <c r="O1629" s="150"/>
      <c r="P1629" s="114"/>
      <c r="Q1629" s="114"/>
      <c r="R1629" s="151"/>
      <c r="S1629" s="152"/>
      <c r="T1629" s="153"/>
      <c r="U1629" s="152"/>
      <c r="V1629" s="152"/>
      <c r="W1629" s="152"/>
      <c r="X1629" s="152"/>
      <c r="Y1629" s="153"/>
      <c r="Z1629" s="125" t="str">
        <f t="shared" si="16"/>
        <v/>
      </c>
      <c r="AA1629" s="126" t="str">
        <f t="shared" si="17"/>
        <v/>
      </c>
      <c r="AB1629" s="117" t="str">
        <f t="shared" si="19"/>
        <v/>
      </c>
      <c r="AC1629" s="152"/>
      <c r="AD1629" s="153"/>
      <c r="AE1629" s="156"/>
    </row>
    <row r="1630" ht="18.0" customHeight="1">
      <c r="A1630" s="127" t="str">
        <f t="shared" si="15"/>
        <v/>
      </c>
      <c r="B1630" s="128"/>
      <c r="C1630" s="129"/>
      <c r="D1630" s="129"/>
      <c r="E1630" s="325"/>
      <c r="F1630" s="131"/>
      <c r="G1630" s="319"/>
      <c r="H1630" s="319"/>
      <c r="I1630" s="319"/>
      <c r="J1630" s="132"/>
      <c r="K1630" s="319"/>
      <c r="L1630" s="135"/>
      <c r="M1630" s="321"/>
      <c r="N1630" s="322"/>
      <c r="O1630" s="150"/>
      <c r="P1630" s="135"/>
      <c r="Q1630" s="135"/>
      <c r="R1630" s="321"/>
      <c r="S1630" s="322"/>
      <c r="T1630" s="319"/>
      <c r="U1630" s="322"/>
      <c r="V1630" s="322"/>
      <c r="W1630" s="322"/>
      <c r="X1630" s="322"/>
      <c r="Y1630" s="319"/>
      <c r="Z1630" s="136" t="str">
        <f t="shared" si="16"/>
        <v/>
      </c>
      <c r="AA1630" s="137" t="str">
        <f t="shared" si="17"/>
        <v/>
      </c>
      <c r="AB1630" s="138" t="str">
        <f t="shared" si="19"/>
        <v/>
      </c>
      <c r="AC1630" s="322"/>
      <c r="AD1630" s="319"/>
      <c r="AE1630" s="320"/>
    </row>
    <row r="1631" ht="18.0" customHeight="1">
      <c r="A1631" s="118" t="str">
        <f t="shared" si="15"/>
        <v/>
      </c>
      <c r="B1631" s="109"/>
      <c r="C1631" s="119"/>
      <c r="D1631" s="119"/>
      <c r="E1631" s="330"/>
      <c r="F1631" s="121"/>
      <c r="G1631" s="153"/>
      <c r="H1631" s="153"/>
      <c r="I1631" s="153"/>
      <c r="J1631" s="112"/>
      <c r="K1631" s="153"/>
      <c r="L1631" s="114"/>
      <c r="M1631" s="151"/>
      <c r="N1631" s="152"/>
      <c r="O1631" s="150"/>
      <c r="P1631" s="114"/>
      <c r="Q1631" s="114"/>
      <c r="R1631" s="151"/>
      <c r="S1631" s="152"/>
      <c r="T1631" s="153"/>
      <c r="U1631" s="152"/>
      <c r="V1631" s="152"/>
      <c r="W1631" s="152"/>
      <c r="X1631" s="152"/>
      <c r="Y1631" s="153"/>
      <c r="Z1631" s="125" t="str">
        <f t="shared" si="16"/>
        <v/>
      </c>
      <c r="AA1631" s="126" t="str">
        <f t="shared" si="17"/>
        <v/>
      </c>
      <c r="AB1631" s="117" t="str">
        <f t="shared" si="19"/>
        <v/>
      </c>
      <c r="AC1631" s="152"/>
      <c r="AD1631" s="153"/>
      <c r="AE1631" s="156"/>
    </row>
    <row r="1632" ht="18.0" customHeight="1">
      <c r="A1632" s="127" t="str">
        <f t="shared" si="15"/>
        <v/>
      </c>
      <c r="B1632" s="128"/>
      <c r="C1632" s="129"/>
      <c r="D1632" s="129"/>
      <c r="E1632" s="325"/>
      <c r="F1632" s="131"/>
      <c r="G1632" s="319"/>
      <c r="H1632" s="319"/>
      <c r="I1632" s="319"/>
      <c r="J1632" s="132"/>
      <c r="K1632" s="319"/>
      <c r="L1632" s="135"/>
      <c r="M1632" s="321"/>
      <c r="N1632" s="322"/>
      <c r="O1632" s="150"/>
      <c r="P1632" s="135"/>
      <c r="Q1632" s="135"/>
      <c r="R1632" s="321"/>
      <c r="S1632" s="322"/>
      <c r="T1632" s="319"/>
      <c r="U1632" s="322"/>
      <c r="V1632" s="322"/>
      <c r="W1632" s="322"/>
      <c r="X1632" s="322"/>
      <c r="Y1632" s="319"/>
      <c r="Z1632" s="136" t="str">
        <f t="shared" si="16"/>
        <v/>
      </c>
      <c r="AA1632" s="137" t="str">
        <f t="shared" si="17"/>
        <v/>
      </c>
      <c r="AB1632" s="138" t="str">
        <f t="shared" si="19"/>
        <v/>
      </c>
      <c r="AC1632" s="322"/>
      <c r="AD1632" s="319"/>
      <c r="AE1632" s="320"/>
    </row>
    <row r="1633" ht="18.0" customHeight="1">
      <c r="A1633" s="118" t="str">
        <f t="shared" si="15"/>
        <v/>
      </c>
      <c r="B1633" s="109"/>
      <c r="C1633" s="119"/>
      <c r="D1633" s="119"/>
      <c r="E1633" s="330"/>
      <c r="F1633" s="121"/>
      <c r="G1633" s="153"/>
      <c r="H1633" s="153"/>
      <c r="I1633" s="153"/>
      <c r="J1633" s="112"/>
      <c r="K1633" s="153"/>
      <c r="L1633" s="114"/>
      <c r="M1633" s="151"/>
      <c r="N1633" s="152"/>
      <c r="O1633" s="150"/>
      <c r="P1633" s="114"/>
      <c r="Q1633" s="114"/>
      <c r="R1633" s="151"/>
      <c r="S1633" s="152"/>
      <c r="T1633" s="153"/>
      <c r="U1633" s="152"/>
      <c r="V1633" s="152"/>
      <c r="W1633" s="152"/>
      <c r="X1633" s="152"/>
      <c r="Y1633" s="153"/>
      <c r="Z1633" s="125" t="str">
        <f t="shared" si="16"/>
        <v/>
      </c>
      <c r="AA1633" s="126" t="str">
        <f t="shared" si="17"/>
        <v/>
      </c>
      <c r="AB1633" s="117" t="str">
        <f t="shared" si="19"/>
        <v/>
      </c>
      <c r="AC1633" s="152"/>
      <c r="AD1633" s="153"/>
      <c r="AE1633" s="156"/>
    </row>
    <row r="1634" ht="18.0" customHeight="1">
      <c r="A1634" s="127" t="str">
        <f t="shared" si="15"/>
        <v/>
      </c>
      <c r="B1634" s="128"/>
      <c r="C1634" s="129"/>
      <c r="D1634" s="129"/>
      <c r="E1634" s="325"/>
      <c r="F1634" s="131"/>
      <c r="G1634" s="319"/>
      <c r="H1634" s="319"/>
      <c r="I1634" s="319"/>
      <c r="J1634" s="132"/>
      <c r="K1634" s="319"/>
      <c r="L1634" s="135"/>
      <c r="M1634" s="321"/>
      <c r="N1634" s="322"/>
      <c r="O1634" s="150"/>
      <c r="P1634" s="135"/>
      <c r="Q1634" s="135"/>
      <c r="R1634" s="321"/>
      <c r="S1634" s="322"/>
      <c r="T1634" s="319"/>
      <c r="U1634" s="322"/>
      <c r="V1634" s="322"/>
      <c r="W1634" s="322"/>
      <c r="X1634" s="322"/>
      <c r="Y1634" s="319"/>
      <c r="Z1634" s="136" t="str">
        <f t="shared" si="16"/>
        <v/>
      </c>
      <c r="AA1634" s="137" t="str">
        <f t="shared" si="17"/>
        <v/>
      </c>
      <c r="AB1634" s="138" t="str">
        <f t="shared" si="19"/>
        <v/>
      </c>
      <c r="AC1634" s="322"/>
      <c r="AD1634" s="319"/>
      <c r="AE1634" s="320"/>
    </row>
    <row r="1635" ht="18.0" customHeight="1">
      <c r="A1635" s="118" t="str">
        <f t="shared" si="15"/>
        <v/>
      </c>
      <c r="B1635" s="109"/>
      <c r="C1635" s="119"/>
      <c r="D1635" s="119"/>
      <c r="E1635" s="330"/>
      <c r="F1635" s="121"/>
      <c r="G1635" s="153"/>
      <c r="H1635" s="153"/>
      <c r="I1635" s="153"/>
      <c r="J1635" s="112"/>
      <c r="K1635" s="153"/>
      <c r="L1635" s="114"/>
      <c r="M1635" s="151"/>
      <c r="N1635" s="152"/>
      <c r="O1635" s="150"/>
      <c r="P1635" s="114"/>
      <c r="Q1635" s="114"/>
      <c r="R1635" s="151"/>
      <c r="S1635" s="152"/>
      <c r="T1635" s="153"/>
      <c r="U1635" s="152"/>
      <c r="V1635" s="152"/>
      <c r="W1635" s="152"/>
      <c r="X1635" s="152"/>
      <c r="Y1635" s="153"/>
      <c r="Z1635" s="125" t="str">
        <f t="shared" si="16"/>
        <v/>
      </c>
      <c r="AA1635" s="126" t="str">
        <f t="shared" si="17"/>
        <v/>
      </c>
      <c r="AB1635" s="117" t="str">
        <f t="shared" si="19"/>
        <v/>
      </c>
      <c r="AC1635" s="152"/>
      <c r="AD1635" s="153"/>
      <c r="AE1635" s="156"/>
    </row>
    <row r="1636" ht="18.0" customHeight="1">
      <c r="A1636" s="127" t="str">
        <f t="shared" si="15"/>
        <v/>
      </c>
      <c r="B1636" s="128"/>
      <c r="C1636" s="129"/>
      <c r="D1636" s="129"/>
      <c r="E1636" s="325"/>
      <c r="F1636" s="131"/>
      <c r="G1636" s="319"/>
      <c r="H1636" s="319"/>
      <c r="I1636" s="319"/>
      <c r="J1636" s="132"/>
      <c r="K1636" s="319"/>
      <c r="L1636" s="135"/>
      <c r="M1636" s="321"/>
      <c r="N1636" s="322"/>
      <c r="O1636" s="150"/>
      <c r="P1636" s="135"/>
      <c r="Q1636" s="135"/>
      <c r="R1636" s="321"/>
      <c r="S1636" s="322"/>
      <c r="T1636" s="319"/>
      <c r="U1636" s="322"/>
      <c r="V1636" s="322"/>
      <c r="W1636" s="322"/>
      <c r="X1636" s="322"/>
      <c r="Y1636" s="319"/>
      <c r="Z1636" s="136" t="str">
        <f t="shared" si="16"/>
        <v/>
      </c>
      <c r="AA1636" s="137" t="str">
        <f t="shared" si="17"/>
        <v/>
      </c>
      <c r="AB1636" s="138" t="str">
        <f t="shared" si="19"/>
        <v/>
      </c>
      <c r="AC1636" s="322"/>
      <c r="AD1636" s="319"/>
      <c r="AE1636" s="320"/>
    </row>
    <row r="1637" ht="18.0" customHeight="1">
      <c r="A1637" s="118" t="str">
        <f t="shared" si="15"/>
        <v/>
      </c>
      <c r="B1637" s="109"/>
      <c r="C1637" s="119"/>
      <c r="D1637" s="119"/>
      <c r="E1637" s="330"/>
      <c r="F1637" s="121"/>
      <c r="G1637" s="153"/>
      <c r="H1637" s="153"/>
      <c r="I1637" s="153"/>
      <c r="J1637" s="112"/>
      <c r="K1637" s="153"/>
      <c r="L1637" s="114"/>
      <c r="M1637" s="151"/>
      <c r="N1637" s="152"/>
      <c r="O1637" s="150"/>
      <c r="P1637" s="114"/>
      <c r="Q1637" s="114"/>
      <c r="R1637" s="151"/>
      <c r="S1637" s="152"/>
      <c r="T1637" s="153"/>
      <c r="U1637" s="152"/>
      <c r="V1637" s="152"/>
      <c r="W1637" s="152"/>
      <c r="X1637" s="152"/>
      <c r="Y1637" s="153"/>
      <c r="Z1637" s="125" t="str">
        <f t="shared" si="16"/>
        <v/>
      </c>
      <c r="AA1637" s="126" t="str">
        <f t="shared" si="17"/>
        <v/>
      </c>
      <c r="AB1637" s="117" t="str">
        <f t="shared" si="19"/>
        <v/>
      </c>
      <c r="AC1637" s="152"/>
      <c r="AD1637" s="153"/>
      <c r="AE1637" s="156"/>
    </row>
    <row r="1638" ht="18.0" customHeight="1">
      <c r="A1638" s="127" t="str">
        <f t="shared" si="15"/>
        <v/>
      </c>
      <c r="B1638" s="128"/>
      <c r="C1638" s="129"/>
      <c r="D1638" s="129"/>
      <c r="E1638" s="325"/>
      <c r="F1638" s="131"/>
      <c r="G1638" s="319"/>
      <c r="H1638" s="319"/>
      <c r="I1638" s="319"/>
      <c r="J1638" s="132"/>
      <c r="K1638" s="319"/>
      <c r="L1638" s="135"/>
      <c r="M1638" s="321"/>
      <c r="N1638" s="322"/>
      <c r="O1638" s="150"/>
      <c r="P1638" s="135"/>
      <c r="Q1638" s="135"/>
      <c r="R1638" s="321"/>
      <c r="S1638" s="322"/>
      <c r="T1638" s="319"/>
      <c r="U1638" s="322"/>
      <c r="V1638" s="322"/>
      <c r="W1638" s="322"/>
      <c r="X1638" s="322"/>
      <c r="Y1638" s="319"/>
      <c r="Z1638" s="136" t="str">
        <f t="shared" si="16"/>
        <v/>
      </c>
      <c r="AA1638" s="137" t="str">
        <f t="shared" si="17"/>
        <v/>
      </c>
      <c r="AB1638" s="138" t="str">
        <f t="shared" si="19"/>
        <v/>
      </c>
      <c r="AC1638" s="322"/>
      <c r="AD1638" s="319"/>
      <c r="AE1638" s="320"/>
    </row>
    <row r="1639" ht="18.0" customHeight="1">
      <c r="A1639" s="118" t="str">
        <f t="shared" si="15"/>
        <v/>
      </c>
      <c r="B1639" s="109"/>
      <c r="C1639" s="119"/>
      <c r="D1639" s="119"/>
      <c r="E1639" s="330"/>
      <c r="F1639" s="121"/>
      <c r="G1639" s="153"/>
      <c r="H1639" s="153"/>
      <c r="I1639" s="153"/>
      <c r="J1639" s="112"/>
      <c r="K1639" s="153"/>
      <c r="L1639" s="114"/>
      <c r="M1639" s="151"/>
      <c r="N1639" s="152"/>
      <c r="O1639" s="150"/>
      <c r="P1639" s="114"/>
      <c r="Q1639" s="114"/>
      <c r="R1639" s="151"/>
      <c r="S1639" s="152"/>
      <c r="T1639" s="153"/>
      <c r="U1639" s="152"/>
      <c r="V1639" s="152"/>
      <c r="W1639" s="152"/>
      <c r="X1639" s="152"/>
      <c r="Y1639" s="153"/>
      <c r="Z1639" s="125" t="str">
        <f t="shared" si="16"/>
        <v/>
      </c>
      <c r="AA1639" s="126" t="str">
        <f t="shared" si="17"/>
        <v/>
      </c>
      <c r="AB1639" s="117" t="str">
        <f t="shared" si="19"/>
        <v/>
      </c>
      <c r="AC1639" s="152"/>
      <c r="AD1639" s="153"/>
      <c r="AE1639" s="156"/>
    </row>
    <row r="1640" ht="18.0" customHeight="1">
      <c r="A1640" s="127" t="str">
        <f t="shared" si="15"/>
        <v/>
      </c>
      <c r="B1640" s="128"/>
      <c r="C1640" s="129"/>
      <c r="D1640" s="129"/>
      <c r="E1640" s="325"/>
      <c r="F1640" s="131"/>
      <c r="G1640" s="319"/>
      <c r="H1640" s="319"/>
      <c r="I1640" s="319"/>
      <c r="J1640" s="132"/>
      <c r="K1640" s="319"/>
      <c r="L1640" s="135"/>
      <c r="M1640" s="321"/>
      <c r="N1640" s="322"/>
      <c r="O1640" s="150"/>
      <c r="P1640" s="135"/>
      <c r="Q1640" s="135"/>
      <c r="R1640" s="321"/>
      <c r="S1640" s="322"/>
      <c r="T1640" s="319"/>
      <c r="U1640" s="322"/>
      <c r="V1640" s="322"/>
      <c r="W1640" s="322"/>
      <c r="X1640" s="322"/>
      <c r="Y1640" s="319"/>
      <c r="Z1640" s="136" t="str">
        <f t="shared" si="16"/>
        <v/>
      </c>
      <c r="AA1640" s="137" t="str">
        <f t="shared" si="17"/>
        <v/>
      </c>
      <c r="AB1640" s="138" t="str">
        <f t="shared" si="19"/>
        <v/>
      </c>
      <c r="AC1640" s="322"/>
      <c r="AD1640" s="319"/>
      <c r="AE1640" s="320"/>
    </row>
    <row r="1641" ht="18.0" customHeight="1">
      <c r="A1641" s="118" t="str">
        <f t="shared" si="15"/>
        <v/>
      </c>
      <c r="B1641" s="109"/>
      <c r="C1641" s="119"/>
      <c r="D1641" s="119"/>
      <c r="E1641" s="330"/>
      <c r="F1641" s="121"/>
      <c r="G1641" s="153"/>
      <c r="H1641" s="153"/>
      <c r="I1641" s="153"/>
      <c r="J1641" s="112"/>
      <c r="K1641" s="153"/>
      <c r="L1641" s="114"/>
      <c r="M1641" s="151"/>
      <c r="N1641" s="152"/>
      <c r="O1641" s="150"/>
      <c r="P1641" s="114"/>
      <c r="Q1641" s="114"/>
      <c r="R1641" s="151"/>
      <c r="S1641" s="152"/>
      <c r="T1641" s="153"/>
      <c r="U1641" s="152"/>
      <c r="V1641" s="152"/>
      <c r="W1641" s="152"/>
      <c r="X1641" s="152"/>
      <c r="Y1641" s="153"/>
      <c r="Z1641" s="125" t="str">
        <f t="shared" si="16"/>
        <v/>
      </c>
      <c r="AA1641" s="126" t="str">
        <f t="shared" si="17"/>
        <v/>
      </c>
      <c r="AB1641" s="117" t="str">
        <f t="shared" si="19"/>
        <v/>
      </c>
      <c r="AC1641" s="152"/>
      <c r="AD1641" s="153"/>
      <c r="AE1641" s="156"/>
    </row>
    <row r="1642" ht="18.0" customHeight="1">
      <c r="A1642" s="127" t="str">
        <f t="shared" si="15"/>
        <v/>
      </c>
      <c r="B1642" s="128"/>
      <c r="C1642" s="129"/>
      <c r="D1642" s="129"/>
      <c r="E1642" s="325"/>
      <c r="F1642" s="131"/>
      <c r="G1642" s="319"/>
      <c r="H1642" s="319"/>
      <c r="I1642" s="319"/>
      <c r="J1642" s="132"/>
      <c r="K1642" s="319"/>
      <c r="L1642" s="135"/>
      <c r="M1642" s="321"/>
      <c r="N1642" s="322"/>
      <c r="O1642" s="150"/>
      <c r="P1642" s="135"/>
      <c r="Q1642" s="135"/>
      <c r="R1642" s="321"/>
      <c r="S1642" s="322"/>
      <c r="T1642" s="319"/>
      <c r="U1642" s="322"/>
      <c r="V1642" s="322"/>
      <c r="W1642" s="322"/>
      <c r="X1642" s="322"/>
      <c r="Y1642" s="319"/>
      <c r="Z1642" s="136" t="str">
        <f t="shared" si="16"/>
        <v/>
      </c>
      <c r="AA1642" s="137" t="str">
        <f t="shared" si="17"/>
        <v/>
      </c>
      <c r="AB1642" s="138" t="str">
        <f t="shared" si="19"/>
        <v/>
      </c>
      <c r="AC1642" s="322"/>
      <c r="AD1642" s="319"/>
      <c r="AE1642" s="320"/>
    </row>
    <row r="1643" ht="18.0" customHeight="1">
      <c r="A1643" s="118" t="str">
        <f t="shared" si="15"/>
        <v/>
      </c>
      <c r="B1643" s="109"/>
      <c r="C1643" s="119"/>
      <c r="D1643" s="119"/>
      <c r="E1643" s="330"/>
      <c r="F1643" s="121"/>
      <c r="G1643" s="153"/>
      <c r="H1643" s="153"/>
      <c r="I1643" s="153"/>
      <c r="J1643" s="112"/>
      <c r="K1643" s="153"/>
      <c r="L1643" s="114"/>
      <c r="M1643" s="151"/>
      <c r="N1643" s="152"/>
      <c r="O1643" s="150"/>
      <c r="P1643" s="114"/>
      <c r="Q1643" s="114"/>
      <c r="R1643" s="151"/>
      <c r="S1643" s="152"/>
      <c r="T1643" s="153"/>
      <c r="U1643" s="152"/>
      <c r="V1643" s="152"/>
      <c r="W1643" s="152"/>
      <c r="X1643" s="152"/>
      <c r="Y1643" s="153"/>
      <c r="Z1643" s="125" t="str">
        <f t="shared" si="16"/>
        <v/>
      </c>
      <c r="AA1643" s="126" t="str">
        <f t="shared" si="17"/>
        <v/>
      </c>
      <c r="AB1643" s="117" t="str">
        <f t="shared" si="19"/>
        <v/>
      </c>
      <c r="AC1643" s="152"/>
      <c r="AD1643" s="153"/>
      <c r="AE1643" s="156"/>
    </row>
    <row r="1644" ht="18.0" customHeight="1">
      <c r="A1644" s="127" t="str">
        <f t="shared" si="15"/>
        <v/>
      </c>
      <c r="B1644" s="128"/>
      <c r="C1644" s="129"/>
      <c r="D1644" s="129"/>
      <c r="E1644" s="325"/>
      <c r="F1644" s="131"/>
      <c r="G1644" s="319"/>
      <c r="H1644" s="319"/>
      <c r="I1644" s="319"/>
      <c r="J1644" s="132"/>
      <c r="K1644" s="319"/>
      <c r="L1644" s="135"/>
      <c r="M1644" s="321"/>
      <c r="N1644" s="322"/>
      <c r="O1644" s="150"/>
      <c r="P1644" s="135"/>
      <c r="Q1644" s="135"/>
      <c r="R1644" s="321"/>
      <c r="S1644" s="322"/>
      <c r="T1644" s="319"/>
      <c r="U1644" s="322"/>
      <c r="V1644" s="322"/>
      <c r="W1644" s="322"/>
      <c r="X1644" s="322"/>
      <c r="Y1644" s="319"/>
      <c r="Z1644" s="136" t="str">
        <f t="shared" si="16"/>
        <v/>
      </c>
      <c r="AA1644" s="137" t="str">
        <f t="shared" si="17"/>
        <v/>
      </c>
      <c r="AB1644" s="138" t="str">
        <f t="shared" si="19"/>
        <v/>
      </c>
      <c r="AC1644" s="322"/>
      <c r="AD1644" s="319"/>
      <c r="AE1644" s="320"/>
    </row>
    <row r="1645" ht="18.0" customHeight="1">
      <c r="A1645" s="118" t="str">
        <f t="shared" si="15"/>
        <v/>
      </c>
      <c r="B1645" s="109"/>
      <c r="C1645" s="119"/>
      <c r="D1645" s="119"/>
      <c r="E1645" s="330"/>
      <c r="F1645" s="121"/>
      <c r="G1645" s="153"/>
      <c r="H1645" s="153"/>
      <c r="I1645" s="153"/>
      <c r="J1645" s="112"/>
      <c r="K1645" s="153"/>
      <c r="L1645" s="114"/>
      <c r="M1645" s="151"/>
      <c r="N1645" s="152"/>
      <c r="O1645" s="150"/>
      <c r="P1645" s="114"/>
      <c r="Q1645" s="114"/>
      <c r="R1645" s="151"/>
      <c r="S1645" s="152"/>
      <c r="T1645" s="153"/>
      <c r="U1645" s="152"/>
      <c r="V1645" s="152"/>
      <c r="W1645" s="152"/>
      <c r="X1645" s="152"/>
      <c r="Y1645" s="153"/>
      <c r="Z1645" s="125" t="str">
        <f t="shared" si="16"/>
        <v/>
      </c>
      <c r="AA1645" s="126" t="str">
        <f t="shared" si="17"/>
        <v/>
      </c>
      <c r="AB1645" s="117" t="str">
        <f t="shared" si="19"/>
        <v/>
      </c>
      <c r="AC1645" s="152"/>
      <c r="AD1645" s="153"/>
      <c r="AE1645" s="156"/>
    </row>
    <row r="1646" ht="18.0" customHeight="1">
      <c r="A1646" s="127" t="str">
        <f t="shared" si="15"/>
        <v/>
      </c>
      <c r="B1646" s="128"/>
      <c r="C1646" s="129"/>
      <c r="D1646" s="129"/>
      <c r="E1646" s="325"/>
      <c r="F1646" s="131"/>
      <c r="G1646" s="319"/>
      <c r="H1646" s="319"/>
      <c r="I1646" s="319"/>
      <c r="J1646" s="132"/>
      <c r="K1646" s="319"/>
      <c r="L1646" s="135"/>
      <c r="M1646" s="321"/>
      <c r="N1646" s="322"/>
      <c r="O1646" s="150"/>
      <c r="P1646" s="135"/>
      <c r="Q1646" s="135"/>
      <c r="R1646" s="321"/>
      <c r="S1646" s="322"/>
      <c r="T1646" s="319"/>
      <c r="U1646" s="322"/>
      <c r="V1646" s="322"/>
      <c r="W1646" s="322"/>
      <c r="X1646" s="322"/>
      <c r="Y1646" s="319"/>
      <c r="Z1646" s="136" t="str">
        <f t="shared" si="16"/>
        <v/>
      </c>
      <c r="AA1646" s="137" t="str">
        <f t="shared" si="17"/>
        <v/>
      </c>
      <c r="AB1646" s="138" t="str">
        <f t="shared" si="19"/>
        <v/>
      </c>
      <c r="AC1646" s="322"/>
      <c r="AD1646" s="319"/>
      <c r="AE1646" s="320"/>
    </row>
    <row r="1647" ht="18.0" customHeight="1">
      <c r="A1647" s="118" t="str">
        <f t="shared" si="15"/>
        <v/>
      </c>
      <c r="B1647" s="109"/>
      <c r="C1647" s="119"/>
      <c r="D1647" s="119"/>
      <c r="E1647" s="330"/>
      <c r="F1647" s="121"/>
      <c r="G1647" s="153"/>
      <c r="H1647" s="153"/>
      <c r="I1647" s="153"/>
      <c r="J1647" s="112"/>
      <c r="K1647" s="153"/>
      <c r="L1647" s="114"/>
      <c r="M1647" s="151"/>
      <c r="N1647" s="152"/>
      <c r="O1647" s="150"/>
      <c r="P1647" s="114"/>
      <c r="Q1647" s="114"/>
      <c r="R1647" s="151"/>
      <c r="S1647" s="152"/>
      <c r="T1647" s="153"/>
      <c r="U1647" s="152"/>
      <c r="V1647" s="152"/>
      <c r="W1647" s="152"/>
      <c r="X1647" s="152"/>
      <c r="Y1647" s="153"/>
      <c r="Z1647" s="125" t="str">
        <f t="shared" si="16"/>
        <v/>
      </c>
      <c r="AA1647" s="126" t="str">
        <f t="shared" si="17"/>
        <v/>
      </c>
      <c r="AB1647" s="117" t="str">
        <f t="shared" si="19"/>
        <v/>
      </c>
      <c r="AC1647" s="152"/>
      <c r="AD1647" s="153"/>
      <c r="AE1647" s="156"/>
    </row>
    <row r="1648" ht="18.0" customHeight="1">
      <c r="A1648" s="127" t="str">
        <f t="shared" si="15"/>
        <v/>
      </c>
      <c r="B1648" s="128"/>
      <c r="C1648" s="129"/>
      <c r="D1648" s="129"/>
      <c r="E1648" s="325"/>
      <c r="F1648" s="131"/>
      <c r="G1648" s="319"/>
      <c r="H1648" s="319"/>
      <c r="I1648" s="319"/>
      <c r="J1648" s="132"/>
      <c r="K1648" s="319"/>
      <c r="L1648" s="135"/>
      <c r="M1648" s="321"/>
      <c r="N1648" s="322"/>
      <c r="O1648" s="150"/>
      <c r="P1648" s="135"/>
      <c r="Q1648" s="135"/>
      <c r="R1648" s="321"/>
      <c r="S1648" s="322"/>
      <c r="T1648" s="319"/>
      <c r="U1648" s="322"/>
      <c r="V1648" s="322"/>
      <c r="W1648" s="322"/>
      <c r="X1648" s="322"/>
      <c r="Y1648" s="319"/>
      <c r="Z1648" s="136" t="str">
        <f t="shared" si="16"/>
        <v/>
      </c>
      <c r="AA1648" s="137" t="str">
        <f t="shared" si="17"/>
        <v/>
      </c>
      <c r="AB1648" s="138" t="str">
        <f t="shared" si="19"/>
        <v/>
      </c>
      <c r="AC1648" s="322"/>
      <c r="AD1648" s="319"/>
      <c r="AE1648" s="320"/>
    </row>
    <row r="1649" ht="18.0" customHeight="1">
      <c r="A1649" s="118" t="str">
        <f t="shared" si="15"/>
        <v/>
      </c>
      <c r="B1649" s="109"/>
      <c r="C1649" s="119"/>
      <c r="D1649" s="119"/>
      <c r="E1649" s="330"/>
      <c r="F1649" s="121"/>
      <c r="G1649" s="153"/>
      <c r="H1649" s="153"/>
      <c r="I1649" s="153"/>
      <c r="J1649" s="112"/>
      <c r="K1649" s="153"/>
      <c r="L1649" s="114"/>
      <c r="M1649" s="151"/>
      <c r="N1649" s="152"/>
      <c r="O1649" s="150"/>
      <c r="P1649" s="114"/>
      <c r="Q1649" s="114"/>
      <c r="R1649" s="151"/>
      <c r="S1649" s="152"/>
      <c r="T1649" s="153"/>
      <c r="U1649" s="152"/>
      <c r="V1649" s="152"/>
      <c r="W1649" s="152"/>
      <c r="X1649" s="152"/>
      <c r="Y1649" s="153"/>
      <c r="Z1649" s="125" t="str">
        <f t="shared" si="16"/>
        <v/>
      </c>
      <c r="AA1649" s="126" t="str">
        <f t="shared" si="17"/>
        <v/>
      </c>
      <c r="AB1649" s="117" t="str">
        <f t="shared" si="19"/>
        <v/>
      </c>
      <c r="AC1649" s="152"/>
      <c r="AD1649" s="153"/>
      <c r="AE1649" s="156"/>
    </row>
    <row r="1650" ht="18.0" customHeight="1">
      <c r="A1650" s="127" t="str">
        <f t="shared" si="15"/>
        <v/>
      </c>
      <c r="B1650" s="128"/>
      <c r="C1650" s="129"/>
      <c r="D1650" s="129"/>
      <c r="E1650" s="325"/>
      <c r="F1650" s="131"/>
      <c r="G1650" s="319"/>
      <c r="H1650" s="319"/>
      <c r="I1650" s="319"/>
      <c r="J1650" s="132"/>
      <c r="K1650" s="319"/>
      <c r="L1650" s="135"/>
      <c r="M1650" s="321"/>
      <c r="N1650" s="322"/>
      <c r="O1650" s="150"/>
      <c r="P1650" s="135"/>
      <c r="Q1650" s="135"/>
      <c r="R1650" s="321"/>
      <c r="S1650" s="322"/>
      <c r="T1650" s="319"/>
      <c r="U1650" s="322"/>
      <c r="V1650" s="322"/>
      <c r="W1650" s="322"/>
      <c r="X1650" s="322"/>
      <c r="Y1650" s="319"/>
      <c r="Z1650" s="136" t="str">
        <f t="shared" si="16"/>
        <v/>
      </c>
      <c r="AA1650" s="137" t="str">
        <f t="shared" si="17"/>
        <v/>
      </c>
      <c r="AB1650" s="138" t="str">
        <f t="shared" si="19"/>
        <v/>
      </c>
      <c r="AC1650" s="322"/>
      <c r="AD1650" s="319"/>
      <c r="AE1650" s="320"/>
    </row>
    <row r="1651" ht="18.0" customHeight="1">
      <c r="A1651" s="118" t="str">
        <f t="shared" si="15"/>
        <v/>
      </c>
      <c r="B1651" s="109"/>
      <c r="C1651" s="119"/>
      <c r="D1651" s="119"/>
      <c r="E1651" s="330"/>
      <c r="F1651" s="121"/>
      <c r="G1651" s="153"/>
      <c r="H1651" s="153"/>
      <c r="I1651" s="153"/>
      <c r="J1651" s="112"/>
      <c r="K1651" s="153"/>
      <c r="L1651" s="114"/>
      <c r="M1651" s="151"/>
      <c r="N1651" s="152"/>
      <c r="O1651" s="150"/>
      <c r="P1651" s="114"/>
      <c r="Q1651" s="114"/>
      <c r="R1651" s="151"/>
      <c r="S1651" s="152"/>
      <c r="T1651" s="153"/>
      <c r="U1651" s="152"/>
      <c r="V1651" s="152"/>
      <c r="W1651" s="152"/>
      <c r="X1651" s="152"/>
      <c r="Y1651" s="153"/>
      <c r="Z1651" s="125" t="str">
        <f t="shared" si="16"/>
        <v/>
      </c>
      <c r="AA1651" s="126" t="str">
        <f t="shared" si="17"/>
        <v/>
      </c>
      <c r="AB1651" s="117" t="str">
        <f t="shared" si="19"/>
        <v/>
      </c>
      <c r="AC1651" s="152"/>
      <c r="AD1651" s="153"/>
      <c r="AE1651" s="156"/>
    </row>
    <row r="1652" ht="18.0" customHeight="1">
      <c r="A1652" s="127" t="str">
        <f t="shared" si="15"/>
        <v/>
      </c>
      <c r="B1652" s="128"/>
      <c r="C1652" s="129"/>
      <c r="D1652" s="129"/>
      <c r="E1652" s="325"/>
      <c r="F1652" s="131"/>
      <c r="G1652" s="319"/>
      <c r="H1652" s="319"/>
      <c r="I1652" s="319"/>
      <c r="J1652" s="132"/>
      <c r="K1652" s="319"/>
      <c r="L1652" s="135"/>
      <c r="M1652" s="321"/>
      <c r="N1652" s="322"/>
      <c r="O1652" s="150"/>
      <c r="P1652" s="135"/>
      <c r="Q1652" s="135"/>
      <c r="R1652" s="321"/>
      <c r="S1652" s="322"/>
      <c r="T1652" s="319"/>
      <c r="U1652" s="322"/>
      <c r="V1652" s="322"/>
      <c r="W1652" s="322"/>
      <c r="X1652" s="322"/>
      <c r="Y1652" s="319"/>
      <c r="Z1652" s="136" t="str">
        <f t="shared" si="16"/>
        <v/>
      </c>
      <c r="AA1652" s="137" t="str">
        <f t="shared" si="17"/>
        <v/>
      </c>
      <c r="AB1652" s="138" t="str">
        <f t="shared" si="19"/>
        <v/>
      </c>
      <c r="AC1652" s="322"/>
      <c r="AD1652" s="319"/>
      <c r="AE1652" s="320"/>
    </row>
    <row r="1653" ht="18.0" customHeight="1">
      <c r="A1653" s="118" t="str">
        <f t="shared" si="15"/>
        <v/>
      </c>
      <c r="B1653" s="109"/>
      <c r="C1653" s="119"/>
      <c r="D1653" s="119"/>
      <c r="E1653" s="330"/>
      <c r="F1653" s="121"/>
      <c r="G1653" s="153"/>
      <c r="H1653" s="153"/>
      <c r="I1653" s="153"/>
      <c r="J1653" s="112"/>
      <c r="K1653" s="153"/>
      <c r="L1653" s="114"/>
      <c r="M1653" s="151"/>
      <c r="N1653" s="152"/>
      <c r="O1653" s="150"/>
      <c r="P1653" s="114"/>
      <c r="Q1653" s="114"/>
      <c r="R1653" s="151"/>
      <c r="S1653" s="152"/>
      <c r="T1653" s="153"/>
      <c r="U1653" s="152"/>
      <c r="V1653" s="152"/>
      <c r="W1653" s="152"/>
      <c r="X1653" s="152"/>
      <c r="Y1653" s="153"/>
      <c r="Z1653" s="125" t="str">
        <f t="shared" si="16"/>
        <v/>
      </c>
      <c r="AA1653" s="126" t="str">
        <f t="shared" si="17"/>
        <v/>
      </c>
      <c r="AB1653" s="117" t="str">
        <f t="shared" si="19"/>
        <v/>
      </c>
      <c r="AC1653" s="152"/>
      <c r="AD1653" s="153"/>
      <c r="AE1653" s="156"/>
    </row>
    <row r="1654" ht="18.0" customHeight="1">
      <c r="A1654" s="127" t="str">
        <f t="shared" si="15"/>
        <v/>
      </c>
      <c r="B1654" s="128"/>
      <c r="C1654" s="129"/>
      <c r="D1654" s="129"/>
      <c r="E1654" s="325"/>
      <c r="F1654" s="131"/>
      <c r="G1654" s="319"/>
      <c r="H1654" s="319"/>
      <c r="I1654" s="319"/>
      <c r="J1654" s="132"/>
      <c r="K1654" s="319"/>
      <c r="L1654" s="135"/>
      <c r="M1654" s="321"/>
      <c r="N1654" s="322"/>
      <c r="O1654" s="150"/>
      <c r="P1654" s="135"/>
      <c r="Q1654" s="135"/>
      <c r="R1654" s="321"/>
      <c r="S1654" s="322"/>
      <c r="T1654" s="319"/>
      <c r="U1654" s="322"/>
      <c r="V1654" s="322"/>
      <c r="W1654" s="322"/>
      <c r="X1654" s="322"/>
      <c r="Y1654" s="319"/>
      <c r="Z1654" s="136" t="str">
        <f t="shared" si="16"/>
        <v/>
      </c>
      <c r="AA1654" s="137" t="str">
        <f t="shared" si="17"/>
        <v/>
      </c>
      <c r="AB1654" s="138" t="str">
        <f t="shared" si="19"/>
        <v/>
      </c>
      <c r="AC1654" s="322"/>
      <c r="AD1654" s="319"/>
      <c r="AE1654" s="320"/>
    </row>
    <row r="1655" ht="18.0" customHeight="1">
      <c r="A1655" s="118" t="str">
        <f t="shared" si="15"/>
        <v/>
      </c>
      <c r="B1655" s="109"/>
      <c r="C1655" s="119"/>
      <c r="D1655" s="119"/>
      <c r="E1655" s="330"/>
      <c r="F1655" s="121"/>
      <c r="G1655" s="153"/>
      <c r="H1655" s="153"/>
      <c r="I1655" s="153"/>
      <c r="J1655" s="112"/>
      <c r="K1655" s="153"/>
      <c r="L1655" s="114"/>
      <c r="M1655" s="151"/>
      <c r="N1655" s="152"/>
      <c r="O1655" s="150"/>
      <c r="P1655" s="114"/>
      <c r="Q1655" s="114"/>
      <c r="R1655" s="151"/>
      <c r="S1655" s="152"/>
      <c r="T1655" s="153"/>
      <c r="U1655" s="152"/>
      <c r="V1655" s="152"/>
      <c r="W1655" s="152"/>
      <c r="X1655" s="152"/>
      <c r="Y1655" s="153"/>
      <c r="Z1655" s="125" t="str">
        <f t="shared" si="16"/>
        <v/>
      </c>
      <c r="AA1655" s="126" t="str">
        <f t="shared" si="17"/>
        <v/>
      </c>
      <c r="AB1655" s="117" t="str">
        <f t="shared" si="19"/>
        <v/>
      </c>
      <c r="AC1655" s="152"/>
      <c r="AD1655" s="153"/>
      <c r="AE1655" s="156"/>
    </row>
    <row r="1656" ht="18.0" customHeight="1">
      <c r="A1656" s="127" t="str">
        <f t="shared" si="15"/>
        <v/>
      </c>
      <c r="B1656" s="128"/>
      <c r="C1656" s="129"/>
      <c r="D1656" s="129"/>
      <c r="E1656" s="325"/>
      <c r="F1656" s="131"/>
      <c r="G1656" s="319"/>
      <c r="H1656" s="319"/>
      <c r="I1656" s="319"/>
      <c r="J1656" s="132"/>
      <c r="K1656" s="319"/>
      <c r="L1656" s="135"/>
      <c r="M1656" s="321"/>
      <c r="N1656" s="322"/>
      <c r="O1656" s="150"/>
      <c r="P1656" s="135"/>
      <c r="Q1656" s="135"/>
      <c r="R1656" s="321"/>
      <c r="S1656" s="322"/>
      <c r="T1656" s="319"/>
      <c r="U1656" s="322"/>
      <c r="V1656" s="322"/>
      <c r="W1656" s="322"/>
      <c r="X1656" s="322"/>
      <c r="Y1656" s="319"/>
      <c r="Z1656" s="136" t="str">
        <f t="shared" si="16"/>
        <v/>
      </c>
      <c r="AA1656" s="137" t="str">
        <f t="shared" si="17"/>
        <v/>
      </c>
      <c r="AB1656" s="138" t="str">
        <f t="shared" si="19"/>
        <v/>
      </c>
      <c r="AC1656" s="322"/>
      <c r="AD1656" s="319"/>
      <c r="AE1656" s="320"/>
    </row>
    <row r="1657" ht="18.0" customHeight="1">
      <c r="A1657" s="118" t="str">
        <f t="shared" si="15"/>
        <v/>
      </c>
      <c r="B1657" s="109"/>
      <c r="C1657" s="119"/>
      <c r="D1657" s="119"/>
      <c r="E1657" s="330"/>
      <c r="F1657" s="121"/>
      <c r="G1657" s="153"/>
      <c r="H1657" s="153"/>
      <c r="I1657" s="153"/>
      <c r="J1657" s="112"/>
      <c r="K1657" s="153"/>
      <c r="L1657" s="114"/>
      <c r="M1657" s="151"/>
      <c r="N1657" s="152"/>
      <c r="O1657" s="150"/>
      <c r="P1657" s="114"/>
      <c r="Q1657" s="114"/>
      <c r="R1657" s="151"/>
      <c r="S1657" s="152"/>
      <c r="T1657" s="153"/>
      <c r="U1657" s="152"/>
      <c r="V1657" s="152"/>
      <c r="W1657" s="152"/>
      <c r="X1657" s="152"/>
      <c r="Y1657" s="153"/>
      <c r="Z1657" s="125" t="str">
        <f t="shared" si="16"/>
        <v/>
      </c>
      <c r="AA1657" s="126" t="str">
        <f t="shared" si="17"/>
        <v/>
      </c>
      <c r="AB1657" s="117" t="str">
        <f t="shared" si="19"/>
        <v/>
      </c>
      <c r="AC1657" s="152"/>
      <c r="AD1657" s="153"/>
      <c r="AE1657" s="156"/>
    </row>
    <row r="1658" ht="18.0" customHeight="1">
      <c r="A1658" s="127" t="str">
        <f t="shared" si="15"/>
        <v/>
      </c>
      <c r="B1658" s="128"/>
      <c r="C1658" s="129"/>
      <c r="D1658" s="129"/>
      <c r="E1658" s="325"/>
      <c r="F1658" s="131"/>
      <c r="G1658" s="319"/>
      <c r="H1658" s="319"/>
      <c r="I1658" s="319"/>
      <c r="J1658" s="132"/>
      <c r="K1658" s="319"/>
      <c r="L1658" s="135"/>
      <c r="M1658" s="321"/>
      <c r="N1658" s="322"/>
      <c r="O1658" s="150"/>
      <c r="P1658" s="135"/>
      <c r="Q1658" s="135"/>
      <c r="R1658" s="321"/>
      <c r="S1658" s="322"/>
      <c r="T1658" s="319"/>
      <c r="U1658" s="322"/>
      <c r="V1658" s="322"/>
      <c r="W1658" s="322"/>
      <c r="X1658" s="322"/>
      <c r="Y1658" s="319"/>
      <c r="Z1658" s="136" t="str">
        <f t="shared" si="16"/>
        <v/>
      </c>
      <c r="AA1658" s="137" t="str">
        <f t="shared" si="17"/>
        <v/>
      </c>
      <c r="AB1658" s="138" t="str">
        <f t="shared" si="19"/>
        <v/>
      </c>
      <c r="AC1658" s="322"/>
      <c r="AD1658" s="319"/>
      <c r="AE1658" s="320"/>
    </row>
    <row r="1659" ht="18.0" customHeight="1">
      <c r="A1659" s="118" t="str">
        <f t="shared" si="15"/>
        <v/>
      </c>
      <c r="B1659" s="109"/>
      <c r="C1659" s="119"/>
      <c r="D1659" s="119"/>
      <c r="E1659" s="330"/>
      <c r="F1659" s="121"/>
      <c r="G1659" s="153"/>
      <c r="H1659" s="153"/>
      <c r="I1659" s="153"/>
      <c r="J1659" s="112"/>
      <c r="K1659" s="153"/>
      <c r="L1659" s="114"/>
      <c r="M1659" s="151"/>
      <c r="N1659" s="152"/>
      <c r="O1659" s="150"/>
      <c r="P1659" s="114"/>
      <c r="Q1659" s="114"/>
      <c r="R1659" s="151"/>
      <c r="S1659" s="152"/>
      <c r="T1659" s="153"/>
      <c r="U1659" s="152"/>
      <c r="V1659" s="152"/>
      <c r="W1659" s="152"/>
      <c r="X1659" s="152"/>
      <c r="Y1659" s="153"/>
      <c r="Z1659" s="125" t="str">
        <f t="shared" si="16"/>
        <v/>
      </c>
      <c r="AA1659" s="126" t="str">
        <f t="shared" si="17"/>
        <v/>
      </c>
      <c r="AB1659" s="117" t="str">
        <f t="shared" si="19"/>
        <v/>
      </c>
      <c r="AC1659" s="152"/>
      <c r="AD1659" s="153"/>
      <c r="AE1659" s="156"/>
    </row>
    <row r="1660" ht="18.0" customHeight="1">
      <c r="A1660" s="127" t="str">
        <f t="shared" si="15"/>
        <v/>
      </c>
      <c r="B1660" s="128"/>
      <c r="C1660" s="129"/>
      <c r="D1660" s="129"/>
      <c r="E1660" s="325"/>
      <c r="F1660" s="131"/>
      <c r="G1660" s="319"/>
      <c r="H1660" s="319"/>
      <c r="I1660" s="319"/>
      <c r="J1660" s="132"/>
      <c r="K1660" s="319"/>
      <c r="L1660" s="135"/>
      <c r="M1660" s="321"/>
      <c r="N1660" s="322"/>
      <c r="O1660" s="150"/>
      <c r="P1660" s="135"/>
      <c r="Q1660" s="135"/>
      <c r="R1660" s="321"/>
      <c r="S1660" s="322"/>
      <c r="T1660" s="319"/>
      <c r="U1660" s="322"/>
      <c r="V1660" s="322"/>
      <c r="W1660" s="322"/>
      <c r="X1660" s="322"/>
      <c r="Y1660" s="319"/>
      <c r="Z1660" s="136" t="str">
        <f t="shared" si="16"/>
        <v/>
      </c>
      <c r="AA1660" s="137" t="str">
        <f t="shared" si="17"/>
        <v/>
      </c>
      <c r="AB1660" s="138" t="str">
        <f t="shared" si="19"/>
        <v/>
      </c>
      <c r="AC1660" s="322"/>
      <c r="AD1660" s="319"/>
      <c r="AE1660" s="320"/>
    </row>
    <row r="1661" ht="18.0" customHeight="1">
      <c r="A1661" s="118" t="str">
        <f t="shared" si="15"/>
        <v/>
      </c>
      <c r="B1661" s="109"/>
      <c r="C1661" s="119"/>
      <c r="D1661" s="119"/>
      <c r="E1661" s="330"/>
      <c r="F1661" s="121"/>
      <c r="G1661" s="153"/>
      <c r="H1661" s="153"/>
      <c r="I1661" s="153"/>
      <c r="J1661" s="112"/>
      <c r="K1661" s="153"/>
      <c r="L1661" s="114"/>
      <c r="M1661" s="151"/>
      <c r="N1661" s="152"/>
      <c r="O1661" s="150"/>
      <c r="P1661" s="114"/>
      <c r="Q1661" s="114"/>
      <c r="R1661" s="151"/>
      <c r="S1661" s="152"/>
      <c r="T1661" s="153"/>
      <c r="U1661" s="152"/>
      <c r="V1661" s="152"/>
      <c r="W1661" s="152"/>
      <c r="X1661" s="152"/>
      <c r="Y1661" s="153"/>
      <c r="Z1661" s="125" t="str">
        <f t="shared" si="16"/>
        <v/>
      </c>
      <c r="AA1661" s="126" t="str">
        <f t="shared" si="17"/>
        <v/>
      </c>
      <c r="AB1661" s="117" t="str">
        <f t="shared" si="19"/>
        <v/>
      </c>
      <c r="AC1661" s="152"/>
      <c r="AD1661" s="153"/>
      <c r="AE1661" s="156"/>
    </row>
    <row r="1662" ht="18.0" customHeight="1">
      <c r="A1662" s="127" t="str">
        <f t="shared" si="15"/>
        <v/>
      </c>
      <c r="B1662" s="128"/>
      <c r="C1662" s="129"/>
      <c r="D1662" s="129"/>
      <c r="E1662" s="325"/>
      <c r="F1662" s="131"/>
      <c r="G1662" s="319"/>
      <c r="H1662" s="319"/>
      <c r="I1662" s="319"/>
      <c r="J1662" s="132"/>
      <c r="K1662" s="319"/>
      <c r="L1662" s="135"/>
      <c r="M1662" s="321"/>
      <c r="N1662" s="322"/>
      <c r="O1662" s="150"/>
      <c r="P1662" s="135"/>
      <c r="Q1662" s="135"/>
      <c r="R1662" s="321"/>
      <c r="S1662" s="322"/>
      <c r="T1662" s="319"/>
      <c r="U1662" s="322"/>
      <c r="V1662" s="322"/>
      <c r="W1662" s="322"/>
      <c r="X1662" s="322"/>
      <c r="Y1662" s="319"/>
      <c r="Z1662" s="136" t="str">
        <f t="shared" si="16"/>
        <v/>
      </c>
      <c r="AA1662" s="137" t="str">
        <f t="shared" si="17"/>
        <v/>
      </c>
      <c r="AB1662" s="138" t="str">
        <f t="shared" si="19"/>
        <v/>
      </c>
      <c r="AC1662" s="322"/>
      <c r="AD1662" s="319"/>
      <c r="AE1662" s="320"/>
    </row>
    <row r="1663" ht="18.0" customHeight="1">
      <c r="A1663" s="118" t="str">
        <f t="shared" si="15"/>
        <v/>
      </c>
      <c r="B1663" s="109"/>
      <c r="C1663" s="119"/>
      <c r="D1663" s="119"/>
      <c r="E1663" s="330"/>
      <c r="F1663" s="121"/>
      <c r="G1663" s="153"/>
      <c r="H1663" s="153"/>
      <c r="I1663" s="153"/>
      <c r="J1663" s="112"/>
      <c r="K1663" s="153"/>
      <c r="L1663" s="114"/>
      <c r="M1663" s="151"/>
      <c r="N1663" s="152"/>
      <c r="O1663" s="150"/>
      <c r="P1663" s="114"/>
      <c r="Q1663" s="114"/>
      <c r="R1663" s="151"/>
      <c r="S1663" s="152"/>
      <c r="T1663" s="153"/>
      <c r="U1663" s="152"/>
      <c r="V1663" s="152"/>
      <c r="W1663" s="152"/>
      <c r="X1663" s="152"/>
      <c r="Y1663" s="153"/>
      <c r="Z1663" s="125" t="str">
        <f t="shared" si="16"/>
        <v/>
      </c>
      <c r="AA1663" s="126" t="str">
        <f t="shared" si="17"/>
        <v/>
      </c>
      <c r="AB1663" s="117" t="str">
        <f t="shared" si="19"/>
        <v/>
      </c>
      <c r="AC1663" s="152"/>
      <c r="AD1663" s="153"/>
      <c r="AE1663" s="156"/>
    </row>
    <row r="1664" ht="18.0" customHeight="1">
      <c r="A1664" s="127" t="str">
        <f t="shared" si="15"/>
        <v/>
      </c>
      <c r="B1664" s="128"/>
      <c r="C1664" s="129"/>
      <c r="D1664" s="129"/>
      <c r="E1664" s="325"/>
      <c r="F1664" s="131"/>
      <c r="G1664" s="319"/>
      <c r="H1664" s="319"/>
      <c r="I1664" s="319"/>
      <c r="J1664" s="132"/>
      <c r="K1664" s="319"/>
      <c r="L1664" s="135"/>
      <c r="M1664" s="321"/>
      <c r="N1664" s="322"/>
      <c r="O1664" s="150"/>
      <c r="P1664" s="135"/>
      <c r="Q1664" s="135"/>
      <c r="R1664" s="321"/>
      <c r="S1664" s="322"/>
      <c r="T1664" s="319"/>
      <c r="U1664" s="322"/>
      <c r="V1664" s="322"/>
      <c r="W1664" s="322"/>
      <c r="X1664" s="322"/>
      <c r="Y1664" s="319"/>
      <c r="Z1664" s="136" t="str">
        <f t="shared" si="16"/>
        <v/>
      </c>
      <c r="AA1664" s="137" t="str">
        <f t="shared" si="17"/>
        <v/>
      </c>
      <c r="AB1664" s="138" t="str">
        <f t="shared" si="19"/>
        <v/>
      </c>
      <c r="AC1664" s="322"/>
      <c r="AD1664" s="319"/>
      <c r="AE1664" s="320"/>
    </row>
    <row r="1665" ht="18.0" customHeight="1">
      <c r="A1665" s="118" t="str">
        <f t="shared" si="15"/>
        <v/>
      </c>
      <c r="B1665" s="109"/>
      <c r="C1665" s="119"/>
      <c r="D1665" s="119"/>
      <c r="E1665" s="330"/>
      <c r="F1665" s="121"/>
      <c r="G1665" s="153"/>
      <c r="H1665" s="153"/>
      <c r="I1665" s="153"/>
      <c r="J1665" s="112"/>
      <c r="K1665" s="153"/>
      <c r="L1665" s="114"/>
      <c r="M1665" s="151"/>
      <c r="N1665" s="152"/>
      <c r="O1665" s="150"/>
      <c r="P1665" s="114"/>
      <c r="Q1665" s="114"/>
      <c r="R1665" s="151"/>
      <c r="S1665" s="152"/>
      <c r="T1665" s="153"/>
      <c r="U1665" s="152"/>
      <c r="V1665" s="152"/>
      <c r="W1665" s="152"/>
      <c r="X1665" s="152"/>
      <c r="Y1665" s="153"/>
      <c r="Z1665" s="125" t="str">
        <f t="shared" si="16"/>
        <v/>
      </c>
      <c r="AA1665" s="126" t="str">
        <f t="shared" si="17"/>
        <v/>
      </c>
      <c r="AB1665" s="117" t="str">
        <f t="shared" si="19"/>
        <v/>
      </c>
      <c r="AC1665" s="152"/>
      <c r="AD1665" s="153"/>
      <c r="AE1665" s="156"/>
    </row>
    <row r="1666" ht="18.0" customHeight="1">
      <c r="A1666" s="127" t="str">
        <f t="shared" si="15"/>
        <v/>
      </c>
      <c r="B1666" s="128"/>
      <c r="C1666" s="129"/>
      <c r="D1666" s="129"/>
      <c r="E1666" s="325"/>
      <c r="F1666" s="131"/>
      <c r="G1666" s="319"/>
      <c r="H1666" s="319"/>
      <c r="I1666" s="319"/>
      <c r="J1666" s="132"/>
      <c r="K1666" s="319"/>
      <c r="L1666" s="135"/>
      <c r="M1666" s="321"/>
      <c r="N1666" s="322"/>
      <c r="O1666" s="150"/>
      <c r="P1666" s="135"/>
      <c r="Q1666" s="135"/>
      <c r="R1666" s="321"/>
      <c r="S1666" s="322"/>
      <c r="T1666" s="319"/>
      <c r="U1666" s="322"/>
      <c r="V1666" s="322"/>
      <c r="W1666" s="322"/>
      <c r="X1666" s="322"/>
      <c r="Y1666" s="319"/>
      <c r="Z1666" s="136" t="str">
        <f t="shared" si="16"/>
        <v/>
      </c>
      <c r="AA1666" s="137" t="str">
        <f t="shared" si="17"/>
        <v/>
      </c>
      <c r="AB1666" s="138" t="str">
        <f t="shared" si="19"/>
        <v/>
      </c>
      <c r="AC1666" s="322"/>
      <c r="AD1666" s="319"/>
      <c r="AE1666" s="320"/>
    </row>
    <row r="1667" ht="18.0" customHeight="1">
      <c r="A1667" s="118" t="str">
        <f t="shared" si="15"/>
        <v/>
      </c>
      <c r="B1667" s="109"/>
      <c r="C1667" s="119"/>
      <c r="D1667" s="119"/>
      <c r="E1667" s="330"/>
      <c r="F1667" s="121"/>
      <c r="G1667" s="153"/>
      <c r="H1667" s="153"/>
      <c r="I1667" s="153"/>
      <c r="J1667" s="112"/>
      <c r="K1667" s="153"/>
      <c r="L1667" s="114"/>
      <c r="M1667" s="151"/>
      <c r="N1667" s="152"/>
      <c r="O1667" s="150"/>
      <c r="P1667" s="114"/>
      <c r="Q1667" s="114"/>
      <c r="R1667" s="151"/>
      <c r="S1667" s="152"/>
      <c r="T1667" s="153"/>
      <c r="U1667" s="152"/>
      <c r="V1667" s="152"/>
      <c r="W1667" s="152"/>
      <c r="X1667" s="152"/>
      <c r="Y1667" s="153"/>
      <c r="Z1667" s="125" t="str">
        <f t="shared" si="16"/>
        <v/>
      </c>
      <c r="AA1667" s="126" t="str">
        <f t="shared" si="17"/>
        <v/>
      </c>
      <c r="AB1667" s="117" t="str">
        <f t="shared" si="19"/>
        <v/>
      </c>
      <c r="AC1667" s="152"/>
      <c r="AD1667" s="153"/>
      <c r="AE1667" s="156"/>
    </row>
    <row r="1668" ht="18.0" customHeight="1">
      <c r="A1668" s="127" t="str">
        <f t="shared" si="15"/>
        <v/>
      </c>
      <c r="B1668" s="128"/>
      <c r="C1668" s="129"/>
      <c r="D1668" s="129"/>
      <c r="E1668" s="325"/>
      <c r="F1668" s="131"/>
      <c r="G1668" s="319"/>
      <c r="H1668" s="319"/>
      <c r="I1668" s="319"/>
      <c r="J1668" s="132"/>
      <c r="K1668" s="319"/>
      <c r="L1668" s="135"/>
      <c r="M1668" s="321"/>
      <c r="N1668" s="322"/>
      <c r="O1668" s="150"/>
      <c r="P1668" s="135"/>
      <c r="Q1668" s="135"/>
      <c r="R1668" s="321"/>
      <c r="S1668" s="322"/>
      <c r="T1668" s="319"/>
      <c r="U1668" s="322"/>
      <c r="V1668" s="322"/>
      <c r="W1668" s="322"/>
      <c r="X1668" s="322"/>
      <c r="Y1668" s="319"/>
      <c r="Z1668" s="136" t="str">
        <f t="shared" si="16"/>
        <v/>
      </c>
      <c r="AA1668" s="137" t="str">
        <f t="shared" si="17"/>
        <v/>
      </c>
      <c r="AB1668" s="138" t="str">
        <f t="shared" si="19"/>
        <v/>
      </c>
      <c r="AC1668" s="322"/>
      <c r="AD1668" s="319"/>
      <c r="AE1668" s="320"/>
    </row>
    <row r="1669" ht="18.0" customHeight="1">
      <c r="A1669" s="118" t="str">
        <f t="shared" si="15"/>
        <v/>
      </c>
      <c r="B1669" s="109"/>
      <c r="C1669" s="119"/>
      <c r="D1669" s="119"/>
      <c r="E1669" s="330"/>
      <c r="F1669" s="121"/>
      <c r="G1669" s="153"/>
      <c r="H1669" s="153"/>
      <c r="I1669" s="153"/>
      <c r="J1669" s="112"/>
      <c r="K1669" s="153"/>
      <c r="L1669" s="114"/>
      <c r="M1669" s="151"/>
      <c r="N1669" s="152"/>
      <c r="O1669" s="150"/>
      <c r="P1669" s="114"/>
      <c r="Q1669" s="114"/>
      <c r="R1669" s="151"/>
      <c r="S1669" s="152"/>
      <c r="T1669" s="153"/>
      <c r="U1669" s="152"/>
      <c r="V1669" s="152"/>
      <c r="W1669" s="152"/>
      <c r="X1669" s="152"/>
      <c r="Y1669" s="153"/>
      <c r="Z1669" s="125" t="str">
        <f t="shared" si="16"/>
        <v/>
      </c>
      <c r="AA1669" s="126" t="str">
        <f t="shared" si="17"/>
        <v/>
      </c>
      <c r="AB1669" s="117" t="str">
        <f t="shared" si="19"/>
        <v/>
      </c>
      <c r="AC1669" s="152"/>
      <c r="AD1669" s="153"/>
      <c r="AE1669" s="156"/>
    </row>
    <row r="1670" ht="18.0" customHeight="1">
      <c r="A1670" s="127" t="str">
        <f t="shared" si="15"/>
        <v/>
      </c>
      <c r="B1670" s="128"/>
      <c r="C1670" s="129"/>
      <c r="D1670" s="129"/>
      <c r="E1670" s="325"/>
      <c r="F1670" s="131"/>
      <c r="G1670" s="319"/>
      <c r="H1670" s="319"/>
      <c r="I1670" s="319"/>
      <c r="J1670" s="132"/>
      <c r="K1670" s="319"/>
      <c r="L1670" s="135"/>
      <c r="M1670" s="321"/>
      <c r="N1670" s="322"/>
      <c r="O1670" s="150"/>
      <c r="P1670" s="135"/>
      <c r="Q1670" s="135"/>
      <c r="R1670" s="321"/>
      <c r="S1670" s="322"/>
      <c r="T1670" s="319"/>
      <c r="U1670" s="322"/>
      <c r="V1670" s="322"/>
      <c r="W1670" s="322"/>
      <c r="X1670" s="322"/>
      <c r="Y1670" s="319"/>
      <c r="Z1670" s="136" t="str">
        <f t="shared" si="16"/>
        <v/>
      </c>
      <c r="AA1670" s="137" t="str">
        <f t="shared" si="17"/>
        <v/>
      </c>
      <c r="AB1670" s="138" t="str">
        <f t="shared" si="19"/>
        <v/>
      </c>
      <c r="AC1670" s="322"/>
      <c r="AD1670" s="319"/>
      <c r="AE1670" s="320"/>
    </row>
    <row r="1671" ht="18.0" customHeight="1">
      <c r="A1671" s="118" t="str">
        <f t="shared" si="15"/>
        <v/>
      </c>
      <c r="B1671" s="109"/>
      <c r="C1671" s="119"/>
      <c r="D1671" s="119"/>
      <c r="E1671" s="330"/>
      <c r="F1671" s="121"/>
      <c r="G1671" s="153"/>
      <c r="H1671" s="153"/>
      <c r="I1671" s="153"/>
      <c r="J1671" s="112"/>
      <c r="K1671" s="153"/>
      <c r="L1671" s="114"/>
      <c r="M1671" s="151"/>
      <c r="N1671" s="152"/>
      <c r="O1671" s="150"/>
      <c r="P1671" s="114"/>
      <c r="Q1671" s="114"/>
      <c r="R1671" s="151"/>
      <c r="S1671" s="152"/>
      <c r="T1671" s="153"/>
      <c r="U1671" s="152"/>
      <c r="V1671" s="152"/>
      <c r="W1671" s="152"/>
      <c r="X1671" s="152"/>
      <c r="Y1671" s="153"/>
      <c r="Z1671" s="125" t="str">
        <f t="shared" si="16"/>
        <v/>
      </c>
      <c r="AA1671" s="126" t="str">
        <f t="shared" si="17"/>
        <v/>
      </c>
      <c r="AB1671" s="117" t="str">
        <f t="shared" si="19"/>
        <v/>
      </c>
      <c r="AC1671" s="152"/>
      <c r="AD1671" s="153"/>
      <c r="AE1671" s="156"/>
    </row>
    <row r="1672" ht="18.0" customHeight="1">
      <c r="A1672" s="127" t="str">
        <f t="shared" si="15"/>
        <v/>
      </c>
      <c r="B1672" s="128"/>
      <c r="C1672" s="129"/>
      <c r="D1672" s="129"/>
      <c r="E1672" s="325"/>
      <c r="F1672" s="131"/>
      <c r="G1672" s="319"/>
      <c r="H1672" s="319"/>
      <c r="I1672" s="319"/>
      <c r="J1672" s="132"/>
      <c r="K1672" s="319"/>
      <c r="L1672" s="135"/>
      <c r="M1672" s="321"/>
      <c r="N1672" s="322"/>
      <c r="O1672" s="150"/>
      <c r="P1672" s="135"/>
      <c r="Q1672" s="135"/>
      <c r="R1672" s="321"/>
      <c r="S1672" s="322"/>
      <c r="T1672" s="319"/>
      <c r="U1672" s="322"/>
      <c r="V1672" s="322"/>
      <c r="W1672" s="322"/>
      <c r="X1672" s="322"/>
      <c r="Y1672" s="319"/>
      <c r="Z1672" s="136" t="str">
        <f t="shared" si="16"/>
        <v/>
      </c>
      <c r="AA1672" s="137" t="str">
        <f t="shared" si="17"/>
        <v/>
      </c>
      <c r="AB1672" s="138" t="str">
        <f t="shared" si="19"/>
        <v/>
      </c>
      <c r="AC1672" s="322"/>
      <c r="AD1672" s="319"/>
      <c r="AE1672" s="320"/>
    </row>
    <row r="1673" ht="18.0" customHeight="1">
      <c r="A1673" s="118" t="str">
        <f t="shared" si="15"/>
        <v/>
      </c>
      <c r="B1673" s="109"/>
      <c r="C1673" s="119"/>
      <c r="D1673" s="119"/>
      <c r="E1673" s="330"/>
      <c r="F1673" s="121"/>
      <c r="G1673" s="153"/>
      <c r="H1673" s="153"/>
      <c r="I1673" s="153"/>
      <c r="J1673" s="112"/>
      <c r="K1673" s="153"/>
      <c r="L1673" s="114"/>
      <c r="M1673" s="151"/>
      <c r="N1673" s="152"/>
      <c r="O1673" s="150"/>
      <c r="P1673" s="114"/>
      <c r="Q1673" s="114"/>
      <c r="R1673" s="151"/>
      <c r="S1673" s="152"/>
      <c r="T1673" s="153"/>
      <c r="U1673" s="152"/>
      <c r="V1673" s="152"/>
      <c r="W1673" s="152"/>
      <c r="X1673" s="152"/>
      <c r="Y1673" s="153"/>
      <c r="Z1673" s="125" t="str">
        <f t="shared" si="16"/>
        <v/>
      </c>
      <c r="AA1673" s="126" t="str">
        <f t="shared" si="17"/>
        <v/>
      </c>
      <c r="AB1673" s="117" t="str">
        <f t="shared" si="19"/>
        <v/>
      </c>
      <c r="AC1673" s="152"/>
      <c r="AD1673" s="153"/>
      <c r="AE1673" s="156"/>
    </row>
    <row r="1674" ht="18.0" customHeight="1">
      <c r="A1674" s="127" t="str">
        <f t="shared" si="15"/>
        <v/>
      </c>
      <c r="B1674" s="128"/>
      <c r="C1674" s="129"/>
      <c r="D1674" s="129"/>
      <c r="E1674" s="325"/>
      <c r="F1674" s="131"/>
      <c r="G1674" s="319"/>
      <c r="H1674" s="319"/>
      <c r="I1674" s="319"/>
      <c r="J1674" s="132"/>
      <c r="K1674" s="319"/>
      <c r="L1674" s="135"/>
      <c r="M1674" s="321"/>
      <c r="N1674" s="322"/>
      <c r="O1674" s="150"/>
      <c r="P1674" s="135"/>
      <c r="Q1674" s="135"/>
      <c r="R1674" s="321"/>
      <c r="S1674" s="322"/>
      <c r="T1674" s="319"/>
      <c r="U1674" s="322"/>
      <c r="V1674" s="322"/>
      <c r="W1674" s="322"/>
      <c r="X1674" s="322"/>
      <c r="Y1674" s="319"/>
      <c r="Z1674" s="136" t="str">
        <f t="shared" si="16"/>
        <v/>
      </c>
      <c r="AA1674" s="137" t="str">
        <f t="shared" si="17"/>
        <v/>
      </c>
      <c r="AB1674" s="138" t="str">
        <f t="shared" si="19"/>
        <v/>
      </c>
      <c r="AC1674" s="322"/>
      <c r="AD1674" s="319"/>
      <c r="AE1674" s="320"/>
    </row>
    <row r="1675" ht="18.0" customHeight="1">
      <c r="A1675" s="118" t="str">
        <f t="shared" si="15"/>
        <v/>
      </c>
      <c r="B1675" s="109"/>
      <c r="C1675" s="119"/>
      <c r="D1675" s="119"/>
      <c r="E1675" s="330"/>
      <c r="F1675" s="121"/>
      <c r="G1675" s="153"/>
      <c r="H1675" s="153"/>
      <c r="I1675" s="153"/>
      <c r="J1675" s="112"/>
      <c r="K1675" s="153"/>
      <c r="L1675" s="114"/>
      <c r="M1675" s="151"/>
      <c r="N1675" s="152"/>
      <c r="O1675" s="150"/>
      <c r="P1675" s="114"/>
      <c r="Q1675" s="114"/>
      <c r="R1675" s="151"/>
      <c r="S1675" s="152"/>
      <c r="T1675" s="153"/>
      <c r="U1675" s="152"/>
      <c r="V1675" s="152"/>
      <c r="W1675" s="152"/>
      <c r="X1675" s="152"/>
      <c r="Y1675" s="153"/>
      <c r="Z1675" s="125" t="str">
        <f t="shared" si="16"/>
        <v/>
      </c>
      <c r="AA1675" s="126" t="str">
        <f t="shared" si="17"/>
        <v/>
      </c>
      <c r="AB1675" s="117" t="str">
        <f t="shared" si="19"/>
        <v/>
      </c>
      <c r="AC1675" s="152"/>
      <c r="AD1675" s="153"/>
      <c r="AE1675" s="156"/>
    </row>
    <row r="1676" ht="18.0" customHeight="1">
      <c r="A1676" s="127" t="str">
        <f t="shared" si="15"/>
        <v/>
      </c>
      <c r="B1676" s="128"/>
      <c r="C1676" s="129"/>
      <c r="D1676" s="129"/>
      <c r="E1676" s="325"/>
      <c r="F1676" s="131"/>
      <c r="G1676" s="319"/>
      <c r="H1676" s="319"/>
      <c r="I1676" s="319"/>
      <c r="J1676" s="132"/>
      <c r="K1676" s="319"/>
      <c r="L1676" s="135"/>
      <c r="M1676" s="321"/>
      <c r="N1676" s="322"/>
      <c r="O1676" s="150"/>
      <c r="P1676" s="135"/>
      <c r="Q1676" s="135"/>
      <c r="R1676" s="321"/>
      <c r="S1676" s="322"/>
      <c r="T1676" s="319"/>
      <c r="U1676" s="322"/>
      <c r="V1676" s="322"/>
      <c r="W1676" s="322"/>
      <c r="X1676" s="322"/>
      <c r="Y1676" s="319"/>
      <c r="Z1676" s="136" t="str">
        <f t="shared" si="16"/>
        <v/>
      </c>
      <c r="AA1676" s="137" t="str">
        <f t="shared" si="17"/>
        <v/>
      </c>
      <c r="AB1676" s="138" t="str">
        <f t="shared" si="19"/>
        <v/>
      </c>
      <c r="AC1676" s="322"/>
      <c r="AD1676" s="319"/>
      <c r="AE1676" s="320"/>
    </row>
    <row r="1677" ht="18.0" customHeight="1">
      <c r="A1677" s="118" t="str">
        <f t="shared" si="15"/>
        <v/>
      </c>
      <c r="B1677" s="109"/>
      <c r="C1677" s="119"/>
      <c r="D1677" s="119"/>
      <c r="E1677" s="330"/>
      <c r="F1677" s="121"/>
      <c r="G1677" s="153"/>
      <c r="H1677" s="153"/>
      <c r="I1677" s="153"/>
      <c r="J1677" s="112"/>
      <c r="K1677" s="153"/>
      <c r="L1677" s="114"/>
      <c r="M1677" s="151"/>
      <c r="N1677" s="152"/>
      <c r="O1677" s="150"/>
      <c r="P1677" s="114"/>
      <c r="Q1677" s="114"/>
      <c r="R1677" s="151"/>
      <c r="S1677" s="152"/>
      <c r="T1677" s="153"/>
      <c r="U1677" s="152"/>
      <c r="V1677" s="152"/>
      <c r="W1677" s="152"/>
      <c r="X1677" s="152"/>
      <c r="Y1677" s="153"/>
      <c r="Z1677" s="125" t="str">
        <f t="shared" si="16"/>
        <v/>
      </c>
      <c r="AA1677" s="126" t="str">
        <f t="shared" si="17"/>
        <v/>
      </c>
      <c r="AB1677" s="117" t="str">
        <f t="shared" si="19"/>
        <v/>
      </c>
      <c r="AC1677" s="152"/>
      <c r="AD1677" s="153"/>
      <c r="AE1677" s="156"/>
    </row>
    <row r="1678" ht="18.0" customHeight="1">
      <c r="A1678" s="127" t="str">
        <f t="shared" si="15"/>
        <v/>
      </c>
      <c r="B1678" s="128"/>
      <c r="C1678" s="129"/>
      <c r="D1678" s="129"/>
      <c r="E1678" s="325"/>
      <c r="F1678" s="131"/>
      <c r="G1678" s="319"/>
      <c r="H1678" s="319"/>
      <c r="I1678" s="319"/>
      <c r="J1678" s="132"/>
      <c r="K1678" s="319"/>
      <c r="L1678" s="135"/>
      <c r="M1678" s="321"/>
      <c r="N1678" s="322"/>
      <c r="O1678" s="150"/>
      <c r="P1678" s="135"/>
      <c r="Q1678" s="135"/>
      <c r="R1678" s="321"/>
      <c r="S1678" s="322"/>
      <c r="T1678" s="319"/>
      <c r="U1678" s="322"/>
      <c r="V1678" s="322"/>
      <c r="W1678" s="322"/>
      <c r="X1678" s="322"/>
      <c r="Y1678" s="319"/>
      <c r="Z1678" s="136" t="str">
        <f t="shared" si="16"/>
        <v/>
      </c>
      <c r="AA1678" s="137" t="str">
        <f t="shared" si="17"/>
        <v/>
      </c>
      <c r="AB1678" s="138" t="str">
        <f t="shared" si="19"/>
        <v/>
      </c>
      <c r="AC1678" s="322"/>
      <c r="AD1678" s="319"/>
      <c r="AE1678" s="320"/>
    </row>
    <row r="1679" ht="18.0" customHeight="1">
      <c r="A1679" s="118" t="str">
        <f t="shared" si="15"/>
        <v/>
      </c>
      <c r="B1679" s="109"/>
      <c r="C1679" s="119"/>
      <c r="D1679" s="119"/>
      <c r="E1679" s="330"/>
      <c r="F1679" s="121"/>
      <c r="G1679" s="153"/>
      <c r="H1679" s="153"/>
      <c r="I1679" s="153"/>
      <c r="J1679" s="112"/>
      <c r="K1679" s="153"/>
      <c r="L1679" s="114"/>
      <c r="M1679" s="151"/>
      <c r="N1679" s="152"/>
      <c r="O1679" s="150"/>
      <c r="P1679" s="114"/>
      <c r="Q1679" s="114"/>
      <c r="R1679" s="151"/>
      <c r="S1679" s="152"/>
      <c r="T1679" s="153"/>
      <c r="U1679" s="152"/>
      <c r="V1679" s="152"/>
      <c r="W1679" s="152"/>
      <c r="X1679" s="152"/>
      <c r="Y1679" s="153"/>
      <c r="Z1679" s="125" t="str">
        <f t="shared" si="16"/>
        <v/>
      </c>
      <c r="AA1679" s="126" t="str">
        <f t="shared" si="17"/>
        <v/>
      </c>
      <c r="AB1679" s="117" t="str">
        <f t="shared" si="19"/>
        <v/>
      </c>
      <c r="AC1679" s="152"/>
      <c r="AD1679" s="153"/>
      <c r="AE1679" s="156"/>
    </row>
    <row r="1680" ht="18.0" customHeight="1">
      <c r="A1680" s="127" t="str">
        <f t="shared" si="15"/>
        <v/>
      </c>
      <c r="B1680" s="128"/>
      <c r="C1680" s="129"/>
      <c r="D1680" s="129"/>
      <c r="E1680" s="325"/>
      <c r="F1680" s="131"/>
      <c r="G1680" s="319"/>
      <c r="H1680" s="319"/>
      <c r="I1680" s="319"/>
      <c r="J1680" s="132"/>
      <c r="K1680" s="319"/>
      <c r="L1680" s="135"/>
      <c r="M1680" s="321"/>
      <c r="N1680" s="322"/>
      <c r="O1680" s="150"/>
      <c r="P1680" s="135"/>
      <c r="Q1680" s="135"/>
      <c r="R1680" s="321"/>
      <c r="S1680" s="322"/>
      <c r="T1680" s="319"/>
      <c r="U1680" s="322"/>
      <c r="V1680" s="322"/>
      <c r="W1680" s="322"/>
      <c r="X1680" s="322"/>
      <c r="Y1680" s="319"/>
      <c r="Z1680" s="136" t="str">
        <f t="shared" si="16"/>
        <v/>
      </c>
      <c r="AA1680" s="137" t="str">
        <f t="shared" si="17"/>
        <v/>
      </c>
      <c r="AB1680" s="138" t="str">
        <f t="shared" si="19"/>
        <v/>
      </c>
      <c r="AC1680" s="322"/>
      <c r="AD1680" s="319"/>
      <c r="AE1680" s="320"/>
    </row>
    <row r="1681" ht="18.0" customHeight="1">
      <c r="A1681" s="118" t="str">
        <f t="shared" si="15"/>
        <v/>
      </c>
      <c r="B1681" s="109"/>
      <c r="C1681" s="119"/>
      <c r="D1681" s="119"/>
      <c r="E1681" s="330"/>
      <c r="F1681" s="121"/>
      <c r="G1681" s="153"/>
      <c r="H1681" s="153"/>
      <c r="I1681" s="153"/>
      <c r="J1681" s="112"/>
      <c r="K1681" s="153"/>
      <c r="L1681" s="114"/>
      <c r="M1681" s="151"/>
      <c r="N1681" s="152"/>
      <c r="O1681" s="150"/>
      <c r="P1681" s="114"/>
      <c r="Q1681" s="114"/>
      <c r="R1681" s="151"/>
      <c r="S1681" s="152"/>
      <c r="T1681" s="153"/>
      <c r="U1681" s="152"/>
      <c r="V1681" s="152"/>
      <c r="W1681" s="152"/>
      <c r="X1681" s="152"/>
      <c r="Y1681" s="153"/>
      <c r="Z1681" s="125" t="str">
        <f t="shared" si="16"/>
        <v/>
      </c>
      <c r="AA1681" s="126" t="str">
        <f t="shared" si="17"/>
        <v/>
      </c>
      <c r="AB1681" s="117" t="str">
        <f t="shared" si="19"/>
        <v/>
      </c>
      <c r="AC1681" s="152"/>
      <c r="AD1681" s="153"/>
      <c r="AE1681" s="156"/>
    </row>
    <row r="1682" ht="18.0" customHeight="1">
      <c r="A1682" s="127" t="str">
        <f t="shared" si="15"/>
        <v/>
      </c>
      <c r="B1682" s="128"/>
      <c r="C1682" s="129"/>
      <c r="D1682" s="129"/>
      <c r="E1682" s="325"/>
      <c r="F1682" s="131"/>
      <c r="G1682" s="319"/>
      <c r="H1682" s="319"/>
      <c r="I1682" s="319"/>
      <c r="J1682" s="132"/>
      <c r="K1682" s="319"/>
      <c r="L1682" s="135"/>
      <c r="M1682" s="321"/>
      <c r="N1682" s="322"/>
      <c r="O1682" s="150"/>
      <c r="P1682" s="135"/>
      <c r="Q1682" s="135"/>
      <c r="R1682" s="321"/>
      <c r="S1682" s="322"/>
      <c r="T1682" s="319"/>
      <c r="U1682" s="322"/>
      <c r="V1682" s="322"/>
      <c r="W1682" s="322"/>
      <c r="X1682" s="322"/>
      <c r="Y1682" s="319"/>
      <c r="Z1682" s="136" t="str">
        <f t="shared" si="16"/>
        <v/>
      </c>
      <c r="AA1682" s="137" t="str">
        <f t="shared" si="17"/>
        <v/>
      </c>
      <c r="AB1682" s="138" t="str">
        <f t="shared" si="19"/>
        <v/>
      </c>
      <c r="AC1682" s="322"/>
      <c r="AD1682" s="319"/>
      <c r="AE1682" s="320"/>
    </row>
    <row r="1683" ht="18.0" customHeight="1">
      <c r="A1683" s="118" t="str">
        <f t="shared" si="15"/>
        <v/>
      </c>
      <c r="B1683" s="109"/>
      <c r="C1683" s="119"/>
      <c r="D1683" s="119"/>
      <c r="E1683" s="330"/>
      <c r="F1683" s="121"/>
      <c r="G1683" s="153"/>
      <c r="H1683" s="153"/>
      <c r="I1683" s="153"/>
      <c r="J1683" s="112"/>
      <c r="K1683" s="153"/>
      <c r="L1683" s="114"/>
      <c r="M1683" s="151"/>
      <c r="N1683" s="152"/>
      <c r="O1683" s="150"/>
      <c r="P1683" s="114"/>
      <c r="Q1683" s="114"/>
      <c r="R1683" s="151"/>
      <c r="S1683" s="152"/>
      <c r="T1683" s="153"/>
      <c r="U1683" s="152"/>
      <c r="V1683" s="152"/>
      <c r="W1683" s="152"/>
      <c r="X1683" s="152"/>
      <c r="Y1683" s="153"/>
      <c r="Z1683" s="125" t="str">
        <f t="shared" si="16"/>
        <v/>
      </c>
      <c r="AA1683" s="126" t="str">
        <f t="shared" si="17"/>
        <v/>
      </c>
      <c r="AB1683" s="117" t="str">
        <f t="shared" si="19"/>
        <v/>
      </c>
      <c r="AC1683" s="152"/>
      <c r="AD1683" s="153"/>
      <c r="AE1683" s="156"/>
    </row>
    <row r="1684" ht="18.0" customHeight="1">
      <c r="A1684" s="127" t="str">
        <f t="shared" si="15"/>
        <v/>
      </c>
      <c r="B1684" s="128"/>
      <c r="C1684" s="129"/>
      <c r="D1684" s="129"/>
      <c r="E1684" s="325"/>
      <c r="F1684" s="131"/>
      <c r="G1684" s="319"/>
      <c r="H1684" s="319"/>
      <c r="I1684" s="319"/>
      <c r="J1684" s="132"/>
      <c r="K1684" s="319"/>
      <c r="L1684" s="135"/>
      <c r="M1684" s="321"/>
      <c r="N1684" s="322"/>
      <c r="O1684" s="150"/>
      <c r="P1684" s="135"/>
      <c r="Q1684" s="135"/>
      <c r="R1684" s="321"/>
      <c r="S1684" s="322"/>
      <c r="T1684" s="319"/>
      <c r="U1684" s="322"/>
      <c r="V1684" s="322"/>
      <c r="W1684" s="322"/>
      <c r="X1684" s="322"/>
      <c r="Y1684" s="319"/>
      <c r="Z1684" s="136" t="str">
        <f t="shared" si="16"/>
        <v/>
      </c>
      <c r="AA1684" s="137" t="str">
        <f t="shared" si="17"/>
        <v/>
      </c>
      <c r="AB1684" s="138" t="str">
        <f t="shared" si="19"/>
        <v/>
      </c>
      <c r="AC1684" s="322"/>
      <c r="AD1684" s="319"/>
      <c r="AE1684" s="320"/>
    </row>
    <row r="1685" ht="18.0" customHeight="1">
      <c r="A1685" s="118" t="str">
        <f t="shared" si="15"/>
        <v/>
      </c>
      <c r="B1685" s="109"/>
      <c r="C1685" s="119"/>
      <c r="D1685" s="119"/>
      <c r="E1685" s="330"/>
      <c r="F1685" s="121"/>
      <c r="G1685" s="153"/>
      <c r="H1685" s="153"/>
      <c r="I1685" s="153"/>
      <c r="J1685" s="112"/>
      <c r="K1685" s="153"/>
      <c r="L1685" s="114"/>
      <c r="M1685" s="151"/>
      <c r="N1685" s="152"/>
      <c r="O1685" s="150"/>
      <c r="P1685" s="114"/>
      <c r="Q1685" s="114"/>
      <c r="R1685" s="151"/>
      <c r="S1685" s="152"/>
      <c r="T1685" s="153"/>
      <c r="U1685" s="152"/>
      <c r="V1685" s="152"/>
      <c r="W1685" s="152"/>
      <c r="X1685" s="152"/>
      <c r="Y1685" s="153"/>
      <c r="Z1685" s="125" t="str">
        <f t="shared" si="16"/>
        <v/>
      </c>
      <c r="AA1685" s="126" t="str">
        <f t="shared" si="17"/>
        <v/>
      </c>
      <c r="AB1685" s="117" t="str">
        <f t="shared" si="19"/>
        <v/>
      </c>
      <c r="AC1685" s="152"/>
      <c r="AD1685" s="153"/>
      <c r="AE1685" s="156"/>
    </row>
    <row r="1686" ht="18.0" customHeight="1">
      <c r="A1686" s="127" t="str">
        <f t="shared" si="15"/>
        <v/>
      </c>
      <c r="B1686" s="128"/>
      <c r="C1686" s="129"/>
      <c r="D1686" s="129"/>
      <c r="E1686" s="325"/>
      <c r="F1686" s="131"/>
      <c r="G1686" s="319"/>
      <c r="H1686" s="319"/>
      <c r="I1686" s="319"/>
      <c r="J1686" s="132"/>
      <c r="K1686" s="319"/>
      <c r="L1686" s="135"/>
      <c r="M1686" s="321"/>
      <c r="N1686" s="322"/>
      <c r="O1686" s="150"/>
      <c r="P1686" s="135"/>
      <c r="Q1686" s="135"/>
      <c r="R1686" s="321"/>
      <c r="S1686" s="322"/>
      <c r="T1686" s="319"/>
      <c r="U1686" s="322"/>
      <c r="V1686" s="322"/>
      <c r="W1686" s="322"/>
      <c r="X1686" s="322"/>
      <c r="Y1686" s="319"/>
      <c r="Z1686" s="136" t="str">
        <f t="shared" si="16"/>
        <v/>
      </c>
      <c r="AA1686" s="137" t="str">
        <f t="shared" si="17"/>
        <v/>
      </c>
      <c r="AB1686" s="138" t="str">
        <f t="shared" si="19"/>
        <v/>
      </c>
      <c r="AC1686" s="322"/>
      <c r="AD1686" s="319"/>
      <c r="AE1686" s="320"/>
    </row>
    <row r="1687" ht="18.0" customHeight="1">
      <c r="A1687" s="118" t="str">
        <f t="shared" si="15"/>
        <v/>
      </c>
      <c r="B1687" s="109"/>
      <c r="C1687" s="119"/>
      <c r="D1687" s="119"/>
      <c r="E1687" s="330"/>
      <c r="F1687" s="121"/>
      <c r="G1687" s="153"/>
      <c r="H1687" s="153"/>
      <c r="I1687" s="153"/>
      <c r="J1687" s="112"/>
      <c r="K1687" s="153"/>
      <c r="L1687" s="114"/>
      <c r="M1687" s="151"/>
      <c r="N1687" s="152"/>
      <c r="O1687" s="150"/>
      <c r="P1687" s="114"/>
      <c r="Q1687" s="114"/>
      <c r="R1687" s="151"/>
      <c r="S1687" s="152"/>
      <c r="T1687" s="153"/>
      <c r="U1687" s="152"/>
      <c r="V1687" s="152"/>
      <c r="W1687" s="152"/>
      <c r="X1687" s="152"/>
      <c r="Y1687" s="153"/>
      <c r="Z1687" s="125" t="str">
        <f t="shared" si="16"/>
        <v/>
      </c>
      <c r="AA1687" s="126" t="str">
        <f t="shared" si="17"/>
        <v/>
      </c>
      <c r="AB1687" s="117" t="str">
        <f t="shared" si="19"/>
        <v/>
      </c>
      <c r="AC1687" s="152"/>
      <c r="AD1687" s="153"/>
      <c r="AE1687" s="156"/>
    </row>
    <row r="1688" ht="18.0" customHeight="1">
      <c r="A1688" s="127" t="str">
        <f t="shared" si="15"/>
        <v/>
      </c>
      <c r="B1688" s="128"/>
      <c r="C1688" s="129"/>
      <c r="D1688" s="129"/>
      <c r="E1688" s="325"/>
      <c r="F1688" s="131"/>
      <c r="G1688" s="319"/>
      <c r="H1688" s="319"/>
      <c r="I1688" s="319"/>
      <c r="J1688" s="132"/>
      <c r="K1688" s="319"/>
      <c r="L1688" s="135"/>
      <c r="M1688" s="321"/>
      <c r="N1688" s="322"/>
      <c r="O1688" s="150"/>
      <c r="P1688" s="135"/>
      <c r="Q1688" s="135"/>
      <c r="R1688" s="321"/>
      <c r="S1688" s="322"/>
      <c r="T1688" s="319"/>
      <c r="U1688" s="322"/>
      <c r="V1688" s="322"/>
      <c r="W1688" s="322"/>
      <c r="X1688" s="322"/>
      <c r="Y1688" s="319"/>
      <c r="Z1688" s="136" t="str">
        <f t="shared" si="16"/>
        <v/>
      </c>
      <c r="AA1688" s="137" t="str">
        <f t="shared" si="17"/>
        <v/>
      </c>
      <c r="AB1688" s="138" t="str">
        <f t="shared" si="19"/>
        <v/>
      </c>
      <c r="AC1688" s="322"/>
      <c r="AD1688" s="319"/>
      <c r="AE1688" s="320"/>
    </row>
    <row r="1689" ht="18.0" customHeight="1">
      <c r="A1689" s="118" t="str">
        <f t="shared" si="15"/>
        <v/>
      </c>
      <c r="B1689" s="109"/>
      <c r="C1689" s="119"/>
      <c r="D1689" s="119"/>
      <c r="E1689" s="330"/>
      <c r="F1689" s="121"/>
      <c r="G1689" s="153"/>
      <c r="H1689" s="153"/>
      <c r="I1689" s="153"/>
      <c r="J1689" s="112"/>
      <c r="K1689" s="153"/>
      <c r="L1689" s="114"/>
      <c r="M1689" s="151"/>
      <c r="N1689" s="152"/>
      <c r="O1689" s="150"/>
      <c r="P1689" s="114"/>
      <c r="Q1689" s="114"/>
      <c r="R1689" s="151"/>
      <c r="S1689" s="152"/>
      <c r="T1689" s="153"/>
      <c r="U1689" s="152"/>
      <c r="V1689" s="152"/>
      <c r="W1689" s="152"/>
      <c r="X1689" s="152"/>
      <c r="Y1689" s="153"/>
      <c r="Z1689" s="125" t="str">
        <f t="shared" si="16"/>
        <v/>
      </c>
      <c r="AA1689" s="126" t="str">
        <f t="shared" si="17"/>
        <v/>
      </c>
      <c r="AB1689" s="117" t="str">
        <f t="shared" si="19"/>
        <v/>
      </c>
      <c r="AC1689" s="152"/>
      <c r="AD1689" s="153"/>
      <c r="AE1689" s="156"/>
    </row>
    <row r="1690" ht="18.0" customHeight="1">
      <c r="A1690" s="127" t="str">
        <f t="shared" si="15"/>
        <v/>
      </c>
      <c r="B1690" s="128"/>
      <c r="C1690" s="129"/>
      <c r="D1690" s="129"/>
      <c r="E1690" s="325"/>
      <c r="F1690" s="131"/>
      <c r="G1690" s="319"/>
      <c r="H1690" s="319"/>
      <c r="I1690" s="319"/>
      <c r="J1690" s="132"/>
      <c r="K1690" s="319"/>
      <c r="L1690" s="135"/>
      <c r="M1690" s="321"/>
      <c r="N1690" s="322"/>
      <c r="O1690" s="150"/>
      <c r="P1690" s="135"/>
      <c r="Q1690" s="135"/>
      <c r="R1690" s="321"/>
      <c r="S1690" s="322"/>
      <c r="T1690" s="319"/>
      <c r="U1690" s="322"/>
      <c r="V1690" s="322"/>
      <c r="W1690" s="322"/>
      <c r="X1690" s="322"/>
      <c r="Y1690" s="319"/>
      <c r="Z1690" s="136" t="str">
        <f t="shared" si="16"/>
        <v/>
      </c>
      <c r="AA1690" s="137" t="str">
        <f t="shared" si="17"/>
        <v/>
      </c>
      <c r="AB1690" s="138" t="str">
        <f t="shared" si="19"/>
        <v/>
      </c>
      <c r="AC1690" s="322"/>
      <c r="AD1690" s="319"/>
      <c r="AE1690" s="320"/>
    </row>
    <row r="1691" ht="18.0" customHeight="1">
      <c r="A1691" s="118" t="str">
        <f t="shared" si="15"/>
        <v/>
      </c>
      <c r="B1691" s="109"/>
      <c r="C1691" s="119"/>
      <c r="D1691" s="119"/>
      <c r="E1691" s="330"/>
      <c r="F1691" s="121"/>
      <c r="G1691" s="153"/>
      <c r="H1691" s="153"/>
      <c r="I1691" s="153"/>
      <c r="J1691" s="112"/>
      <c r="K1691" s="153"/>
      <c r="L1691" s="114"/>
      <c r="M1691" s="151"/>
      <c r="N1691" s="152"/>
      <c r="O1691" s="150"/>
      <c r="P1691" s="114"/>
      <c r="Q1691" s="114"/>
      <c r="R1691" s="151"/>
      <c r="S1691" s="152"/>
      <c r="T1691" s="153"/>
      <c r="U1691" s="152"/>
      <c r="V1691" s="152"/>
      <c r="W1691" s="152"/>
      <c r="X1691" s="152"/>
      <c r="Y1691" s="153"/>
      <c r="Z1691" s="125" t="str">
        <f t="shared" si="16"/>
        <v/>
      </c>
      <c r="AA1691" s="126" t="str">
        <f t="shared" si="17"/>
        <v/>
      </c>
      <c r="AB1691" s="117" t="str">
        <f t="shared" si="19"/>
        <v/>
      </c>
      <c r="AC1691" s="152"/>
      <c r="AD1691" s="153"/>
      <c r="AE1691" s="156"/>
    </row>
    <row r="1692" ht="18.0" customHeight="1">
      <c r="A1692" s="127" t="str">
        <f t="shared" si="15"/>
        <v/>
      </c>
      <c r="B1692" s="128"/>
      <c r="C1692" s="129"/>
      <c r="D1692" s="129"/>
      <c r="E1692" s="325"/>
      <c r="F1692" s="131"/>
      <c r="G1692" s="319"/>
      <c r="H1692" s="319"/>
      <c r="I1692" s="319"/>
      <c r="J1692" s="132"/>
      <c r="K1692" s="319"/>
      <c r="L1692" s="135"/>
      <c r="M1692" s="321"/>
      <c r="N1692" s="322"/>
      <c r="O1692" s="150"/>
      <c r="P1692" s="135"/>
      <c r="Q1692" s="135"/>
      <c r="R1692" s="321"/>
      <c r="S1692" s="322"/>
      <c r="T1692" s="319"/>
      <c r="U1692" s="322"/>
      <c r="V1692" s="322"/>
      <c r="W1692" s="322"/>
      <c r="X1692" s="322"/>
      <c r="Y1692" s="319"/>
      <c r="Z1692" s="136" t="str">
        <f t="shared" si="16"/>
        <v/>
      </c>
      <c r="AA1692" s="137" t="str">
        <f t="shared" si="17"/>
        <v/>
      </c>
      <c r="AB1692" s="138" t="str">
        <f t="shared" si="19"/>
        <v/>
      </c>
      <c r="AC1692" s="322"/>
      <c r="AD1692" s="319"/>
      <c r="AE1692" s="320"/>
    </row>
    <row r="1693" ht="18.0" customHeight="1">
      <c r="A1693" s="118" t="str">
        <f t="shared" si="15"/>
        <v/>
      </c>
      <c r="B1693" s="109"/>
      <c r="C1693" s="119"/>
      <c r="D1693" s="119"/>
      <c r="E1693" s="330"/>
      <c r="F1693" s="121"/>
      <c r="G1693" s="153"/>
      <c r="H1693" s="153"/>
      <c r="I1693" s="153"/>
      <c r="J1693" s="112"/>
      <c r="K1693" s="153"/>
      <c r="L1693" s="114"/>
      <c r="M1693" s="151"/>
      <c r="N1693" s="152"/>
      <c r="O1693" s="150"/>
      <c r="P1693" s="114"/>
      <c r="Q1693" s="114"/>
      <c r="R1693" s="151"/>
      <c r="S1693" s="152"/>
      <c r="T1693" s="153"/>
      <c r="U1693" s="152"/>
      <c r="V1693" s="152"/>
      <c r="W1693" s="152"/>
      <c r="X1693" s="152"/>
      <c r="Y1693" s="153"/>
      <c r="Z1693" s="125" t="str">
        <f t="shared" si="16"/>
        <v/>
      </c>
      <c r="AA1693" s="126" t="str">
        <f t="shared" si="17"/>
        <v/>
      </c>
      <c r="AB1693" s="117" t="str">
        <f t="shared" si="19"/>
        <v/>
      </c>
      <c r="AC1693" s="152"/>
      <c r="AD1693" s="153"/>
      <c r="AE1693" s="156"/>
    </row>
    <row r="1694" ht="18.0" customHeight="1">
      <c r="A1694" s="127" t="str">
        <f t="shared" si="15"/>
        <v/>
      </c>
      <c r="B1694" s="128"/>
      <c r="C1694" s="129"/>
      <c r="D1694" s="129"/>
      <c r="E1694" s="325"/>
      <c r="F1694" s="131"/>
      <c r="G1694" s="319"/>
      <c r="H1694" s="319"/>
      <c r="I1694" s="319"/>
      <c r="J1694" s="132"/>
      <c r="K1694" s="319"/>
      <c r="L1694" s="135"/>
      <c r="M1694" s="321"/>
      <c r="N1694" s="322"/>
      <c r="O1694" s="150"/>
      <c r="P1694" s="135"/>
      <c r="Q1694" s="135"/>
      <c r="R1694" s="321"/>
      <c r="S1694" s="322"/>
      <c r="T1694" s="319"/>
      <c r="U1694" s="322"/>
      <c r="V1694" s="322"/>
      <c r="W1694" s="322"/>
      <c r="X1694" s="322"/>
      <c r="Y1694" s="319"/>
      <c r="Z1694" s="136" t="str">
        <f t="shared" si="16"/>
        <v/>
      </c>
      <c r="AA1694" s="137" t="str">
        <f t="shared" si="17"/>
        <v/>
      </c>
      <c r="AB1694" s="138" t="str">
        <f t="shared" si="19"/>
        <v/>
      </c>
      <c r="AC1694" s="322"/>
      <c r="AD1694" s="319"/>
      <c r="AE1694" s="320"/>
    </row>
    <row r="1695" ht="18.0" customHeight="1">
      <c r="A1695" s="118" t="str">
        <f t="shared" si="15"/>
        <v/>
      </c>
      <c r="B1695" s="109"/>
      <c r="C1695" s="119"/>
      <c r="D1695" s="119"/>
      <c r="E1695" s="330"/>
      <c r="F1695" s="121"/>
      <c r="G1695" s="153"/>
      <c r="H1695" s="153"/>
      <c r="I1695" s="153"/>
      <c r="J1695" s="112"/>
      <c r="K1695" s="153"/>
      <c r="L1695" s="114"/>
      <c r="M1695" s="151"/>
      <c r="N1695" s="152"/>
      <c r="O1695" s="150"/>
      <c r="P1695" s="114"/>
      <c r="Q1695" s="114"/>
      <c r="R1695" s="151"/>
      <c r="S1695" s="152"/>
      <c r="T1695" s="153"/>
      <c r="U1695" s="152"/>
      <c r="V1695" s="152"/>
      <c r="W1695" s="152"/>
      <c r="X1695" s="152"/>
      <c r="Y1695" s="153"/>
      <c r="Z1695" s="125" t="str">
        <f t="shared" si="16"/>
        <v/>
      </c>
      <c r="AA1695" s="126" t="str">
        <f t="shared" si="17"/>
        <v/>
      </c>
      <c r="AB1695" s="117" t="str">
        <f t="shared" si="19"/>
        <v/>
      </c>
      <c r="AC1695" s="152"/>
      <c r="AD1695" s="153"/>
      <c r="AE1695" s="156"/>
    </row>
    <row r="1696" ht="18.0" customHeight="1">
      <c r="A1696" s="127" t="str">
        <f t="shared" si="15"/>
        <v/>
      </c>
      <c r="B1696" s="128"/>
      <c r="C1696" s="129"/>
      <c r="D1696" s="129"/>
      <c r="E1696" s="325"/>
      <c r="F1696" s="131"/>
      <c r="G1696" s="319"/>
      <c r="H1696" s="319"/>
      <c r="I1696" s="319"/>
      <c r="J1696" s="132"/>
      <c r="K1696" s="319"/>
      <c r="L1696" s="135"/>
      <c r="M1696" s="321"/>
      <c r="N1696" s="322"/>
      <c r="O1696" s="150"/>
      <c r="P1696" s="135"/>
      <c r="Q1696" s="135"/>
      <c r="R1696" s="321"/>
      <c r="S1696" s="322"/>
      <c r="T1696" s="319"/>
      <c r="U1696" s="322"/>
      <c r="V1696" s="322"/>
      <c r="W1696" s="322"/>
      <c r="X1696" s="322"/>
      <c r="Y1696" s="319"/>
      <c r="Z1696" s="136" t="str">
        <f t="shared" si="16"/>
        <v/>
      </c>
      <c r="AA1696" s="137" t="str">
        <f t="shared" si="17"/>
        <v/>
      </c>
      <c r="AB1696" s="138" t="str">
        <f t="shared" si="19"/>
        <v/>
      </c>
      <c r="AC1696" s="322"/>
      <c r="AD1696" s="319"/>
      <c r="AE1696" s="320"/>
    </row>
    <row r="1697" ht="18.0" customHeight="1">
      <c r="A1697" s="118" t="str">
        <f t="shared" si="15"/>
        <v/>
      </c>
      <c r="B1697" s="109"/>
      <c r="C1697" s="119"/>
      <c r="D1697" s="119"/>
      <c r="E1697" s="330"/>
      <c r="F1697" s="121"/>
      <c r="G1697" s="153"/>
      <c r="H1697" s="153"/>
      <c r="I1697" s="153"/>
      <c r="J1697" s="112"/>
      <c r="K1697" s="153"/>
      <c r="L1697" s="114"/>
      <c r="M1697" s="151"/>
      <c r="N1697" s="152"/>
      <c r="O1697" s="150"/>
      <c r="P1697" s="114"/>
      <c r="Q1697" s="114"/>
      <c r="R1697" s="151"/>
      <c r="S1697" s="152"/>
      <c r="T1697" s="153"/>
      <c r="U1697" s="152"/>
      <c r="V1697" s="152"/>
      <c r="W1697" s="152"/>
      <c r="X1697" s="152"/>
      <c r="Y1697" s="153"/>
      <c r="Z1697" s="125" t="str">
        <f t="shared" si="16"/>
        <v/>
      </c>
      <c r="AA1697" s="126" t="str">
        <f t="shared" si="17"/>
        <v/>
      </c>
      <c r="AB1697" s="117" t="str">
        <f t="shared" si="19"/>
        <v/>
      </c>
      <c r="AC1697" s="152"/>
      <c r="AD1697" s="153"/>
      <c r="AE1697" s="156"/>
    </row>
    <row r="1698" ht="18.0" customHeight="1">
      <c r="A1698" s="127" t="str">
        <f t="shared" si="15"/>
        <v/>
      </c>
      <c r="B1698" s="128"/>
      <c r="C1698" s="129"/>
      <c r="D1698" s="129"/>
      <c r="E1698" s="325"/>
      <c r="F1698" s="131"/>
      <c r="G1698" s="319"/>
      <c r="H1698" s="319"/>
      <c r="I1698" s="319"/>
      <c r="J1698" s="132"/>
      <c r="K1698" s="319"/>
      <c r="L1698" s="135"/>
      <c r="M1698" s="321"/>
      <c r="N1698" s="322"/>
      <c r="O1698" s="150"/>
      <c r="P1698" s="135"/>
      <c r="Q1698" s="135"/>
      <c r="R1698" s="321"/>
      <c r="S1698" s="322"/>
      <c r="T1698" s="319"/>
      <c r="U1698" s="322"/>
      <c r="V1698" s="322"/>
      <c r="W1698" s="322"/>
      <c r="X1698" s="322"/>
      <c r="Y1698" s="319"/>
      <c r="Z1698" s="136" t="str">
        <f t="shared" si="16"/>
        <v/>
      </c>
      <c r="AA1698" s="137" t="str">
        <f t="shared" si="17"/>
        <v/>
      </c>
      <c r="AB1698" s="138" t="str">
        <f t="shared" si="19"/>
        <v/>
      </c>
      <c r="AC1698" s="322"/>
      <c r="AD1698" s="319"/>
      <c r="AE1698" s="320"/>
    </row>
    <row r="1699" ht="18.0" customHeight="1">
      <c r="A1699" s="118" t="str">
        <f t="shared" si="15"/>
        <v/>
      </c>
      <c r="B1699" s="109"/>
      <c r="C1699" s="119"/>
      <c r="D1699" s="119"/>
      <c r="E1699" s="330"/>
      <c r="F1699" s="121"/>
      <c r="G1699" s="153"/>
      <c r="H1699" s="153"/>
      <c r="I1699" s="153"/>
      <c r="J1699" s="112"/>
      <c r="K1699" s="153"/>
      <c r="L1699" s="114"/>
      <c r="M1699" s="151"/>
      <c r="N1699" s="152"/>
      <c r="O1699" s="150"/>
      <c r="P1699" s="114"/>
      <c r="Q1699" s="114"/>
      <c r="R1699" s="151"/>
      <c r="S1699" s="152"/>
      <c r="T1699" s="153"/>
      <c r="U1699" s="152"/>
      <c r="V1699" s="152"/>
      <c r="W1699" s="152"/>
      <c r="X1699" s="152"/>
      <c r="Y1699" s="153"/>
      <c r="Z1699" s="125" t="str">
        <f t="shared" si="16"/>
        <v/>
      </c>
      <c r="AA1699" s="126" t="str">
        <f t="shared" si="17"/>
        <v/>
      </c>
      <c r="AB1699" s="117" t="str">
        <f t="shared" si="19"/>
        <v/>
      </c>
      <c r="AC1699" s="152"/>
      <c r="AD1699" s="153"/>
      <c r="AE1699" s="156"/>
    </row>
    <row r="1700" ht="18.0" customHeight="1">
      <c r="A1700" s="127" t="str">
        <f t="shared" si="15"/>
        <v/>
      </c>
      <c r="B1700" s="128"/>
      <c r="C1700" s="129"/>
      <c r="D1700" s="129"/>
      <c r="E1700" s="325"/>
      <c r="F1700" s="131"/>
      <c r="G1700" s="319"/>
      <c r="H1700" s="319"/>
      <c r="I1700" s="319"/>
      <c r="J1700" s="132"/>
      <c r="K1700" s="319"/>
      <c r="L1700" s="135"/>
      <c r="M1700" s="321"/>
      <c r="N1700" s="322"/>
      <c r="O1700" s="150"/>
      <c r="P1700" s="135"/>
      <c r="Q1700" s="135"/>
      <c r="R1700" s="321"/>
      <c r="S1700" s="322"/>
      <c r="T1700" s="319"/>
      <c r="U1700" s="322"/>
      <c r="V1700" s="322"/>
      <c r="W1700" s="322"/>
      <c r="X1700" s="322"/>
      <c r="Y1700" s="319"/>
      <c r="Z1700" s="136" t="str">
        <f t="shared" si="16"/>
        <v/>
      </c>
      <c r="AA1700" s="137" t="str">
        <f t="shared" si="17"/>
        <v/>
      </c>
      <c r="AB1700" s="138" t="str">
        <f t="shared" si="19"/>
        <v/>
      </c>
      <c r="AC1700" s="322"/>
      <c r="AD1700" s="319"/>
      <c r="AE1700" s="320"/>
    </row>
    <row r="1701" ht="18.0" customHeight="1">
      <c r="A1701" s="118" t="str">
        <f t="shared" si="15"/>
        <v/>
      </c>
      <c r="B1701" s="109"/>
      <c r="C1701" s="119"/>
      <c r="D1701" s="119"/>
      <c r="E1701" s="330"/>
      <c r="F1701" s="121"/>
      <c r="G1701" s="153"/>
      <c r="H1701" s="153"/>
      <c r="I1701" s="153"/>
      <c r="J1701" s="112"/>
      <c r="K1701" s="153"/>
      <c r="L1701" s="114"/>
      <c r="M1701" s="151"/>
      <c r="N1701" s="152"/>
      <c r="O1701" s="150"/>
      <c r="P1701" s="114"/>
      <c r="Q1701" s="114"/>
      <c r="R1701" s="151"/>
      <c r="S1701" s="152"/>
      <c r="T1701" s="153"/>
      <c r="U1701" s="152"/>
      <c r="V1701" s="152"/>
      <c r="W1701" s="152"/>
      <c r="X1701" s="152"/>
      <c r="Y1701" s="153"/>
      <c r="Z1701" s="125" t="str">
        <f t="shared" si="16"/>
        <v/>
      </c>
      <c r="AA1701" s="126" t="str">
        <f t="shared" si="17"/>
        <v/>
      </c>
      <c r="AB1701" s="117" t="str">
        <f t="shared" si="19"/>
        <v/>
      </c>
      <c r="AC1701" s="152"/>
      <c r="AD1701" s="153"/>
      <c r="AE1701" s="156"/>
    </row>
    <row r="1702" ht="18.0" customHeight="1">
      <c r="A1702" s="127" t="str">
        <f t="shared" si="15"/>
        <v/>
      </c>
      <c r="B1702" s="128"/>
      <c r="C1702" s="129"/>
      <c r="D1702" s="129"/>
      <c r="E1702" s="325"/>
      <c r="F1702" s="131"/>
      <c r="G1702" s="319"/>
      <c r="H1702" s="319"/>
      <c r="I1702" s="319"/>
      <c r="J1702" s="132"/>
      <c r="K1702" s="319"/>
      <c r="L1702" s="135"/>
      <c r="M1702" s="321"/>
      <c r="N1702" s="322"/>
      <c r="O1702" s="150"/>
      <c r="P1702" s="135"/>
      <c r="Q1702" s="135"/>
      <c r="R1702" s="321"/>
      <c r="S1702" s="322"/>
      <c r="T1702" s="319"/>
      <c r="U1702" s="322"/>
      <c r="V1702" s="322"/>
      <c r="W1702" s="322"/>
      <c r="X1702" s="322"/>
      <c r="Y1702" s="319"/>
      <c r="Z1702" s="136" t="str">
        <f t="shared" si="16"/>
        <v/>
      </c>
      <c r="AA1702" s="137" t="str">
        <f t="shared" si="17"/>
        <v/>
      </c>
      <c r="AB1702" s="138" t="str">
        <f t="shared" si="19"/>
        <v/>
      </c>
      <c r="AC1702" s="322"/>
      <c r="AD1702" s="319"/>
      <c r="AE1702" s="320"/>
    </row>
    <row r="1703" ht="18.0" customHeight="1">
      <c r="A1703" s="118" t="str">
        <f t="shared" si="15"/>
        <v/>
      </c>
      <c r="B1703" s="109"/>
      <c r="C1703" s="119"/>
      <c r="D1703" s="119"/>
      <c r="E1703" s="330"/>
      <c r="F1703" s="121"/>
      <c r="G1703" s="153"/>
      <c r="H1703" s="153"/>
      <c r="I1703" s="153"/>
      <c r="J1703" s="112"/>
      <c r="K1703" s="153"/>
      <c r="L1703" s="114"/>
      <c r="M1703" s="151"/>
      <c r="N1703" s="152"/>
      <c r="O1703" s="150"/>
      <c r="P1703" s="114"/>
      <c r="Q1703" s="114"/>
      <c r="R1703" s="151"/>
      <c r="S1703" s="152"/>
      <c r="T1703" s="153"/>
      <c r="U1703" s="152"/>
      <c r="V1703" s="152"/>
      <c r="W1703" s="152"/>
      <c r="X1703" s="152"/>
      <c r="Y1703" s="153"/>
      <c r="Z1703" s="125" t="str">
        <f t="shared" si="16"/>
        <v/>
      </c>
      <c r="AA1703" s="126" t="str">
        <f t="shared" si="17"/>
        <v/>
      </c>
      <c r="AB1703" s="117" t="str">
        <f t="shared" si="19"/>
        <v/>
      </c>
      <c r="AC1703" s="152"/>
      <c r="AD1703" s="153"/>
      <c r="AE1703" s="156"/>
    </row>
    <row r="1704" ht="18.0" customHeight="1">
      <c r="A1704" s="127" t="str">
        <f t="shared" si="15"/>
        <v/>
      </c>
      <c r="B1704" s="128"/>
      <c r="C1704" s="129"/>
      <c r="D1704" s="129"/>
      <c r="E1704" s="325"/>
      <c r="F1704" s="131"/>
      <c r="G1704" s="319"/>
      <c r="H1704" s="319"/>
      <c r="I1704" s="319"/>
      <c r="J1704" s="132"/>
      <c r="K1704" s="319"/>
      <c r="L1704" s="135"/>
      <c r="M1704" s="321"/>
      <c r="N1704" s="322"/>
      <c r="O1704" s="150"/>
      <c r="P1704" s="135"/>
      <c r="Q1704" s="135"/>
      <c r="R1704" s="321"/>
      <c r="S1704" s="322"/>
      <c r="T1704" s="319"/>
      <c r="U1704" s="322"/>
      <c r="V1704" s="322"/>
      <c r="W1704" s="322"/>
      <c r="X1704" s="322"/>
      <c r="Y1704" s="319"/>
      <c r="Z1704" s="136" t="str">
        <f t="shared" si="16"/>
        <v/>
      </c>
      <c r="AA1704" s="137" t="str">
        <f t="shared" si="17"/>
        <v/>
      </c>
      <c r="AB1704" s="138" t="str">
        <f t="shared" si="19"/>
        <v/>
      </c>
      <c r="AC1704" s="322"/>
      <c r="AD1704" s="319"/>
      <c r="AE1704" s="320"/>
    </row>
    <row r="1705" ht="18.0" customHeight="1">
      <c r="A1705" s="118" t="str">
        <f t="shared" si="15"/>
        <v/>
      </c>
      <c r="B1705" s="109"/>
      <c r="C1705" s="119"/>
      <c r="D1705" s="119"/>
      <c r="E1705" s="330"/>
      <c r="F1705" s="121"/>
      <c r="G1705" s="153"/>
      <c r="H1705" s="153"/>
      <c r="I1705" s="153"/>
      <c r="J1705" s="112"/>
      <c r="K1705" s="153"/>
      <c r="L1705" s="114"/>
      <c r="M1705" s="151"/>
      <c r="N1705" s="152"/>
      <c r="O1705" s="150"/>
      <c r="P1705" s="114"/>
      <c r="Q1705" s="114"/>
      <c r="R1705" s="151"/>
      <c r="S1705" s="152"/>
      <c r="T1705" s="153"/>
      <c r="U1705" s="152"/>
      <c r="V1705" s="152"/>
      <c r="W1705" s="152"/>
      <c r="X1705" s="152"/>
      <c r="Y1705" s="153"/>
      <c r="Z1705" s="125" t="str">
        <f t="shared" si="16"/>
        <v/>
      </c>
      <c r="AA1705" s="126" t="str">
        <f t="shared" si="17"/>
        <v/>
      </c>
      <c r="AB1705" s="117" t="str">
        <f t="shared" si="19"/>
        <v/>
      </c>
      <c r="AC1705" s="152"/>
      <c r="AD1705" s="153"/>
      <c r="AE1705" s="156"/>
    </row>
    <row r="1706" ht="18.0" customHeight="1">
      <c r="A1706" s="127" t="str">
        <f t="shared" si="15"/>
        <v/>
      </c>
      <c r="B1706" s="128"/>
      <c r="C1706" s="129"/>
      <c r="D1706" s="129"/>
      <c r="E1706" s="325"/>
      <c r="F1706" s="131"/>
      <c r="G1706" s="319"/>
      <c r="H1706" s="319"/>
      <c r="I1706" s="319"/>
      <c r="J1706" s="132"/>
      <c r="K1706" s="319"/>
      <c r="L1706" s="135"/>
      <c r="M1706" s="321"/>
      <c r="N1706" s="322"/>
      <c r="O1706" s="150"/>
      <c r="P1706" s="135"/>
      <c r="Q1706" s="135"/>
      <c r="R1706" s="321"/>
      <c r="S1706" s="322"/>
      <c r="T1706" s="319"/>
      <c r="U1706" s="322"/>
      <c r="V1706" s="322"/>
      <c r="W1706" s="322"/>
      <c r="X1706" s="322"/>
      <c r="Y1706" s="319"/>
      <c r="Z1706" s="136" t="str">
        <f t="shared" si="16"/>
        <v/>
      </c>
      <c r="AA1706" s="137" t="str">
        <f t="shared" si="17"/>
        <v/>
      </c>
      <c r="AB1706" s="138" t="str">
        <f t="shared" si="19"/>
        <v/>
      </c>
      <c r="AC1706" s="322"/>
      <c r="AD1706" s="319"/>
      <c r="AE1706" s="320"/>
    </row>
    <row r="1707" ht="18.0" customHeight="1">
      <c r="A1707" s="118" t="str">
        <f t="shared" si="15"/>
        <v/>
      </c>
      <c r="B1707" s="109"/>
      <c r="C1707" s="119"/>
      <c r="D1707" s="119"/>
      <c r="E1707" s="330"/>
      <c r="F1707" s="121"/>
      <c r="G1707" s="153"/>
      <c r="H1707" s="153"/>
      <c r="I1707" s="153"/>
      <c r="J1707" s="112"/>
      <c r="K1707" s="153"/>
      <c r="L1707" s="114"/>
      <c r="M1707" s="151"/>
      <c r="N1707" s="152"/>
      <c r="O1707" s="150"/>
      <c r="P1707" s="114"/>
      <c r="Q1707" s="114"/>
      <c r="R1707" s="151"/>
      <c r="S1707" s="152"/>
      <c r="T1707" s="153"/>
      <c r="U1707" s="152"/>
      <c r="V1707" s="152"/>
      <c r="W1707" s="152"/>
      <c r="X1707" s="152"/>
      <c r="Y1707" s="153"/>
      <c r="Z1707" s="125" t="str">
        <f t="shared" si="16"/>
        <v/>
      </c>
      <c r="AA1707" s="126" t="str">
        <f t="shared" si="17"/>
        <v/>
      </c>
      <c r="AB1707" s="117" t="str">
        <f t="shared" si="19"/>
        <v/>
      </c>
      <c r="AC1707" s="152"/>
      <c r="AD1707" s="153"/>
      <c r="AE1707" s="156"/>
    </row>
    <row r="1708" ht="18.0" customHeight="1">
      <c r="A1708" s="127" t="str">
        <f t="shared" si="15"/>
        <v/>
      </c>
      <c r="B1708" s="128"/>
      <c r="C1708" s="129"/>
      <c r="D1708" s="129"/>
      <c r="E1708" s="325"/>
      <c r="F1708" s="131"/>
      <c r="G1708" s="319"/>
      <c r="H1708" s="319"/>
      <c r="I1708" s="319"/>
      <c r="J1708" s="132"/>
      <c r="K1708" s="319"/>
      <c r="L1708" s="135"/>
      <c r="M1708" s="321"/>
      <c r="N1708" s="322"/>
      <c r="O1708" s="150"/>
      <c r="P1708" s="135"/>
      <c r="Q1708" s="135"/>
      <c r="R1708" s="321"/>
      <c r="S1708" s="322"/>
      <c r="T1708" s="319"/>
      <c r="U1708" s="322"/>
      <c r="V1708" s="322"/>
      <c r="W1708" s="322"/>
      <c r="X1708" s="322"/>
      <c r="Y1708" s="319"/>
      <c r="Z1708" s="136" t="str">
        <f t="shared" si="16"/>
        <v/>
      </c>
      <c r="AA1708" s="137" t="str">
        <f t="shared" si="17"/>
        <v/>
      </c>
      <c r="AB1708" s="138" t="str">
        <f t="shared" si="19"/>
        <v/>
      </c>
      <c r="AC1708" s="322"/>
      <c r="AD1708" s="319"/>
      <c r="AE1708" s="320"/>
    </row>
    <row r="1709" ht="18.0" customHeight="1">
      <c r="A1709" s="118" t="str">
        <f t="shared" si="15"/>
        <v/>
      </c>
      <c r="B1709" s="109"/>
      <c r="C1709" s="119"/>
      <c r="D1709" s="119"/>
      <c r="E1709" s="330"/>
      <c r="F1709" s="121"/>
      <c r="G1709" s="153"/>
      <c r="H1709" s="153"/>
      <c r="I1709" s="153"/>
      <c r="J1709" s="112"/>
      <c r="K1709" s="153"/>
      <c r="L1709" s="114"/>
      <c r="M1709" s="151"/>
      <c r="N1709" s="152"/>
      <c r="O1709" s="150"/>
      <c r="P1709" s="114"/>
      <c r="Q1709" s="114"/>
      <c r="R1709" s="151"/>
      <c r="S1709" s="152"/>
      <c r="T1709" s="153"/>
      <c r="U1709" s="152"/>
      <c r="V1709" s="152"/>
      <c r="W1709" s="152"/>
      <c r="X1709" s="152"/>
      <c r="Y1709" s="153"/>
      <c r="Z1709" s="125" t="str">
        <f t="shared" si="16"/>
        <v/>
      </c>
      <c r="AA1709" s="126" t="str">
        <f t="shared" si="17"/>
        <v/>
      </c>
      <c r="AB1709" s="117" t="str">
        <f t="shared" si="19"/>
        <v/>
      </c>
      <c r="AC1709" s="152"/>
      <c r="AD1709" s="153"/>
      <c r="AE1709" s="156"/>
    </row>
    <row r="1710" ht="18.0" customHeight="1">
      <c r="A1710" s="127" t="str">
        <f t="shared" si="15"/>
        <v/>
      </c>
      <c r="B1710" s="128"/>
      <c r="C1710" s="129"/>
      <c r="D1710" s="129"/>
      <c r="E1710" s="325"/>
      <c r="F1710" s="131"/>
      <c r="G1710" s="319"/>
      <c r="H1710" s="319"/>
      <c r="I1710" s="319"/>
      <c r="J1710" s="132"/>
      <c r="K1710" s="319"/>
      <c r="L1710" s="135"/>
      <c r="M1710" s="321"/>
      <c r="N1710" s="322"/>
      <c r="O1710" s="150"/>
      <c r="P1710" s="135"/>
      <c r="Q1710" s="135"/>
      <c r="R1710" s="321"/>
      <c r="S1710" s="322"/>
      <c r="T1710" s="319"/>
      <c r="U1710" s="322"/>
      <c r="V1710" s="322"/>
      <c r="W1710" s="322"/>
      <c r="X1710" s="322"/>
      <c r="Y1710" s="319"/>
      <c r="Z1710" s="136" t="str">
        <f t="shared" si="16"/>
        <v/>
      </c>
      <c r="AA1710" s="137" t="str">
        <f t="shared" si="17"/>
        <v/>
      </c>
      <c r="AB1710" s="138" t="str">
        <f t="shared" si="19"/>
        <v/>
      </c>
      <c r="AC1710" s="322"/>
      <c r="AD1710" s="319"/>
      <c r="AE1710" s="320"/>
    </row>
    <row r="1711" ht="18.0" customHeight="1">
      <c r="A1711" s="118" t="str">
        <f t="shared" si="15"/>
        <v/>
      </c>
      <c r="B1711" s="109"/>
      <c r="C1711" s="119"/>
      <c r="D1711" s="119"/>
      <c r="E1711" s="330"/>
      <c r="F1711" s="121"/>
      <c r="G1711" s="153"/>
      <c r="H1711" s="153"/>
      <c r="I1711" s="153"/>
      <c r="J1711" s="112"/>
      <c r="K1711" s="153"/>
      <c r="L1711" s="114"/>
      <c r="M1711" s="151"/>
      <c r="N1711" s="152"/>
      <c r="O1711" s="150"/>
      <c r="P1711" s="114"/>
      <c r="Q1711" s="114"/>
      <c r="R1711" s="151"/>
      <c r="S1711" s="152"/>
      <c r="T1711" s="153"/>
      <c r="U1711" s="152"/>
      <c r="V1711" s="152"/>
      <c r="W1711" s="152"/>
      <c r="X1711" s="152"/>
      <c r="Y1711" s="153"/>
      <c r="Z1711" s="125" t="str">
        <f t="shared" si="16"/>
        <v/>
      </c>
      <c r="AA1711" s="126" t="str">
        <f t="shared" si="17"/>
        <v/>
      </c>
      <c r="AB1711" s="117" t="str">
        <f t="shared" si="19"/>
        <v/>
      </c>
      <c r="AC1711" s="152"/>
      <c r="AD1711" s="153"/>
      <c r="AE1711" s="156"/>
    </row>
    <row r="1712" ht="18.0" customHeight="1">
      <c r="A1712" s="127" t="str">
        <f t="shared" si="15"/>
        <v/>
      </c>
      <c r="B1712" s="128"/>
      <c r="C1712" s="129"/>
      <c r="D1712" s="129"/>
      <c r="E1712" s="325"/>
      <c r="F1712" s="131"/>
      <c r="G1712" s="319"/>
      <c r="H1712" s="319"/>
      <c r="I1712" s="319"/>
      <c r="J1712" s="132"/>
      <c r="K1712" s="319"/>
      <c r="L1712" s="135"/>
      <c r="M1712" s="321"/>
      <c r="N1712" s="322"/>
      <c r="O1712" s="150"/>
      <c r="P1712" s="135"/>
      <c r="Q1712" s="135"/>
      <c r="R1712" s="321"/>
      <c r="S1712" s="322"/>
      <c r="T1712" s="319"/>
      <c r="U1712" s="322"/>
      <c r="V1712" s="322"/>
      <c r="W1712" s="322"/>
      <c r="X1712" s="322"/>
      <c r="Y1712" s="319"/>
      <c r="Z1712" s="136" t="str">
        <f t="shared" si="16"/>
        <v/>
      </c>
      <c r="AA1712" s="137" t="str">
        <f t="shared" si="17"/>
        <v/>
      </c>
      <c r="AB1712" s="138" t="str">
        <f t="shared" si="19"/>
        <v/>
      </c>
      <c r="AC1712" s="322"/>
      <c r="AD1712" s="319"/>
      <c r="AE1712" s="320"/>
    </row>
    <row r="1713" ht="18.0" customHeight="1">
      <c r="A1713" s="118" t="str">
        <f t="shared" si="15"/>
        <v/>
      </c>
      <c r="B1713" s="109"/>
      <c r="C1713" s="119"/>
      <c r="D1713" s="119"/>
      <c r="E1713" s="330"/>
      <c r="F1713" s="121"/>
      <c r="G1713" s="153"/>
      <c r="H1713" s="153"/>
      <c r="I1713" s="153"/>
      <c r="J1713" s="112"/>
      <c r="K1713" s="153"/>
      <c r="L1713" s="114"/>
      <c r="M1713" s="151"/>
      <c r="N1713" s="152"/>
      <c r="O1713" s="150"/>
      <c r="P1713" s="114"/>
      <c r="Q1713" s="114"/>
      <c r="R1713" s="151"/>
      <c r="S1713" s="152"/>
      <c r="T1713" s="153"/>
      <c r="U1713" s="152"/>
      <c r="V1713" s="152"/>
      <c r="W1713" s="152"/>
      <c r="X1713" s="152"/>
      <c r="Y1713" s="153"/>
      <c r="Z1713" s="125" t="str">
        <f t="shared" si="16"/>
        <v/>
      </c>
      <c r="AA1713" s="126" t="str">
        <f t="shared" si="17"/>
        <v/>
      </c>
      <c r="AB1713" s="117" t="str">
        <f t="shared" si="19"/>
        <v/>
      </c>
      <c r="AC1713" s="152"/>
      <c r="AD1713" s="153"/>
      <c r="AE1713" s="156"/>
    </row>
    <row r="1714" ht="18.0" customHeight="1">
      <c r="A1714" s="127" t="str">
        <f t="shared" si="15"/>
        <v/>
      </c>
      <c r="B1714" s="128"/>
      <c r="C1714" s="129"/>
      <c r="D1714" s="129"/>
      <c r="E1714" s="325"/>
      <c r="F1714" s="131"/>
      <c r="G1714" s="319"/>
      <c r="H1714" s="319"/>
      <c r="I1714" s="319"/>
      <c r="J1714" s="132"/>
      <c r="K1714" s="319"/>
      <c r="L1714" s="135"/>
      <c r="M1714" s="321"/>
      <c r="N1714" s="322"/>
      <c r="O1714" s="150"/>
      <c r="P1714" s="135"/>
      <c r="Q1714" s="135"/>
      <c r="R1714" s="321"/>
      <c r="S1714" s="322"/>
      <c r="T1714" s="319"/>
      <c r="U1714" s="322"/>
      <c r="V1714" s="322"/>
      <c r="W1714" s="322"/>
      <c r="X1714" s="322"/>
      <c r="Y1714" s="319"/>
      <c r="Z1714" s="136" t="str">
        <f t="shared" si="16"/>
        <v/>
      </c>
      <c r="AA1714" s="137" t="str">
        <f t="shared" si="17"/>
        <v/>
      </c>
      <c r="AB1714" s="138" t="str">
        <f t="shared" si="19"/>
        <v/>
      </c>
      <c r="AC1714" s="322"/>
      <c r="AD1714" s="319"/>
      <c r="AE1714" s="320"/>
    </row>
    <row r="1715" ht="18.0" customHeight="1">
      <c r="A1715" s="118" t="str">
        <f t="shared" si="15"/>
        <v/>
      </c>
      <c r="B1715" s="109"/>
      <c r="C1715" s="119"/>
      <c r="D1715" s="119"/>
      <c r="E1715" s="330"/>
      <c r="F1715" s="121"/>
      <c r="G1715" s="153"/>
      <c r="H1715" s="153"/>
      <c r="I1715" s="153"/>
      <c r="J1715" s="112"/>
      <c r="K1715" s="153"/>
      <c r="L1715" s="114"/>
      <c r="M1715" s="151"/>
      <c r="N1715" s="152"/>
      <c r="O1715" s="150"/>
      <c r="P1715" s="114"/>
      <c r="Q1715" s="114"/>
      <c r="R1715" s="151"/>
      <c r="S1715" s="152"/>
      <c r="T1715" s="153"/>
      <c r="U1715" s="152"/>
      <c r="V1715" s="152"/>
      <c r="W1715" s="152"/>
      <c r="X1715" s="152"/>
      <c r="Y1715" s="153"/>
      <c r="Z1715" s="125" t="str">
        <f t="shared" si="16"/>
        <v/>
      </c>
      <c r="AA1715" s="126" t="str">
        <f t="shared" si="17"/>
        <v/>
      </c>
      <c r="AB1715" s="117" t="str">
        <f t="shared" si="19"/>
        <v/>
      </c>
      <c r="AC1715" s="152"/>
      <c r="AD1715" s="153"/>
      <c r="AE1715" s="156"/>
    </row>
    <row r="1716" ht="18.0" customHeight="1">
      <c r="A1716" s="127" t="str">
        <f t="shared" si="15"/>
        <v/>
      </c>
      <c r="B1716" s="128"/>
      <c r="C1716" s="129"/>
      <c r="D1716" s="129"/>
      <c r="E1716" s="325"/>
      <c r="F1716" s="131"/>
      <c r="G1716" s="319"/>
      <c r="H1716" s="319"/>
      <c r="I1716" s="319"/>
      <c r="J1716" s="132"/>
      <c r="K1716" s="319"/>
      <c r="L1716" s="135"/>
      <c r="M1716" s="321"/>
      <c r="N1716" s="322"/>
      <c r="O1716" s="150"/>
      <c r="P1716" s="135"/>
      <c r="Q1716" s="135"/>
      <c r="R1716" s="321"/>
      <c r="S1716" s="322"/>
      <c r="T1716" s="319"/>
      <c r="U1716" s="322"/>
      <c r="V1716" s="322"/>
      <c r="W1716" s="322"/>
      <c r="X1716" s="322"/>
      <c r="Y1716" s="319"/>
      <c r="Z1716" s="136" t="str">
        <f t="shared" si="16"/>
        <v/>
      </c>
      <c r="AA1716" s="137" t="str">
        <f t="shared" si="17"/>
        <v/>
      </c>
      <c r="AB1716" s="138" t="str">
        <f t="shared" si="19"/>
        <v/>
      </c>
      <c r="AC1716" s="322"/>
      <c r="AD1716" s="319"/>
      <c r="AE1716" s="320"/>
    </row>
    <row r="1717" ht="18.0" customHeight="1">
      <c r="A1717" s="118" t="str">
        <f t="shared" si="15"/>
        <v/>
      </c>
      <c r="B1717" s="109"/>
      <c r="C1717" s="119"/>
      <c r="D1717" s="119"/>
      <c r="E1717" s="330"/>
      <c r="F1717" s="121"/>
      <c r="G1717" s="153"/>
      <c r="H1717" s="153"/>
      <c r="I1717" s="153"/>
      <c r="J1717" s="112"/>
      <c r="K1717" s="153"/>
      <c r="L1717" s="114"/>
      <c r="M1717" s="151"/>
      <c r="N1717" s="152"/>
      <c r="O1717" s="150"/>
      <c r="P1717" s="114"/>
      <c r="Q1717" s="114"/>
      <c r="R1717" s="151"/>
      <c r="S1717" s="152"/>
      <c r="T1717" s="153"/>
      <c r="U1717" s="152"/>
      <c r="V1717" s="152"/>
      <c r="W1717" s="152"/>
      <c r="X1717" s="152"/>
      <c r="Y1717" s="153"/>
      <c r="Z1717" s="125" t="str">
        <f t="shared" si="16"/>
        <v/>
      </c>
      <c r="AA1717" s="126" t="str">
        <f t="shared" si="17"/>
        <v/>
      </c>
      <c r="AB1717" s="117" t="str">
        <f t="shared" si="19"/>
        <v/>
      </c>
      <c r="AC1717" s="152"/>
      <c r="AD1717" s="153"/>
      <c r="AE1717" s="156"/>
    </row>
    <row r="1718" ht="18.0" customHeight="1">
      <c r="A1718" s="127" t="str">
        <f t="shared" si="15"/>
        <v/>
      </c>
      <c r="B1718" s="128"/>
      <c r="C1718" s="129"/>
      <c r="D1718" s="129"/>
      <c r="E1718" s="325"/>
      <c r="F1718" s="131"/>
      <c r="G1718" s="319"/>
      <c r="H1718" s="319"/>
      <c r="I1718" s="319"/>
      <c r="J1718" s="132"/>
      <c r="K1718" s="319"/>
      <c r="L1718" s="135"/>
      <c r="M1718" s="321"/>
      <c r="N1718" s="322"/>
      <c r="O1718" s="150"/>
      <c r="P1718" s="135"/>
      <c r="Q1718" s="135"/>
      <c r="R1718" s="321"/>
      <c r="S1718" s="322"/>
      <c r="T1718" s="319"/>
      <c r="U1718" s="322"/>
      <c r="V1718" s="322"/>
      <c r="W1718" s="322"/>
      <c r="X1718" s="322"/>
      <c r="Y1718" s="319"/>
      <c r="Z1718" s="136" t="str">
        <f t="shared" si="16"/>
        <v/>
      </c>
      <c r="AA1718" s="137" t="str">
        <f t="shared" si="17"/>
        <v/>
      </c>
      <c r="AB1718" s="138" t="str">
        <f t="shared" si="19"/>
        <v/>
      </c>
      <c r="AC1718" s="322"/>
      <c r="AD1718" s="319"/>
      <c r="AE1718" s="320"/>
    </row>
    <row r="1719" ht="18.0" customHeight="1">
      <c r="A1719" s="118" t="str">
        <f t="shared" si="15"/>
        <v/>
      </c>
      <c r="B1719" s="109"/>
      <c r="C1719" s="119"/>
      <c r="D1719" s="119"/>
      <c r="E1719" s="330"/>
      <c r="F1719" s="121"/>
      <c r="G1719" s="153"/>
      <c r="H1719" s="153"/>
      <c r="I1719" s="153"/>
      <c r="J1719" s="112"/>
      <c r="K1719" s="153"/>
      <c r="L1719" s="114"/>
      <c r="M1719" s="151"/>
      <c r="N1719" s="152"/>
      <c r="O1719" s="150"/>
      <c r="P1719" s="114"/>
      <c r="Q1719" s="114"/>
      <c r="R1719" s="151"/>
      <c r="S1719" s="152"/>
      <c r="T1719" s="153"/>
      <c r="U1719" s="152"/>
      <c r="V1719" s="152"/>
      <c r="W1719" s="152"/>
      <c r="X1719" s="152"/>
      <c r="Y1719" s="153"/>
      <c r="Z1719" s="125" t="str">
        <f t="shared" si="16"/>
        <v/>
      </c>
      <c r="AA1719" s="126" t="str">
        <f t="shared" si="17"/>
        <v/>
      </c>
      <c r="AB1719" s="117" t="str">
        <f t="shared" si="19"/>
        <v/>
      </c>
      <c r="AC1719" s="152"/>
      <c r="AD1719" s="153"/>
      <c r="AE1719" s="156"/>
    </row>
    <row r="1720" ht="18.0" customHeight="1">
      <c r="A1720" s="127" t="str">
        <f t="shared" si="15"/>
        <v/>
      </c>
      <c r="B1720" s="128"/>
      <c r="C1720" s="129"/>
      <c r="D1720" s="129"/>
      <c r="E1720" s="325"/>
      <c r="F1720" s="131"/>
      <c r="G1720" s="319"/>
      <c r="H1720" s="319"/>
      <c r="I1720" s="319"/>
      <c r="J1720" s="132"/>
      <c r="K1720" s="319"/>
      <c r="L1720" s="135"/>
      <c r="M1720" s="321"/>
      <c r="N1720" s="322"/>
      <c r="O1720" s="150"/>
      <c r="P1720" s="135"/>
      <c r="Q1720" s="135"/>
      <c r="R1720" s="321"/>
      <c r="S1720" s="322"/>
      <c r="T1720" s="319"/>
      <c r="U1720" s="322"/>
      <c r="V1720" s="322"/>
      <c r="W1720" s="322"/>
      <c r="X1720" s="322"/>
      <c r="Y1720" s="319"/>
      <c r="Z1720" s="136" t="str">
        <f t="shared" si="16"/>
        <v/>
      </c>
      <c r="AA1720" s="137" t="str">
        <f t="shared" si="17"/>
        <v/>
      </c>
      <c r="AB1720" s="138" t="str">
        <f t="shared" si="19"/>
        <v/>
      </c>
      <c r="AC1720" s="322"/>
      <c r="AD1720" s="319"/>
      <c r="AE1720" s="320"/>
    </row>
    <row r="1721" ht="18.0" customHeight="1">
      <c r="A1721" s="118" t="str">
        <f t="shared" si="15"/>
        <v/>
      </c>
      <c r="B1721" s="109"/>
      <c r="C1721" s="119"/>
      <c r="D1721" s="119"/>
      <c r="E1721" s="330"/>
      <c r="F1721" s="121"/>
      <c r="G1721" s="153"/>
      <c r="H1721" s="153"/>
      <c r="I1721" s="153"/>
      <c r="J1721" s="112"/>
      <c r="K1721" s="153"/>
      <c r="L1721" s="114"/>
      <c r="M1721" s="151"/>
      <c r="N1721" s="152"/>
      <c r="O1721" s="150"/>
      <c r="P1721" s="114"/>
      <c r="Q1721" s="114"/>
      <c r="R1721" s="151"/>
      <c r="S1721" s="152"/>
      <c r="T1721" s="153"/>
      <c r="U1721" s="152"/>
      <c r="V1721" s="152"/>
      <c r="W1721" s="152"/>
      <c r="X1721" s="152"/>
      <c r="Y1721" s="153"/>
      <c r="Z1721" s="125" t="str">
        <f t="shared" si="16"/>
        <v/>
      </c>
      <c r="AA1721" s="126" t="str">
        <f t="shared" si="17"/>
        <v/>
      </c>
      <c r="AB1721" s="117" t="str">
        <f t="shared" si="19"/>
        <v/>
      </c>
      <c r="AC1721" s="152"/>
      <c r="AD1721" s="153"/>
      <c r="AE1721" s="156"/>
    </row>
    <row r="1722" ht="18.0" customHeight="1">
      <c r="A1722" s="127" t="str">
        <f t="shared" si="15"/>
        <v/>
      </c>
      <c r="B1722" s="128"/>
      <c r="C1722" s="129"/>
      <c r="D1722" s="129"/>
      <c r="E1722" s="325"/>
      <c r="F1722" s="131"/>
      <c r="G1722" s="319"/>
      <c r="H1722" s="319"/>
      <c r="I1722" s="319"/>
      <c r="J1722" s="132"/>
      <c r="K1722" s="319"/>
      <c r="L1722" s="135"/>
      <c r="M1722" s="321"/>
      <c r="N1722" s="322"/>
      <c r="O1722" s="150"/>
      <c r="P1722" s="135"/>
      <c r="Q1722" s="135"/>
      <c r="R1722" s="321"/>
      <c r="S1722" s="322"/>
      <c r="T1722" s="319"/>
      <c r="U1722" s="322"/>
      <c r="V1722" s="322"/>
      <c r="W1722" s="322"/>
      <c r="X1722" s="322"/>
      <c r="Y1722" s="319"/>
      <c r="Z1722" s="136" t="str">
        <f t="shared" si="16"/>
        <v/>
      </c>
      <c r="AA1722" s="137" t="str">
        <f t="shared" si="17"/>
        <v/>
      </c>
      <c r="AB1722" s="138" t="str">
        <f t="shared" si="19"/>
        <v/>
      </c>
      <c r="AC1722" s="322"/>
      <c r="AD1722" s="319"/>
      <c r="AE1722" s="320"/>
    </row>
    <row r="1723" ht="18.0" customHeight="1">
      <c r="A1723" s="118" t="str">
        <f t="shared" si="15"/>
        <v/>
      </c>
      <c r="B1723" s="109"/>
      <c r="C1723" s="119"/>
      <c r="D1723" s="119"/>
      <c r="E1723" s="330"/>
      <c r="F1723" s="121"/>
      <c r="G1723" s="153"/>
      <c r="H1723" s="153"/>
      <c r="I1723" s="153"/>
      <c r="J1723" s="112"/>
      <c r="K1723" s="153"/>
      <c r="L1723" s="114"/>
      <c r="M1723" s="151"/>
      <c r="N1723" s="152"/>
      <c r="O1723" s="150"/>
      <c r="P1723" s="114"/>
      <c r="Q1723" s="114"/>
      <c r="R1723" s="151"/>
      <c r="S1723" s="152"/>
      <c r="T1723" s="153"/>
      <c r="U1723" s="152"/>
      <c r="V1723" s="152"/>
      <c r="W1723" s="152"/>
      <c r="X1723" s="152"/>
      <c r="Y1723" s="153"/>
      <c r="Z1723" s="125" t="str">
        <f t="shared" si="16"/>
        <v/>
      </c>
      <c r="AA1723" s="126" t="str">
        <f t="shared" si="17"/>
        <v/>
      </c>
      <c r="AB1723" s="117" t="str">
        <f t="shared" si="19"/>
        <v/>
      </c>
      <c r="AC1723" s="152"/>
      <c r="AD1723" s="153"/>
      <c r="AE1723" s="156"/>
    </row>
    <row r="1724" ht="18.0" customHeight="1">
      <c r="A1724" s="127" t="str">
        <f t="shared" si="15"/>
        <v/>
      </c>
      <c r="B1724" s="128"/>
      <c r="C1724" s="129"/>
      <c r="D1724" s="129"/>
      <c r="E1724" s="325"/>
      <c r="F1724" s="131"/>
      <c r="G1724" s="319"/>
      <c r="H1724" s="319"/>
      <c r="I1724" s="319"/>
      <c r="J1724" s="132"/>
      <c r="K1724" s="319"/>
      <c r="L1724" s="135"/>
      <c r="M1724" s="321"/>
      <c r="N1724" s="322"/>
      <c r="O1724" s="150"/>
      <c r="P1724" s="135"/>
      <c r="Q1724" s="135"/>
      <c r="R1724" s="321"/>
      <c r="S1724" s="322"/>
      <c r="T1724" s="319"/>
      <c r="U1724" s="322"/>
      <c r="V1724" s="322"/>
      <c r="W1724" s="322"/>
      <c r="X1724" s="322"/>
      <c r="Y1724" s="319"/>
      <c r="Z1724" s="136" t="str">
        <f t="shared" si="16"/>
        <v/>
      </c>
      <c r="AA1724" s="137" t="str">
        <f t="shared" si="17"/>
        <v/>
      </c>
      <c r="AB1724" s="138" t="str">
        <f t="shared" si="19"/>
        <v/>
      </c>
      <c r="AC1724" s="322"/>
      <c r="AD1724" s="319"/>
      <c r="AE1724" s="320"/>
    </row>
    <row r="1725" ht="18.0" customHeight="1">
      <c r="A1725" s="118" t="str">
        <f t="shared" si="15"/>
        <v/>
      </c>
      <c r="B1725" s="109"/>
      <c r="C1725" s="119"/>
      <c r="D1725" s="119"/>
      <c r="E1725" s="330"/>
      <c r="F1725" s="121"/>
      <c r="G1725" s="153"/>
      <c r="H1725" s="153"/>
      <c r="I1725" s="153"/>
      <c r="J1725" s="112"/>
      <c r="K1725" s="153"/>
      <c r="L1725" s="114"/>
      <c r="M1725" s="151"/>
      <c r="N1725" s="152"/>
      <c r="O1725" s="150"/>
      <c r="P1725" s="114"/>
      <c r="Q1725" s="114"/>
      <c r="R1725" s="151"/>
      <c r="S1725" s="152"/>
      <c r="T1725" s="153"/>
      <c r="U1725" s="152"/>
      <c r="V1725" s="152"/>
      <c r="W1725" s="152"/>
      <c r="X1725" s="152"/>
      <c r="Y1725" s="153"/>
      <c r="Z1725" s="125" t="str">
        <f t="shared" si="16"/>
        <v/>
      </c>
      <c r="AA1725" s="126" t="str">
        <f t="shared" si="17"/>
        <v/>
      </c>
      <c r="AB1725" s="117" t="str">
        <f t="shared" si="19"/>
        <v/>
      </c>
      <c r="AC1725" s="152"/>
      <c r="AD1725" s="153"/>
      <c r="AE1725" s="156"/>
    </row>
    <row r="1726" ht="18.0" customHeight="1">
      <c r="A1726" s="127" t="str">
        <f t="shared" si="15"/>
        <v/>
      </c>
      <c r="B1726" s="128"/>
      <c r="C1726" s="129"/>
      <c r="D1726" s="129"/>
      <c r="E1726" s="325"/>
      <c r="F1726" s="131"/>
      <c r="G1726" s="319"/>
      <c r="H1726" s="319"/>
      <c r="I1726" s="319"/>
      <c r="J1726" s="132"/>
      <c r="K1726" s="319"/>
      <c r="L1726" s="135"/>
      <c r="M1726" s="321"/>
      <c r="N1726" s="322"/>
      <c r="O1726" s="150"/>
      <c r="P1726" s="135"/>
      <c r="Q1726" s="135"/>
      <c r="R1726" s="321"/>
      <c r="S1726" s="322"/>
      <c r="T1726" s="319"/>
      <c r="U1726" s="322"/>
      <c r="V1726" s="322"/>
      <c r="W1726" s="322"/>
      <c r="X1726" s="322"/>
      <c r="Y1726" s="319"/>
      <c r="Z1726" s="136" t="str">
        <f t="shared" si="16"/>
        <v/>
      </c>
      <c r="AA1726" s="137" t="str">
        <f t="shared" si="17"/>
        <v/>
      </c>
      <c r="AB1726" s="138" t="str">
        <f t="shared" si="19"/>
        <v/>
      </c>
      <c r="AC1726" s="322"/>
      <c r="AD1726" s="319"/>
      <c r="AE1726" s="320"/>
    </row>
    <row r="1727" ht="18.0" customHeight="1">
      <c r="A1727" s="118" t="str">
        <f t="shared" si="15"/>
        <v/>
      </c>
      <c r="B1727" s="109"/>
      <c r="C1727" s="119"/>
      <c r="D1727" s="119"/>
      <c r="E1727" s="330"/>
      <c r="F1727" s="121"/>
      <c r="G1727" s="153"/>
      <c r="H1727" s="153"/>
      <c r="I1727" s="153"/>
      <c r="J1727" s="112"/>
      <c r="K1727" s="153"/>
      <c r="L1727" s="114"/>
      <c r="M1727" s="151"/>
      <c r="N1727" s="152"/>
      <c r="O1727" s="150"/>
      <c r="P1727" s="114"/>
      <c r="Q1727" s="114"/>
      <c r="R1727" s="151"/>
      <c r="S1727" s="152"/>
      <c r="T1727" s="153"/>
      <c r="U1727" s="152"/>
      <c r="V1727" s="152"/>
      <c r="W1727" s="152"/>
      <c r="X1727" s="152"/>
      <c r="Y1727" s="153"/>
      <c r="Z1727" s="125" t="str">
        <f t="shared" si="16"/>
        <v/>
      </c>
      <c r="AA1727" s="126" t="str">
        <f t="shared" si="17"/>
        <v/>
      </c>
      <c r="AB1727" s="117" t="str">
        <f t="shared" si="19"/>
        <v/>
      </c>
      <c r="AC1727" s="152"/>
      <c r="AD1727" s="153"/>
      <c r="AE1727" s="156"/>
    </row>
    <row r="1728" ht="18.0" customHeight="1">
      <c r="A1728" s="127" t="str">
        <f t="shared" si="15"/>
        <v/>
      </c>
      <c r="B1728" s="128"/>
      <c r="C1728" s="129"/>
      <c r="D1728" s="129"/>
      <c r="E1728" s="325"/>
      <c r="F1728" s="131"/>
      <c r="G1728" s="319"/>
      <c r="H1728" s="319"/>
      <c r="I1728" s="319"/>
      <c r="J1728" s="132"/>
      <c r="K1728" s="319"/>
      <c r="L1728" s="135"/>
      <c r="M1728" s="321"/>
      <c r="N1728" s="322"/>
      <c r="O1728" s="150"/>
      <c r="P1728" s="135"/>
      <c r="Q1728" s="135"/>
      <c r="R1728" s="321"/>
      <c r="S1728" s="322"/>
      <c r="T1728" s="319"/>
      <c r="U1728" s="322"/>
      <c r="V1728" s="322"/>
      <c r="W1728" s="322"/>
      <c r="X1728" s="322"/>
      <c r="Y1728" s="319"/>
      <c r="Z1728" s="136" t="str">
        <f t="shared" si="16"/>
        <v/>
      </c>
      <c r="AA1728" s="137" t="str">
        <f t="shared" si="17"/>
        <v/>
      </c>
      <c r="AB1728" s="138" t="str">
        <f t="shared" si="19"/>
        <v/>
      </c>
      <c r="AC1728" s="322"/>
      <c r="AD1728" s="319"/>
      <c r="AE1728" s="320"/>
    </row>
    <row r="1729" ht="18.0" customHeight="1">
      <c r="A1729" s="118" t="str">
        <f t="shared" si="15"/>
        <v/>
      </c>
      <c r="B1729" s="109"/>
      <c r="C1729" s="119"/>
      <c r="D1729" s="119"/>
      <c r="E1729" s="330"/>
      <c r="F1729" s="121"/>
      <c r="G1729" s="153"/>
      <c r="H1729" s="153"/>
      <c r="I1729" s="153"/>
      <c r="J1729" s="112"/>
      <c r="K1729" s="153"/>
      <c r="L1729" s="114"/>
      <c r="M1729" s="151"/>
      <c r="N1729" s="152"/>
      <c r="O1729" s="150"/>
      <c r="P1729" s="114"/>
      <c r="Q1729" s="114"/>
      <c r="R1729" s="151"/>
      <c r="S1729" s="152"/>
      <c r="T1729" s="153"/>
      <c r="U1729" s="152"/>
      <c r="V1729" s="152"/>
      <c r="W1729" s="152"/>
      <c r="X1729" s="152"/>
      <c r="Y1729" s="153"/>
      <c r="Z1729" s="125" t="str">
        <f t="shared" si="16"/>
        <v/>
      </c>
      <c r="AA1729" s="126" t="str">
        <f t="shared" si="17"/>
        <v/>
      </c>
      <c r="AB1729" s="117" t="str">
        <f t="shared" si="19"/>
        <v/>
      </c>
      <c r="AC1729" s="152"/>
      <c r="AD1729" s="153"/>
      <c r="AE1729" s="156"/>
    </row>
    <row r="1730" ht="18.0" customHeight="1">
      <c r="A1730" s="127" t="str">
        <f t="shared" si="15"/>
        <v/>
      </c>
      <c r="B1730" s="128"/>
      <c r="C1730" s="129"/>
      <c r="D1730" s="129"/>
      <c r="E1730" s="325"/>
      <c r="F1730" s="131"/>
      <c r="G1730" s="319"/>
      <c r="H1730" s="319"/>
      <c r="I1730" s="319"/>
      <c r="J1730" s="132"/>
      <c r="K1730" s="319"/>
      <c r="L1730" s="135"/>
      <c r="M1730" s="321"/>
      <c r="N1730" s="322"/>
      <c r="O1730" s="150"/>
      <c r="P1730" s="135"/>
      <c r="Q1730" s="135"/>
      <c r="R1730" s="321"/>
      <c r="S1730" s="322"/>
      <c r="T1730" s="319"/>
      <c r="U1730" s="322"/>
      <c r="V1730" s="322"/>
      <c r="W1730" s="322"/>
      <c r="X1730" s="322"/>
      <c r="Y1730" s="319"/>
      <c r="Z1730" s="136" t="str">
        <f t="shared" si="16"/>
        <v/>
      </c>
      <c r="AA1730" s="137" t="str">
        <f t="shared" si="17"/>
        <v/>
      </c>
      <c r="AB1730" s="138" t="str">
        <f t="shared" si="19"/>
        <v/>
      </c>
      <c r="AC1730" s="322"/>
      <c r="AD1730" s="319"/>
      <c r="AE1730" s="320"/>
    </row>
    <row r="1731" ht="18.0" customHeight="1">
      <c r="A1731" s="118" t="str">
        <f t="shared" si="15"/>
        <v/>
      </c>
      <c r="B1731" s="109"/>
      <c r="C1731" s="119"/>
      <c r="D1731" s="119"/>
      <c r="E1731" s="330"/>
      <c r="F1731" s="121"/>
      <c r="G1731" s="153"/>
      <c r="H1731" s="153"/>
      <c r="I1731" s="153"/>
      <c r="J1731" s="112"/>
      <c r="K1731" s="153"/>
      <c r="L1731" s="114"/>
      <c r="M1731" s="151"/>
      <c r="N1731" s="152"/>
      <c r="O1731" s="150"/>
      <c r="P1731" s="114"/>
      <c r="Q1731" s="114"/>
      <c r="R1731" s="151"/>
      <c r="S1731" s="152"/>
      <c r="T1731" s="153"/>
      <c r="U1731" s="152"/>
      <c r="V1731" s="152"/>
      <c r="W1731" s="152"/>
      <c r="X1731" s="152"/>
      <c r="Y1731" s="153"/>
      <c r="Z1731" s="125" t="str">
        <f t="shared" si="16"/>
        <v/>
      </c>
      <c r="AA1731" s="126" t="str">
        <f t="shared" si="17"/>
        <v/>
      </c>
      <c r="AB1731" s="117" t="str">
        <f t="shared" si="19"/>
        <v/>
      </c>
      <c r="AC1731" s="152"/>
      <c r="AD1731" s="153"/>
      <c r="AE1731" s="156"/>
    </row>
    <row r="1732" ht="18.0" customHeight="1">
      <c r="A1732" s="127" t="str">
        <f t="shared" si="15"/>
        <v/>
      </c>
      <c r="B1732" s="128"/>
      <c r="C1732" s="129"/>
      <c r="D1732" s="129"/>
      <c r="E1732" s="325"/>
      <c r="F1732" s="131"/>
      <c r="G1732" s="319"/>
      <c r="H1732" s="319"/>
      <c r="I1732" s="319"/>
      <c r="J1732" s="132"/>
      <c r="K1732" s="319"/>
      <c r="L1732" s="135"/>
      <c r="M1732" s="321"/>
      <c r="N1732" s="322"/>
      <c r="O1732" s="150"/>
      <c r="P1732" s="135"/>
      <c r="Q1732" s="135"/>
      <c r="R1732" s="321"/>
      <c r="S1732" s="322"/>
      <c r="T1732" s="319"/>
      <c r="U1732" s="322"/>
      <c r="V1732" s="322"/>
      <c r="W1732" s="322"/>
      <c r="X1732" s="322"/>
      <c r="Y1732" s="319"/>
      <c r="Z1732" s="136" t="str">
        <f t="shared" si="16"/>
        <v/>
      </c>
      <c r="AA1732" s="137" t="str">
        <f t="shared" si="17"/>
        <v/>
      </c>
      <c r="AB1732" s="138" t="str">
        <f t="shared" si="19"/>
        <v/>
      </c>
      <c r="AC1732" s="322"/>
      <c r="AD1732" s="319"/>
      <c r="AE1732" s="320"/>
    </row>
    <row r="1733" ht="18.0" customHeight="1">
      <c r="A1733" s="118" t="str">
        <f t="shared" si="15"/>
        <v/>
      </c>
      <c r="B1733" s="109"/>
      <c r="C1733" s="119"/>
      <c r="D1733" s="119"/>
      <c r="E1733" s="330"/>
      <c r="F1733" s="121"/>
      <c r="G1733" s="153"/>
      <c r="H1733" s="153"/>
      <c r="I1733" s="153"/>
      <c r="J1733" s="112"/>
      <c r="K1733" s="153"/>
      <c r="L1733" s="114"/>
      <c r="M1733" s="151"/>
      <c r="N1733" s="152"/>
      <c r="O1733" s="150"/>
      <c r="P1733" s="114"/>
      <c r="Q1733" s="114"/>
      <c r="R1733" s="151"/>
      <c r="S1733" s="152"/>
      <c r="T1733" s="153"/>
      <c r="U1733" s="152"/>
      <c r="V1733" s="152"/>
      <c r="W1733" s="152"/>
      <c r="X1733" s="152"/>
      <c r="Y1733" s="153"/>
      <c r="Z1733" s="125" t="str">
        <f t="shared" si="16"/>
        <v/>
      </c>
      <c r="AA1733" s="126" t="str">
        <f t="shared" si="17"/>
        <v/>
      </c>
      <c r="AB1733" s="117" t="str">
        <f t="shared" si="19"/>
        <v/>
      </c>
      <c r="AC1733" s="152"/>
      <c r="AD1733" s="153"/>
      <c r="AE1733" s="156"/>
    </row>
    <row r="1734" ht="18.0" customHeight="1">
      <c r="A1734" s="127" t="str">
        <f t="shared" si="15"/>
        <v/>
      </c>
      <c r="B1734" s="128"/>
      <c r="C1734" s="129"/>
      <c r="D1734" s="129"/>
      <c r="E1734" s="325"/>
      <c r="F1734" s="131"/>
      <c r="G1734" s="319"/>
      <c r="H1734" s="319"/>
      <c r="I1734" s="319"/>
      <c r="J1734" s="132"/>
      <c r="K1734" s="319"/>
      <c r="L1734" s="135"/>
      <c r="M1734" s="321"/>
      <c r="N1734" s="322"/>
      <c r="O1734" s="150"/>
      <c r="P1734" s="135"/>
      <c r="Q1734" s="135"/>
      <c r="R1734" s="321"/>
      <c r="S1734" s="322"/>
      <c r="T1734" s="319"/>
      <c r="U1734" s="322"/>
      <c r="V1734" s="322"/>
      <c r="W1734" s="322"/>
      <c r="X1734" s="322"/>
      <c r="Y1734" s="319"/>
      <c r="Z1734" s="136" t="str">
        <f t="shared" si="16"/>
        <v/>
      </c>
      <c r="AA1734" s="137" t="str">
        <f t="shared" si="17"/>
        <v/>
      </c>
      <c r="AB1734" s="138" t="str">
        <f t="shared" si="19"/>
        <v/>
      </c>
      <c r="AC1734" s="322"/>
      <c r="AD1734" s="319"/>
      <c r="AE1734" s="320"/>
    </row>
    <row r="1735" ht="18.0" customHeight="1">
      <c r="A1735" s="118" t="str">
        <f t="shared" si="15"/>
        <v/>
      </c>
      <c r="B1735" s="109"/>
      <c r="C1735" s="119"/>
      <c r="D1735" s="119"/>
      <c r="E1735" s="330"/>
      <c r="F1735" s="121"/>
      <c r="G1735" s="153"/>
      <c r="H1735" s="153"/>
      <c r="I1735" s="153"/>
      <c r="J1735" s="112"/>
      <c r="K1735" s="153"/>
      <c r="L1735" s="114"/>
      <c r="M1735" s="151"/>
      <c r="N1735" s="152"/>
      <c r="O1735" s="150"/>
      <c r="P1735" s="114"/>
      <c r="Q1735" s="114"/>
      <c r="R1735" s="151"/>
      <c r="S1735" s="152"/>
      <c r="T1735" s="153"/>
      <c r="U1735" s="152"/>
      <c r="V1735" s="152"/>
      <c r="W1735" s="152"/>
      <c r="X1735" s="152"/>
      <c r="Y1735" s="153"/>
      <c r="Z1735" s="125" t="str">
        <f t="shared" si="16"/>
        <v/>
      </c>
      <c r="AA1735" s="126" t="str">
        <f t="shared" si="17"/>
        <v/>
      </c>
      <c r="AB1735" s="117" t="str">
        <f t="shared" si="19"/>
        <v/>
      </c>
      <c r="AC1735" s="152"/>
      <c r="AD1735" s="153"/>
      <c r="AE1735" s="156"/>
    </row>
    <row r="1736" ht="18.0" customHeight="1">
      <c r="A1736" s="127" t="str">
        <f t="shared" si="15"/>
        <v/>
      </c>
      <c r="B1736" s="128"/>
      <c r="C1736" s="129"/>
      <c r="D1736" s="129"/>
      <c r="E1736" s="325"/>
      <c r="F1736" s="131"/>
      <c r="G1736" s="319"/>
      <c r="H1736" s="319"/>
      <c r="I1736" s="319"/>
      <c r="J1736" s="132"/>
      <c r="K1736" s="319"/>
      <c r="L1736" s="135"/>
      <c r="M1736" s="321"/>
      <c r="N1736" s="322"/>
      <c r="O1736" s="150"/>
      <c r="P1736" s="135"/>
      <c r="Q1736" s="135"/>
      <c r="R1736" s="321"/>
      <c r="S1736" s="322"/>
      <c r="T1736" s="319"/>
      <c r="U1736" s="322"/>
      <c r="V1736" s="322"/>
      <c r="W1736" s="322"/>
      <c r="X1736" s="322"/>
      <c r="Y1736" s="319"/>
      <c r="Z1736" s="136" t="str">
        <f t="shared" si="16"/>
        <v/>
      </c>
      <c r="AA1736" s="137" t="str">
        <f t="shared" si="17"/>
        <v/>
      </c>
      <c r="AB1736" s="138" t="str">
        <f t="shared" si="19"/>
        <v/>
      </c>
      <c r="AC1736" s="322"/>
      <c r="AD1736" s="319"/>
      <c r="AE1736" s="320"/>
    </row>
    <row r="1737" ht="18.0" customHeight="1">
      <c r="A1737" s="118" t="str">
        <f t="shared" si="15"/>
        <v/>
      </c>
      <c r="B1737" s="109"/>
      <c r="C1737" s="119"/>
      <c r="D1737" s="119"/>
      <c r="E1737" s="330"/>
      <c r="F1737" s="121"/>
      <c r="G1737" s="153"/>
      <c r="H1737" s="153"/>
      <c r="I1737" s="153"/>
      <c r="J1737" s="112"/>
      <c r="K1737" s="153"/>
      <c r="L1737" s="114"/>
      <c r="M1737" s="151"/>
      <c r="N1737" s="152"/>
      <c r="O1737" s="150"/>
      <c r="P1737" s="114"/>
      <c r="Q1737" s="114"/>
      <c r="R1737" s="151"/>
      <c r="S1737" s="152"/>
      <c r="T1737" s="153"/>
      <c r="U1737" s="152"/>
      <c r="V1737" s="152"/>
      <c r="W1737" s="152"/>
      <c r="X1737" s="152"/>
      <c r="Y1737" s="153"/>
      <c r="Z1737" s="125" t="str">
        <f t="shared" si="16"/>
        <v/>
      </c>
      <c r="AA1737" s="126" t="str">
        <f t="shared" si="17"/>
        <v/>
      </c>
      <c r="AB1737" s="117" t="str">
        <f t="shared" si="19"/>
        <v/>
      </c>
      <c r="AC1737" s="152"/>
      <c r="AD1737" s="153"/>
      <c r="AE1737" s="156"/>
    </row>
    <row r="1738" ht="18.0" customHeight="1">
      <c r="A1738" s="127" t="str">
        <f t="shared" si="15"/>
        <v/>
      </c>
      <c r="B1738" s="128"/>
      <c r="C1738" s="129"/>
      <c r="D1738" s="129"/>
      <c r="E1738" s="325"/>
      <c r="F1738" s="131"/>
      <c r="G1738" s="319"/>
      <c r="H1738" s="319"/>
      <c r="I1738" s="319"/>
      <c r="J1738" s="132"/>
      <c r="K1738" s="319"/>
      <c r="L1738" s="135"/>
      <c r="M1738" s="321"/>
      <c r="N1738" s="322"/>
      <c r="O1738" s="150"/>
      <c r="P1738" s="135"/>
      <c r="Q1738" s="135"/>
      <c r="R1738" s="321"/>
      <c r="S1738" s="322"/>
      <c r="T1738" s="319"/>
      <c r="U1738" s="322"/>
      <c r="V1738" s="322"/>
      <c r="W1738" s="322"/>
      <c r="X1738" s="322"/>
      <c r="Y1738" s="319"/>
      <c r="Z1738" s="136" t="str">
        <f t="shared" si="16"/>
        <v/>
      </c>
      <c r="AA1738" s="137" t="str">
        <f t="shared" si="17"/>
        <v/>
      </c>
      <c r="AB1738" s="138" t="str">
        <f t="shared" si="19"/>
        <v/>
      </c>
      <c r="AC1738" s="322"/>
      <c r="AD1738" s="319"/>
      <c r="AE1738" s="320"/>
    </row>
    <row r="1739" ht="18.0" customHeight="1">
      <c r="A1739" s="118" t="str">
        <f t="shared" si="15"/>
        <v/>
      </c>
      <c r="B1739" s="109"/>
      <c r="C1739" s="119"/>
      <c r="D1739" s="119"/>
      <c r="E1739" s="330"/>
      <c r="F1739" s="121"/>
      <c r="G1739" s="153"/>
      <c r="H1739" s="153"/>
      <c r="I1739" s="153"/>
      <c r="J1739" s="112"/>
      <c r="K1739" s="153"/>
      <c r="L1739" s="114"/>
      <c r="M1739" s="151"/>
      <c r="N1739" s="152"/>
      <c r="O1739" s="150"/>
      <c r="P1739" s="114"/>
      <c r="Q1739" s="114"/>
      <c r="R1739" s="151"/>
      <c r="S1739" s="152"/>
      <c r="T1739" s="153"/>
      <c r="U1739" s="152"/>
      <c r="V1739" s="152"/>
      <c r="W1739" s="152"/>
      <c r="X1739" s="152"/>
      <c r="Y1739" s="153"/>
      <c r="Z1739" s="125" t="str">
        <f t="shared" si="16"/>
        <v/>
      </c>
      <c r="AA1739" s="126" t="str">
        <f t="shared" si="17"/>
        <v/>
      </c>
      <c r="AB1739" s="117" t="str">
        <f t="shared" si="19"/>
        <v/>
      </c>
      <c r="AC1739" s="152"/>
      <c r="AD1739" s="153"/>
      <c r="AE1739" s="156"/>
    </row>
    <row r="1740" ht="18.0" customHeight="1">
      <c r="A1740" s="127" t="str">
        <f t="shared" si="15"/>
        <v/>
      </c>
      <c r="B1740" s="128"/>
      <c r="C1740" s="129"/>
      <c r="D1740" s="129"/>
      <c r="E1740" s="325"/>
      <c r="F1740" s="131"/>
      <c r="G1740" s="319"/>
      <c r="H1740" s="319"/>
      <c r="I1740" s="319"/>
      <c r="J1740" s="132"/>
      <c r="K1740" s="319"/>
      <c r="L1740" s="135"/>
      <c r="M1740" s="321"/>
      <c r="N1740" s="322"/>
      <c r="O1740" s="150"/>
      <c r="P1740" s="135"/>
      <c r="Q1740" s="135"/>
      <c r="R1740" s="321"/>
      <c r="S1740" s="322"/>
      <c r="T1740" s="319"/>
      <c r="U1740" s="322"/>
      <c r="V1740" s="322"/>
      <c r="W1740" s="322"/>
      <c r="X1740" s="322"/>
      <c r="Y1740" s="319"/>
      <c r="Z1740" s="136" t="str">
        <f t="shared" si="16"/>
        <v/>
      </c>
      <c r="AA1740" s="137" t="str">
        <f t="shared" si="17"/>
        <v/>
      </c>
      <c r="AB1740" s="138" t="str">
        <f t="shared" si="19"/>
        <v/>
      </c>
      <c r="AC1740" s="322"/>
      <c r="AD1740" s="319"/>
      <c r="AE1740" s="320"/>
    </row>
    <row r="1741" ht="18.0" customHeight="1">
      <c r="A1741" s="118" t="str">
        <f t="shared" si="15"/>
        <v/>
      </c>
      <c r="B1741" s="109"/>
      <c r="C1741" s="119"/>
      <c r="D1741" s="119"/>
      <c r="E1741" s="330"/>
      <c r="F1741" s="121"/>
      <c r="G1741" s="153"/>
      <c r="H1741" s="153"/>
      <c r="I1741" s="153"/>
      <c r="J1741" s="112"/>
      <c r="K1741" s="153"/>
      <c r="L1741" s="114"/>
      <c r="M1741" s="151"/>
      <c r="N1741" s="152"/>
      <c r="O1741" s="150"/>
      <c r="P1741" s="114"/>
      <c r="Q1741" s="114"/>
      <c r="R1741" s="151"/>
      <c r="S1741" s="152"/>
      <c r="T1741" s="153"/>
      <c r="U1741" s="152"/>
      <c r="V1741" s="152"/>
      <c r="W1741" s="152"/>
      <c r="X1741" s="152"/>
      <c r="Y1741" s="153"/>
      <c r="Z1741" s="125" t="str">
        <f t="shared" si="16"/>
        <v/>
      </c>
      <c r="AA1741" s="126" t="str">
        <f t="shared" si="17"/>
        <v/>
      </c>
      <c r="AB1741" s="117" t="str">
        <f t="shared" si="19"/>
        <v/>
      </c>
      <c r="AC1741" s="152"/>
      <c r="AD1741" s="153"/>
      <c r="AE1741" s="156"/>
    </row>
    <row r="1742" ht="18.0" customHeight="1">
      <c r="A1742" s="127" t="str">
        <f t="shared" si="15"/>
        <v/>
      </c>
      <c r="B1742" s="128"/>
      <c r="C1742" s="129"/>
      <c r="D1742" s="129"/>
      <c r="E1742" s="325"/>
      <c r="F1742" s="131"/>
      <c r="G1742" s="319"/>
      <c r="H1742" s="319"/>
      <c r="I1742" s="319"/>
      <c r="J1742" s="132"/>
      <c r="K1742" s="319"/>
      <c r="L1742" s="135"/>
      <c r="M1742" s="321"/>
      <c r="N1742" s="322"/>
      <c r="O1742" s="150"/>
      <c r="P1742" s="135"/>
      <c r="Q1742" s="135"/>
      <c r="R1742" s="321"/>
      <c r="S1742" s="322"/>
      <c r="T1742" s="319"/>
      <c r="U1742" s="322"/>
      <c r="V1742" s="322"/>
      <c r="W1742" s="322"/>
      <c r="X1742" s="322"/>
      <c r="Y1742" s="319"/>
      <c r="Z1742" s="136" t="str">
        <f t="shared" si="16"/>
        <v/>
      </c>
      <c r="AA1742" s="137" t="str">
        <f t="shared" si="17"/>
        <v/>
      </c>
      <c r="AB1742" s="138" t="str">
        <f t="shared" si="19"/>
        <v/>
      </c>
      <c r="AC1742" s="322"/>
      <c r="AD1742" s="319"/>
      <c r="AE1742" s="320"/>
    </row>
    <row r="1743" ht="18.0" customHeight="1">
      <c r="A1743" s="118" t="str">
        <f t="shared" si="15"/>
        <v/>
      </c>
      <c r="B1743" s="109"/>
      <c r="C1743" s="119"/>
      <c r="D1743" s="119"/>
      <c r="E1743" s="330"/>
      <c r="F1743" s="121"/>
      <c r="G1743" s="153"/>
      <c r="H1743" s="153"/>
      <c r="I1743" s="153"/>
      <c r="J1743" s="112"/>
      <c r="K1743" s="153"/>
      <c r="L1743" s="114"/>
      <c r="M1743" s="151"/>
      <c r="N1743" s="152"/>
      <c r="O1743" s="150"/>
      <c r="P1743" s="114"/>
      <c r="Q1743" s="114"/>
      <c r="R1743" s="151"/>
      <c r="S1743" s="152"/>
      <c r="T1743" s="153"/>
      <c r="U1743" s="152"/>
      <c r="V1743" s="152"/>
      <c r="W1743" s="152"/>
      <c r="X1743" s="152"/>
      <c r="Y1743" s="153"/>
      <c r="Z1743" s="125" t="str">
        <f t="shared" si="16"/>
        <v/>
      </c>
      <c r="AA1743" s="126" t="str">
        <f t="shared" si="17"/>
        <v/>
      </c>
      <c r="AB1743" s="117" t="str">
        <f t="shared" si="19"/>
        <v/>
      </c>
      <c r="AC1743" s="152"/>
      <c r="AD1743" s="153"/>
      <c r="AE1743" s="156"/>
    </row>
    <row r="1744" ht="18.0" customHeight="1">
      <c r="A1744" s="127" t="str">
        <f t="shared" si="15"/>
        <v/>
      </c>
      <c r="B1744" s="128"/>
      <c r="C1744" s="129"/>
      <c r="D1744" s="129"/>
      <c r="E1744" s="325"/>
      <c r="F1744" s="131"/>
      <c r="G1744" s="319"/>
      <c r="H1744" s="319"/>
      <c r="I1744" s="319"/>
      <c r="J1744" s="132"/>
      <c r="K1744" s="319"/>
      <c r="L1744" s="135"/>
      <c r="M1744" s="321"/>
      <c r="N1744" s="322"/>
      <c r="O1744" s="150"/>
      <c r="P1744" s="135"/>
      <c r="Q1744" s="135"/>
      <c r="R1744" s="321"/>
      <c r="S1744" s="322"/>
      <c r="T1744" s="319"/>
      <c r="U1744" s="322"/>
      <c r="V1744" s="322"/>
      <c r="W1744" s="322"/>
      <c r="X1744" s="322"/>
      <c r="Y1744" s="319"/>
      <c r="Z1744" s="136" t="str">
        <f t="shared" si="16"/>
        <v/>
      </c>
      <c r="AA1744" s="137" t="str">
        <f t="shared" si="17"/>
        <v/>
      </c>
      <c r="AB1744" s="138" t="str">
        <f t="shared" si="19"/>
        <v/>
      </c>
      <c r="AC1744" s="322"/>
      <c r="AD1744" s="319"/>
      <c r="AE1744" s="320"/>
    </row>
    <row r="1745" ht="18.0" customHeight="1">
      <c r="A1745" s="118" t="str">
        <f t="shared" si="15"/>
        <v/>
      </c>
      <c r="B1745" s="109"/>
      <c r="C1745" s="119"/>
      <c r="D1745" s="119"/>
      <c r="E1745" s="330"/>
      <c r="F1745" s="121"/>
      <c r="G1745" s="153"/>
      <c r="H1745" s="153"/>
      <c r="I1745" s="153"/>
      <c r="J1745" s="112"/>
      <c r="K1745" s="153"/>
      <c r="L1745" s="114"/>
      <c r="M1745" s="151"/>
      <c r="N1745" s="152"/>
      <c r="O1745" s="150"/>
      <c r="P1745" s="114"/>
      <c r="Q1745" s="114"/>
      <c r="R1745" s="151"/>
      <c r="S1745" s="152"/>
      <c r="T1745" s="153"/>
      <c r="U1745" s="152"/>
      <c r="V1745" s="152"/>
      <c r="W1745" s="152"/>
      <c r="X1745" s="152"/>
      <c r="Y1745" s="153"/>
      <c r="Z1745" s="125" t="str">
        <f t="shared" si="16"/>
        <v/>
      </c>
      <c r="AA1745" s="126" t="str">
        <f t="shared" si="17"/>
        <v/>
      </c>
      <c r="AB1745" s="117" t="str">
        <f t="shared" si="19"/>
        <v/>
      </c>
      <c r="AC1745" s="152"/>
      <c r="AD1745" s="153"/>
      <c r="AE1745" s="156"/>
    </row>
    <row r="1746" ht="18.0" customHeight="1">
      <c r="A1746" s="127" t="str">
        <f t="shared" si="15"/>
        <v/>
      </c>
      <c r="B1746" s="128"/>
      <c r="C1746" s="129"/>
      <c r="D1746" s="129"/>
      <c r="E1746" s="325"/>
      <c r="F1746" s="131"/>
      <c r="G1746" s="319"/>
      <c r="H1746" s="319"/>
      <c r="I1746" s="319"/>
      <c r="J1746" s="132"/>
      <c r="K1746" s="319"/>
      <c r="L1746" s="135"/>
      <c r="M1746" s="321"/>
      <c r="N1746" s="322"/>
      <c r="O1746" s="150"/>
      <c r="P1746" s="135"/>
      <c r="Q1746" s="135"/>
      <c r="R1746" s="321"/>
      <c r="S1746" s="322"/>
      <c r="T1746" s="319"/>
      <c r="U1746" s="322"/>
      <c r="V1746" s="322"/>
      <c r="W1746" s="322"/>
      <c r="X1746" s="322"/>
      <c r="Y1746" s="319"/>
      <c r="Z1746" s="136" t="str">
        <f t="shared" si="16"/>
        <v/>
      </c>
      <c r="AA1746" s="137" t="str">
        <f t="shared" si="17"/>
        <v/>
      </c>
      <c r="AB1746" s="138" t="str">
        <f t="shared" si="19"/>
        <v/>
      </c>
      <c r="AC1746" s="322"/>
      <c r="AD1746" s="319"/>
      <c r="AE1746" s="320"/>
    </row>
    <row r="1747" ht="18.0" customHeight="1">
      <c r="A1747" s="118" t="str">
        <f t="shared" si="15"/>
        <v/>
      </c>
      <c r="B1747" s="109"/>
      <c r="C1747" s="119"/>
      <c r="D1747" s="119"/>
      <c r="E1747" s="330"/>
      <c r="F1747" s="121"/>
      <c r="G1747" s="153"/>
      <c r="H1747" s="153"/>
      <c r="I1747" s="153"/>
      <c r="J1747" s="112"/>
      <c r="K1747" s="153"/>
      <c r="L1747" s="114"/>
      <c r="M1747" s="151"/>
      <c r="N1747" s="152"/>
      <c r="O1747" s="150"/>
      <c r="P1747" s="114"/>
      <c r="Q1747" s="114"/>
      <c r="R1747" s="151"/>
      <c r="S1747" s="152"/>
      <c r="T1747" s="153"/>
      <c r="U1747" s="152"/>
      <c r="V1747" s="152"/>
      <c r="W1747" s="152"/>
      <c r="X1747" s="152"/>
      <c r="Y1747" s="153"/>
      <c r="Z1747" s="125" t="str">
        <f t="shared" si="16"/>
        <v/>
      </c>
      <c r="AA1747" s="126" t="str">
        <f t="shared" si="17"/>
        <v/>
      </c>
      <c r="AB1747" s="117" t="str">
        <f t="shared" si="19"/>
        <v/>
      </c>
      <c r="AC1747" s="152"/>
      <c r="AD1747" s="153"/>
      <c r="AE1747" s="156"/>
    </row>
    <row r="1748" ht="18.0" customHeight="1">
      <c r="A1748" s="127" t="str">
        <f t="shared" si="15"/>
        <v/>
      </c>
      <c r="B1748" s="128"/>
      <c r="C1748" s="129"/>
      <c r="D1748" s="129"/>
      <c r="E1748" s="325"/>
      <c r="F1748" s="131"/>
      <c r="G1748" s="319"/>
      <c r="H1748" s="319"/>
      <c r="I1748" s="319"/>
      <c r="J1748" s="132"/>
      <c r="K1748" s="319"/>
      <c r="L1748" s="135"/>
      <c r="M1748" s="321"/>
      <c r="N1748" s="322"/>
      <c r="O1748" s="150"/>
      <c r="P1748" s="135"/>
      <c r="Q1748" s="135"/>
      <c r="R1748" s="321"/>
      <c r="S1748" s="322"/>
      <c r="T1748" s="319"/>
      <c r="U1748" s="322"/>
      <c r="V1748" s="322"/>
      <c r="W1748" s="322"/>
      <c r="X1748" s="322"/>
      <c r="Y1748" s="319"/>
      <c r="Z1748" s="136" t="str">
        <f t="shared" si="16"/>
        <v/>
      </c>
      <c r="AA1748" s="137" t="str">
        <f t="shared" si="17"/>
        <v/>
      </c>
      <c r="AB1748" s="138" t="str">
        <f t="shared" si="19"/>
        <v/>
      </c>
      <c r="AC1748" s="322"/>
      <c r="AD1748" s="319"/>
      <c r="AE1748" s="320"/>
    </row>
    <row r="1749" ht="18.0" customHeight="1">
      <c r="A1749" s="118" t="str">
        <f t="shared" si="15"/>
        <v/>
      </c>
      <c r="B1749" s="109"/>
      <c r="C1749" s="119"/>
      <c r="D1749" s="119"/>
      <c r="E1749" s="330"/>
      <c r="F1749" s="121"/>
      <c r="G1749" s="153"/>
      <c r="H1749" s="153"/>
      <c r="I1749" s="153"/>
      <c r="J1749" s="112"/>
      <c r="K1749" s="153"/>
      <c r="L1749" s="114"/>
      <c r="M1749" s="151"/>
      <c r="N1749" s="152"/>
      <c r="O1749" s="150"/>
      <c r="P1749" s="114"/>
      <c r="Q1749" s="114"/>
      <c r="R1749" s="151"/>
      <c r="S1749" s="152"/>
      <c r="T1749" s="153"/>
      <c r="U1749" s="152"/>
      <c r="V1749" s="152"/>
      <c r="W1749" s="152"/>
      <c r="X1749" s="152"/>
      <c r="Y1749" s="153"/>
      <c r="Z1749" s="125" t="str">
        <f t="shared" si="16"/>
        <v/>
      </c>
      <c r="AA1749" s="126" t="str">
        <f t="shared" si="17"/>
        <v/>
      </c>
      <c r="AB1749" s="117" t="str">
        <f t="shared" si="19"/>
        <v/>
      </c>
      <c r="AC1749" s="152"/>
      <c r="AD1749" s="153"/>
      <c r="AE1749" s="156"/>
    </row>
    <row r="1750" ht="18.0" customHeight="1">
      <c r="A1750" s="127" t="str">
        <f t="shared" si="15"/>
        <v/>
      </c>
      <c r="B1750" s="128"/>
      <c r="C1750" s="129"/>
      <c r="D1750" s="129"/>
      <c r="E1750" s="325"/>
      <c r="F1750" s="131"/>
      <c r="G1750" s="319"/>
      <c r="H1750" s="319"/>
      <c r="I1750" s="319"/>
      <c r="J1750" s="132"/>
      <c r="K1750" s="319"/>
      <c r="L1750" s="135"/>
      <c r="M1750" s="321"/>
      <c r="N1750" s="322"/>
      <c r="O1750" s="150"/>
      <c r="P1750" s="135"/>
      <c r="Q1750" s="135"/>
      <c r="R1750" s="321"/>
      <c r="S1750" s="322"/>
      <c r="T1750" s="319"/>
      <c r="U1750" s="322"/>
      <c r="V1750" s="322"/>
      <c r="W1750" s="322"/>
      <c r="X1750" s="322"/>
      <c r="Y1750" s="319"/>
      <c r="Z1750" s="136" t="str">
        <f t="shared" si="16"/>
        <v/>
      </c>
      <c r="AA1750" s="137" t="str">
        <f t="shared" si="17"/>
        <v/>
      </c>
      <c r="AB1750" s="138" t="str">
        <f t="shared" si="19"/>
        <v/>
      </c>
      <c r="AC1750" s="322"/>
      <c r="AD1750" s="319"/>
      <c r="AE1750" s="320"/>
    </row>
    <row r="1751" ht="18.0" customHeight="1">
      <c r="A1751" s="118" t="str">
        <f t="shared" si="15"/>
        <v/>
      </c>
      <c r="B1751" s="109"/>
      <c r="C1751" s="119"/>
      <c r="D1751" s="119"/>
      <c r="E1751" s="330"/>
      <c r="F1751" s="121"/>
      <c r="G1751" s="153"/>
      <c r="H1751" s="153"/>
      <c r="I1751" s="153"/>
      <c r="J1751" s="112"/>
      <c r="K1751" s="153"/>
      <c r="L1751" s="114"/>
      <c r="M1751" s="151"/>
      <c r="N1751" s="152"/>
      <c r="O1751" s="150"/>
      <c r="P1751" s="114"/>
      <c r="Q1751" s="114"/>
      <c r="R1751" s="151"/>
      <c r="S1751" s="152"/>
      <c r="T1751" s="153"/>
      <c r="U1751" s="152"/>
      <c r="V1751" s="152"/>
      <c r="W1751" s="152"/>
      <c r="X1751" s="152"/>
      <c r="Y1751" s="153"/>
      <c r="Z1751" s="125" t="str">
        <f t="shared" si="16"/>
        <v/>
      </c>
      <c r="AA1751" s="126" t="str">
        <f t="shared" si="17"/>
        <v/>
      </c>
      <c r="AB1751" s="117" t="str">
        <f t="shared" si="19"/>
        <v/>
      </c>
      <c r="AC1751" s="152"/>
      <c r="AD1751" s="153"/>
      <c r="AE1751" s="156"/>
    </row>
    <row r="1752" ht="18.0" customHeight="1">
      <c r="A1752" s="127" t="str">
        <f t="shared" si="15"/>
        <v/>
      </c>
      <c r="B1752" s="128"/>
      <c r="C1752" s="129"/>
      <c r="D1752" s="129"/>
      <c r="E1752" s="325"/>
      <c r="F1752" s="131"/>
      <c r="G1752" s="319"/>
      <c r="H1752" s="319"/>
      <c r="I1752" s="319"/>
      <c r="J1752" s="132"/>
      <c r="K1752" s="319"/>
      <c r="L1752" s="135"/>
      <c r="M1752" s="321"/>
      <c r="N1752" s="322"/>
      <c r="O1752" s="150"/>
      <c r="P1752" s="135"/>
      <c r="Q1752" s="135"/>
      <c r="R1752" s="321"/>
      <c r="S1752" s="322"/>
      <c r="T1752" s="319"/>
      <c r="U1752" s="322"/>
      <c r="V1752" s="322"/>
      <c r="W1752" s="322"/>
      <c r="X1752" s="322"/>
      <c r="Y1752" s="319"/>
      <c r="Z1752" s="136" t="str">
        <f t="shared" si="16"/>
        <v/>
      </c>
      <c r="AA1752" s="137" t="str">
        <f t="shared" si="17"/>
        <v/>
      </c>
      <c r="AB1752" s="138" t="str">
        <f t="shared" si="19"/>
        <v/>
      </c>
      <c r="AC1752" s="322"/>
      <c r="AD1752" s="319"/>
      <c r="AE1752" s="320"/>
    </row>
    <row r="1753" ht="18.0" customHeight="1">
      <c r="A1753" s="118" t="str">
        <f t="shared" si="15"/>
        <v/>
      </c>
      <c r="B1753" s="109"/>
      <c r="C1753" s="119"/>
      <c r="D1753" s="119"/>
      <c r="E1753" s="330"/>
      <c r="F1753" s="121"/>
      <c r="G1753" s="153"/>
      <c r="H1753" s="153"/>
      <c r="I1753" s="153"/>
      <c r="J1753" s="112"/>
      <c r="K1753" s="153"/>
      <c r="L1753" s="114"/>
      <c r="M1753" s="151"/>
      <c r="N1753" s="152"/>
      <c r="O1753" s="150"/>
      <c r="P1753" s="114"/>
      <c r="Q1753" s="114"/>
      <c r="R1753" s="151"/>
      <c r="S1753" s="152"/>
      <c r="T1753" s="153"/>
      <c r="U1753" s="152"/>
      <c r="V1753" s="152"/>
      <c r="W1753" s="152"/>
      <c r="X1753" s="152"/>
      <c r="Y1753" s="153"/>
      <c r="Z1753" s="125" t="str">
        <f t="shared" si="16"/>
        <v/>
      </c>
      <c r="AA1753" s="126" t="str">
        <f t="shared" si="17"/>
        <v/>
      </c>
      <c r="AB1753" s="117" t="str">
        <f t="shared" si="19"/>
        <v/>
      </c>
      <c r="AC1753" s="152"/>
      <c r="AD1753" s="153"/>
      <c r="AE1753" s="156"/>
    </row>
    <row r="1754" ht="18.0" customHeight="1">
      <c r="A1754" s="127" t="str">
        <f t="shared" si="15"/>
        <v/>
      </c>
      <c r="B1754" s="128"/>
      <c r="C1754" s="129"/>
      <c r="D1754" s="129"/>
      <c r="E1754" s="325"/>
      <c r="F1754" s="131"/>
      <c r="G1754" s="319"/>
      <c r="H1754" s="319"/>
      <c r="I1754" s="319"/>
      <c r="J1754" s="132"/>
      <c r="K1754" s="319"/>
      <c r="L1754" s="135"/>
      <c r="M1754" s="321"/>
      <c r="N1754" s="322"/>
      <c r="O1754" s="150"/>
      <c r="P1754" s="135"/>
      <c r="Q1754" s="135"/>
      <c r="R1754" s="321"/>
      <c r="S1754" s="322"/>
      <c r="T1754" s="319"/>
      <c r="U1754" s="322"/>
      <c r="V1754" s="322"/>
      <c r="W1754" s="322"/>
      <c r="X1754" s="322"/>
      <c r="Y1754" s="319"/>
      <c r="Z1754" s="136" t="str">
        <f t="shared" si="16"/>
        <v/>
      </c>
      <c r="AA1754" s="137" t="str">
        <f t="shared" si="17"/>
        <v/>
      </c>
      <c r="AB1754" s="138" t="str">
        <f t="shared" si="19"/>
        <v/>
      </c>
      <c r="AC1754" s="322"/>
      <c r="AD1754" s="319"/>
      <c r="AE1754" s="320"/>
    </row>
    <row r="1755" ht="18.0" customHeight="1">
      <c r="A1755" s="118" t="str">
        <f t="shared" si="15"/>
        <v/>
      </c>
      <c r="B1755" s="109"/>
      <c r="C1755" s="119"/>
      <c r="D1755" s="119"/>
      <c r="E1755" s="330"/>
      <c r="F1755" s="121"/>
      <c r="G1755" s="153"/>
      <c r="H1755" s="153"/>
      <c r="I1755" s="153"/>
      <c r="J1755" s="112"/>
      <c r="K1755" s="153"/>
      <c r="L1755" s="114"/>
      <c r="M1755" s="151"/>
      <c r="N1755" s="152"/>
      <c r="O1755" s="150"/>
      <c r="P1755" s="114"/>
      <c r="Q1755" s="114"/>
      <c r="R1755" s="151"/>
      <c r="S1755" s="152"/>
      <c r="T1755" s="153"/>
      <c r="U1755" s="152"/>
      <c r="V1755" s="152"/>
      <c r="W1755" s="152"/>
      <c r="X1755" s="152"/>
      <c r="Y1755" s="153"/>
      <c r="Z1755" s="125" t="str">
        <f t="shared" si="16"/>
        <v/>
      </c>
      <c r="AA1755" s="126" t="str">
        <f t="shared" si="17"/>
        <v/>
      </c>
      <c r="AB1755" s="117" t="str">
        <f t="shared" si="19"/>
        <v/>
      </c>
      <c r="AC1755" s="152"/>
      <c r="AD1755" s="153"/>
      <c r="AE1755" s="156"/>
    </row>
    <row r="1756" ht="18.0" customHeight="1">
      <c r="A1756" s="127" t="str">
        <f t="shared" si="15"/>
        <v/>
      </c>
      <c r="B1756" s="128"/>
      <c r="C1756" s="129"/>
      <c r="D1756" s="129"/>
      <c r="E1756" s="325"/>
      <c r="F1756" s="131"/>
      <c r="G1756" s="319"/>
      <c r="H1756" s="319"/>
      <c r="I1756" s="319"/>
      <c r="J1756" s="132"/>
      <c r="K1756" s="319"/>
      <c r="L1756" s="135"/>
      <c r="M1756" s="321"/>
      <c r="N1756" s="322"/>
      <c r="O1756" s="150"/>
      <c r="P1756" s="135"/>
      <c r="Q1756" s="135"/>
      <c r="R1756" s="321"/>
      <c r="S1756" s="322"/>
      <c r="T1756" s="319"/>
      <c r="U1756" s="322"/>
      <c r="V1756" s="322"/>
      <c r="W1756" s="322"/>
      <c r="X1756" s="322"/>
      <c r="Y1756" s="319"/>
      <c r="Z1756" s="136" t="str">
        <f t="shared" si="16"/>
        <v/>
      </c>
      <c r="AA1756" s="137" t="str">
        <f t="shared" si="17"/>
        <v/>
      </c>
      <c r="AB1756" s="138" t="str">
        <f t="shared" si="19"/>
        <v/>
      </c>
      <c r="AC1756" s="322"/>
      <c r="AD1756" s="319"/>
      <c r="AE1756" s="320"/>
    </row>
    <row r="1757" ht="18.0" customHeight="1">
      <c r="A1757" s="118" t="str">
        <f t="shared" si="15"/>
        <v/>
      </c>
      <c r="B1757" s="109"/>
      <c r="C1757" s="119"/>
      <c r="D1757" s="119"/>
      <c r="E1757" s="330"/>
      <c r="F1757" s="121"/>
      <c r="G1757" s="153"/>
      <c r="H1757" s="153"/>
      <c r="I1757" s="153"/>
      <c r="J1757" s="112"/>
      <c r="K1757" s="153"/>
      <c r="L1757" s="114"/>
      <c r="M1757" s="151"/>
      <c r="N1757" s="152"/>
      <c r="O1757" s="150"/>
      <c r="P1757" s="114"/>
      <c r="Q1757" s="114"/>
      <c r="R1757" s="151"/>
      <c r="S1757" s="152"/>
      <c r="T1757" s="153"/>
      <c r="U1757" s="152"/>
      <c r="V1757" s="152"/>
      <c r="W1757" s="152"/>
      <c r="X1757" s="152"/>
      <c r="Y1757" s="153"/>
      <c r="Z1757" s="125" t="str">
        <f t="shared" si="16"/>
        <v/>
      </c>
      <c r="AA1757" s="126" t="str">
        <f t="shared" si="17"/>
        <v/>
      </c>
      <c r="AB1757" s="117" t="str">
        <f t="shared" si="19"/>
        <v/>
      </c>
      <c r="AC1757" s="152"/>
      <c r="AD1757" s="153"/>
      <c r="AE1757" s="156"/>
    </row>
    <row r="1758" ht="18.0" customHeight="1">
      <c r="A1758" s="127" t="str">
        <f t="shared" si="15"/>
        <v/>
      </c>
      <c r="B1758" s="128"/>
      <c r="C1758" s="129"/>
      <c r="D1758" s="129"/>
      <c r="E1758" s="325"/>
      <c r="F1758" s="131"/>
      <c r="G1758" s="319"/>
      <c r="H1758" s="319"/>
      <c r="I1758" s="319"/>
      <c r="J1758" s="132"/>
      <c r="K1758" s="319"/>
      <c r="L1758" s="135"/>
      <c r="M1758" s="321"/>
      <c r="N1758" s="322"/>
      <c r="O1758" s="150"/>
      <c r="P1758" s="135"/>
      <c r="Q1758" s="135"/>
      <c r="R1758" s="321"/>
      <c r="S1758" s="322"/>
      <c r="T1758" s="319"/>
      <c r="U1758" s="322"/>
      <c r="V1758" s="322"/>
      <c r="W1758" s="322"/>
      <c r="X1758" s="322"/>
      <c r="Y1758" s="319"/>
      <c r="Z1758" s="136" t="str">
        <f t="shared" si="16"/>
        <v/>
      </c>
      <c r="AA1758" s="137" t="str">
        <f t="shared" si="17"/>
        <v/>
      </c>
      <c r="AB1758" s="138" t="str">
        <f t="shared" si="19"/>
        <v/>
      </c>
      <c r="AC1758" s="322"/>
      <c r="AD1758" s="319"/>
      <c r="AE1758" s="320"/>
    </row>
    <row r="1759" ht="18.0" customHeight="1">
      <c r="A1759" s="118" t="str">
        <f t="shared" si="15"/>
        <v/>
      </c>
      <c r="B1759" s="109"/>
      <c r="C1759" s="119"/>
      <c r="D1759" s="119"/>
      <c r="E1759" s="330"/>
      <c r="F1759" s="121"/>
      <c r="G1759" s="153"/>
      <c r="H1759" s="153"/>
      <c r="I1759" s="153"/>
      <c r="J1759" s="112"/>
      <c r="K1759" s="153"/>
      <c r="L1759" s="114"/>
      <c r="M1759" s="151"/>
      <c r="N1759" s="152"/>
      <c r="O1759" s="150"/>
      <c r="P1759" s="114"/>
      <c r="Q1759" s="114"/>
      <c r="R1759" s="151"/>
      <c r="S1759" s="152"/>
      <c r="T1759" s="153"/>
      <c r="U1759" s="152"/>
      <c r="V1759" s="152"/>
      <c r="W1759" s="152"/>
      <c r="X1759" s="152"/>
      <c r="Y1759" s="153"/>
      <c r="Z1759" s="125" t="str">
        <f t="shared" si="16"/>
        <v/>
      </c>
      <c r="AA1759" s="126" t="str">
        <f t="shared" si="17"/>
        <v/>
      </c>
      <c r="AB1759" s="117" t="str">
        <f t="shared" si="19"/>
        <v/>
      </c>
      <c r="AC1759" s="152"/>
      <c r="AD1759" s="153"/>
      <c r="AE1759" s="156"/>
    </row>
    <row r="1760" ht="18.0" customHeight="1">
      <c r="A1760" s="127" t="str">
        <f t="shared" si="15"/>
        <v/>
      </c>
      <c r="B1760" s="128"/>
      <c r="C1760" s="129"/>
      <c r="D1760" s="129"/>
      <c r="E1760" s="325"/>
      <c r="F1760" s="131"/>
      <c r="G1760" s="319"/>
      <c r="H1760" s="319"/>
      <c r="I1760" s="319"/>
      <c r="J1760" s="132"/>
      <c r="K1760" s="319"/>
      <c r="L1760" s="135"/>
      <c r="M1760" s="321"/>
      <c r="N1760" s="322"/>
      <c r="O1760" s="150"/>
      <c r="P1760" s="135"/>
      <c r="Q1760" s="135"/>
      <c r="R1760" s="321"/>
      <c r="S1760" s="322"/>
      <c r="T1760" s="319"/>
      <c r="U1760" s="322"/>
      <c r="V1760" s="322"/>
      <c r="W1760" s="322"/>
      <c r="X1760" s="322"/>
      <c r="Y1760" s="319"/>
      <c r="Z1760" s="136" t="str">
        <f t="shared" si="16"/>
        <v/>
      </c>
      <c r="AA1760" s="137" t="str">
        <f t="shared" si="17"/>
        <v/>
      </c>
      <c r="AB1760" s="138" t="str">
        <f t="shared" si="19"/>
        <v/>
      </c>
      <c r="AC1760" s="322"/>
      <c r="AD1760" s="319"/>
      <c r="AE1760" s="320"/>
    </row>
    <row r="1761" ht="18.0" customHeight="1">
      <c r="A1761" s="118" t="str">
        <f t="shared" si="15"/>
        <v/>
      </c>
      <c r="B1761" s="109"/>
      <c r="C1761" s="119"/>
      <c r="D1761" s="119"/>
      <c r="E1761" s="330"/>
      <c r="F1761" s="121"/>
      <c r="G1761" s="153"/>
      <c r="H1761" s="153"/>
      <c r="I1761" s="153"/>
      <c r="J1761" s="112"/>
      <c r="K1761" s="153"/>
      <c r="L1761" s="114"/>
      <c r="M1761" s="151"/>
      <c r="N1761" s="152"/>
      <c r="O1761" s="150"/>
      <c r="P1761" s="114"/>
      <c r="Q1761" s="114"/>
      <c r="R1761" s="151"/>
      <c r="S1761" s="152"/>
      <c r="T1761" s="153"/>
      <c r="U1761" s="152"/>
      <c r="V1761" s="152"/>
      <c r="W1761" s="152"/>
      <c r="X1761" s="152"/>
      <c r="Y1761" s="153"/>
      <c r="Z1761" s="125" t="str">
        <f t="shared" si="16"/>
        <v/>
      </c>
      <c r="AA1761" s="126" t="str">
        <f t="shared" si="17"/>
        <v/>
      </c>
      <c r="AB1761" s="117" t="str">
        <f t="shared" si="19"/>
        <v/>
      </c>
      <c r="AC1761" s="152"/>
      <c r="AD1761" s="153"/>
      <c r="AE1761" s="156"/>
    </row>
    <row r="1762" ht="18.0" customHeight="1">
      <c r="A1762" s="127" t="str">
        <f t="shared" si="15"/>
        <v/>
      </c>
      <c r="B1762" s="128"/>
      <c r="C1762" s="129"/>
      <c r="D1762" s="129"/>
      <c r="E1762" s="325"/>
      <c r="F1762" s="131"/>
      <c r="G1762" s="319"/>
      <c r="H1762" s="319"/>
      <c r="I1762" s="319"/>
      <c r="J1762" s="132"/>
      <c r="K1762" s="319"/>
      <c r="L1762" s="135"/>
      <c r="M1762" s="321"/>
      <c r="N1762" s="322"/>
      <c r="O1762" s="150"/>
      <c r="P1762" s="135"/>
      <c r="Q1762" s="135"/>
      <c r="R1762" s="321"/>
      <c r="S1762" s="322"/>
      <c r="T1762" s="319"/>
      <c r="U1762" s="322"/>
      <c r="V1762" s="322"/>
      <c r="W1762" s="322"/>
      <c r="X1762" s="322"/>
      <c r="Y1762" s="319"/>
      <c r="Z1762" s="136" t="str">
        <f t="shared" si="16"/>
        <v/>
      </c>
      <c r="AA1762" s="137" t="str">
        <f t="shared" si="17"/>
        <v/>
      </c>
      <c r="AB1762" s="138" t="str">
        <f t="shared" si="19"/>
        <v/>
      </c>
      <c r="AC1762" s="322"/>
      <c r="AD1762" s="319"/>
      <c r="AE1762" s="320"/>
    </row>
    <row r="1763" ht="18.0" customHeight="1">
      <c r="A1763" s="118" t="str">
        <f t="shared" si="15"/>
        <v/>
      </c>
      <c r="B1763" s="109"/>
      <c r="C1763" s="119"/>
      <c r="D1763" s="119"/>
      <c r="E1763" s="330"/>
      <c r="F1763" s="121"/>
      <c r="G1763" s="153"/>
      <c r="H1763" s="153"/>
      <c r="I1763" s="153"/>
      <c r="J1763" s="112"/>
      <c r="K1763" s="153"/>
      <c r="L1763" s="114"/>
      <c r="M1763" s="151"/>
      <c r="N1763" s="152"/>
      <c r="O1763" s="150"/>
      <c r="P1763" s="114"/>
      <c r="Q1763" s="114"/>
      <c r="R1763" s="151"/>
      <c r="S1763" s="152"/>
      <c r="T1763" s="153"/>
      <c r="U1763" s="152"/>
      <c r="V1763" s="152"/>
      <c r="W1763" s="152"/>
      <c r="X1763" s="152"/>
      <c r="Y1763" s="153"/>
      <c r="Z1763" s="125" t="str">
        <f t="shared" si="16"/>
        <v/>
      </c>
      <c r="AA1763" s="126" t="str">
        <f t="shared" si="17"/>
        <v/>
      </c>
      <c r="AB1763" s="117" t="str">
        <f t="shared" si="19"/>
        <v/>
      </c>
      <c r="AC1763" s="152"/>
      <c r="AD1763" s="153"/>
      <c r="AE1763" s="156"/>
    </row>
    <row r="1764" ht="18.0" customHeight="1">
      <c r="A1764" s="127" t="str">
        <f t="shared" si="15"/>
        <v/>
      </c>
      <c r="B1764" s="128"/>
      <c r="C1764" s="129"/>
      <c r="D1764" s="129"/>
      <c r="E1764" s="325"/>
      <c r="F1764" s="131"/>
      <c r="G1764" s="319"/>
      <c r="H1764" s="319"/>
      <c r="I1764" s="319"/>
      <c r="J1764" s="132"/>
      <c r="K1764" s="319"/>
      <c r="L1764" s="135"/>
      <c r="M1764" s="321"/>
      <c r="N1764" s="322"/>
      <c r="O1764" s="150"/>
      <c r="P1764" s="135"/>
      <c r="Q1764" s="135"/>
      <c r="R1764" s="321"/>
      <c r="S1764" s="322"/>
      <c r="T1764" s="319"/>
      <c r="U1764" s="322"/>
      <c r="V1764" s="322"/>
      <c r="W1764" s="322"/>
      <c r="X1764" s="322"/>
      <c r="Y1764" s="319"/>
      <c r="Z1764" s="136" t="str">
        <f t="shared" si="16"/>
        <v/>
      </c>
      <c r="AA1764" s="137" t="str">
        <f t="shared" si="17"/>
        <v/>
      </c>
      <c r="AB1764" s="138" t="str">
        <f t="shared" si="19"/>
        <v/>
      </c>
      <c r="AC1764" s="322"/>
      <c r="AD1764" s="319"/>
      <c r="AE1764" s="320"/>
    </row>
    <row r="1765" ht="18.0" customHeight="1">
      <c r="A1765" s="118" t="str">
        <f t="shared" si="15"/>
        <v/>
      </c>
      <c r="B1765" s="109"/>
      <c r="C1765" s="119"/>
      <c r="D1765" s="119"/>
      <c r="E1765" s="330"/>
      <c r="F1765" s="121"/>
      <c r="G1765" s="153"/>
      <c r="H1765" s="153"/>
      <c r="I1765" s="153"/>
      <c r="J1765" s="112"/>
      <c r="K1765" s="153"/>
      <c r="L1765" s="114"/>
      <c r="M1765" s="151"/>
      <c r="N1765" s="152"/>
      <c r="O1765" s="150"/>
      <c r="P1765" s="114"/>
      <c r="Q1765" s="114"/>
      <c r="R1765" s="151"/>
      <c r="S1765" s="152"/>
      <c r="T1765" s="153"/>
      <c r="U1765" s="152"/>
      <c r="V1765" s="152"/>
      <c r="W1765" s="152"/>
      <c r="X1765" s="152"/>
      <c r="Y1765" s="153"/>
      <c r="Z1765" s="125" t="str">
        <f t="shared" si="16"/>
        <v/>
      </c>
      <c r="AA1765" s="126" t="str">
        <f t="shared" si="17"/>
        <v/>
      </c>
      <c r="AB1765" s="117" t="str">
        <f t="shared" si="19"/>
        <v/>
      </c>
      <c r="AC1765" s="152"/>
      <c r="AD1765" s="153"/>
      <c r="AE1765" s="156"/>
    </row>
    <row r="1766" ht="18.0" customHeight="1">
      <c r="A1766" s="127" t="str">
        <f t="shared" si="15"/>
        <v/>
      </c>
      <c r="B1766" s="128"/>
      <c r="C1766" s="129"/>
      <c r="D1766" s="129"/>
      <c r="E1766" s="325"/>
      <c r="F1766" s="131"/>
      <c r="G1766" s="319"/>
      <c r="H1766" s="319"/>
      <c r="I1766" s="319"/>
      <c r="J1766" s="132"/>
      <c r="K1766" s="319"/>
      <c r="L1766" s="135"/>
      <c r="M1766" s="321"/>
      <c r="N1766" s="322"/>
      <c r="O1766" s="150"/>
      <c r="P1766" s="135"/>
      <c r="Q1766" s="135"/>
      <c r="R1766" s="321"/>
      <c r="S1766" s="322"/>
      <c r="T1766" s="319"/>
      <c r="U1766" s="322"/>
      <c r="V1766" s="322"/>
      <c r="W1766" s="322"/>
      <c r="X1766" s="322"/>
      <c r="Y1766" s="319"/>
      <c r="Z1766" s="136" t="str">
        <f t="shared" si="16"/>
        <v/>
      </c>
      <c r="AA1766" s="137" t="str">
        <f t="shared" si="17"/>
        <v/>
      </c>
      <c r="AB1766" s="138" t="str">
        <f t="shared" si="19"/>
        <v/>
      </c>
      <c r="AC1766" s="322"/>
      <c r="AD1766" s="319"/>
      <c r="AE1766" s="320"/>
    </row>
    <row r="1767" ht="18.0" customHeight="1">
      <c r="A1767" s="118" t="str">
        <f t="shared" si="15"/>
        <v/>
      </c>
      <c r="B1767" s="109"/>
      <c r="C1767" s="119"/>
      <c r="D1767" s="119"/>
      <c r="E1767" s="330"/>
      <c r="F1767" s="121"/>
      <c r="G1767" s="153"/>
      <c r="H1767" s="153"/>
      <c r="I1767" s="153"/>
      <c r="J1767" s="112"/>
      <c r="K1767" s="153"/>
      <c r="L1767" s="114"/>
      <c r="M1767" s="151"/>
      <c r="N1767" s="152"/>
      <c r="O1767" s="150"/>
      <c r="P1767" s="114"/>
      <c r="Q1767" s="114"/>
      <c r="R1767" s="151"/>
      <c r="S1767" s="152"/>
      <c r="T1767" s="153"/>
      <c r="U1767" s="152"/>
      <c r="V1767" s="152"/>
      <c r="W1767" s="152"/>
      <c r="X1767" s="152"/>
      <c r="Y1767" s="153"/>
      <c r="Z1767" s="125" t="str">
        <f t="shared" si="16"/>
        <v/>
      </c>
      <c r="AA1767" s="126" t="str">
        <f t="shared" si="17"/>
        <v/>
      </c>
      <c r="AB1767" s="117" t="str">
        <f t="shared" si="19"/>
        <v/>
      </c>
      <c r="AC1767" s="152"/>
      <c r="AD1767" s="153"/>
      <c r="AE1767" s="156"/>
    </row>
    <row r="1768" ht="18.0" customHeight="1">
      <c r="A1768" s="127" t="str">
        <f t="shared" si="15"/>
        <v/>
      </c>
      <c r="B1768" s="128"/>
      <c r="C1768" s="129"/>
      <c r="D1768" s="129"/>
      <c r="E1768" s="325"/>
      <c r="F1768" s="131"/>
      <c r="G1768" s="319"/>
      <c r="H1768" s="319"/>
      <c r="I1768" s="319"/>
      <c r="J1768" s="132"/>
      <c r="K1768" s="319"/>
      <c r="L1768" s="135"/>
      <c r="M1768" s="321"/>
      <c r="N1768" s="322"/>
      <c r="O1768" s="150"/>
      <c r="P1768" s="135"/>
      <c r="Q1768" s="135"/>
      <c r="R1768" s="321"/>
      <c r="S1768" s="322"/>
      <c r="T1768" s="319"/>
      <c r="U1768" s="322"/>
      <c r="V1768" s="322"/>
      <c r="W1768" s="322"/>
      <c r="X1768" s="322"/>
      <c r="Y1768" s="319"/>
      <c r="Z1768" s="136" t="str">
        <f t="shared" si="16"/>
        <v/>
      </c>
      <c r="AA1768" s="137" t="str">
        <f t="shared" si="17"/>
        <v/>
      </c>
      <c r="AB1768" s="138" t="str">
        <f t="shared" si="19"/>
        <v/>
      </c>
      <c r="AC1768" s="322"/>
      <c r="AD1768" s="319"/>
      <c r="AE1768" s="320"/>
    </row>
    <row r="1769" ht="18.0" customHeight="1">
      <c r="A1769" s="118" t="str">
        <f t="shared" si="15"/>
        <v/>
      </c>
      <c r="B1769" s="109"/>
      <c r="C1769" s="119"/>
      <c r="D1769" s="119"/>
      <c r="E1769" s="330"/>
      <c r="F1769" s="121"/>
      <c r="G1769" s="153"/>
      <c r="H1769" s="153"/>
      <c r="I1769" s="153"/>
      <c r="J1769" s="112"/>
      <c r="K1769" s="153"/>
      <c r="L1769" s="114"/>
      <c r="M1769" s="151"/>
      <c r="N1769" s="152"/>
      <c r="O1769" s="150"/>
      <c r="P1769" s="114"/>
      <c r="Q1769" s="114"/>
      <c r="R1769" s="151"/>
      <c r="S1769" s="152"/>
      <c r="T1769" s="153"/>
      <c r="U1769" s="152"/>
      <c r="V1769" s="152"/>
      <c r="W1769" s="152"/>
      <c r="X1769" s="152"/>
      <c r="Y1769" s="153"/>
      <c r="Z1769" s="125" t="str">
        <f t="shared" si="16"/>
        <v/>
      </c>
      <c r="AA1769" s="126" t="str">
        <f t="shared" si="17"/>
        <v/>
      </c>
      <c r="AB1769" s="117" t="str">
        <f t="shared" si="19"/>
        <v/>
      </c>
      <c r="AC1769" s="152"/>
      <c r="AD1769" s="153"/>
      <c r="AE1769" s="156"/>
    </row>
    <row r="1770" ht="18.0" customHeight="1">
      <c r="A1770" s="127" t="str">
        <f t="shared" si="15"/>
        <v/>
      </c>
      <c r="B1770" s="128"/>
      <c r="C1770" s="129"/>
      <c r="D1770" s="129"/>
      <c r="E1770" s="325"/>
      <c r="F1770" s="131"/>
      <c r="G1770" s="319"/>
      <c r="H1770" s="319"/>
      <c r="I1770" s="319"/>
      <c r="J1770" s="132"/>
      <c r="K1770" s="319"/>
      <c r="L1770" s="135"/>
      <c r="M1770" s="321"/>
      <c r="N1770" s="322"/>
      <c r="O1770" s="150"/>
      <c r="P1770" s="135"/>
      <c r="Q1770" s="135"/>
      <c r="R1770" s="321"/>
      <c r="S1770" s="322"/>
      <c r="T1770" s="319"/>
      <c r="U1770" s="322"/>
      <c r="V1770" s="322"/>
      <c r="W1770" s="322"/>
      <c r="X1770" s="322"/>
      <c r="Y1770" s="319"/>
      <c r="Z1770" s="136" t="str">
        <f t="shared" si="16"/>
        <v/>
      </c>
      <c r="AA1770" s="137" t="str">
        <f t="shared" si="17"/>
        <v/>
      </c>
      <c r="AB1770" s="138" t="str">
        <f t="shared" si="19"/>
        <v/>
      </c>
      <c r="AC1770" s="322"/>
      <c r="AD1770" s="319"/>
      <c r="AE1770" s="320"/>
    </row>
    <row r="1771" ht="18.0" customHeight="1">
      <c r="A1771" s="118" t="str">
        <f t="shared" si="15"/>
        <v/>
      </c>
      <c r="B1771" s="109"/>
      <c r="C1771" s="119"/>
      <c r="D1771" s="119"/>
      <c r="E1771" s="330"/>
      <c r="F1771" s="121"/>
      <c r="G1771" s="153"/>
      <c r="H1771" s="153"/>
      <c r="I1771" s="153"/>
      <c r="J1771" s="112"/>
      <c r="K1771" s="153"/>
      <c r="L1771" s="114"/>
      <c r="M1771" s="151"/>
      <c r="N1771" s="152"/>
      <c r="O1771" s="150"/>
      <c r="P1771" s="114"/>
      <c r="Q1771" s="114"/>
      <c r="R1771" s="151"/>
      <c r="S1771" s="152"/>
      <c r="T1771" s="153"/>
      <c r="U1771" s="152"/>
      <c r="V1771" s="152"/>
      <c r="W1771" s="152"/>
      <c r="X1771" s="152"/>
      <c r="Y1771" s="153"/>
      <c r="Z1771" s="125" t="str">
        <f t="shared" si="16"/>
        <v/>
      </c>
      <c r="AA1771" s="126" t="str">
        <f t="shared" si="17"/>
        <v/>
      </c>
      <c r="AB1771" s="117" t="str">
        <f t="shared" si="19"/>
        <v/>
      </c>
      <c r="AC1771" s="152"/>
      <c r="AD1771" s="153"/>
      <c r="AE1771" s="156"/>
    </row>
    <row r="1772" ht="18.0" customHeight="1">
      <c r="A1772" s="127" t="str">
        <f t="shared" si="15"/>
        <v/>
      </c>
      <c r="B1772" s="128"/>
      <c r="C1772" s="129"/>
      <c r="D1772" s="129"/>
      <c r="E1772" s="325"/>
      <c r="F1772" s="131"/>
      <c r="G1772" s="319"/>
      <c r="H1772" s="319"/>
      <c r="I1772" s="319"/>
      <c r="J1772" s="132"/>
      <c r="K1772" s="319"/>
      <c r="L1772" s="135"/>
      <c r="M1772" s="321"/>
      <c r="N1772" s="322"/>
      <c r="O1772" s="150"/>
      <c r="P1772" s="135"/>
      <c r="Q1772" s="135"/>
      <c r="R1772" s="321"/>
      <c r="S1772" s="322"/>
      <c r="T1772" s="319"/>
      <c r="U1772" s="322"/>
      <c r="V1772" s="322"/>
      <c r="W1772" s="322"/>
      <c r="X1772" s="322"/>
      <c r="Y1772" s="319"/>
      <c r="Z1772" s="136" t="str">
        <f t="shared" si="16"/>
        <v/>
      </c>
      <c r="AA1772" s="137" t="str">
        <f t="shared" si="17"/>
        <v/>
      </c>
      <c r="AB1772" s="138" t="str">
        <f t="shared" si="19"/>
        <v/>
      </c>
      <c r="AC1772" s="322"/>
      <c r="AD1772" s="319"/>
      <c r="AE1772" s="320"/>
    </row>
    <row r="1773" ht="18.0" customHeight="1">
      <c r="A1773" s="118" t="str">
        <f t="shared" si="15"/>
        <v/>
      </c>
      <c r="B1773" s="109"/>
      <c r="C1773" s="119"/>
      <c r="D1773" s="119"/>
      <c r="E1773" s="330"/>
      <c r="F1773" s="121"/>
      <c r="G1773" s="153"/>
      <c r="H1773" s="153"/>
      <c r="I1773" s="153"/>
      <c r="J1773" s="112"/>
      <c r="K1773" s="153"/>
      <c r="L1773" s="114"/>
      <c r="M1773" s="151"/>
      <c r="N1773" s="152"/>
      <c r="O1773" s="150"/>
      <c r="P1773" s="114"/>
      <c r="Q1773" s="114"/>
      <c r="R1773" s="151"/>
      <c r="S1773" s="152"/>
      <c r="T1773" s="153"/>
      <c r="U1773" s="152"/>
      <c r="V1773" s="152"/>
      <c r="W1773" s="152"/>
      <c r="X1773" s="152"/>
      <c r="Y1773" s="153"/>
      <c r="Z1773" s="125" t="str">
        <f t="shared" si="16"/>
        <v/>
      </c>
      <c r="AA1773" s="126" t="str">
        <f t="shared" si="17"/>
        <v/>
      </c>
      <c r="AB1773" s="117" t="str">
        <f t="shared" si="19"/>
        <v/>
      </c>
      <c r="AC1773" s="152"/>
      <c r="AD1773" s="153"/>
      <c r="AE1773" s="156"/>
    </row>
    <row r="1774" ht="18.0" customHeight="1">
      <c r="A1774" s="127" t="str">
        <f t="shared" si="15"/>
        <v/>
      </c>
      <c r="B1774" s="128"/>
      <c r="C1774" s="129"/>
      <c r="D1774" s="129"/>
      <c r="E1774" s="325"/>
      <c r="F1774" s="131"/>
      <c r="G1774" s="319"/>
      <c r="H1774" s="319"/>
      <c r="I1774" s="319"/>
      <c r="J1774" s="132"/>
      <c r="K1774" s="319"/>
      <c r="L1774" s="135"/>
      <c r="M1774" s="321"/>
      <c r="N1774" s="322"/>
      <c r="O1774" s="150"/>
      <c r="P1774" s="135"/>
      <c r="Q1774" s="135"/>
      <c r="R1774" s="321"/>
      <c r="S1774" s="322"/>
      <c r="T1774" s="319"/>
      <c r="U1774" s="322"/>
      <c r="V1774" s="322"/>
      <c r="W1774" s="322"/>
      <c r="X1774" s="322"/>
      <c r="Y1774" s="319"/>
      <c r="Z1774" s="136" t="str">
        <f t="shared" si="16"/>
        <v/>
      </c>
      <c r="AA1774" s="137" t="str">
        <f t="shared" si="17"/>
        <v/>
      </c>
      <c r="AB1774" s="138" t="str">
        <f t="shared" si="19"/>
        <v/>
      </c>
      <c r="AC1774" s="322"/>
      <c r="AD1774" s="319"/>
      <c r="AE1774" s="320"/>
    </row>
    <row r="1775" ht="18.0" customHeight="1">
      <c r="A1775" s="118" t="str">
        <f t="shared" si="15"/>
        <v/>
      </c>
      <c r="B1775" s="109"/>
      <c r="C1775" s="119"/>
      <c r="D1775" s="119"/>
      <c r="E1775" s="330"/>
      <c r="F1775" s="121"/>
      <c r="G1775" s="153"/>
      <c r="H1775" s="153"/>
      <c r="I1775" s="153"/>
      <c r="J1775" s="112"/>
      <c r="K1775" s="153"/>
      <c r="L1775" s="114"/>
      <c r="M1775" s="151"/>
      <c r="N1775" s="152"/>
      <c r="O1775" s="150"/>
      <c r="P1775" s="114"/>
      <c r="Q1775" s="114"/>
      <c r="R1775" s="151"/>
      <c r="S1775" s="152"/>
      <c r="T1775" s="153"/>
      <c r="U1775" s="152"/>
      <c r="V1775" s="152"/>
      <c r="W1775" s="152"/>
      <c r="X1775" s="152"/>
      <c r="Y1775" s="153"/>
      <c r="Z1775" s="125" t="str">
        <f t="shared" si="16"/>
        <v/>
      </c>
      <c r="AA1775" s="126" t="str">
        <f t="shared" si="17"/>
        <v/>
      </c>
      <c r="AB1775" s="117" t="str">
        <f t="shared" si="19"/>
        <v/>
      </c>
      <c r="AC1775" s="152"/>
      <c r="AD1775" s="153"/>
      <c r="AE1775" s="156"/>
    </row>
    <row r="1776" ht="18.0" customHeight="1">
      <c r="A1776" s="127" t="str">
        <f t="shared" si="15"/>
        <v/>
      </c>
      <c r="B1776" s="128"/>
      <c r="C1776" s="129"/>
      <c r="D1776" s="129"/>
      <c r="E1776" s="325"/>
      <c r="F1776" s="131"/>
      <c r="G1776" s="319"/>
      <c r="H1776" s="319"/>
      <c r="I1776" s="319"/>
      <c r="J1776" s="132"/>
      <c r="K1776" s="319"/>
      <c r="L1776" s="135"/>
      <c r="M1776" s="321"/>
      <c r="N1776" s="322"/>
      <c r="O1776" s="150"/>
      <c r="P1776" s="135"/>
      <c r="Q1776" s="135"/>
      <c r="R1776" s="321"/>
      <c r="S1776" s="322"/>
      <c r="T1776" s="319"/>
      <c r="U1776" s="322"/>
      <c r="V1776" s="322"/>
      <c r="W1776" s="322"/>
      <c r="X1776" s="322"/>
      <c r="Y1776" s="319"/>
      <c r="Z1776" s="136" t="str">
        <f t="shared" si="16"/>
        <v/>
      </c>
      <c r="AA1776" s="137" t="str">
        <f t="shared" si="17"/>
        <v/>
      </c>
      <c r="AB1776" s="138" t="str">
        <f t="shared" si="19"/>
        <v/>
      </c>
      <c r="AC1776" s="322"/>
      <c r="AD1776" s="319"/>
      <c r="AE1776" s="320"/>
    </row>
    <row r="1777" ht="18.0" customHeight="1">
      <c r="A1777" s="118" t="str">
        <f t="shared" si="15"/>
        <v/>
      </c>
      <c r="B1777" s="109"/>
      <c r="C1777" s="119"/>
      <c r="D1777" s="119"/>
      <c r="E1777" s="330"/>
      <c r="F1777" s="121"/>
      <c r="G1777" s="153"/>
      <c r="H1777" s="153"/>
      <c r="I1777" s="153"/>
      <c r="J1777" s="112"/>
      <c r="K1777" s="153"/>
      <c r="L1777" s="114"/>
      <c r="M1777" s="151"/>
      <c r="N1777" s="152"/>
      <c r="O1777" s="150"/>
      <c r="P1777" s="114"/>
      <c r="Q1777" s="114"/>
      <c r="R1777" s="151"/>
      <c r="S1777" s="152"/>
      <c r="T1777" s="153"/>
      <c r="U1777" s="152"/>
      <c r="V1777" s="152"/>
      <c r="W1777" s="152"/>
      <c r="X1777" s="152"/>
      <c r="Y1777" s="153"/>
      <c r="Z1777" s="125" t="str">
        <f t="shared" si="16"/>
        <v/>
      </c>
      <c r="AA1777" s="126" t="str">
        <f t="shared" si="17"/>
        <v/>
      </c>
      <c r="AB1777" s="117" t="str">
        <f t="shared" si="19"/>
        <v/>
      </c>
      <c r="AC1777" s="152"/>
      <c r="AD1777" s="153"/>
      <c r="AE1777" s="156"/>
    </row>
    <row r="1778" ht="18.0" customHeight="1">
      <c r="A1778" s="127" t="str">
        <f t="shared" si="15"/>
        <v/>
      </c>
      <c r="B1778" s="128"/>
      <c r="C1778" s="129"/>
      <c r="D1778" s="129"/>
      <c r="E1778" s="325"/>
      <c r="F1778" s="131"/>
      <c r="G1778" s="319"/>
      <c r="H1778" s="319"/>
      <c r="I1778" s="319"/>
      <c r="J1778" s="132"/>
      <c r="K1778" s="319"/>
      <c r="L1778" s="135"/>
      <c r="M1778" s="321"/>
      <c r="N1778" s="322"/>
      <c r="O1778" s="150"/>
      <c r="P1778" s="135"/>
      <c r="Q1778" s="135"/>
      <c r="R1778" s="321"/>
      <c r="S1778" s="322"/>
      <c r="T1778" s="319"/>
      <c r="U1778" s="322"/>
      <c r="V1778" s="322"/>
      <c r="W1778" s="322"/>
      <c r="X1778" s="322"/>
      <c r="Y1778" s="319"/>
      <c r="Z1778" s="136" t="str">
        <f t="shared" si="16"/>
        <v/>
      </c>
      <c r="AA1778" s="137" t="str">
        <f t="shared" si="17"/>
        <v/>
      </c>
      <c r="AB1778" s="138" t="str">
        <f t="shared" si="19"/>
        <v/>
      </c>
      <c r="AC1778" s="322"/>
      <c r="AD1778" s="319"/>
      <c r="AE1778" s="320"/>
    </row>
    <row r="1779" ht="18.0" customHeight="1">
      <c r="A1779" s="118" t="str">
        <f t="shared" si="15"/>
        <v/>
      </c>
      <c r="B1779" s="109"/>
      <c r="C1779" s="119"/>
      <c r="D1779" s="119"/>
      <c r="E1779" s="330"/>
      <c r="F1779" s="121"/>
      <c r="G1779" s="153"/>
      <c r="H1779" s="153"/>
      <c r="I1779" s="153"/>
      <c r="J1779" s="112"/>
      <c r="K1779" s="153"/>
      <c r="L1779" s="114"/>
      <c r="M1779" s="151"/>
      <c r="N1779" s="152"/>
      <c r="O1779" s="150"/>
      <c r="P1779" s="114"/>
      <c r="Q1779" s="114"/>
      <c r="R1779" s="151"/>
      <c r="S1779" s="152"/>
      <c r="T1779" s="153"/>
      <c r="U1779" s="152"/>
      <c r="V1779" s="152"/>
      <c r="W1779" s="152"/>
      <c r="X1779" s="152"/>
      <c r="Y1779" s="153"/>
      <c r="Z1779" s="125" t="str">
        <f t="shared" si="16"/>
        <v/>
      </c>
      <c r="AA1779" s="126" t="str">
        <f t="shared" si="17"/>
        <v/>
      </c>
      <c r="AB1779" s="117" t="str">
        <f t="shared" si="19"/>
        <v/>
      </c>
      <c r="AC1779" s="152"/>
      <c r="AD1779" s="153"/>
      <c r="AE1779" s="156"/>
    </row>
    <row r="1780" ht="18.0" customHeight="1">
      <c r="A1780" s="127" t="str">
        <f t="shared" si="15"/>
        <v/>
      </c>
      <c r="B1780" s="128"/>
      <c r="C1780" s="129"/>
      <c r="D1780" s="129"/>
      <c r="E1780" s="325"/>
      <c r="F1780" s="131"/>
      <c r="G1780" s="319"/>
      <c r="H1780" s="319"/>
      <c r="I1780" s="319"/>
      <c r="J1780" s="132"/>
      <c r="K1780" s="319"/>
      <c r="L1780" s="135"/>
      <c r="M1780" s="321"/>
      <c r="N1780" s="322"/>
      <c r="O1780" s="150"/>
      <c r="P1780" s="135"/>
      <c r="Q1780" s="135"/>
      <c r="R1780" s="321"/>
      <c r="S1780" s="322"/>
      <c r="T1780" s="319"/>
      <c r="U1780" s="322"/>
      <c r="V1780" s="322"/>
      <c r="W1780" s="322"/>
      <c r="X1780" s="322"/>
      <c r="Y1780" s="319"/>
      <c r="Z1780" s="136" t="str">
        <f t="shared" si="16"/>
        <v/>
      </c>
      <c r="AA1780" s="137" t="str">
        <f t="shared" si="17"/>
        <v/>
      </c>
      <c r="AB1780" s="138" t="str">
        <f t="shared" si="19"/>
        <v/>
      </c>
      <c r="AC1780" s="322"/>
      <c r="AD1780" s="319"/>
      <c r="AE1780" s="320"/>
    </row>
    <row r="1781" ht="18.0" customHeight="1">
      <c r="A1781" s="118" t="str">
        <f t="shared" si="15"/>
        <v/>
      </c>
      <c r="B1781" s="109"/>
      <c r="C1781" s="119"/>
      <c r="D1781" s="119"/>
      <c r="E1781" s="330"/>
      <c r="F1781" s="121"/>
      <c r="G1781" s="153"/>
      <c r="H1781" s="153"/>
      <c r="I1781" s="153"/>
      <c r="J1781" s="112"/>
      <c r="K1781" s="153"/>
      <c r="L1781" s="114"/>
      <c r="M1781" s="151"/>
      <c r="N1781" s="152"/>
      <c r="O1781" s="150"/>
      <c r="P1781" s="114"/>
      <c r="Q1781" s="114"/>
      <c r="R1781" s="151"/>
      <c r="S1781" s="152"/>
      <c r="T1781" s="153"/>
      <c r="U1781" s="152"/>
      <c r="V1781" s="152"/>
      <c r="W1781" s="152"/>
      <c r="X1781" s="152"/>
      <c r="Y1781" s="153"/>
      <c r="Z1781" s="125" t="str">
        <f t="shared" si="16"/>
        <v/>
      </c>
      <c r="AA1781" s="126" t="str">
        <f t="shared" si="17"/>
        <v/>
      </c>
      <c r="AB1781" s="117" t="str">
        <f t="shared" si="19"/>
        <v/>
      </c>
      <c r="AC1781" s="152"/>
      <c r="AD1781" s="153"/>
      <c r="AE1781" s="156"/>
    </row>
    <row r="1782" ht="18.0" customHeight="1">
      <c r="A1782" s="127" t="str">
        <f t="shared" si="15"/>
        <v/>
      </c>
      <c r="B1782" s="128"/>
      <c r="C1782" s="129"/>
      <c r="D1782" s="129"/>
      <c r="E1782" s="325"/>
      <c r="F1782" s="131"/>
      <c r="G1782" s="319"/>
      <c r="H1782" s="319"/>
      <c r="I1782" s="319"/>
      <c r="J1782" s="132"/>
      <c r="K1782" s="319"/>
      <c r="L1782" s="135"/>
      <c r="M1782" s="321"/>
      <c r="N1782" s="322"/>
      <c r="O1782" s="150"/>
      <c r="P1782" s="135"/>
      <c r="Q1782" s="135"/>
      <c r="R1782" s="321"/>
      <c r="S1782" s="322"/>
      <c r="T1782" s="319"/>
      <c r="U1782" s="322"/>
      <c r="V1782" s="322"/>
      <c r="W1782" s="322"/>
      <c r="X1782" s="322"/>
      <c r="Y1782" s="319"/>
      <c r="Z1782" s="136" t="str">
        <f t="shared" si="16"/>
        <v/>
      </c>
      <c r="AA1782" s="137" t="str">
        <f t="shared" si="17"/>
        <v/>
      </c>
      <c r="AB1782" s="138" t="str">
        <f t="shared" si="19"/>
        <v/>
      </c>
      <c r="AC1782" s="322"/>
      <c r="AD1782" s="319"/>
      <c r="AE1782" s="320"/>
    </row>
    <row r="1783" ht="18.0" customHeight="1">
      <c r="A1783" s="118" t="str">
        <f t="shared" si="15"/>
        <v/>
      </c>
      <c r="B1783" s="109"/>
      <c r="C1783" s="119"/>
      <c r="D1783" s="119"/>
      <c r="E1783" s="330"/>
      <c r="F1783" s="121"/>
      <c r="G1783" s="153"/>
      <c r="H1783" s="153"/>
      <c r="I1783" s="153"/>
      <c r="J1783" s="112"/>
      <c r="K1783" s="153"/>
      <c r="L1783" s="114"/>
      <c r="M1783" s="151"/>
      <c r="N1783" s="152"/>
      <c r="O1783" s="150"/>
      <c r="P1783" s="114"/>
      <c r="Q1783" s="114"/>
      <c r="R1783" s="151"/>
      <c r="S1783" s="152"/>
      <c r="T1783" s="153"/>
      <c r="U1783" s="152"/>
      <c r="V1783" s="152"/>
      <c r="W1783" s="152"/>
      <c r="X1783" s="152"/>
      <c r="Y1783" s="153"/>
      <c r="Z1783" s="125" t="str">
        <f t="shared" si="16"/>
        <v/>
      </c>
      <c r="AA1783" s="126" t="str">
        <f t="shared" si="17"/>
        <v/>
      </c>
      <c r="AB1783" s="117" t="str">
        <f t="shared" si="19"/>
        <v/>
      </c>
      <c r="AC1783" s="152"/>
      <c r="AD1783" s="153"/>
      <c r="AE1783" s="156"/>
    </row>
    <row r="1784" ht="18.0" customHeight="1">
      <c r="A1784" s="127" t="str">
        <f t="shared" si="15"/>
        <v/>
      </c>
      <c r="B1784" s="128"/>
      <c r="C1784" s="129"/>
      <c r="D1784" s="129"/>
      <c r="E1784" s="325"/>
      <c r="F1784" s="131"/>
      <c r="G1784" s="319"/>
      <c r="H1784" s="319"/>
      <c r="I1784" s="319"/>
      <c r="J1784" s="132"/>
      <c r="K1784" s="319"/>
      <c r="L1784" s="135"/>
      <c r="M1784" s="321"/>
      <c r="N1784" s="322"/>
      <c r="O1784" s="150"/>
      <c r="P1784" s="135"/>
      <c r="Q1784" s="135"/>
      <c r="R1784" s="321"/>
      <c r="S1784" s="322"/>
      <c r="T1784" s="319"/>
      <c r="U1784" s="322"/>
      <c r="V1784" s="322"/>
      <c r="W1784" s="322"/>
      <c r="X1784" s="322"/>
      <c r="Y1784" s="319"/>
      <c r="Z1784" s="136" t="str">
        <f t="shared" si="16"/>
        <v/>
      </c>
      <c r="AA1784" s="137" t="str">
        <f t="shared" si="17"/>
        <v/>
      </c>
      <c r="AB1784" s="138" t="str">
        <f t="shared" si="19"/>
        <v/>
      </c>
      <c r="AC1784" s="322"/>
      <c r="AD1784" s="319"/>
      <c r="AE1784" s="320"/>
    </row>
    <row r="1785" ht="18.0" customHeight="1">
      <c r="A1785" s="118" t="str">
        <f t="shared" si="15"/>
        <v/>
      </c>
      <c r="B1785" s="109"/>
      <c r="C1785" s="119"/>
      <c r="D1785" s="119"/>
      <c r="E1785" s="330"/>
      <c r="F1785" s="121"/>
      <c r="G1785" s="153"/>
      <c r="H1785" s="153"/>
      <c r="I1785" s="153"/>
      <c r="J1785" s="112"/>
      <c r="K1785" s="153"/>
      <c r="L1785" s="114"/>
      <c r="M1785" s="151"/>
      <c r="N1785" s="152"/>
      <c r="O1785" s="150"/>
      <c r="P1785" s="114"/>
      <c r="Q1785" s="114"/>
      <c r="R1785" s="151"/>
      <c r="S1785" s="152"/>
      <c r="T1785" s="153"/>
      <c r="U1785" s="152"/>
      <c r="V1785" s="152"/>
      <c r="W1785" s="152"/>
      <c r="X1785" s="152"/>
      <c r="Y1785" s="153"/>
      <c r="Z1785" s="125" t="str">
        <f t="shared" si="16"/>
        <v/>
      </c>
      <c r="AA1785" s="126" t="str">
        <f t="shared" si="17"/>
        <v/>
      </c>
      <c r="AB1785" s="117" t="str">
        <f t="shared" si="19"/>
        <v/>
      </c>
      <c r="AC1785" s="152"/>
      <c r="AD1785" s="153"/>
      <c r="AE1785" s="156"/>
    </row>
    <row r="1786" ht="18.0" customHeight="1">
      <c r="A1786" s="127" t="str">
        <f t="shared" si="15"/>
        <v/>
      </c>
      <c r="B1786" s="128"/>
      <c r="C1786" s="129"/>
      <c r="D1786" s="129"/>
      <c r="E1786" s="325"/>
      <c r="F1786" s="131"/>
      <c r="G1786" s="319"/>
      <c r="H1786" s="319"/>
      <c r="I1786" s="319"/>
      <c r="J1786" s="132"/>
      <c r="K1786" s="319"/>
      <c r="L1786" s="135"/>
      <c r="M1786" s="321"/>
      <c r="N1786" s="322"/>
      <c r="O1786" s="150"/>
      <c r="P1786" s="135"/>
      <c r="Q1786" s="135"/>
      <c r="R1786" s="321"/>
      <c r="S1786" s="322"/>
      <c r="T1786" s="319"/>
      <c r="U1786" s="322"/>
      <c r="V1786" s="322"/>
      <c r="W1786" s="322"/>
      <c r="X1786" s="322"/>
      <c r="Y1786" s="319"/>
      <c r="Z1786" s="136" t="str">
        <f t="shared" si="16"/>
        <v/>
      </c>
      <c r="AA1786" s="137" t="str">
        <f t="shared" si="17"/>
        <v/>
      </c>
      <c r="AB1786" s="138" t="str">
        <f t="shared" si="19"/>
        <v/>
      </c>
      <c r="AC1786" s="322"/>
      <c r="AD1786" s="319"/>
      <c r="AE1786" s="320"/>
    </row>
    <row r="1787" ht="18.0" customHeight="1">
      <c r="A1787" s="118" t="str">
        <f t="shared" si="15"/>
        <v/>
      </c>
      <c r="B1787" s="109"/>
      <c r="C1787" s="119"/>
      <c r="D1787" s="119"/>
      <c r="E1787" s="330"/>
      <c r="F1787" s="121"/>
      <c r="G1787" s="153"/>
      <c r="H1787" s="153"/>
      <c r="I1787" s="153"/>
      <c r="J1787" s="112"/>
      <c r="K1787" s="153"/>
      <c r="L1787" s="114"/>
      <c r="M1787" s="151"/>
      <c r="N1787" s="152"/>
      <c r="O1787" s="150"/>
      <c r="P1787" s="114"/>
      <c r="Q1787" s="114"/>
      <c r="R1787" s="151"/>
      <c r="S1787" s="152"/>
      <c r="T1787" s="153"/>
      <c r="U1787" s="152"/>
      <c r="V1787" s="152"/>
      <c r="W1787" s="152"/>
      <c r="X1787" s="152"/>
      <c r="Y1787" s="153"/>
      <c r="Z1787" s="125" t="str">
        <f t="shared" si="16"/>
        <v/>
      </c>
      <c r="AA1787" s="126" t="str">
        <f t="shared" si="17"/>
        <v/>
      </c>
      <c r="AB1787" s="117" t="str">
        <f t="shared" si="19"/>
        <v/>
      </c>
      <c r="AC1787" s="152"/>
      <c r="AD1787" s="153"/>
      <c r="AE1787" s="156"/>
    </row>
    <row r="1788" ht="18.0" customHeight="1">
      <c r="A1788" s="127" t="str">
        <f t="shared" si="15"/>
        <v/>
      </c>
      <c r="B1788" s="128"/>
      <c r="C1788" s="129"/>
      <c r="D1788" s="129"/>
      <c r="E1788" s="325"/>
      <c r="F1788" s="131"/>
      <c r="G1788" s="319"/>
      <c r="H1788" s="319"/>
      <c r="I1788" s="319"/>
      <c r="J1788" s="132"/>
      <c r="K1788" s="319"/>
      <c r="L1788" s="135"/>
      <c r="M1788" s="321"/>
      <c r="N1788" s="322"/>
      <c r="O1788" s="150"/>
      <c r="P1788" s="135"/>
      <c r="Q1788" s="135"/>
      <c r="R1788" s="321"/>
      <c r="S1788" s="322"/>
      <c r="T1788" s="319"/>
      <c r="U1788" s="322"/>
      <c r="V1788" s="322"/>
      <c r="W1788" s="322"/>
      <c r="X1788" s="322"/>
      <c r="Y1788" s="319"/>
      <c r="Z1788" s="136" t="str">
        <f t="shared" si="16"/>
        <v/>
      </c>
      <c r="AA1788" s="137" t="str">
        <f t="shared" si="17"/>
        <v/>
      </c>
      <c r="AB1788" s="138" t="str">
        <f t="shared" si="19"/>
        <v/>
      </c>
      <c r="AC1788" s="322"/>
      <c r="AD1788" s="319"/>
      <c r="AE1788" s="320"/>
    </row>
    <row r="1789" ht="18.0" customHeight="1">
      <c r="A1789" s="118" t="str">
        <f t="shared" si="15"/>
        <v/>
      </c>
      <c r="B1789" s="109"/>
      <c r="C1789" s="119"/>
      <c r="D1789" s="119"/>
      <c r="E1789" s="330"/>
      <c r="F1789" s="121"/>
      <c r="G1789" s="153"/>
      <c r="H1789" s="153"/>
      <c r="I1789" s="153"/>
      <c r="J1789" s="112"/>
      <c r="K1789" s="153"/>
      <c r="L1789" s="114"/>
      <c r="M1789" s="151"/>
      <c r="N1789" s="152"/>
      <c r="O1789" s="150"/>
      <c r="P1789" s="114"/>
      <c r="Q1789" s="114"/>
      <c r="R1789" s="151"/>
      <c r="S1789" s="152"/>
      <c r="T1789" s="153"/>
      <c r="U1789" s="152"/>
      <c r="V1789" s="152"/>
      <c r="W1789" s="152"/>
      <c r="X1789" s="152"/>
      <c r="Y1789" s="153"/>
      <c r="Z1789" s="125" t="str">
        <f t="shared" si="16"/>
        <v/>
      </c>
      <c r="AA1789" s="126" t="str">
        <f t="shared" si="17"/>
        <v/>
      </c>
      <c r="AB1789" s="117" t="str">
        <f t="shared" si="19"/>
        <v/>
      </c>
      <c r="AC1789" s="152"/>
      <c r="AD1789" s="153"/>
      <c r="AE1789" s="156"/>
    </row>
    <row r="1790" ht="18.0" customHeight="1">
      <c r="A1790" s="127" t="str">
        <f t="shared" si="15"/>
        <v/>
      </c>
      <c r="B1790" s="128"/>
      <c r="C1790" s="129"/>
      <c r="D1790" s="129"/>
      <c r="E1790" s="325"/>
      <c r="F1790" s="131"/>
      <c r="G1790" s="319"/>
      <c r="H1790" s="319"/>
      <c r="I1790" s="319"/>
      <c r="J1790" s="132"/>
      <c r="K1790" s="319"/>
      <c r="L1790" s="135"/>
      <c r="M1790" s="321"/>
      <c r="N1790" s="322"/>
      <c r="O1790" s="150"/>
      <c r="P1790" s="135"/>
      <c r="Q1790" s="135"/>
      <c r="R1790" s="321"/>
      <c r="S1790" s="322"/>
      <c r="T1790" s="319"/>
      <c r="U1790" s="322"/>
      <c r="V1790" s="322"/>
      <c r="W1790" s="322"/>
      <c r="X1790" s="322"/>
      <c r="Y1790" s="319"/>
      <c r="Z1790" s="136" t="str">
        <f t="shared" si="16"/>
        <v/>
      </c>
      <c r="AA1790" s="137" t="str">
        <f t="shared" si="17"/>
        <v/>
      </c>
      <c r="AB1790" s="138" t="str">
        <f t="shared" si="19"/>
        <v/>
      </c>
      <c r="AC1790" s="322"/>
      <c r="AD1790" s="319"/>
      <c r="AE1790" s="320"/>
    </row>
    <row r="1791" ht="18.0" customHeight="1">
      <c r="A1791" s="118" t="str">
        <f t="shared" si="15"/>
        <v/>
      </c>
      <c r="B1791" s="109"/>
      <c r="C1791" s="119"/>
      <c r="D1791" s="119"/>
      <c r="E1791" s="330"/>
      <c r="F1791" s="121"/>
      <c r="G1791" s="153"/>
      <c r="H1791" s="153"/>
      <c r="I1791" s="153"/>
      <c r="J1791" s="112"/>
      <c r="K1791" s="153"/>
      <c r="L1791" s="114"/>
      <c r="M1791" s="151"/>
      <c r="N1791" s="152"/>
      <c r="O1791" s="150"/>
      <c r="P1791" s="114"/>
      <c r="Q1791" s="114"/>
      <c r="R1791" s="151"/>
      <c r="S1791" s="152"/>
      <c r="T1791" s="153"/>
      <c r="U1791" s="152"/>
      <c r="V1791" s="152"/>
      <c r="W1791" s="152"/>
      <c r="X1791" s="152"/>
      <c r="Y1791" s="153"/>
      <c r="Z1791" s="125" t="str">
        <f t="shared" si="16"/>
        <v/>
      </c>
      <c r="AA1791" s="126" t="str">
        <f t="shared" si="17"/>
        <v/>
      </c>
      <c r="AB1791" s="117" t="str">
        <f t="shared" si="19"/>
        <v/>
      </c>
      <c r="AC1791" s="152"/>
      <c r="AD1791" s="153"/>
      <c r="AE1791" s="156"/>
    </row>
    <row r="1792" ht="18.0" customHeight="1">
      <c r="A1792" s="127" t="str">
        <f t="shared" si="15"/>
        <v/>
      </c>
      <c r="B1792" s="128"/>
      <c r="C1792" s="129"/>
      <c r="D1792" s="129"/>
      <c r="E1792" s="325"/>
      <c r="F1792" s="131"/>
      <c r="G1792" s="319"/>
      <c r="H1792" s="319"/>
      <c r="I1792" s="319"/>
      <c r="J1792" s="132"/>
      <c r="K1792" s="319"/>
      <c r="L1792" s="135"/>
      <c r="M1792" s="321"/>
      <c r="N1792" s="322"/>
      <c r="O1792" s="150"/>
      <c r="P1792" s="135"/>
      <c r="Q1792" s="135"/>
      <c r="R1792" s="321"/>
      <c r="S1792" s="322"/>
      <c r="T1792" s="319"/>
      <c r="U1792" s="322"/>
      <c r="V1792" s="322"/>
      <c r="W1792" s="322"/>
      <c r="X1792" s="322"/>
      <c r="Y1792" s="319"/>
      <c r="Z1792" s="136" t="str">
        <f t="shared" si="16"/>
        <v/>
      </c>
      <c r="AA1792" s="137" t="str">
        <f t="shared" si="17"/>
        <v/>
      </c>
      <c r="AB1792" s="138" t="str">
        <f t="shared" si="19"/>
        <v/>
      </c>
      <c r="AC1792" s="322"/>
      <c r="AD1792" s="319"/>
      <c r="AE1792" s="320"/>
    </row>
    <row r="1793" ht="18.0" customHeight="1">
      <c r="A1793" s="118" t="str">
        <f t="shared" si="15"/>
        <v/>
      </c>
      <c r="B1793" s="109"/>
      <c r="C1793" s="119"/>
      <c r="D1793" s="119"/>
      <c r="E1793" s="330"/>
      <c r="F1793" s="121"/>
      <c r="G1793" s="153"/>
      <c r="H1793" s="153"/>
      <c r="I1793" s="153"/>
      <c r="J1793" s="112"/>
      <c r="K1793" s="153"/>
      <c r="L1793" s="114"/>
      <c r="M1793" s="151"/>
      <c r="N1793" s="152"/>
      <c r="O1793" s="150"/>
      <c r="P1793" s="114"/>
      <c r="Q1793" s="114"/>
      <c r="R1793" s="151"/>
      <c r="S1793" s="152"/>
      <c r="T1793" s="153"/>
      <c r="U1793" s="152"/>
      <c r="V1793" s="152"/>
      <c r="W1793" s="152"/>
      <c r="X1793" s="152"/>
      <c r="Y1793" s="153"/>
      <c r="Z1793" s="125" t="str">
        <f t="shared" si="16"/>
        <v/>
      </c>
      <c r="AA1793" s="126" t="str">
        <f t="shared" si="17"/>
        <v/>
      </c>
      <c r="AB1793" s="117" t="str">
        <f t="shared" si="19"/>
        <v/>
      </c>
      <c r="AC1793" s="152"/>
      <c r="AD1793" s="153"/>
      <c r="AE1793" s="156"/>
    </row>
    <row r="1794" ht="18.0" customHeight="1">
      <c r="A1794" s="127" t="str">
        <f t="shared" si="15"/>
        <v/>
      </c>
      <c r="B1794" s="128"/>
      <c r="C1794" s="129"/>
      <c r="D1794" s="129"/>
      <c r="E1794" s="325"/>
      <c r="F1794" s="131"/>
      <c r="G1794" s="319"/>
      <c r="H1794" s="319"/>
      <c r="I1794" s="319"/>
      <c r="J1794" s="132"/>
      <c r="K1794" s="319"/>
      <c r="L1794" s="135"/>
      <c r="M1794" s="321"/>
      <c r="N1794" s="322"/>
      <c r="O1794" s="150"/>
      <c r="P1794" s="135"/>
      <c r="Q1794" s="135"/>
      <c r="R1794" s="321"/>
      <c r="S1794" s="322"/>
      <c r="T1794" s="319"/>
      <c r="U1794" s="322"/>
      <c r="V1794" s="322"/>
      <c r="W1794" s="322"/>
      <c r="X1794" s="322"/>
      <c r="Y1794" s="319"/>
      <c r="Z1794" s="136" t="str">
        <f t="shared" si="16"/>
        <v/>
      </c>
      <c r="AA1794" s="137" t="str">
        <f t="shared" si="17"/>
        <v/>
      </c>
      <c r="AB1794" s="138" t="str">
        <f t="shared" si="19"/>
        <v/>
      </c>
      <c r="AC1794" s="322"/>
      <c r="AD1794" s="319"/>
      <c r="AE1794" s="320"/>
    </row>
    <row r="1795" ht="18.0" customHeight="1">
      <c r="A1795" s="118" t="str">
        <f t="shared" si="15"/>
        <v/>
      </c>
      <c r="B1795" s="109"/>
      <c r="C1795" s="119"/>
      <c r="D1795" s="119"/>
      <c r="E1795" s="330"/>
      <c r="F1795" s="121"/>
      <c r="G1795" s="153"/>
      <c r="H1795" s="153"/>
      <c r="I1795" s="153"/>
      <c r="J1795" s="112"/>
      <c r="K1795" s="153"/>
      <c r="L1795" s="114"/>
      <c r="M1795" s="151"/>
      <c r="N1795" s="152"/>
      <c r="O1795" s="150"/>
      <c r="P1795" s="114"/>
      <c r="Q1795" s="114"/>
      <c r="R1795" s="151"/>
      <c r="S1795" s="152"/>
      <c r="T1795" s="153"/>
      <c r="U1795" s="152"/>
      <c r="V1795" s="152"/>
      <c r="W1795" s="152"/>
      <c r="X1795" s="152"/>
      <c r="Y1795" s="153"/>
      <c r="Z1795" s="125" t="str">
        <f t="shared" si="16"/>
        <v/>
      </c>
      <c r="AA1795" s="126" t="str">
        <f t="shared" si="17"/>
        <v/>
      </c>
      <c r="AB1795" s="117" t="str">
        <f t="shared" si="19"/>
        <v/>
      </c>
      <c r="AC1795" s="152"/>
      <c r="AD1795" s="153"/>
      <c r="AE1795" s="156"/>
    </row>
    <row r="1796" ht="18.0" customHeight="1">
      <c r="A1796" s="127" t="str">
        <f t="shared" si="15"/>
        <v/>
      </c>
      <c r="B1796" s="128"/>
      <c r="C1796" s="129"/>
      <c r="D1796" s="129"/>
      <c r="E1796" s="325"/>
      <c r="F1796" s="131"/>
      <c r="G1796" s="319"/>
      <c r="H1796" s="319"/>
      <c r="I1796" s="319"/>
      <c r="J1796" s="132"/>
      <c r="K1796" s="319"/>
      <c r="L1796" s="135"/>
      <c r="M1796" s="321"/>
      <c r="N1796" s="322"/>
      <c r="O1796" s="150"/>
      <c r="P1796" s="135"/>
      <c r="Q1796" s="135"/>
      <c r="R1796" s="321"/>
      <c r="S1796" s="322"/>
      <c r="T1796" s="319"/>
      <c r="U1796" s="322"/>
      <c r="V1796" s="322"/>
      <c r="W1796" s="322"/>
      <c r="X1796" s="322"/>
      <c r="Y1796" s="319"/>
      <c r="Z1796" s="136" t="str">
        <f t="shared" si="16"/>
        <v/>
      </c>
      <c r="AA1796" s="137" t="str">
        <f t="shared" si="17"/>
        <v/>
      </c>
      <c r="AB1796" s="138" t="str">
        <f t="shared" si="19"/>
        <v/>
      </c>
      <c r="AC1796" s="322"/>
      <c r="AD1796" s="319"/>
      <c r="AE1796" s="320"/>
    </row>
    <row r="1797" ht="18.0" customHeight="1">
      <c r="A1797" s="118" t="str">
        <f t="shared" si="15"/>
        <v/>
      </c>
      <c r="B1797" s="109"/>
      <c r="C1797" s="119"/>
      <c r="D1797" s="119"/>
      <c r="E1797" s="330"/>
      <c r="F1797" s="121"/>
      <c r="G1797" s="153"/>
      <c r="H1797" s="153"/>
      <c r="I1797" s="153"/>
      <c r="J1797" s="112"/>
      <c r="K1797" s="153"/>
      <c r="L1797" s="114"/>
      <c r="M1797" s="151"/>
      <c r="N1797" s="152"/>
      <c r="O1797" s="150"/>
      <c r="P1797" s="114"/>
      <c r="Q1797" s="114"/>
      <c r="R1797" s="151"/>
      <c r="S1797" s="152"/>
      <c r="T1797" s="153"/>
      <c r="U1797" s="152"/>
      <c r="V1797" s="152"/>
      <c r="W1797" s="152"/>
      <c r="X1797" s="152"/>
      <c r="Y1797" s="153"/>
      <c r="Z1797" s="125" t="str">
        <f t="shared" si="16"/>
        <v/>
      </c>
      <c r="AA1797" s="126" t="str">
        <f t="shared" si="17"/>
        <v/>
      </c>
      <c r="AB1797" s="117" t="str">
        <f t="shared" si="19"/>
        <v/>
      </c>
      <c r="AC1797" s="152"/>
      <c r="AD1797" s="153"/>
      <c r="AE1797" s="156"/>
    </row>
    <row r="1798" ht="18.0" customHeight="1">
      <c r="A1798" s="127" t="str">
        <f t="shared" si="15"/>
        <v/>
      </c>
      <c r="B1798" s="128"/>
      <c r="C1798" s="129"/>
      <c r="D1798" s="129"/>
      <c r="E1798" s="325"/>
      <c r="F1798" s="131"/>
      <c r="G1798" s="319"/>
      <c r="H1798" s="319"/>
      <c r="I1798" s="319"/>
      <c r="J1798" s="132"/>
      <c r="K1798" s="319"/>
      <c r="L1798" s="135"/>
      <c r="M1798" s="321"/>
      <c r="N1798" s="322"/>
      <c r="O1798" s="150"/>
      <c r="P1798" s="135"/>
      <c r="Q1798" s="135"/>
      <c r="R1798" s="321"/>
      <c r="S1798" s="322"/>
      <c r="T1798" s="319"/>
      <c r="U1798" s="322"/>
      <c r="V1798" s="322"/>
      <c r="W1798" s="322"/>
      <c r="X1798" s="322"/>
      <c r="Y1798" s="319"/>
      <c r="Z1798" s="136" t="str">
        <f t="shared" si="16"/>
        <v/>
      </c>
      <c r="AA1798" s="137" t="str">
        <f t="shared" si="17"/>
        <v/>
      </c>
      <c r="AB1798" s="138" t="str">
        <f t="shared" si="19"/>
        <v/>
      </c>
      <c r="AC1798" s="322"/>
      <c r="AD1798" s="319"/>
      <c r="AE1798" s="320"/>
    </row>
    <row r="1799" ht="18.0" customHeight="1">
      <c r="A1799" s="118" t="str">
        <f t="shared" si="15"/>
        <v/>
      </c>
      <c r="B1799" s="109"/>
      <c r="C1799" s="119"/>
      <c r="D1799" s="119"/>
      <c r="E1799" s="330"/>
      <c r="F1799" s="121"/>
      <c r="G1799" s="153"/>
      <c r="H1799" s="153"/>
      <c r="I1799" s="153"/>
      <c r="J1799" s="112"/>
      <c r="K1799" s="153"/>
      <c r="L1799" s="114"/>
      <c r="M1799" s="151"/>
      <c r="N1799" s="152"/>
      <c r="O1799" s="150"/>
      <c r="P1799" s="114"/>
      <c r="Q1799" s="114"/>
      <c r="R1799" s="151"/>
      <c r="S1799" s="152"/>
      <c r="T1799" s="153"/>
      <c r="U1799" s="152"/>
      <c r="V1799" s="152"/>
      <c r="W1799" s="152"/>
      <c r="X1799" s="152"/>
      <c r="Y1799" s="153"/>
      <c r="Z1799" s="125" t="str">
        <f t="shared" si="16"/>
        <v/>
      </c>
      <c r="AA1799" s="126" t="str">
        <f t="shared" si="17"/>
        <v/>
      </c>
      <c r="AB1799" s="117" t="str">
        <f t="shared" si="19"/>
        <v/>
      </c>
      <c r="AC1799" s="152"/>
      <c r="AD1799" s="153"/>
      <c r="AE1799" s="156"/>
    </row>
    <row r="1800" ht="18.0" customHeight="1">
      <c r="A1800" s="127" t="str">
        <f t="shared" si="15"/>
        <v/>
      </c>
      <c r="B1800" s="128"/>
      <c r="C1800" s="129"/>
      <c r="D1800" s="129"/>
      <c r="E1800" s="325"/>
      <c r="F1800" s="131"/>
      <c r="G1800" s="319"/>
      <c r="H1800" s="319"/>
      <c r="I1800" s="319"/>
      <c r="J1800" s="132"/>
      <c r="K1800" s="319"/>
      <c r="L1800" s="135"/>
      <c r="M1800" s="321"/>
      <c r="N1800" s="322"/>
      <c r="O1800" s="150"/>
      <c r="P1800" s="135"/>
      <c r="Q1800" s="135"/>
      <c r="R1800" s="321"/>
      <c r="S1800" s="322"/>
      <c r="T1800" s="319"/>
      <c r="U1800" s="322"/>
      <c r="V1800" s="322"/>
      <c r="W1800" s="322"/>
      <c r="X1800" s="322"/>
      <c r="Y1800" s="319"/>
      <c r="Z1800" s="136" t="str">
        <f t="shared" si="16"/>
        <v/>
      </c>
      <c r="AA1800" s="137" t="str">
        <f t="shared" si="17"/>
        <v/>
      </c>
      <c r="AB1800" s="138" t="str">
        <f t="shared" si="19"/>
        <v/>
      </c>
      <c r="AC1800" s="322"/>
      <c r="AD1800" s="319"/>
      <c r="AE1800" s="320"/>
    </row>
    <row r="1801" ht="18.0" customHeight="1">
      <c r="A1801" s="118" t="str">
        <f t="shared" si="15"/>
        <v/>
      </c>
      <c r="B1801" s="109"/>
      <c r="C1801" s="119"/>
      <c r="D1801" s="119"/>
      <c r="E1801" s="330"/>
      <c r="F1801" s="121"/>
      <c r="G1801" s="153"/>
      <c r="H1801" s="153"/>
      <c r="I1801" s="153"/>
      <c r="J1801" s="112"/>
      <c r="K1801" s="153"/>
      <c r="L1801" s="114"/>
      <c r="M1801" s="151"/>
      <c r="N1801" s="152"/>
      <c r="O1801" s="150"/>
      <c r="P1801" s="114"/>
      <c r="Q1801" s="114"/>
      <c r="R1801" s="151"/>
      <c r="S1801" s="152"/>
      <c r="T1801" s="153"/>
      <c r="U1801" s="152"/>
      <c r="V1801" s="152"/>
      <c r="W1801" s="152"/>
      <c r="X1801" s="152"/>
      <c r="Y1801" s="153"/>
      <c r="Z1801" s="125" t="str">
        <f t="shared" si="16"/>
        <v/>
      </c>
      <c r="AA1801" s="126" t="str">
        <f t="shared" si="17"/>
        <v/>
      </c>
      <c r="AB1801" s="117" t="str">
        <f t="shared" si="19"/>
        <v/>
      </c>
      <c r="AC1801" s="152"/>
      <c r="AD1801" s="153"/>
      <c r="AE1801" s="156"/>
    </row>
    <row r="1802" ht="18.0" customHeight="1">
      <c r="A1802" s="127" t="str">
        <f t="shared" si="15"/>
        <v/>
      </c>
      <c r="B1802" s="128"/>
      <c r="C1802" s="129"/>
      <c r="D1802" s="129"/>
      <c r="E1802" s="325"/>
      <c r="F1802" s="131"/>
      <c r="G1802" s="319"/>
      <c r="H1802" s="319"/>
      <c r="I1802" s="319"/>
      <c r="J1802" s="132"/>
      <c r="K1802" s="319"/>
      <c r="L1802" s="135"/>
      <c r="M1802" s="321"/>
      <c r="N1802" s="322"/>
      <c r="O1802" s="150"/>
      <c r="P1802" s="135"/>
      <c r="Q1802" s="135"/>
      <c r="R1802" s="321"/>
      <c r="S1802" s="322"/>
      <c r="T1802" s="319"/>
      <c r="U1802" s="322"/>
      <c r="V1802" s="322"/>
      <c r="W1802" s="322"/>
      <c r="X1802" s="322"/>
      <c r="Y1802" s="319"/>
      <c r="Z1802" s="136" t="str">
        <f t="shared" si="16"/>
        <v/>
      </c>
      <c r="AA1802" s="137" t="str">
        <f t="shared" si="17"/>
        <v/>
      </c>
      <c r="AB1802" s="138" t="str">
        <f t="shared" si="19"/>
        <v/>
      </c>
      <c r="AC1802" s="322"/>
      <c r="AD1802" s="319"/>
      <c r="AE1802" s="320"/>
    </row>
    <row r="1803" ht="18.0" customHeight="1">
      <c r="A1803" s="118" t="str">
        <f t="shared" si="15"/>
        <v/>
      </c>
      <c r="B1803" s="109"/>
      <c r="C1803" s="119"/>
      <c r="D1803" s="119"/>
      <c r="E1803" s="330"/>
      <c r="F1803" s="121"/>
      <c r="G1803" s="153"/>
      <c r="H1803" s="153"/>
      <c r="I1803" s="153"/>
      <c r="J1803" s="112"/>
      <c r="K1803" s="153"/>
      <c r="L1803" s="114"/>
      <c r="M1803" s="151"/>
      <c r="N1803" s="152"/>
      <c r="O1803" s="150"/>
      <c r="P1803" s="114"/>
      <c r="Q1803" s="114"/>
      <c r="R1803" s="151"/>
      <c r="S1803" s="152"/>
      <c r="T1803" s="153"/>
      <c r="U1803" s="152"/>
      <c r="V1803" s="152"/>
      <c r="W1803" s="152"/>
      <c r="X1803" s="152"/>
      <c r="Y1803" s="153"/>
      <c r="Z1803" s="125" t="str">
        <f t="shared" si="16"/>
        <v/>
      </c>
      <c r="AA1803" s="126" t="str">
        <f t="shared" si="17"/>
        <v/>
      </c>
      <c r="AB1803" s="117" t="str">
        <f t="shared" si="19"/>
        <v/>
      </c>
      <c r="AC1803" s="152"/>
      <c r="AD1803" s="153"/>
      <c r="AE1803" s="156"/>
    </row>
    <row r="1804" ht="18.0" customHeight="1">
      <c r="A1804" s="127" t="str">
        <f t="shared" si="15"/>
        <v/>
      </c>
      <c r="B1804" s="128"/>
      <c r="C1804" s="129"/>
      <c r="D1804" s="129"/>
      <c r="E1804" s="325"/>
      <c r="F1804" s="131"/>
      <c r="G1804" s="319"/>
      <c r="H1804" s="319"/>
      <c r="I1804" s="319"/>
      <c r="J1804" s="132"/>
      <c r="K1804" s="319"/>
      <c r="L1804" s="135"/>
      <c r="M1804" s="321"/>
      <c r="N1804" s="322"/>
      <c r="O1804" s="150"/>
      <c r="P1804" s="135"/>
      <c r="Q1804" s="135"/>
      <c r="R1804" s="321"/>
      <c r="S1804" s="322"/>
      <c r="T1804" s="319"/>
      <c r="U1804" s="322"/>
      <c r="V1804" s="322"/>
      <c r="W1804" s="322"/>
      <c r="X1804" s="322"/>
      <c r="Y1804" s="319"/>
      <c r="Z1804" s="136" t="str">
        <f t="shared" si="16"/>
        <v/>
      </c>
      <c r="AA1804" s="137" t="str">
        <f t="shared" si="17"/>
        <v/>
      </c>
      <c r="AB1804" s="138" t="str">
        <f t="shared" si="19"/>
        <v/>
      </c>
      <c r="AC1804" s="322"/>
      <c r="AD1804" s="319"/>
      <c r="AE1804" s="320"/>
    </row>
    <row r="1805" ht="18.0" customHeight="1">
      <c r="A1805" s="118" t="str">
        <f t="shared" si="15"/>
        <v/>
      </c>
      <c r="B1805" s="109"/>
      <c r="C1805" s="119"/>
      <c r="D1805" s="119"/>
      <c r="E1805" s="330"/>
      <c r="F1805" s="121"/>
      <c r="G1805" s="153"/>
      <c r="H1805" s="153"/>
      <c r="I1805" s="153"/>
      <c r="J1805" s="112"/>
      <c r="K1805" s="153"/>
      <c r="L1805" s="114"/>
      <c r="M1805" s="151"/>
      <c r="N1805" s="152"/>
      <c r="O1805" s="150"/>
      <c r="P1805" s="114"/>
      <c r="Q1805" s="114"/>
      <c r="R1805" s="151"/>
      <c r="S1805" s="152"/>
      <c r="T1805" s="153"/>
      <c r="U1805" s="152"/>
      <c r="V1805" s="152"/>
      <c r="W1805" s="152"/>
      <c r="X1805" s="152"/>
      <c r="Y1805" s="153"/>
      <c r="Z1805" s="125" t="str">
        <f t="shared" si="16"/>
        <v/>
      </c>
      <c r="AA1805" s="126" t="str">
        <f t="shared" si="17"/>
        <v/>
      </c>
      <c r="AB1805" s="117" t="str">
        <f t="shared" si="19"/>
        <v/>
      </c>
      <c r="AC1805" s="152"/>
      <c r="AD1805" s="153"/>
      <c r="AE1805" s="156"/>
    </row>
    <row r="1806" ht="18.0" customHeight="1">
      <c r="A1806" s="127" t="str">
        <f t="shared" si="15"/>
        <v/>
      </c>
      <c r="B1806" s="128"/>
      <c r="C1806" s="129"/>
      <c r="D1806" s="129"/>
      <c r="E1806" s="325"/>
      <c r="F1806" s="131"/>
      <c r="G1806" s="319"/>
      <c r="H1806" s="319"/>
      <c r="I1806" s="319"/>
      <c r="J1806" s="132"/>
      <c r="K1806" s="319"/>
      <c r="L1806" s="135"/>
      <c r="M1806" s="321"/>
      <c r="N1806" s="322"/>
      <c r="O1806" s="150"/>
      <c r="P1806" s="135"/>
      <c r="Q1806" s="135"/>
      <c r="R1806" s="321"/>
      <c r="S1806" s="322"/>
      <c r="T1806" s="319"/>
      <c r="U1806" s="322"/>
      <c r="V1806" s="322"/>
      <c r="W1806" s="322"/>
      <c r="X1806" s="322"/>
      <c r="Y1806" s="319"/>
      <c r="Z1806" s="136" t="str">
        <f t="shared" si="16"/>
        <v/>
      </c>
      <c r="AA1806" s="137" t="str">
        <f t="shared" si="17"/>
        <v/>
      </c>
      <c r="AB1806" s="138" t="str">
        <f t="shared" si="19"/>
        <v/>
      </c>
      <c r="AC1806" s="322"/>
      <c r="AD1806" s="319"/>
      <c r="AE1806" s="320"/>
    </row>
    <row r="1807" ht="18.0" customHeight="1">
      <c r="A1807" s="118" t="str">
        <f t="shared" si="15"/>
        <v/>
      </c>
      <c r="B1807" s="109"/>
      <c r="C1807" s="119"/>
      <c r="D1807" s="119"/>
      <c r="E1807" s="330"/>
      <c r="F1807" s="121"/>
      <c r="G1807" s="153"/>
      <c r="H1807" s="153"/>
      <c r="I1807" s="153"/>
      <c r="J1807" s="112"/>
      <c r="K1807" s="153"/>
      <c r="L1807" s="114"/>
      <c r="M1807" s="151"/>
      <c r="N1807" s="152"/>
      <c r="O1807" s="150"/>
      <c r="P1807" s="114"/>
      <c r="Q1807" s="114"/>
      <c r="R1807" s="151"/>
      <c r="S1807" s="152"/>
      <c r="T1807" s="153"/>
      <c r="U1807" s="152"/>
      <c r="V1807" s="152"/>
      <c r="W1807" s="152"/>
      <c r="X1807" s="152"/>
      <c r="Y1807" s="153"/>
      <c r="Z1807" s="125" t="str">
        <f t="shared" si="16"/>
        <v/>
      </c>
      <c r="AA1807" s="126" t="str">
        <f t="shared" si="17"/>
        <v/>
      </c>
      <c r="AB1807" s="117" t="str">
        <f t="shared" si="19"/>
        <v/>
      </c>
      <c r="AC1807" s="152"/>
      <c r="AD1807" s="153"/>
      <c r="AE1807" s="156"/>
    </row>
    <row r="1808" ht="18.0" customHeight="1">
      <c r="A1808" s="127" t="str">
        <f t="shared" si="15"/>
        <v/>
      </c>
      <c r="B1808" s="128"/>
      <c r="C1808" s="129"/>
      <c r="D1808" s="129"/>
      <c r="E1808" s="325"/>
      <c r="F1808" s="131"/>
      <c r="G1808" s="319"/>
      <c r="H1808" s="319"/>
      <c r="I1808" s="319"/>
      <c r="J1808" s="132"/>
      <c r="K1808" s="319"/>
      <c r="L1808" s="135"/>
      <c r="M1808" s="321"/>
      <c r="N1808" s="322"/>
      <c r="O1808" s="150"/>
      <c r="P1808" s="135"/>
      <c r="Q1808" s="135"/>
      <c r="R1808" s="321"/>
      <c r="S1808" s="322"/>
      <c r="T1808" s="319"/>
      <c r="U1808" s="322"/>
      <c r="V1808" s="322"/>
      <c r="W1808" s="322"/>
      <c r="X1808" s="322"/>
      <c r="Y1808" s="319"/>
      <c r="Z1808" s="136" t="str">
        <f t="shared" si="16"/>
        <v/>
      </c>
      <c r="AA1808" s="137" t="str">
        <f t="shared" si="17"/>
        <v/>
      </c>
      <c r="AB1808" s="138" t="str">
        <f t="shared" si="19"/>
        <v/>
      </c>
      <c r="AC1808" s="322"/>
      <c r="AD1808" s="319"/>
      <c r="AE1808" s="320"/>
    </row>
    <row r="1809" ht="18.0" customHeight="1">
      <c r="A1809" s="118" t="str">
        <f t="shared" si="15"/>
        <v/>
      </c>
      <c r="B1809" s="109"/>
      <c r="C1809" s="119"/>
      <c r="D1809" s="119"/>
      <c r="E1809" s="330"/>
      <c r="F1809" s="121"/>
      <c r="G1809" s="153"/>
      <c r="H1809" s="153"/>
      <c r="I1809" s="153"/>
      <c r="J1809" s="112"/>
      <c r="K1809" s="153"/>
      <c r="L1809" s="114"/>
      <c r="M1809" s="151"/>
      <c r="N1809" s="152"/>
      <c r="O1809" s="150"/>
      <c r="P1809" s="114"/>
      <c r="Q1809" s="114"/>
      <c r="R1809" s="151"/>
      <c r="S1809" s="152"/>
      <c r="T1809" s="153"/>
      <c r="U1809" s="152"/>
      <c r="V1809" s="152"/>
      <c r="W1809" s="152"/>
      <c r="X1809" s="152"/>
      <c r="Y1809" s="153"/>
      <c r="Z1809" s="125" t="str">
        <f t="shared" si="16"/>
        <v/>
      </c>
      <c r="AA1809" s="126" t="str">
        <f t="shared" si="17"/>
        <v/>
      </c>
      <c r="AB1809" s="117" t="str">
        <f t="shared" si="19"/>
        <v/>
      </c>
      <c r="AC1809" s="152"/>
      <c r="AD1809" s="153"/>
      <c r="AE1809" s="156"/>
    </row>
    <row r="1810" ht="18.0" customHeight="1">
      <c r="A1810" s="127" t="str">
        <f t="shared" si="15"/>
        <v/>
      </c>
      <c r="B1810" s="128"/>
      <c r="C1810" s="129"/>
      <c r="D1810" s="129"/>
      <c r="E1810" s="325"/>
      <c r="F1810" s="131"/>
      <c r="G1810" s="319"/>
      <c r="H1810" s="319"/>
      <c r="I1810" s="319"/>
      <c r="J1810" s="132"/>
      <c r="K1810" s="319"/>
      <c r="L1810" s="135"/>
      <c r="M1810" s="321"/>
      <c r="N1810" s="322"/>
      <c r="O1810" s="150"/>
      <c r="P1810" s="135"/>
      <c r="Q1810" s="135"/>
      <c r="R1810" s="321"/>
      <c r="S1810" s="322"/>
      <c r="T1810" s="319"/>
      <c r="U1810" s="322"/>
      <c r="V1810" s="322"/>
      <c r="W1810" s="322"/>
      <c r="X1810" s="322"/>
      <c r="Y1810" s="319"/>
      <c r="Z1810" s="136" t="str">
        <f t="shared" si="16"/>
        <v/>
      </c>
      <c r="AA1810" s="137" t="str">
        <f t="shared" si="17"/>
        <v/>
      </c>
      <c r="AB1810" s="138" t="str">
        <f t="shared" si="19"/>
        <v/>
      </c>
      <c r="AC1810" s="322"/>
      <c r="AD1810" s="319"/>
      <c r="AE1810" s="320"/>
    </row>
    <row r="1811" ht="18.0" customHeight="1">
      <c r="A1811" s="118" t="str">
        <f t="shared" si="15"/>
        <v/>
      </c>
      <c r="B1811" s="109"/>
      <c r="C1811" s="119"/>
      <c r="D1811" s="119"/>
      <c r="E1811" s="330"/>
      <c r="F1811" s="121"/>
      <c r="G1811" s="153"/>
      <c r="H1811" s="153"/>
      <c r="I1811" s="153"/>
      <c r="J1811" s="112"/>
      <c r="K1811" s="153"/>
      <c r="L1811" s="114"/>
      <c r="M1811" s="151"/>
      <c r="N1811" s="152"/>
      <c r="O1811" s="150"/>
      <c r="P1811" s="114"/>
      <c r="Q1811" s="114"/>
      <c r="R1811" s="151"/>
      <c r="S1811" s="152"/>
      <c r="T1811" s="153"/>
      <c r="U1811" s="152"/>
      <c r="V1811" s="152"/>
      <c r="W1811" s="152"/>
      <c r="X1811" s="152"/>
      <c r="Y1811" s="153"/>
      <c r="Z1811" s="125" t="str">
        <f t="shared" si="16"/>
        <v/>
      </c>
      <c r="AA1811" s="126" t="str">
        <f t="shared" si="17"/>
        <v/>
      </c>
      <c r="AB1811" s="117" t="str">
        <f t="shared" si="19"/>
        <v/>
      </c>
      <c r="AC1811" s="152"/>
      <c r="AD1811" s="153"/>
      <c r="AE1811" s="156"/>
    </row>
    <row r="1812" ht="18.0" customHeight="1">
      <c r="A1812" s="127" t="str">
        <f t="shared" si="15"/>
        <v/>
      </c>
      <c r="B1812" s="128"/>
      <c r="C1812" s="129"/>
      <c r="D1812" s="129"/>
      <c r="E1812" s="325"/>
      <c r="F1812" s="131"/>
      <c r="G1812" s="319"/>
      <c r="H1812" s="319"/>
      <c r="I1812" s="319"/>
      <c r="J1812" s="132"/>
      <c r="K1812" s="319"/>
      <c r="L1812" s="135"/>
      <c r="M1812" s="321"/>
      <c r="N1812" s="322"/>
      <c r="O1812" s="150"/>
      <c r="P1812" s="135"/>
      <c r="Q1812" s="135"/>
      <c r="R1812" s="321"/>
      <c r="S1812" s="322"/>
      <c r="T1812" s="319"/>
      <c r="U1812" s="322"/>
      <c r="V1812" s="322"/>
      <c r="W1812" s="322"/>
      <c r="X1812" s="322"/>
      <c r="Y1812" s="319"/>
      <c r="Z1812" s="136" t="str">
        <f t="shared" si="16"/>
        <v/>
      </c>
      <c r="AA1812" s="137" t="str">
        <f t="shared" si="17"/>
        <v/>
      </c>
      <c r="AB1812" s="138" t="str">
        <f t="shared" si="19"/>
        <v/>
      </c>
      <c r="AC1812" s="322"/>
      <c r="AD1812" s="319"/>
      <c r="AE1812" s="320"/>
    </row>
    <row r="1813" ht="18.0" customHeight="1">
      <c r="A1813" s="118" t="str">
        <f t="shared" si="15"/>
        <v/>
      </c>
      <c r="B1813" s="109"/>
      <c r="C1813" s="119"/>
      <c r="D1813" s="119"/>
      <c r="E1813" s="330"/>
      <c r="F1813" s="121"/>
      <c r="G1813" s="153"/>
      <c r="H1813" s="153"/>
      <c r="I1813" s="153"/>
      <c r="J1813" s="112"/>
      <c r="K1813" s="153"/>
      <c r="L1813" s="114"/>
      <c r="M1813" s="151"/>
      <c r="N1813" s="152"/>
      <c r="O1813" s="150"/>
      <c r="P1813" s="114"/>
      <c r="Q1813" s="114"/>
      <c r="R1813" s="151"/>
      <c r="S1813" s="152"/>
      <c r="T1813" s="153"/>
      <c r="U1813" s="152"/>
      <c r="V1813" s="152"/>
      <c r="W1813" s="152"/>
      <c r="X1813" s="152"/>
      <c r="Y1813" s="153"/>
      <c r="Z1813" s="125" t="str">
        <f t="shared" si="16"/>
        <v/>
      </c>
      <c r="AA1813" s="126" t="str">
        <f t="shared" si="17"/>
        <v/>
      </c>
      <c r="AB1813" s="117" t="str">
        <f t="shared" si="19"/>
        <v/>
      </c>
      <c r="AC1813" s="152"/>
      <c r="AD1813" s="153"/>
      <c r="AE1813" s="156"/>
    </row>
    <row r="1814" ht="18.0" customHeight="1">
      <c r="A1814" s="127" t="str">
        <f t="shared" si="15"/>
        <v/>
      </c>
      <c r="B1814" s="128"/>
      <c r="C1814" s="129"/>
      <c r="D1814" s="129"/>
      <c r="E1814" s="325"/>
      <c r="F1814" s="131"/>
      <c r="G1814" s="319"/>
      <c r="H1814" s="319"/>
      <c r="I1814" s="319"/>
      <c r="J1814" s="132"/>
      <c r="K1814" s="319"/>
      <c r="L1814" s="135"/>
      <c r="M1814" s="321"/>
      <c r="N1814" s="322"/>
      <c r="O1814" s="150"/>
      <c r="P1814" s="135"/>
      <c r="Q1814" s="135"/>
      <c r="R1814" s="321"/>
      <c r="S1814" s="322"/>
      <c r="T1814" s="319"/>
      <c r="U1814" s="322"/>
      <c r="V1814" s="322"/>
      <c r="W1814" s="322"/>
      <c r="X1814" s="322"/>
      <c r="Y1814" s="319"/>
      <c r="Z1814" s="136" t="str">
        <f t="shared" si="16"/>
        <v/>
      </c>
      <c r="AA1814" s="137" t="str">
        <f t="shared" si="17"/>
        <v/>
      </c>
      <c r="AB1814" s="138" t="str">
        <f t="shared" si="19"/>
        <v/>
      </c>
      <c r="AC1814" s="322"/>
      <c r="AD1814" s="319"/>
      <c r="AE1814" s="320"/>
    </row>
    <row r="1815" ht="18.0" customHeight="1">
      <c r="A1815" s="118" t="str">
        <f t="shared" si="15"/>
        <v/>
      </c>
      <c r="B1815" s="109"/>
      <c r="C1815" s="119"/>
      <c r="D1815" s="119"/>
      <c r="E1815" s="330"/>
      <c r="F1815" s="121"/>
      <c r="G1815" s="153"/>
      <c r="H1815" s="153"/>
      <c r="I1815" s="153"/>
      <c r="J1815" s="112"/>
      <c r="K1815" s="153"/>
      <c r="L1815" s="114"/>
      <c r="M1815" s="151"/>
      <c r="N1815" s="152"/>
      <c r="O1815" s="150"/>
      <c r="P1815" s="114"/>
      <c r="Q1815" s="114"/>
      <c r="R1815" s="151"/>
      <c r="S1815" s="152"/>
      <c r="T1815" s="153"/>
      <c r="U1815" s="152"/>
      <c r="V1815" s="152"/>
      <c r="W1815" s="152"/>
      <c r="X1815" s="152"/>
      <c r="Y1815" s="153"/>
      <c r="Z1815" s="125" t="str">
        <f t="shared" si="16"/>
        <v/>
      </c>
      <c r="AA1815" s="126" t="str">
        <f t="shared" si="17"/>
        <v/>
      </c>
      <c r="AB1815" s="117" t="str">
        <f t="shared" si="19"/>
        <v/>
      </c>
      <c r="AC1815" s="152"/>
      <c r="AD1815" s="153"/>
      <c r="AE1815" s="156"/>
    </row>
    <row r="1816" ht="18.0" customHeight="1">
      <c r="A1816" s="127" t="str">
        <f t="shared" si="15"/>
        <v/>
      </c>
      <c r="B1816" s="128"/>
      <c r="C1816" s="129"/>
      <c r="D1816" s="129"/>
      <c r="E1816" s="325"/>
      <c r="F1816" s="131"/>
      <c r="G1816" s="319"/>
      <c r="H1816" s="319"/>
      <c r="I1816" s="319"/>
      <c r="J1816" s="132"/>
      <c r="K1816" s="319"/>
      <c r="L1816" s="135"/>
      <c r="M1816" s="321"/>
      <c r="N1816" s="322"/>
      <c r="O1816" s="150"/>
      <c r="P1816" s="135"/>
      <c r="Q1816" s="135"/>
      <c r="R1816" s="321"/>
      <c r="S1816" s="322"/>
      <c r="T1816" s="319"/>
      <c r="U1816" s="322"/>
      <c r="V1816" s="322"/>
      <c r="W1816" s="322"/>
      <c r="X1816" s="322"/>
      <c r="Y1816" s="319"/>
      <c r="Z1816" s="136" t="str">
        <f t="shared" si="16"/>
        <v/>
      </c>
      <c r="AA1816" s="137" t="str">
        <f t="shared" si="17"/>
        <v/>
      </c>
      <c r="AB1816" s="138" t="str">
        <f t="shared" si="19"/>
        <v/>
      </c>
      <c r="AC1816" s="322"/>
      <c r="AD1816" s="319"/>
      <c r="AE1816" s="320"/>
    </row>
    <row r="1817" ht="18.0" customHeight="1">
      <c r="A1817" s="118" t="str">
        <f t="shared" si="15"/>
        <v/>
      </c>
      <c r="B1817" s="109"/>
      <c r="C1817" s="119"/>
      <c r="D1817" s="119"/>
      <c r="E1817" s="330"/>
      <c r="F1817" s="121"/>
      <c r="G1817" s="153"/>
      <c r="H1817" s="153"/>
      <c r="I1817" s="153"/>
      <c r="J1817" s="112"/>
      <c r="K1817" s="153"/>
      <c r="L1817" s="114"/>
      <c r="M1817" s="151"/>
      <c r="N1817" s="152"/>
      <c r="O1817" s="150"/>
      <c r="P1817" s="114"/>
      <c r="Q1817" s="114"/>
      <c r="R1817" s="151"/>
      <c r="S1817" s="152"/>
      <c r="T1817" s="153"/>
      <c r="U1817" s="152"/>
      <c r="V1817" s="152"/>
      <c r="W1817" s="152"/>
      <c r="X1817" s="152"/>
      <c r="Y1817" s="153"/>
      <c r="Z1817" s="125" t="str">
        <f t="shared" si="16"/>
        <v/>
      </c>
      <c r="AA1817" s="126" t="str">
        <f t="shared" si="17"/>
        <v/>
      </c>
      <c r="AB1817" s="117" t="str">
        <f t="shared" si="19"/>
        <v/>
      </c>
      <c r="AC1817" s="152"/>
      <c r="AD1817" s="153"/>
      <c r="AE1817" s="156"/>
    </row>
    <row r="1818" ht="18.0" customHeight="1">
      <c r="A1818" s="127" t="str">
        <f t="shared" si="15"/>
        <v/>
      </c>
      <c r="B1818" s="128"/>
      <c r="C1818" s="129"/>
      <c r="D1818" s="129"/>
      <c r="E1818" s="325"/>
      <c r="F1818" s="131"/>
      <c r="G1818" s="319"/>
      <c r="H1818" s="319"/>
      <c r="I1818" s="319"/>
      <c r="J1818" s="132"/>
      <c r="K1818" s="319"/>
      <c r="L1818" s="135"/>
      <c r="M1818" s="321"/>
      <c r="N1818" s="322"/>
      <c r="O1818" s="150"/>
      <c r="P1818" s="135"/>
      <c r="Q1818" s="135"/>
      <c r="R1818" s="321"/>
      <c r="S1818" s="322"/>
      <c r="T1818" s="319"/>
      <c r="U1818" s="322"/>
      <c r="V1818" s="322"/>
      <c r="W1818" s="322"/>
      <c r="X1818" s="322"/>
      <c r="Y1818" s="319"/>
      <c r="Z1818" s="136" t="str">
        <f t="shared" si="16"/>
        <v/>
      </c>
      <c r="AA1818" s="137" t="str">
        <f t="shared" si="17"/>
        <v/>
      </c>
      <c r="AB1818" s="138" t="str">
        <f t="shared" si="19"/>
        <v/>
      </c>
      <c r="AC1818" s="322"/>
      <c r="AD1818" s="319"/>
      <c r="AE1818" s="320"/>
    </row>
    <row r="1819" ht="18.0" customHeight="1">
      <c r="A1819" s="118" t="str">
        <f t="shared" si="15"/>
        <v/>
      </c>
      <c r="B1819" s="109"/>
      <c r="C1819" s="119"/>
      <c r="D1819" s="119"/>
      <c r="E1819" s="330"/>
      <c r="F1819" s="121"/>
      <c r="G1819" s="153"/>
      <c r="H1819" s="153"/>
      <c r="I1819" s="153"/>
      <c r="J1819" s="112"/>
      <c r="K1819" s="153"/>
      <c r="L1819" s="114"/>
      <c r="M1819" s="151"/>
      <c r="N1819" s="152"/>
      <c r="O1819" s="150"/>
      <c r="P1819" s="114"/>
      <c r="Q1819" s="114"/>
      <c r="R1819" s="151"/>
      <c r="S1819" s="152"/>
      <c r="T1819" s="153"/>
      <c r="U1819" s="152"/>
      <c r="V1819" s="152"/>
      <c r="W1819" s="152"/>
      <c r="X1819" s="152"/>
      <c r="Y1819" s="153"/>
      <c r="Z1819" s="125" t="str">
        <f t="shared" si="16"/>
        <v/>
      </c>
      <c r="AA1819" s="126" t="str">
        <f t="shared" si="17"/>
        <v/>
      </c>
      <c r="AB1819" s="117" t="str">
        <f t="shared" si="19"/>
        <v/>
      </c>
      <c r="AC1819" s="152"/>
      <c r="AD1819" s="153"/>
      <c r="AE1819" s="156"/>
    </row>
    <row r="1820" ht="18.0" customHeight="1">
      <c r="A1820" s="127" t="str">
        <f t="shared" si="15"/>
        <v/>
      </c>
      <c r="B1820" s="128"/>
      <c r="C1820" s="129"/>
      <c r="D1820" s="129"/>
      <c r="E1820" s="325"/>
      <c r="F1820" s="131"/>
      <c r="G1820" s="319"/>
      <c r="H1820" s="319"/>
      <c r="I1820" s="319"/>
      <c r="J1820" s="132"/>
      <c r="K1820" s="319"/>
      <c r="L1820" s="135"/>
      <c r="M1820" s="321"/>
      <c r="N1820" s="322"/>
      <c r="O1820" s="150"/>
      <c r="P1820" s="135"/>
      <c r="Q1820" s="135"/>
      <c r="R1820" s="321"/>
      <c r="S1820" s="322"/>
      <c r="T1820" s="319"/>
      <c r="U1820" s="322"/>
      <c r="V1820" s="322"/>
      <c r="W1820" s="322"/>
      <c r="X1820" s="322"/>
      <c r="Y1820" s="319"/>
      <c r="Z1820" s="136" t="str">
        <f t="shared" si="16"/>
        <v/>
      </c>
      <c r="AA1820" s="137" t="str">
        <f t="shared" si="17"/>
        <v/>
      </c>
      <c r="AB1820" s="138" t="str">
        <f t="shared" si="19"/>
        <v/>
      </c>
      <c r="AC1820" s="322"/>
      <c r="AD1820" s="319"/>
      <c r="AE1820" s="320"/>
    </row>
    <row r="1821" ht="18.0" customHeight="1">
      <c r="A1821" s="118" t="str">
        <f t="shared" si="15"/>
        <v/>
      </c>
      <c r="B1821" s="109"/>
      <c r="C1821" s="119"/>
      <c r="D1821" s="119"/>
      <c r="E1821" s="330"/>
      <c r="F1821" s="121"/>
      <c r="G1821" s="153"/>
      <c r="H1821" s="153"/>
      <c r="I1821" s="153"/>
      <c r="J1821" s="112"/>
      <c r="K1821" s="153"/>
      <c r="L1821" s="114"/>
      <c r="M1821" s="151"/>
      <c r="N1821" s="152"/>
      <c r="O1821" s="150"/>
      <c r="P1821" s="114"/>
      <c r="Q1821" s="114"/>
      <c r="R1821" s="151"/>
      <c r="S1821" s="152"/>
      <c r="T1821" s="153"/>
      <c r="U1821" s="152"/>
      <c r="V1821" s="152"/>
      <c r="W1821" s="152"/>
      <c r="X1821" s="152"/>
      <c r="Y1821" s="153"/>
      <c r="Z1821" s="125" t="str">
        <f t="shared" si="16"/>
        <v/>
      </c>
      <c r="AA1821" s="126" t="str">
        <f t="shared" si="17"/>
        <v/>
      </c>
      <c r="AB1821" s="117" t="str">
        <f t="shared" si="19"/>
        <v/>
      </c>
      <c r="AC1821" s="152"/>
      <c r="AD1821" s="153"/>
      <c r="AE1821" s="156"/>
    </row>
    <row r="1822" ht="18.0" customHeight="1">
      <c r="A1822" s="127" t="str">
        <f t="shared" si="15"/>
        <v/>
      </c>
      <c r="B1822" s="128"/>
      <c r="C1822" s="129"/>
      <c r="D1822" s="129"/>
      <c r="E1822" s="325"/>
      <c r="F1822" s="131"/>
      <c r="G1822" s="319"/>
      <c r="H1822" s="319"/>
      <c r="I1822" s="319"/>
      <c r="J1822" s="132"/>
      <c r="K1822" s="319"/>
      <c r="L1822" s="135"/>
      <c r="M1822" s="321"/>
      <c r="N1822" s="322"/>
      <c r="O1822" s="150"/>
      <c r="P1822" s="135"/>
      <c r="Q1822" s="135"/>
      <c r="R1822" s="321"/>
      <c r="S1822" s="322"/>
      <c r="T1822" s="319"/>
      <c r="U1822" s="322"/>
      <c r="V1822" s="322"/>
      <c r="W1822" s="322"/>
      <c r="X1822" s="322"/>
      <c r="Y1822" s="319"/>
      <c r="Z1822" s="136" t="str">
        <f t="shared" si="16"/>
        <v/>
      </c>
      <c r="AA1822" s="137" t="str">
        <f t="shared" si="17"/>
        <v/>
      </c>
      <c r="AB1822" s="138" t="str">
        <f t="shared" si="19"/>
        <v/>
      </c>
      <c r="AC1822" s="322"/>
      <c r="AD1822" s="319"/>
      <c r="AE1822" s="320"/>
    </row>
    <row r="1823" ht="18.0" customHeight="1">
      <c r="A1823" s="118" t="str">
        <f t="shared" si="15"/>
        <v/>
      </c>
      <c r="B1823" s="109"/>
      <c r="C1823" s="119"/>
      <c r="D1823" s="119"/>
      <c r="E1823" s="330"/>
      <c r="F1823" s="121"/>
      <c r="G1823" s="153"/>
      <c r="H1823" s="153"/>
      <c r="I1823" s="153"/>
      <c r="J1823" s="112"/>
      <c r="K1823" s="153"/>
      <c r="L1823" s="114"/>
      <c r="M1823" s="151"/>
      <c r="N1823" s="152"/>
      <c r="O1823" s="150"/>
      <c r="P1823" s="114"/>
      <c r="Q1823" s="114"/>
      <c r="R1823" s="151"/>
      <c r="S1823" s="152"/>
      <c r="T1823" s="153"/>
      <c r="U1823" s="152"/>
      <c r="V1823" s="152"/>
      <c r="W1823" s="152"/>
      <c r="X1823" s="152"/>
      <c r="Y1823" s="153"/>
      <c r="Z1823" s="125" t="str">
        <f t="shared" si="16"/>
        <v/>
      </c>
      <c r="AA1823" s="126" t="str">
        <f t="shared" si="17"/>
        <v/>
      </c>
      <c r="AB1823" s="117" t="str">
        <f t="shared" si="19"/>
        <v/>
      </c>
      <c r="AC1823" s="152"/>
      <c r="AD1823" s="153"/>
      <c r="AE1823" s="156"/>
    </row>
    <row r="1824" ht="18.0" customHeight="1">
      <c r="A1824" s="127" t="str">
        <f t="shared" si="15"/>
        <v/>
      </c>
      <c r="B1824" s="128"/>
      <c r="C1824" s="129"/>
      <c r="D1824" s="129"/>
      <c r="E1824" s="325"/>
      <c r="F1824" s="131"/>
      <c r="G1824" s="319"/>
      <c r="H1824" s="319"/>
      <c r="I1824" s="319"/>
      <c r="J1824" s="132"/>
      <c r="K1824" s="319"/>
      <c r="L1824" s="135"/>
      <c r="M1824" s="321"/>
      <c r="N1824" s="322"/>
      <c r="O1824" s="150"/>
      <c r="P1824" s="135"/>
      <c r="Q1824" s="135"/>
      <c r="R1824" s="321"/>
      <c r="S1824" s="322"/>
      <c r="T1824" s="319"/>
      <c r="U1824" s="322"/>
      <c r="V1824" s="322"/>
      <c r="W1824" s="322"/>
      <c r="X1824" s="322"/>
      <c r="Y1824" s="319"/>
      <c r="Z1824" s="136" t="str">
        <f t="shared" si="16"/>
        <v/>
      </c>
      <c r="AA1824" s="137" t="str">
        <f t="shared" si="17"/>
        <v/>
      </c>
      <c r="AB1824" s="138" t="str">
        <f t="shared" si="19"/>
        <v/>
      </c>
      <c r="AC1824" s="322"/>
      <c r="AD1824" s="319"/>
      <c r="AE1824" s="320"/>
    </row>
    <row r="1825" ht="18.0" customHeight="1">
      <c r="A1825" s="118" t="str">
        <f t="shared" si="15"/>
        <v/>
      </c>
      <c r="B1825" s="109"/>
      <c r="C1825" s="119"/>
      <c r="D1825" s="119"/>
      <c r="E1825" s="330"/>
      <c r="F1825" s="121"/>
      <c r="G1825" s="153"/>
      <c r="H1825" s="153"/>
      <c r="I1825" s="153"/>
      <c r="J1825" s="112"/>
      <c r="K1825" s="153"/>
      <c r="L1825" s="114"/>
      <c r="M1825" s="151"/>
      <c r="N1825" s="152"/>
      <c r="O1825" s="150"/>
      <c r="P1825" s="114"/>
      <c r="Q1825" s="114"/>
      <c r="R1825" s="151"/>
      <c r="S1825" s="152"/>
      <c r="T1825" s="153"/>
      <c r="U1825" s="152"/>
      <c r="V1825" s="152"/>
      <c r="W1825" s="152"/>
      <c r="X1825" s="152"/>
      <c r="Y1825" s="153"/>
      <c r="Z1825" s="125" t="str">
        <f t="shared" si="16"/>
        <v/>
      </c>
      <c r="AA1825" s="126" t="str">
        <f t="shared" si="17"/>
        <v/>
      </c>
      <c r="AB1825" s="117" t="str">
        <f t="shared" si="19"/>
        <v/>
      </c>
      <c r="AC1825" s="152"/>
      <c r="AD1825" s="153"/>
      <c r="AE1825" s="156"/>
    </row>
    <row r="1826" ht="18.0" customHeight="1">
      <c r="A1826" s="127" t="str">
        <f t="shared" si="15"/>
        <v/>
      </c>
      <c r="B1826" s="128"/>
      <c r="C1826" s="129"/>
      <c r="D1826" s="129"/>
      <c r="E1826" s="325"/>
      <c r="F1826" s="131"/>
      <c r="G1826" s="319"/>
      <c r="H1826" s="319"/>
      <c r="I1826" s="319"/>
      <c r="J1826" s="132"/>
      <c r="K1826" s="319"/>
      <c r="L1826" s="135"/>
      <c r="M1826" s="321"/>
      <c r="N1826" s="322"/>
      <c r="O1826" s="150"/>
      <c r="P1826" s="135"/>
      <c r="Q1826" s="135"/>
      <c r="R1826" s="321"/>
      <c r="S1826" s="322"/>
      <c r="T1826" s="319"/>
      <c r="U1826" s="322"/>
      <c r="V1826" s="322"/>
      <c r="W1826" s="322"/>
      <c r="X1826" s="322"/>
      <c r="Y1826" s="319"/>
      <c r="Z1826" s="136" t="str">
        <f t="shared" si="16"/>
        <v/>
      </c>
      <c r="AA1826" s="137" t="str">
        <f t="shared" si="17"/>
        <v/>
      </c>
      <c r="AB1826" s="138" t="str">
        <f t="shared" si="19"/>
        <v/>
      </c>
      <c r="AC1826" s="322"/>
      <c r="AD1826" s="319"/>
      <c r="AE1826" s="320"/>
    </row>
    <row r="1827" ht="18.0" customHeight="1">
      <c r="A1827" s="118" t="str">
        <f t="shared" si="15"/>
        <v/>
      </c>
      <c r="B1827" s="109"/>
      <c r="C1827" s="119"/>
      <c r="D1827" s="119"/>
      <c r="E1827" s="330"/>
      <c r="F1827" s="121"/>
      <c r="G1827" s="153"/>
      <c r="H1827" s="153"/>
      <c r="I1827" s="153"/>
      <c r="J1827" s="112"/>
      <c r="K1827" s="153"/>
      <c r="L1827" s="114"/>
      <c r="M1827" s="151"/>
      <c r="N1827" s="152"/>
      <c r="O1827" s="150"/>
      <c r="P1827" s="114"/>
      <c r="Q1827" s="114"/>
      <c r="R1827" s="151"/>
      <c r="S1827" s="152"/>
      <c r="T1827" s="153"/>
      <c r="U1827" s="152"/>
      <c r="V1827" s="152"/>
      <c r="W1827" s="152"/>
      <c r="X1827" s="152"/>
      <c r="Y1827" s="153"/>
      <c r="Z1827" s="125" t="str">
        <f t="shared" si="16"/>
        <v/>
      </c>
      <c r="AA1827" s="126" t="str">
        <f t="shared" si="17"/>
        <v/>
      </c>
      <c r="AB1827" s="117" t="str">
        <f t="shared" si="19"/>
        <v/>
      </c>
      <c r="AC1827" s="152"/>
      <c r="AD1827" s="153"/>
      <c r="AE1827" s="156"/>
    </row>
    <row r="1828" ht="18.0" customHeight="1">
      <c r="A1828" s="127" t="str">
        <f t="shared" si="15"/>
        <v/>
      </c>
      <c r="B1828" s="128"/>
      <c r="C1828" s="129"/>
      <c r="D1828" s="129"/>
      <c r="E1828" s="325"/>
      <c r="F1828" s="131"/>
      <c r="G1828" s="319"/>
      <c r="H1828" s="319"/>
      <c r="I1828" s="319"/>
      <c r="J1828" s="132"/>
      <c r="K1828" s="319"/>
      <c r="L1828" s="135"/>
      <c r="M1828" s="321"/>
      <c r="N1828" s="322"/>
      <c r="O1828" s="150"/>
      <c r="P1828" s="135"/>
      <c r="Q1828" s="135"/>
      <c r="R1828" s="321"/>
      <c r="S1828" s="322"/>
      <c r="T1828" s="319"/>
      <c r="U1828" s="322"/>
      <c r="V1828" s="322"/>
      <c r="W1828" s="322"/>
      <c r="X1828" s="322"/>
      <c r="Y1828" s="319"/>
      <c r="Z1828" s="136" t="str">
        <f t="shared" si="16"/>
        <v/>
      </c>
      <c r="AA1828" s="137" t="str">
        <f t="shared" si="17"/>
        <v/>
      </c>
      <c r="AB1828" s="138" t="str">
        <f t="shared" si="19"/>
        <v/>
      </c>
      <c r="AC1828" s="322"/>
      <c r="AD1828" s="319"/>
      <c r="AE1828" s="320"/>
    </row>
    <row r="1829" ht="18.0" customHeight="1">
      <c r="A1829" s="118" t="str">
        <f t="shared" si="15"/>
        <v/>
      </c>
      <c r="B1829" s="109"/>
      <c r="C1829" s="119"/>
      <c r="D1829" s="119"/>
      <c r="E1829" s="330"/>
      <c r="F1829" s="121"/>
      <c r="G1829" s="153"/>
      <c r="H1829" s="153"/>
      <c r="I1829" s="153"/>
      <c r="J1829" s="112"/>
      <c r="K1829" s="153"/>
      <c r="L1829" s="114"/>
      <c r="M1829" s="151"/>
      <c r="N1829" s="152"/>
      <c r="O1829" s="150"/>
      <c r="P1829" s="114"/>
      <c r="Q1829" s="114"/>
      <c r="R1829" s="151"/>
      <c r="S1829" s="152"/>
      <c r="T1829" s="153"/>
      <c r="U1829" s="152"/>
      <c r="V1829" s="152"/>
      <c r="W1829" s="152"/>
      <c r="X1829" s="152"/>
      <c r="Y1829" s="153"/>
      <c r="Z1829" s="125" t="str">
        <f t="shared" si="16"/>
        <v/>
      </c>
      <c r="AA1829" s="126" t="str">
        <f t="shared" si="17"/>
        <v/>
      </c>
      <c r="AB1829" s="117" t="str">
        <f t="shared" si="19"/>
        <v/>
      </c>
      <c r="AC1829" s="152"/>
      <c r="AD1829" s="153"/>
      <c r="AE1829" s="156"/>
    </row>
    <row r="1830" ht="18.0" customHeight="1">
      <c r="A1830" s="127" t="str">
        <f t="shared" si="15"/>
        <v/>
      </c>
      <c r="B1830" s="128"/>
      <c r="C1830" s="129"/>
      <c r="D1830" s="129"/>
      <c r="E1830" s="325"/>
      <c r="F1830" s="131"/>
      <c r="G1830" s="319"/>
      <c r="H1830" s="319"/>
      <c r="I1830" s="319"/>
      <c r="J1830" s="132"/>
      <c r="K1830" s="319"/>
      <c r="L1830" s="135"/>
      <c r="M1830" s="321"/>
      <c r="N1830" s="322"/>
      <c r="O1830" s="150"/>
      <c r="P1830" s="135"/>
      <c r="Q1830" s="135"/>
      <c r="R1830" s="321"/>
      <c r="S1830" s="322"/>
      <c r="T1830" s="319"/>
      <c r="U1830" s="322"/>
      <c r="V1830" s="322"/>
      <c r="W1830" s="322"/>
      <c r="X1830" s="322"/>
      <c r="Y1830" s="319"/>
      <c r="Z1830" s="136" t="str">
        <f t="shared" si="16"/>
        <v/>
      </c>
      <c r="AA1830" s="137" t="str">
        <f t="shared" si="17"/>
        <v/>
      </c>
      <c r="AB1830" s="138" t="str">
        <f t="shared" si="19"/>
        <v/>
      </c>
      <c r="AC1830" s="322"/>
      <c r="AD1830" s="319"/>
      <c r="AE1830" s="320"/>
    </row>
    <row r="1831" ht="18.0" customHeight="1">
      <c r="A1831" s="118" t="str">
        <f t="shared" si="15"/>
        <v/>
      </c>
      <c r="B1831" s="109"/>
      <c r="C1831" s="119"/>
      <c r="D1831" s="119"/>
      <c r="E1831" s="330"/>
      <c r="F1831" s="121"/>
      <c r="G1831" s="153"/>
      <c r="H1831" s="153"/>
      <c r="I1831" s="153"/>
      <c r="J1831" s="112"/>
      <c r="K1831" s="153"/>
      <c r="L1831" s="114"/>
      <c r="M1831" s="151"/>
      <c r="N1831" s="152"/>
      <c r="O1831" s="150"/>
      <c r="P1831" s="114"/>
      <c r="Q1831" s="114"/>
      <c r="R1831" s="151"/>
      <c r="S1831" s="152"/>
      <c r="T1831" s="153"/>
      <c r="U1831" s="152"/>
      <c r="V1831" s="152"/>
      <c r="W1831" s="152"/>
      <c r="X1831" s="152"/>
      <c r="Y1831" s="153"/>
      <c r="Z1831" s="125" t="str">
        <f t="shared" si="16"/>
        <v/>
      </c>
      <c r="AA1831" s="126" t="str">
        <f t="shared" si="17"/>
        <v/>
      </c>
      <c r="AB1831" s="117" t="str">
        <f t="shared" si="19"/>
        <v/>
      </c>
      <c r="AC1831" s="152"/>
      <c r="AD1831" s="153"/>
      <c r="AE1831" s="156"/>
    </row>
    <row r="1832" ht="18.0" customHeight="1">
      <c r="A1832" s="127" t="str">
        <f t="shared" si="15"/>
        <v/>
      </c>
      <c r="B1832" s="128"/>
      <c r="C1832" s="129"/>
      <c r="D1832" s="129"/>
      <c r="E1832" s="325"/>
      <c r="F1832" s="131"/>
      <c r="G1832" s="319"/>
      <c r="H1832" s="319"/>
      <c r="I1832" s="319"/>
      <c r="J1832" s="132"/>
      <c r="K1832" s="319"/>
      <c r="L1832" s="135"/>
      <c r="M1832" s="321"/>
      <c r="N1832" s="322"/>
      <c r="O1832" s="150"/>
      <c r="P1832" s="135"/>
      <c r="Q1832" s="135"/>
      <c r="R1832" s="321"/>
      <c r="S1832" s="322"/>
      <c r="T1832" s="319"/>
      <c r="U1832" s="322"/>
      <c r="V1832" s="322"/>
      <c r="W1832" s="322"/>
      <c r="X1832" s="322"/>
      <c r="Y1832" s="319"/>
      <c r="Z1832" s="136" t="str">
        <f t="shared" si="16"/>
        <v/>
      </c>
      <c r="AA1832" s="137" t="str">
        <f t="shared" si="17"/>
        <v/>
      </c>
      <c r="AB1832" s="138" t="str">
        <f t="shared" si="19"/>
        <v/>
      </c>
      <c r="AC1832" s="322"/>
      <c r="AD1832" s="319"/>
      <c r="AE1832" s="320"/>
    </row>
    <row r="1833" ht="18.0" customHeight="1">
      <c r="A1833" s="118" t="str">
        <f t="shared" si="15"/>
        <v/>
      </c>
      <c r="B1833" s="109"/>
      <c r="C1833" s="119"/>
      <c r="D1833" s="119"/>
      <c r="E1833" s="330"/>
      <c r="F1833" s="121"/>
      <c r="G1833" s="153"/>
      <c r="H1833" s="153"/>
      <c r="I1833" s="153"/>
      <c r="J1833" s="112"/>
      <c r="K1833" s="153"/>
      <c r="L1833" s="114"/>
      <c r="M1833" s="151"/>
      <c r="N1833" s="152"/>
      <c r="O1833" s="150"/>
      <c r="P1833" s="114"/>
      <c r="Q1833" s="114"/>
      <c r="R1833" s="151"/>
      <c r="S1833" s="152"/>
      <c r="T1833" s="153"/>
      <c r="U1833" s="152"/>
      <c r="V1833" s="152"/>
      <c r="W1833" s="152"/>
      <c r="X1833" s="152"/>
      <c r="Y1833" s="153"/>
      <c r="Z1833" s="125" t="str">
        <f t="shared" si="16"/>
        <v/>
      </c>
      <c r="AA1833" s="126" t="str">
        <f t="shared" si="17"/>
        <v/>
      </c>
      <c r="AB1833" s="117" t="str">
        <f t="shared" si="19"/>
        <v/>
      </c>
      <c r="AC1833" s="152"/>
      <c r="AD1833" s="153"/>
      <c r="AE1833" s="156"/>
    </row>
    <row r="1834" ht="18.0" customHeight="1">
      <c r="A1834" s="127" t="str">
        <f t="shared" si="15"/>
        <v/>
      </c>
      <c r="B1834" s="128"/>
      <c r="C1834" s="129"/>
      <c r="D1834" s="129"/>
      <c r="E1834" s="325"/>
      <c r="F1834" s="131"/>
      <c r="G1834" s="319"/>
      <c r="H1834" s="319"/>
      <c r="I1834" s="319"/>
      <c r="J1834" s="132"/>
      <c r="K1834" s="319"/>
      <c r="L1834" s="135"/>
      <c r="M1834" s="321"/>
      <c r="N1834" s="322"/>
      <c r="O1834" s="150"/>
      <c r="P1834" s="135"/>
      <c r="Q1834" s="135"/>
      <c r="R1834" s="321"/>
      <c r="S1834" s="322"/>
      <c r="T1834" s="319"/>
      <c r="U1834" s="322"/>
      <c r="V1834" s="322"/>
      <c r="W1834" s="322"/>
      <c r="X1834" s="322"/>
      <c r="Y1834" s="319"/>
      <c r="Z1834" s="136" t="str">
        <f t="shared" si="16"/>
        <v/>
      </c>
      <c r="AA1834" s="137" t="str">
        <f t="shared" si="17"/>
        <v/>
      </c>
      <c r="AB1834" s="138" t="str">
        <f t="shared" si="19"/>
        <v/>
      </c>
      <c r="AC1834" s="322"/>
      <c r="AD1834" s="319"/>
      <c r="AE1834" s="320"/>
    </row>
    <row r="1835" ht="18.0" customHeight="1">
      <c r="A1835" s="118" t="str">
        <f t="shared" si="15"/>
        <v/>
      </c>
      <c r="B1835" s="109"/>
      <c r="C1835" s="119"/>
      <c r="D1835" s="119"/>
      <c r="E1835" s="330"/>
      <c r="F1835" s="121"/>
      <c r="G1835" s="153"/>
      <c r="H1835" s="153"/>
      <c r="I1835" s="153"/>
      <c r="J1835" s="112"/>
      <c r="K1835" s="153"/>
      <c r="L1835" s="114"/>
      <c r="M1835" s="151"/>
      <c r="N1835" s="152"/>
      <c r="O1835" s="150"/>
      <c r="P1835" s="114"/>
      <c r="Q1835" s="114"/>
      <c r="R1835" s="151"/>
      <c r="S1835" s="152"/>
      <c r="T1835" s="153"/>
      <c r="U1835" s="152"/>
      <c r="V1835" s="152"/>
      <c r="W1835" s="152"/>
      <c r="X1835" s="152"/>
      <c r="Y1835" s="153"/>
      <c r="Z1835" s="125" t="str">
        <f t="shared" si="16"/>
        <v/>
      </c>
      <c r="AA1835" s="126" t="str">
        <f t="shared" si="17"/>
        <v/>
      </c>
      <c r="AB1835" s="117" t="str">
        <f t="shared" si="19"/>
        <v/>
      </c>
      <c r="AC1835" s="152"/>
      <c r="AD1835" s="153"/>
      <c r="AE1835" s="156"/>
    </row>
    <row r="1836" ht="18.0" customHeight="1">
      <c r="A1836" s="127" t="str">
        <f t="shared" si="15"/>
        <v/>
      </c>
      <c r="B1836" s="128"/>
      <c r="C1836" s="129"/>
      <c r="D1836" s="129"/>
      <c r="E1836" s="325"/>
      <c r="F1836" s="131"/>
      <c r="G1836" s="319"/>
      <c r="H1836" s="319"/>
      <c r="I1836" s="319"/>
      <c r="J1836" s="132"/>
      <c r="K1836" s="319"/>
      <c r="L1836" s="135"/>
      <c r="M1836" s="321"/>
      <c r="N1836" s="322"/>
      <c r="O1836" s="150"/>
      <c r="P1836" s="135"/>
      <c r="Q1836" s="135"/>
      <c r="R1836" s="321"/>
      <c r="S1836" s="322"/>
      <c r="T1836" s="319"/>
      <c r="U1836" s="322"/>
      <c r="V1836" s="322"/>
      <c r="W1836" s="322"/>
      <c r="X1836" s="322"/>
      <c r="Y1836" s="319"/>
      <c r="Z1836" s="136" t="str">
        <f t="shared" si="16"/>
        <v/>
      </c>
      <c r="AA1836" s="137" t="str">
        <f t="shared" si="17"/>
        <v/>
      </c>
      <c r="AB1836" s="138" t="str">
        <f t="shared" si="19"/>
        <v/>
      </c>
      <c r="AC1836" s="322"/>
      <c r="AD1836" s="319"/>
      <c r="AE1836" s="320"/>
    </row>
    <row r="1837" ht="18.0" customHeight="1">
      <c r="A1837" s="118" t="str">
        <f t="shared" si="15"/>
        <v/>
      </c>
      <c r="B1837" s="109"/>
      <c r="C1837" s="119"/>
      <c r="D1837" s="119"/>
      <c r="E1837" s="330"/>
      <c r="F1837" s="121"/>
      <c r="G1837" s="153"/>
      <c r="H1837" s="153"/>
      <c r="I1837" s="153"/>
      <c r="J1837" s="112"/>
      <c r="K1837" s="153"/>
      <c r="L1837" s="114"/>
      <c r="M1837" s="151"/>
      <c r="N1837" s="152"/>
      <c r="O1837" s="150"/>
      <c r="P1837" s="114"/>
      <c r="Q1837" s="114"/>
      <c r="R1837" s="151"/>
      <c r="S1837" s="152"/>
      <c r="T1837" s="153"/>
      <c r="U1837" s="152"/>
      <c r="V1837" s="152"/>
      <c r="W1837" s="152"/>
      <c r="X1837" s="152"/>
      <c r="Y1837" s="153"/>
      <c r="Z1837" s="125" t="str">
        <f t="shared" si="16"/>
        <v/>
      </c>
      <c r="AA1837" s="126" t="str">
        <f t="shared" si="17"/>
        <v/>
      </c>
      <c r="AB1837" s="117" t="str">
        <f t="shared" si="19"/>
        <v/>
      </c>
      <c r="AC1837" s="152"/>
      <c r="AD1837" s="153"/>
      <c r="AE1837" s="156"/>
    </row>
    <row r="1838" ht="18.0" customHeight="1">
      <c r="A1838" s="127" t="str">
        <f t="shared" si="15"/>
        <v/>
      </c>
      <c r="B1838" s="128"/>
      <c r="C1838" s="129"/>
      <c r="D1838" s="129"/>
      <c r="E1838" s="325"/>
      <c r="F1838" s="131"/>
      <c r="G1838" s="319"/>
      <c r="H1838" s="319"/>
      <c r="I1838" s="319"/>
      <c r="J1838" s="132"/>
      <c r="K1838" s="319"/>
      <c r="L1838" s="135"/>
      <c r="M1838" s="321"/>
      <c r="N1838" s="322"/>
      <c r="O1838" s="150"/>
      <c r="P1838" s="135"/>
      <c r="Q1838" s="135"/>
      <c r="R1838" s="321"/>
      <c r="S1838" s="322"/>
      <c r="T1838" s="319"/>
      <c r="U1838" s="322"/>
      <c r="V1838" s="322"/>
      <c r="W1838" s="322"/>
      <c r="X1838" s="322"/>
      <c r="Y1838" s="319"/>
      <c r="Z1838" s="136" t="str">
        <f t="shared" si="16"/>
        <v/>
      </c>
      <c r="AA1838" s="137" t="str">
        <f t="shared" si="17"/>
        <v/>
      </c>
      <c r="AB1838" s="138" t="str">
        <f t="shared" si="19"/>
        <v/>
      </c>
      <c r="AC1838" s="322"/>
      <c r="AD1838" s="319"/>
      <c r="AE1838" s="320"/>
    </row>
    <row r="1839" ht="18.0" customHeight="1">
      <c r="A1839" s="118" t="str">
        <f t="shared" si="15"/>
        <v/>
      </c>
      <c r="B1839" s="109"/>
      <c r="C1839" s="119"/>
      <c r="D1839" s="119"/>
      <c r="E1839" s="330"/>
      <c r="F1839" s="121"/>
      <c r="G1839" s="153"/>
      <c r="H1839" s="153"/>
      <c r="I1839" s="153"/>
      <c r="J1839" s="112"/>
      <c r="K1839" s="153"/>
      <c r="L1839" s="114"/>
      <c r="M1839" s="151"/>
      <c r="N1839" s="152"/>
      <c r="O1839" s="150"/>
      <c r="P1839" s="114"/>
      <c r="Q1839" s="114"/>
      <c r="R1839" s="151"/>
      <c r="S1839" s="152"/>
      <c r="T1839" s="153"/>
      <c r="U1839" s="152"/>
      <c r="V1839" s="152"/>
      <c r="W1839" s="152"/>
      <c r="X1839" s="152"/>
      <c r="Y1839" s="153"/>
      <c r="Z1839" s="125" t="str">
        <f t="shared" si="16"/>
        <v/>
      </c>
      <c r="AA1839" s="126" t="str">
        <f t="shared" si="17"/>
        <v/>
      </c>
      <c r="AB1839" s="117" t="str">
        <f t="shared" si="19"/>
        <v/>
      </c>
      <c r="AC1839" s="152"/>
      <c r="AD1839" s="153"/>
      <c r="AE1839" s="156"/>
    </row>
    <row r="1840" ht="18.0" customHeight="1">
      <c r="A1840" s="127" t="str">
        <f t="shared" si="15"/>
        <v/>
      </c>
      <c r="B1840" s="128"/>
      <c r="C1840" s="129"/>
      <c r="D1840" s="129"/>
      <c r="E1840" s="325"/>
      <c r="F1840" s="131"/>
      <c r="G1840" s="319"/>
      <c r="H1840" s="319"/>
      <c r="I1840" s="319"/>
      <c r="J1840" s="132"/>
      <c r="K1840" s="319"/>
      <c r="L1840" s="135"/>
      <c r="M1840" s="321"/>
      <c r="N1840" s="322"/>
      <c r="O1840" s="150"/>
      <c r="P1840" s="135"/>
      <c r="Q1840" s="135"/>
      <c r="R1840" s="321"/>
      <c r="S1840" s="322"/>
      <c r="T1840" s="319"/>
      <c r="U1840" s="322"/>
      <c r="V1840" s="322"/>
      <c r="W1840" s="322"/>
      <c r="X1840" s="322"/>
      <c r="Y1840" s="319"/>
      <c r="Z1840" s="136" t="str">
        <f t="shared" si="16"/>
        <v/>
      </c>
      <c r="AA1840" s="137" t="str">
        <f t="shared" si="17"/>
        <v/>
      </c>
      <c r="AB1840" s="138" t="str">
        <f t="shared" si="19"/>
        <v/>
      </c>
      <c r="AC1840" s="322"/>
      <c r="AD1840" s="319"/>
      <c r="AE1840" s="320"/>
    </row>
    <row r="1841" ht="18.0" customHeight="1">
      <c r="A1841" s="118" t="str">
        <f t="shared" si="15"/>
        <v/>
      </c>
      <c r="B1841" s="109"/>
      <c r="C1841" s="119"/>
      <c r="D1841" s="119"/>
      <c r="E1841" s="330"/>
      <c r="F1841" s="121"/>
      <c r="G1841" s="153"/>
      <c r="H1841" s="153"/>
      <c r="I1841" s="153"/>
      <c r="J1841" s="112"/>
      <c r="K1841" s="153"/>
      <c r="L1841" s="114"/>
      <c r="M1841" s="151"/>
      <c r="N1841" s="152"/>
      <c r="O1841" s="150"/>
      <c r="P1841" s="114"/>
      <c r="Q1841" s="114"/>
      <c r="R1841" s="151"/>
      <c r="S1841" s="152"/>
      <c r="T1841" s="153"/>
      <c r="U1841" s="152"/>
      <c r="V1841" s="152"/>
      <c r="W1841" s="152"/>
      <c r="X1841" s="152"/>
      <c r="Y1841" s="153"/>
      <c r="Z1841" s="125" t="str">
        <f t="shared" si="16"/>
        <v/>
      </c>
      <c r="AA1841" s="126" t="str">
        <f t="shared" si="17"/>
        <v/>
      </c>
      <c r="AB1841" s="117" t="str">
        <f t="shared" si="19"/>
        <v/>
      </c>
      <c r="AC1841" s="152"/>
      <c r="AD1841" s="153"/>
      <c r="AE1841" s="156"/>
    </row>
    <row r="1842" ht="18.0" customHeight="1">
      <c r="A1842" s="127" t="str">
        <f t="shared" si="15"/>
        <v/>
      </c>
      <c r="B1842" s="128"/>
      <c r="C1842" s="129"/>
      <c r="D1842" s="129"/>
      <c r="E1842" s="325"/>
      <c r="F1842" s="131"/>
      <c r="G1842" s="319"/>
      <c r="H1842" s="319"/>
      <c r="I1842" s="319"/>
      <c r="J1842" s="132"/>
      <c r="K1842" s="319"/>
      <c r="L1842" s="135"/>
      <c r="M1842" s="321"/>
      <c r="N1842" s="322"/>
      <c r="O1842" s="150"/>
      <c r="P1842" s="135"/>
      <c r="Q1842" s="135"/>
      <c r="R1842" s="321"/>
      <c r="S1842" s="322"/>
      <c r="T1842" s="319"/>
      <c r="U1842" s="322"/>
      <c r="V1842" s="322"/>
      <c r="W1842" s="322"/>
      <c r="X1842" s="322"/>
      <c r="Y1842" s="319"/>
      <c r="Z1842" s="136" t="str">
        <f t="shared" si="16"/>
        <v/>
      </c>
      <c r="AA1842" s="137" t="str">
        <f t="shared" si="17"/>
        <v/>
      </c>
      <c r="AB1842" s="138" t="str">
        <f t="shared" si="19"/>
        <v/>
      </c>
      <c r="AC1842" s="322"/>
      <c r="AD1842" s="319"/>
      <c r="AE1842" s="320"/>
    </row>
    <row r="1843" ht="18.0" customHeight="1">
      <c r="A1843" s="118" t="str">
        <f t="shared" si="15"/>
        <v/>
      </c>
      <c r="B1843" s="109"/>
      <c r="C1843" s="119"/>
      <c r="D1843" s="119"/>
      <c r="E1843" s="330"/>
      <c r="F1843" s="121"/>
      <c r="G1843" s="153"/>
      <c r="H1843" s="153"/>
      <c r="I1843" s="153"/>
      <c r="J1843" s="112"/>
      <c r="K1843" s="153"/>
      <c r="L1843" s="114"/>
      <c r="M1843" s="151"/>
      <c r="N1843" s="152"/>
      <c r="O1843" s="150"/>
      <c r="P1843" s="114"/>
      <c r="Q1843" s="114"/>
      <c r="R1843" s="151"/>
      <c r="S1843" s="152"/>
      <c r="T1843" s="153"/>
      <c r="U1843" s="152"/>
      <c r="V1843" s="152"/>
      <c r="W1843" s="152"/>
      <c r="X1843" s="152"/>
      <c r="Y1843" s="153"/>
      <c r="Z1843" s="125" t="str">
        <f t="shared" si="16"/>
        <v/>
      </c>
      <c r="AA1843" s="126" t="str">
        <f t="shared" si="17"/>
        <v/>
      </c>
      <c r="AB1843" s="117" t="str">
        <f t="shared" si="19"/>
        <v/>
      </c>
      <c r="AC1843" s="152"/>
      <c r="AD1843" s="153"/>
      <c r="AE1843" s="156"/>
    </row>
    <row r="1844" ht="18.0" customHeight="1">
      <c r="A1844" s="127" t="str">
        <f t="shared" si="15"/>
        <v/>
      </c>
      <c r="B1844" s="128"/>
      <c r="C1844" s="129"/>
      <c r="D1844" s="129"/>
      <c r="E1844" s="325"/>
      <c r="F1844" s="131"/>
      <c r="G1844" s="319"/>
      <c r="H1844" s="319"/>
      <c r="I1844" s="319"/>
      <c r="J1844" s="132"/>
      <c r="K1844" s="319"/>
      <c r="L1844" s="135"/>
      <c r="M1844" s="321"/>
      <c r="N1844" s="322"/>
      <c r="O1844" s="150"/>
      <c r="P1844" s="135"/>
      <c r="Q1844" s="135"/>
      <c r="R1844" s="321"/>
      <c r="S1844" s="322"/>
      <c r="T1844" s="319"/>
      <c r="U1844" s="322"/>
      <c r="V1844" s="322"/>
      <c r="W1844" s="322"/>
      <c r="X1844" s="322"/>
      <c r="Y1844" s="319"/>
      <c r="Z1844" s="136" t="str">
        <f t="shared" si="16"/>
        <v/>
      </c>
      <c r="AA1844" s="137" t="str">
        <f t="shared" si="17"/>
        <v/>
      </c>
      <c r="AB1844" s="138" t="str">
        <f t="shared" si="19"/>
        <v/>
      </c>
      <c r="AC1844" s="322"/>
      <c r="AD1844" s="319"/>
      <c r="AE1844" s="320"/>
    </row>
    <row r="1845" ht="18.0" customHeight="1">
      <c r="A1845" s="118" t="str">
        <f t="shared" si="15"/>
        <v/>
      </c>
      <c r="B1845" s="109"/>
      <c r="C1845" s="119"/>
      <c r="D1845" s="119"/>
      <c r="E1845" s="330"/>
      <c r="F1845" s="121"/>
      <c r="G1845" s="153"/>
      <c r="H1845" s="153"/>
      <c r="I1845" s="153"/>
      <c r="J1845" s="112"/>
      <c r="K1845" s="153"/>
      <c r="L1845" s="114"/>
      <c r="M1845" s="151"/>
      <c r="N1845" s="152"/>
      <c r="O1845" s="150"/>
      <c r="P1845" s="114"/>
      <c r="Q1845" s="114"/>
      <c r="R1845" s="151"/>
      <c r="S1845" s="152"/>
      <c r="T1845" s="153"/>
      <c r="U1845" s="152"/>
      <c r="V1845" s="152"/>
      <c r="W1845" s="152"/>
      <c r="X1845" s="152"/>
      <c r="Y1845" s="153"/>
      <c r="Z1845" s="125" t="str">
        <f t="shared" si="16"/>
        <v/>
      </c>
      <c r="AA1845" s="126" t="str">
        <f t="shared" si="17"/>
        <v/>
      </c>
      <c r="AB1845" s="117" t="str">
        <f t="shared" si="19"/>
        <v/>
      </c>
      <c r="AC1845" s="152"/>
      <c r="AD1845" s="153"/>
      <c r="AE1845" s="156"/>
    </row>
    <row r="1846" ht="18.0" customHeight="1">
      <c r="A1846" s="127" t="str">
        <f t="shared" si="15"/>
        <v/>
      </c>
      <c r="B1846" s="128"/>
      <c r="C1846" s="129"/>
      <c r="D1846" s="129"/>
      <c r="E1846" s="325"/>
      <c r="F1846" s="131"/>
      <c r="G1846" s="319"/>
      <c r="H1846" s="319"/>
      <c r="I1846" s="319"/>
      <c r="J1846" s="132"/>
      <c r="K1846" s="319"/>
      <c r="L1846" s="135"/>
      <c r="M1846" s="321"/>
      <c r="N1846" s="322"/>
      <c r="O1846" s="150"/>
      <c r="P1846" s="135"/>
      <c r="Q1846" s="135"/>
      <c r="R1846" s="321"/>
      <c r="S1846" s="322"/>
      <c r="T1846" s="319"/>
      <c r="U1846" s="322"/>
      <c r="V1846" s="322"/>
      <c r="W1846" s="322"/>
      <c r="X1846" s="322"/>
      <c r="Y1846" s="319"/>
      <c r="Z1846" s="136" t="str">
        <f t="shared" si="16"/>
        <v/>
      </c>
      <c r="AA1846" s="137" t="str">
        <f t="shared" si="17"/>
        <v/>
      </c>
      <c r="AB1846" s="138" t="str">
        <f t="shared" si="19"/>
        <v/>
      </c>
      <c r="AC1846" s="322"/>
      <c r="AD1846" s="319"/>
      <c r="AE1846" s="320"/>
    </row>
    <row r="1847" ht="18.0" customHeight="1">
      <c r="A1847" s="118" t="str">
        <f t="shared" si="15"/>
        <v/>
      </c>
      <c r="B1847" s="109"/>
      <c r="C1847" s="119"/>
      <c r="D1847" s="119"/>
      <c r="E1847" s="330"/>
      <c r="F1847" s="121"/>
      <c r="G1847" s="153"/>
      <c r="H1847" s="153"/>
      <c r="I1847" s="153"/>
      <c r="J1847" s="112"/>
      <c r="K1847" s="153"/>
      <c r="L1847" s="114"/>
      <c r="M1847" s="151"/>
      <c r="N1847" s="152"/>
      <c r="O1847" s="150"/>
      <c r="P1847" s="114"/>
      <c r="Q1847" s="114"/>
      <c r="R1847" s="151"/>
      <c r="S1847" s="152"/>
      <c r="T1847" s="153"/>
      <c r="U1847" s="152"/>
      <c r="V1847" s="152"/>
      <c r="W1847" s="152"/>
      <c r="X1847" s="152"/>
      <c r="Y1847" s="153"/>
      <c r="Z1847" s="125" t="str">
        <f t="shared" si="16"/>
        <v/>
      </c>
      <c r="AA1847" s="126" t="str">
        <f t="shared" si="17"/>
        <v/>
      </c>
      <c r="AB1847" s="117" t="str">
        <f t="shared" si="19"/>
        <v/>
      </c>
      <c r="AC1847" s="152"/>
      <c r="AD1847" s="153"/>
      <c r="AE1847" s="156"/>
    </row>
    <row r="1848" ht="18.0" customHeight="1">
      <c r="A1848" s="127" t="str">
        <f t="shared" si="15"/>
        <v/>
      </c>
      <c r="B1848" s="128"/>
      <c r="C1848" s="129"/>
      <c r="D1848" s="129"/>
      <c r="E1848" s="325"/>
      <c r="F1848" s="131"/>
      <c r="G1848" s="319"/>
      <c r="H1848" s="319"/>
      <c r="I1848" s="319"/>
      <c r="J1848" s="132"/>
      <c r="K1848" s="319"/>
      <c r="L1848" s="135"/>
      <c r="M1848" s="321"/>
      <c r="N1848" s="322"/>
      <c r="O1848" s="150"/>
      <c r="P1848" s="135"/>
      <c r="Q1848" s="135"/>
      <c r="R1848" s="321"/>
      <c r="S1848" s="322"/>
      <c r="T1848" s="319"/>
      <c r="U1848" s="322"/>
      <c r="V1848" s="322"/>
      <c r="W1848" s="322"/>
      <c r="X1848" s="322"/>
      <c r="Y1848" s="319"/>
      <c r="Z1848" s="136" t="str">
        <f t="shared" si="16"/>
        <v/>
      </c>
      <c r="AA1848" s="137" t="str">
        <f t="shared" si="17"/>
        <v/>
      </c>
      <c r="AB1848" s="138" t="str">
        <f t="shared" si="19"/>
        <v/>
      </c>
      <c r="AC1848" s="322"/>
      <c r="AD1848" s="319"/>
      <c r="AE1848" s="320"/>
    </row>
    <row r="1849" ht="18.0" customHeight="1">
      <c r="A1849" s="118" t="str">
        <f t="shared" si="15"/>
        <v/>
      </c>
      <c r="B1849" s="109"/>
      <c r="C1849" s="119"/>
      <c r="D1849" s="119"/>
      <c r="E1849" s="330"/>
      <c r="F1849" s="121"/>
      <c r="G1849" s="153"/>
      <c r="H1849" s="153"/>
      <c r="I1849" s="153"/>
      <c r="J1849" s="112"/>
      <c r="K1849" s="153"/>
      <c r="L1849" s="114"/>
      <c r="M1849" s="151"/>
      <c r="N1849" s="152"/>
      <c r="O1849" s="150"/>
      <c r="P1849" s="114"/>
      <c r="Q1849" s="114"/>
      <c r="R1849" s="151"/>
      <c r="S1849" s="152"/>
      <c r="T1849" s="153"/>
      <c r="U1849" s="152"/>
      <c r="V1849" s="152"/>
      <c r="W1849" s="152"/>
      <c r="X1849" s="152"/>
      <c r="Y1849" s="153"/>
      <c r="Z1849" s="125" t="str">
        <f t="shared" si="16"/>
        <v/>
      </c>
      <c r="AA1849" s="126" t="str">
        <f t="shared" si="17"/>
        <v/>
      </c>
      <c r="AB1849" s="117" t="str">
        <f t="shared" si="19"/>
        <v/>
      </c>
      <c r="AC1849" s="152"/>
      <c r="AD1849" s="153"/>
      <c r="AE1849" s="156"/>
    </row>
    <row r="1850" ht="18.0" customHeight="1">
      <c r="A1850" s="127" t="str">
        <f t="shared" si="15"/>
        <v/>
      </c>
      <c r="B1850" s="128"/>
      <c r="C1850" s="129"/>
      <c r="D1850" s="129"/>
      <c r="E1850" s="325"/>
      <c r="F1850" s="131"/>
      <c r="G1850" s="319"/>
      <c r="H1850" s="319"/>
      <c r="I1850" s="319"/>
      <c r="J1850" s="132"/>
      <c r="K1850" s="319"/>
      <c r="L1850" s="135"/>
      <c r="M1850" s="321"/>
      <c r="N1850" s="322"/>
      <c r="O1850" s="150"/>
      <c r="P1850" s="135"/>
      <c r="Q1850" s="135"/>
      <c r="R1850" s="321"/>
      <c r="S1850" s="322"/>
      <c r="T1850" s="319"/>
      <c r="U1850" s="322"/>
      <c r="V1850" s="322"/>
      <c r="W1850" s="322"/>
      <c r="X1850" s="322"/>
      <c r="Y1850" s="319"/>
      <c r="Z1850" s="136" t="str">
        <f t="shared" si="16"/>
        <v/>
      </c>
      <c r="AA1850" s="137" t="str">
        <f t="shared" si="17"/>
        <v/>
      </c>
      <c r="AB1850" s="138" t="str">
        <f t="shared" si="19"/>
        <v/>
      </c>
      <c r="AC1850" s="322"/>
      <c r="AD1850" s="319"/>
      <c r="AE1850" s="320"/>
    </row>
    <row r="1851" ht="18.0" customHeight="1">
      <c r="A1851" s="118" t="str">
        <f t="shared" si="15"/>
        <v/>
      </c>
      <c r="B1851" s="109"/>
      <c r="C1851" s="119"/>
      <c r="D1851" s="119"/>
      <c r="E1851" s="330"/>
      <c r="F1851" s="121"/>
      <c r="G1851" s="153"/>
      <c r="H1851" s="153"/>
      <c r="I1851" s="153"/>
      <c r="J1851" s="112"/>
      <c r="K1851" s="153"/>
      <c r="L1851" s="114"/>
      <c r="M1851" s="151"/>
      <c r="N1851" s="152"/>
      <c r="O1851" s="150"/>
      <c r="P1851" s="114"/>
      <c r="Q1851" s="114"/>
      <c r="R1851" s="151"/>
      <c r="S1851" s="152"/>
      <c r="T1851" s="153"/>
      <c r="U1851" s="152"/>
      <c r="V1851" s="152"/>
      <c r="W1851" s="152"/>
      <c r="X1851" s="152"/>
      <c r="Y1851" s="153"/>
      <c r="Z1851" s="125" t="str">
        <f t="shared" si="16"/>
        <v/>
      </c>
      <c r="AA1851" s="126" t="str">
        <f t="shared" si="17"/>
        <v/>
      </c>
      <c r="AB1851" s="117" t="str">
        <f t="shared" si="19"/>
        <v/>
      </c>
      <c r="AC1851" s="152"/>
      <c r="AD1851" s="153"/>
      <c r="AE1851" s="156"/>
    </row>
    <row r="1852" ht="18.0" customHeight="1">
      <c r="A1852" s="127" t="str">
        <f t="shared" si="15"/>
        <v/>
      </c>
      <c r="B1852" s="128"/>
      <c r="C1852" s="129"/>
      <c r="D1852" s="129"/>
      <c r="E1852" s="325"/>
      <c r="F1852" s="131"/>
      <c r="G1852" s="319"/>
      <c r="H1852" s="319"/>
      <c r="I1852" s="319"/>
      <c r="J1852" s="132"/>
      <c r="K1852" s="319"/>
      <c r="L1852" s="135"/>
      <c r="M1852" s="321"/>
      <c r="N1852" s="322"/>
      <c r="O1852" s="150"/>
      <c r="P1852" s="135"/>
      <c r="Q1852" s="135"/>
      <c r="R1852" s="321"/>
      <c r="S1852" s="322"/>
      <c r="T1852" s="319"/>
      <c r="U1852" s="322"/>
      <c r="V1852" s="322"/>
      <c r="W1852" s="322"/>
      <c r="X1852" s="322"/>
      <c r="Y1852" s="319"/>
      <c r="Z1852" s="136" t="str">
        <f t="shared" si="16"/>
        <v/>
      </c>
      <c r="AA1852" s="137" t="str">
        <f t="shared" si="17"/>
        <v/>
      </c>
      <c r="AB1852" s="138" t="str">
        <f t="shared" si="19"/>
        <v/>
      </c>
      <c r="AC1852" s="322"/>
      <c r="AD1852" s="319"/>
      <c r="AE1852" s="320"/>
    </row>
    <row r="1853" ht="18.0" customHeight="1">
      <c r="A1853" s="118" t="str">
        <f t="shared" si="15"/>
        <v/>
      </c>
      <c r="B1853" s="109"/>
      <c r="C1853" s="119"/>
      <c r="D1853" s="119"/>
      <c r="E1853" s="330"/>
      <c r="F1853" s="121"/>
      <c r="G1853" s="153"/>
      <c r="H1853" s="153"/>
      <c r="I1853" s="153"/>
      <c r="J1853" s="112"/>
      <c r="K1853" s="153"/>
      <c r="L1853" s="114"/>
      <c r="M1853" s="151"/>
      <c r="N1853" s="152"/>
      <c r="O1853" s="150"/>
      <c r="P1853" s="114"/>
      <c r="Q1853" s="114"/>
      <c r="R1853" s="151"/>
      <c r="S1853" s="152"/>
      <c r="T1853" s="153"/>
      <c r="U1853" s="152"/>
      <c r="V1853" s="152"/>
      <c r="W1853" s="152"/>
      <c r="X1853" s="152"/>
      <c r="Y1853" s="153"/>
      <c r="Z1853" s="125" t="str">
        <f t="shared" si="16"/>
        <v/>
      </c>
      <c r="AA1853" s="126" t="str">
        <f t="shared" si="17"/>
        <v/>
      </c>
      <c r="AB1853" s="117" t="str">
        <f t="shared" si="19"/>
        <v/>
      </c>
      <c r="AC1853" s="152"/>
      <c r="AD1853" s="153"/>
      <c r="AE1853" s="156"/>
    </row>
    <row r="1854" ht="18.0" customHeight="1">
      <c r="A1854" s="127" t="str">
        <f t="shared" si="15"/>
        <v/>
      </c>
      <c r="B1854" s="128"/>
      <c r="C1854" s="129"/>
      <c r="D1854" s="129"/>
      <c r="E1854" s="325"/>
      <c r="F1854" s="131"/>
      <c r="G1854" s="319"/>
      <c r="H1854" s="319"/>
      <c r="I1854" s="319"/>
      <c r="J1854" s="132"/>
      <c r="K1854" s="319"/>
      <c r="L1854" s="135"/>
      <c r="M1854" s="321"/>
      <c r="N1854" s="322"/>
      <c r="O1854" s="150"/>
      <c r="P1854" s="135"/>
      <c r="Q1854" s="135"/>
      <c r="R1854" s="321"/>
      <c r="S1854" s="322"/>
      <c r="T1854" s="319"/>
      <c r="U1854" s="322"/>
      <c r="V1854" s="322"/>
      <c r="W1854" s="322"/>
      <c r="X1854" s="322"/>
      <c r="Y1854" s="319"/>
      <c r="Z1854" s="136" t="str">
        <f t="shared" si="16"/>
        <v/>
      </c>
      <c r="AA1854" s="137" t="str">
        <f t="shared" si="17"/>
        <v/>
      </c>
      <c r="AB1854" s="138" t="str">
        <f t="shared" si="19"/>
        <v/>
      </c>
      <c r="AC1854" s="322"/>
      <c r="AD1854" s="319"/>
      <c r="AE1854" s="320"/>
    </row>
    <row r="1855" ht="18.0" customHeight="1">
      <c r="A1855" s="118" t="str">
        <f t="shared" si="15"/>
        <v/>
      </c>
      <c r="B1855" s="109"/>
      <c r="C1855" s="119"/>
      <c r="D1855" s="119"/>
      <c r="E1855" s="330"/>
      <c r="F1855" s="121"/>
      <c r="G1855" s="153"/>
      <c r="H1855" s="153"/>
      <c r="I1855" s="153"/>
      <c r="J1855" s="112"/>
      <c r="K1855" s="153"/>
      <c r="L1855" s="114"/>
      <c r="M1855" s="151"/>
      <c r="N1855" s="152"/>
      <c r="O1855" s="150"/>
      <c r="P1855" s="114"/>
      <c r="Q1855" s="114"/>
      <c r="R1855" s="151"/>
      <c r="S1855" s="152"/>
      <c r="T1855" s="153"/>
      <c r="U1855" s="152"/>
      <c r="V1855" s="152"/>
      <c r="W1855" s="152"/>
      <c r="X1855" s="152"/>
      <c r="Y1855" s="153"/>
      <c r="Z1855" s="125" t="str">
        <f t="shared" si="16"/>
        <v/>
      </c>
      <c r="AA1855" s="126" t="str">
        <f t="shared" si="17"/>
        <v/>
      </c>
      <c r="AB1855" s="117" t="str">
        <f t="shared" si="19"/>
        <v/>
      </c>
      <c r="AC1855" s="152"/>
      <c r="AD1855" s="153"/>
      <c r="AE1855" s="156"/>
    </row>
    <row r="1856" ht="18.0" customHeight="1">
      <c r="A1856" s="127" t="str">
        <f t="shared" si="15"/>
        <v/>
      </c>
      <c r="B1856" s="128"/>
      <c r="C1856" s="129"/>
      <c r="D1856" s="129"/>
      <c r="E1856" s="325"/>
      <c r="F1856" s="131"/>
      <c r="G1856" s="319"/>
      <c r="H1856" s="319"/>
      <c r="I1856" s="319"/>
      <c r="J1856" s="132"/>
      <c r="K1856" s="319"/>
      <c r="L1856" s="135"/>
      <c r="M1856" s="321"/>
      <c r="N1856" s="322"/>
      <c r="O1856" s="150"/>
      <c r="P1856" s="135"/>
      <c r="Q1856" s="135"/>
      <c r="R1856" s="321"/>
      <c r="S1856" s="322"/>
      <c r="T1856" s="319"/>
      <c r="U1856" s="322"/>
      <c r="V1856" s="322"/>
      <c r="W1856" s="322"/>
      <c r="X1856" s="322"/>
      <c r="Y1856" s="319"/>
      <c r="Z1856" s="136" t="str">
        <f t="shared" si="16"/>
        <v/>
      </c>
      <c r="AA1856" s="137" t="str">
        <f t="shared" si="17"/>
        <v/>
      </c>
      <c r="AB1856" s="138" t="str">
        <f t="shared" si="19"/>
        <v/>
      </c>
      <c r="AC1856" s="322"/>
      <c r="AD1856" s="319"/>
      <c r="AE1856" s="320"/>
    </row>
    <row r="1857" ht="18.0" customHeight="1">
      <c r="A1857" s="118" t="str">
        <f t="shared" si="15"/>
        <v/>
      </c>
      <c r="B1857" s="109"/>
      <c r="C1857" s="119"/>
      <c r="D1857" s="119"/>
      <c r="E1857" s="330"/>
      <c r="F1857" s="121"/>
      <c r="G1857" s="153"/>
      <c r="H1857" s="153"/>
      <c r="I1857" s="153"/>
      <c r="J1857" s="112"/>
      <c r="K1857" s="153"/>
      <c r="L1857" s="114"/>
      <c r="M1857" s="151"/>
      <c r="N1857" s="152"/>
      <c r="O1857" s="150"/>
      <c r="P1857" s="114"/>
      <c r="Q1857" s="114"/>
      <c r="R1857" s="151"/>
      <c r="S1857" s="152"/>
      <c r="T1857" s="153"/>
      <c r="U1857" s="152"/>
      <c r="V1857" s="152"/>
      <c r="W1857" s="152"/>
      <c r="X1857" s="152"/>
      <c r="Y1857" s="153"/>
      <c r="Z1857" s="125" t="str">
        <f t="shared" si="16"/>
        <v/>
      </c>
      <c r="AA1857" s="126" t="str">
        <f t="shared" si="17"/>
        <v/>
      </c>
      <c r="AB1857" s="117" t="str">
        <f t="shared" si="19"/>
        <v/>
      </c>
      <c r="AC1857" s="152"/>
      <c r="AD1857" s="153"/>
      <c r="AE1857" s="156"/>
    </row>
    <row r="1858" ht="18.0" customHeight="1">
      <c r="A1858" s="127" t="str">
        <f t="shared" si="15"/>
        <v/>
      </c>
      <c r="B1858" s="128"/>
      <c r="C1858" s="129"/>
      <c r="D1858" s="129"/>
      <c r="E1858" s="325"/>
      <c r="F1858" s="131"/>
      <c r="G1858" s="319"/>
      <c r="H1858" s="319"/>
      <c r="I1858" s="319"/>
      <c r="J1858" s="132"/>
      <c r="K1858" s="319"/>
      <c r="L1858" s="135"/>
      <c r="M1858" s="321"/>
      <c r="N1858" s="322"/>
      <c r="O1858" s="150"/>
      <c r="P1858" s="135"/>
      <c r="Q1858" s="135"/>
      <c r="R1858" s="321"/>
      <c r="S1858" s="322"/>
      <c r="T1858" s="319"/>
      <c r="U1858" s="322"/>
      <c r="V1858" s="322"/>
      <c r="W1858" s="322"/>
      <c r="X1858" s="322"/>
      <c r="Y1858" s="319"/>
      <c r="Z1858" s="136" t="str">
        <f t="shared" si="16"/>
        <v/>
      </c>
      <c r="AA1858" s="137" t="str">
        <f t="shared" si="17"/>
        <v/>
      </c>
      <c r="AB1858" s="138" t="str">
        <f t="shared" si="19"/>
        <v/>
      </c>
      <c r="AC1858" s="322"/>
      <c r="AD1858" s="319"/>
      <c r="AE1858" s="320"/>
    </row>
    <row r="1859" ht="18.0" customHeight="1">
      <c r="A1859" s="118" t="str">
        <f t="shared" si="15"/>
        <v/>
      </c>
      <c r="B1859" s="109"/>
      <c r="C1859" s="119"/>
      <c r="D1859" s="119"/>
      <c r="E1859" s="330"/>
      <c r="F1859" s="121"/>
      <c r="G1859" s="153"/>
      <c r="H1859" s="153"/>
      <c r="I1859" s="153"/>
      <c r="J1859" s="112"/>
      <c r="K1859" s="153"/>
      <c r="L1859" s="114"/>
      <c r="M1859" s="151"/>
      <c r="N1859" s="152"/>
      <c r="O1859" s="150"/>
      <c r="P1859" s="114"/>
      <c r="Q1859" s="114"/>
      <c r="R1859" s="151"/>
      <c r="S1859" s="152"/>
      <c r="T1859" s="153"/>
      <c r="U1859" s="152"/>
      <c r="V1859" s="152"/>
      <c r="W1859" s="152"/>
      <c r="X1859" s="152"/>
      <c r="Y1859" s="153"/>
      <c r="Z1859" s="125" t="str">
        <f t="shared" si="16"/>
        <v/>
      </c>
      <c r="AA1859" s="126" t="str">
        <f t="shared" si="17"/>
        <v/>
      </c>
      <c r="AB1859" s="117" t="str">
        <f t="shared" si="19"/>
        <v/>
      </c>
      <c r="AC1859" s="152"/>
      <c r="AD1859" s="153"/>
      <c r="AE1859" s="156"/>
    </row>
    <row r="1860" ht="18.0" customHeight="1">
      <c r="A1860" s="127" t="str">
        <f t="shared" si="15"/>
        <v/>
      </c>
      <c r="B1860" s="128"/>
      <c r="C1860" s="129"/>
      <c r="D1860" s="129"/>
      <c r="E1860" s="325"/>
      <c r="F1860" s="131"/>
      <c r="G1860" s="319"/>
      <c r="H1860" s="319"/>
      <c r="I1860" s="319"/>
      <c r="J1860" s="132"/>
      <c r="K1860" s="319"/>
      <c r="L1860" s="135"/>
      <c r="M1860" s="321"/>
      <c r="N1860" s="322"/>
      <c r="O1860" s="150"/>
      <c r="P1860" s="135"/>
      <c r="Q1860" s="135"/>
      <c r="R1860" s="321"/>
      <c r="S1860" s="322"/>
      <c r="T1860" s="319"/>
      <c r="U1860" s="322"/>
      <c r="V1860" s="322"/>
      <c r="W1860" s="322"/>
      <c r="X1860" s="322"/>
      <c r="Y1860" s="319"/>
      <c r="Z1860" s="136" t="str">
        <f t="shared" si="16"/>
        <v/>
      </c>
      <c r="AA1860" s="137" t="str">
        <f t="shared" si="17"/>
        <v/>
      </c>
      <c r="AB1860" s="138" t="str">
        <f t="shared" si="19"/>
        <v/>
      </c>
      <c r="AC1860" s="322"/>
      <c r="AD1860" s="319"/>
      <c r="AE1860" s="320"/>
    </row>
    <row r="1861" ht="18.0" customHeight="1">
      <c r="A1861" s="118" t="str">
        <f t="shared" si="15"/>
        <v/>
      </c>
      <c r="B1861" s="109"/>
      <c r="C1861" s="119"/>
      <c r="D1861" s="119"/>
      <c r="E1861" s="330"/>
      <c r="F1861" s="121"/>
      <c r="G1861" s="153"/>
      <c r="H1861" s="153"/>
      <c r="I1861" s="153"/>
      <c r="J1861" s="112"/>
      <c r="K1861" s="153"/>
      <c r="L1861" s="114"/>
      <c r="M1861" s="151"/>
      <c r="N1861" s="152"/>
      <c r="O1861" s="150"/>
      <c r="P1861" s="114"/>
      <c r="Q1861" s="114"/>
      <c r="R1861" s="151"/>
      <c r="S1861" s="152"/>
      <c r="T1861" s="153"/>
      <c r="U1861" s="152"/>
      <c r="V1861" s="152"/>
      <c r="W1861" s="152"/>
      <c r="X1861" s="152"/>
      <c r="Y1861" s="153"/>
      <c r="Z1861" s="125" t="str">
        <f t="shared" si="16"/>
        <v/>
      </c>
      <c r="AA1861" s="126" t="str">
        <f t="shared" si="17"/>
        <v/>
      </c>
      <c r="AB1861" s="117" t="str">
        <f t="shared" si="19"/>
        <v/>
      </c>
      <c r="AC1861" s="152"/>
      <c r="AD1861" s="153"/>
      <c r="AE1861" s="156"/>
    </row>
    <row r="1862" ht="18.0" customHeight="1">
      <c r="A1862" s="127" t="str">
        <f t="shared" si="15"/>
        <v/>
      </c>
      <c r="B1862" s="128"/>
      <c r="C1862" s="129"/>
      <c r="D1862" s="129"/>
      <c r="E1862" s="325"/>
      <c r="F1862" s="131"/>
      <c r="G1862" s="319"/>
      <c r="H1862" s="319"/>
      <c r="I1862" s="319"/>
      <c r="J1862" s="132"/>
      <c r="K1862" s="319"/>
      <c r="L1862" s="135"/>
      <c r="M1862" s="321"/>
      <c r="N1862" s="322"/>
      <c r="O1862" s="150"/>
      <c r="P1862" s="135"/>
      <c r="Q1862" s="135"/>
      <c r="R1862" s="321"/>
      <c r="S1862" s="322"/>
      <c r="T1862" s="319"/>
      <c r="U1862" s="322"/>
      <c r="V1862" s="322"/>
      <c r="W1862" s="322"/>
      <c r="X1862" s="322"/>
      <c r="Y1862" s="319"/>
      <c r="Z1862" s="136" t="str">
        <f t="shared" si="16"/>
        <v/>
      </c>
      <c r="AA1862" s="137" t="str">
        <f t="shared" si="17"/>
        <v/>
      </c>
      <c r="AB1862" s="138" t="str">
        <f t="shared" si="19"/>
        <v/>
      </c>
      <c r="AC1862" s="322"/>
      <c r="AD1862" s="319"/>
      <c r="AE1862" s="320"/>
    </row>
    <row r="1863" ht="18.0" customHeight="1">
      <c r="A1863" s="118" t="str">
        <f t="shared" si="15"/>
        <v/>
      </c>
      <c r="B1863" s="109"/>
      <c r="C1863" s="119"/>
      <c r="D1863" s="119"/>
      <c r="E1863" s="330"/>
      <c r="F1863" s="121"/>
      <c r="G1863" s="153"/>
      <c r="H1863" s="153"/>
      <c r="I1863" s="153"/>
      <c r="J1863" s="112"/>
      <c r="K1863" s="153"/>
      <c r="L1863" s="114"/>
      <c r="M1863" s="151"/>
      <c r="N1863" s="152"/>
      <c r="O1863" s="150"/>
      <c r="P1863" s="114"/>
      <c r="Q1863" s="114"/>
      <c r="R1863" s="151"/>
      <c r="S1863" s="152"/>
      <c r="T1863" s="153"/>
      <c r="U1863" s="152"/>
      <c r="V1863" s="152"/>
      <c r="W1863" s="152"/>
      <c r="X1863" s="152"/>
      <c r="Y1863" s="153"/>
      <c r="Z1863" s="125" t="str">
        <f t="shared" si="16"/>
        <v/>
      </c>
      <c r="AA1863" s="126" t="str">
        <f t="shared" si="17"/>
        <v/>
      </c>
      <c r="AB1863" s="117" t="str">
        <f t="shared" si="19"/>
        <v/>
      </c>
      <c r="AC1863" s="152"/>
      <c r="AD1863" s="153"/>
      <c r="AE1863" s="156"/>
    </row>
    <row r="1864" ht="18.0" customHeight="1">
      <c r="A1864" s="127" t="str">
        <f t="shared" si="15"/>
        <v/>
      </c>
      <c r="B1864" s="128"/>
      <c r="C1864" s="129"/>
      <c r="D1864" s="129"/>
      <c r="E1864" s="325"/>
      <c r="F1864" s="131"/>
      <c r="G1864" s="319"/>
      <c r="H1864" s="319"/>
      <c r="I1864" s="319"/>
      <c r="J1864" s="132"/>
      <c r="K1864" s="319"/>
      <c r="L1864" s="135"/>
      <c r="M1864" s="321"/>
      <c r="N1864" s="322"/>
      <c r="O1864" s="150"/>
      <c r="P1864" s="135"/>
      <c r="Q1864" s="135"/>
      <c r="R1864" s="321"/>
      <c r="S1864" s="322"/>
      <c r="T1864" s="319"/>
      <c r="U1864" s="322"/>
      <c r="V1864" s="322"/>
      <c r="W1864" s="322"/>
      <c r="X1864" s="322"/>
      <c r="Y1864" s="319"/>
      <c r="Z1864" s="136" t="str">
        <f t="shared" si="16"/>
        <v/>
      </c>
      <c r="AA1864" s="137" t="str">
        <f t="shared" si="17"/>
        <v/>
      </c>
      <c r="AB1864" s="138" t="str">
        <f t="shared" si="19"/>
        <v/>
      </c>
      <c r="AC1864" s="322"/>
      <c r="AD1864" s="319"/>
      <c r="AE1864" s="320"/>
    </row>
    <row r="1865" ht="18.0" customHeight="1">
      <c r="A1865" s="118" t="str">
        <f t="shared" si="15"/>
        <v/>
      </c>
      <c r="B1865" s="109"/>
      <c r="C1865" s="119"/>
      <c r="D1865" s="119"/>
      <c r="E1865" s="330"/>
      <c r="F1865" s="121"/>
      <c r="G1865" s="153"/>
      <c r="H1865" s="153"/>
      <c r="I1865" s="153"/>
      <c r="J1865" s="112"/>
      <c r="K1865" s="153"/>
      <c r="L1865" s="114"/>
      <c r="M1865" s="151"/>
      <c r="N1865" s="152"/>
      <c r="O1865" s="150"/>
      <c r="P1865" s="114"/>
      <c r="Q1865" s="114"/>
      <c r="R1865" s="151"/>
      <c r="S1865" s="152"/>
      <c r="T1865" s="153"/>
      <c r="U1865" s="152"/>
      <c r="V1865" s="152"/>
      <c r="W1865" s="152"/>
      <c r="X1865" s="152"/>
      <c r="Y1865" s="153"/>
      <c r="Z1865" s="125" t="str">
        <f t="shared" si="16"/>
        <v/>
      </c>
      <c r="AA1865" s="126" t="str">
        <f t="shared" si="17"/>
        <v/>
      </c>
      <c r="AB1865" s="117" t="str">
        <f t="shared" si="19"/>
        <v/>
      </c>
      <c r="AC1865" s="152"/>
      <c r="AD1865" s="153"/>
      <c r="AE1865" s="156"/>
    </row>
    <row r="1866" ht="18.0" customHeight="1">
      <c r="A1866" s="127" t="str">
        <f t="shared" si="15"/>
        <v/>
      </c>
      <c r="B1866" s="128"/>
      <c r="C1866" s="129"/>
      <c r="D1866" s="129"/>
      <c r="E1866" s="325"/>
      <c r="F1866" s="131"/>
      <c r="G1866" s="319"/>
      <c r="H1866" s="319"/>
      <c r="I1866" s="319"/>
      <c r="J1866" s="132"/>
      <c r="K1866" s="319"/>
      <c r="L1866" s="135"/>
      <c r="M1866" s="321"/>
      <c r="N1866" s="322"/>
      <c r="O1866" s="150"/>
      <c r="P1866" s="135"/>
      <c r="Q1866" s="135"/>
      <c r="R1866" s="321"/>
      <c r="S1866" s="322"/>
      <c r="T1866" s="319"/>
      <c r="U1866" s="322"/>
      <c r="V1866" s="322"/>
      <c r="W1866" s="322"/>
      <c r="X1866" s="322"/>
      <c r="Y1866" s="319"/>
      <c r="Z1866" s="136" t="str">
        <f t="shared" si="16"/>
        <v/>
      </c>
      <c r="AA1866" s="137" t="str">
        <f t="shared" si="17"/>
        <v/>
      </c>
      <c r="AB1866" s="138" t="str">
        <f t="shared" si="19"/>
        <v/>
      </c>
      <c r="AC1866" s="322"/>
      <c r="AD1866" s="319"/>
      <c r="AE1866" s="320"/>
    </row>
    <row r="1867" ht="18.0" customHeight="1">
      <c r="A1867" s="118" t="str">
        <f t="shared" si="15"/>
        <v/>
      </c>
      <c r="B1867" s="109"/>
      <c r="C1867" s="119"/>
      <c r="D1867" s="119"/>
      <c r="E1867" s="330"/>
      <c r="F1867" s="121"/>
      <c r="G1867" s="153"/>
      <c r="H1867" s="153"/>
      <c r="I1867" s="153"/>
      <c r="J1867" s="112"/>
      <c r="K1867" s="153"/>
      <c r="L1867" s="114"/>
      <c r="M1867" s="151"/>
      <c r="N1867" s="152"/>
      <c r="O1867" s="150"/>
      <c r="P1867" s="114"/>
      <c r="Q1867" s="114"/>
      <c r="R1867" s="151"/>
      <c r="S1867" s="152"/>
      <c r="T1867" s="153"/>
      <c r="U1867" s="152"/>
      <c r="V1867" s="152"/>
      <c r="W1867" s="152"/>
      <c r="X1867" s="152"/>
      <c r="Y1867" s="153"/>
      <c r="Z1867" s="125" t="str">
        <f t="shared" si="16"/>
        <v/>
      </c>
      <c r="AA1867" s="126" t="str">
        <f t="shared" si="17"/>
        <v/>
      </c>
      <c r="AB1867" s="117" t="str">
        <f t="shared" si="19"/>
        <v/>
      </c>
      <c r="AC1867" s="152"/>
      <c r="AD1867" s="153"/>
      <c r="AE1867" s="156"/>
    </row>
    <row r="1868" ht="18.0" customHeight="1">
      <c r="A1868" s="127" t="str">
        <f t="shared" si="15"/>
        <v/>
      </c>
      <c r="B1868" s="128"/>
      <c r="C1868" s="129"/>
      <c r="D1868" s="129"/>
      <c r="E1868" s="325"/>
      <c r="F1868" s="131"/>
      <c r="G1868" s="319"/>
      <c r="H1868" s="319"/>
      <c r="I1868" s="319"/>
      <c r="J1868" s="132"/>
      <c r="K1868" s="319"/>
      <c r="L1868" s="135"/>
      <c r="M1868" s="321"/>
      <c r="N1868" s="322"/>
      <c r="O1868" s="150"/>
      <c r="P1868" s="135"/>
      <c r="Q1868" s="135"/>
      <c r="R1868" s="321"/>
      <c r="S1868" s="322"/>
      <c r="T1868" s="319"/>
      <c r="U1868" s="322"/>
      <c r="V1868" s="322"/>
      <c r="W1868" s="322"/>
      <c r="X1868" s="322"/>
      <c r="Y1868" s="319"/>
      <c r="Z1868" s="136" t="str">
        <f t="shared" si="16"/>
        <v/>
      </c>
      <c r="AA1868" s="137" t="str">
        <f t="shared" si="17"/>
        <v/>
      </c>
      <c r="AB1868" s="138" t="str">
        <f t="shared" si="19"/>
        <v/>
      </c>
      <c r="AC1868" s="322"/>
      <c r="AD1868" s="319"/>
      <c r="AE1868" s="320"/>
    </row>
    <row r="1869" ht="18.0" customHeight="1">
      <c r="A1869" s="118" t="str">
        <f t="shared" si="15"/>
        <v/>
      </c>
      <c r="B1869" s="109"/>
      <c r="C1869" s="119"/>
      <c r="D1869" s="119"/>
      <c r="E1869" s="330"/>
      <c r="F1869" s="121"/>
      <c r="G1869" s="153"/>
      <c r="H1869" s="153"/>
      <c r="I1869" s="153"/>
      <c r="J1869" s="112"/>
      <c r="K1869" s="153"/>
      <c r="L1869" s="114"/>
      <c r="M1869" s="151"/>
      <c r="N1869" s="152"/>
      <c r="O1869" s="150"/>
      <c r="P1869" s="114"/>
      <c r="Q1869" s="114"/>
      <c r="R1869" s="151"/>
      <c r="S1869" s="152"/>
      <c r="T1869" s="153"/>
      <c r="U1869" s="152"/>
      <c r="V1869" s="152"/>
      <c r="W1869" s="152"/>
      <c r="X1869" s="152"/>
      <c r="Y1869" s="153"/>
      <c r="Z1869" s="125" t="str">
        <f t="shared" si="16"/>
        <v/>
      </c>
      <c r="AA1869" s="126" t="str">
        <f t="shared" si="17"/>
        <v/>
      </c>
      <c r="AB1869" s="117" t="str">
        <f t="shared" si="19"/>
        <v/>
      </c>
      <c r="AC1869" s="152"/>
      <c r="AD1869" s="153"/>
      <c r="AE1869" s="156"/>
    </row>
    <row r="1870" ht="18.0" customHeight="1">
      <c r="A1870" s="127" t="str">
        <f t="shared" si="15"/>
        <v/>
      </c>
      <c r="B1870" s="128"/>
      <c r="C1870" s="129"/>
      <c r="D1870" s="129"/>
      <c r="E1870" s="325"/>
      <c r="F1870" s="131"/>
      <c r="G1870" s="319"/>
      <c r="H1870" s="319"/>
      <c r="I1870" s="319"/>
      <c r="J1870" s="132"/>
      <c r="K1870" s="319"/>
      <c r="L1870" s="135"/>
      <c r="M1870" s="321"/>
      <c r="N1870" s="322"/>
      <c r="O1870" s="150"/>
      <c r="P1870" s="135"/>
      <c r="Q1870" s="135"/>
      <c r="R1870" s="321"/>
      <c r="S1870" s="322"/>
      <c r="T1870" s="319"/>
      <c r="U1870" s="322"/>
      <c r="V1870" s="322"/>
      <c r="W1870" s="322"/>
      <c r="X1870" s="322"/>
      <c r="Y1870" s="319"/>
      <c r="Z1870" s="136" t="str">
        <f t="shared" si="16"/>
        <v/>
      </c>
      <c r="AA1870" s="137" t="str">
        <f t="shared" si="17"/>
        <v/>
      </c>
      <c r="AB1870" s="138" t="str">
        <f t="shared" si="19"/>
        <v/>
      </c>
      <c r="AC1870" s="322"/>
      <c r="AD1870" s="319"/>
      <c r="AE1870" s="320"/>
    </row>
    <row r="1871" ht="18.0" customHeight="1">
      <c r="A1871" s="118" t="str">
        <f t="shared" si="15"/>
        <v/>
      </c>
      <c r="B1871" s="109"/>
      <c r="C1871" s="119"/>
      <c r="D1871" s="119"/>
      <c r="E1871" s="330"/>
      <c r="F1871" s="121"/>
      <c r="G1871" s="153"/>
      <c r="H1871" s="153"/>
      <c r="I1871" s="153"/>
      <c r="J1871" s="112"/>
      <c r="K1871" s="153"/>
      <c r="L1871" s="114"/>
      <c r="M1871" s="151"/>
      <c r="N1871" s="152"/>
      <c r="O1871" s="150"/>
      <c r="P1871" s="114"/>
      <c r="Q1871" s="114"/>
      <c r="R1871" s="151"/>
      <c r="S1871" s="152"/>
      <c r="T1871" s="153"/>
      <c r="U1871" s="152"/>
      <c r="V1871" s="152"/>
      <c r="W1871" s="152"/>
      <c r="X1871" s="152"/>
      <c r="Y1871" s="153"/>
      <c r="Z1871" s="125" t="str">
        <f t="shared" si="16"/>
        <v/>
      </c>
      <c r="AA1871" s="126" t="str">
        <f t="shared" si="17"/>
        <v/>
      </c>
      <c r="AB1871" s="117" t="str">
        <f t="shared" si="19"/>
        <v/>
      </c>
      <c r="AC1871" s="152"/>
      <c r="AD1871" s="153"/>
      <c r="AE1871" s="156"/>
    </row>
    <row r="1872" ht="18.0" customHeight="1">
      <c r="A1872" s="127" t="str">
        <f t="shared" si="15"/>
        <v/>
      </c>
      <c r="B1872" s="128"/>
      <c r="C1872" s="129"/>
      <c r="D1872" s="129"/>
      <c r="E1872" s="325"/>
      <c r="F1872" s="131"/>
      <c r="G1872" s="319"/>
      <c r="H1872" s="319"/>
      <c r="I1872" s="319"/>
      <c r="J1872" s="132"/>
      <c r="K1872" s="319"/>
      <c r="L1872" s="135"/>
      <c r="M1872" s="321"/>
      <c r="N1872" s="322"/>
      <c r="O1872" s="150"/>
      <c r="P1872" s="135"/>
      <c r="Q1872" s="135"/>
      <c r="R1872" s="321"/>
      <c r="S1872" s="322"/>
      <c r="T1872" s="319"/>
      <c r="U1872" s="322"/>
      <c r="V1872" s="322"/>
      <c r="W1872" s="322"/>
      <c r="X1872" s="322"/>
      <c r="Y1872" s="319"/>
      <c r="Z1872" s="136" t="str">
        <f t="shared" si="16"/>
        <v/>
      </c>
      <c r="AA1872" s="137" t="str">
        <f t="shared" si="17"/>
        <v/>
      </c>
      <c r="AB1872" s="138" t="str">
        <f t="shared" si="19"/>
        <v/>
      </c>
      <c r="AC1872" s="322"/>
      <c r="AD1872" s="319"/>
      <c r="AE1872" s="320"/>
    </row>
    <row r="1873" ht="18.0" customHeight="1">
      <c r="A1873" s="118" t="str">
        <f t="shared" si="15"/>
        <v/>
      </c>
      <c r="B1873" s="109"/>
      <c r="C1873" s="119"/>
      <c r="D1873" s="119"/>
      <c r="E1873" s="330"/>
      <c r="F1873" s="121"/>
      <c r="G1873" s="153"/>
      <c r="H1873" s="153"/>
      <c r="I1873" s="153"/>
      <c r="J1873" s="112"/>
      <c r="K1873" s="153"/>
      <c r="L1873" s="114"/>
      <c r="M1873" s="151"/>
      <c r="N1873" s="152"/>
      <c r="O1873" s="150"/>
      <c r="P1873" s="114"/>
      <c r="Q1873" s="114"/>
      <c r="R1873" s="151"/>
      <c r="S1873" s="152"/>
      <c r="T1873" s="153"/>
      <c r="U1873" s="152"/>
      <c r="V1873" s="152"/>
      <c r="W1873" s="152"/>
      <c r="X1873" s="152"/>
      <c r="Y1873" s="153"/>
      <c r="Z1873" s="125" t="str">
        <f t="shared" si="16"/>
        <v/>
      </c>
      <c r="AA1873" s="126" t="str">
        <f t="shared" si="17"/>
        <v/>
      </c>
      <c r="AB1873" s="117" t="str">
        <f t="shared" si="19"/>
        <v/>
      </c>
      <c r="AC1873" s="152"/>
      <c r="AD1873" s="153"/>
      <c r="AE1873" s="156"/>
    </row>
    <row r="1874" ht="18.0" customHeight="1">
      <c r="A1874" s="127" t="str">
        <f t="shared" si="15"/>
        <v/>
      </c>
      <c r="B1874" s="128"/>
      <c r="C1874" s="129"/>
      <c r="D1874" s="129"/>
      <c r="E1874" s="325"/>
      <c r="F1874" s="131"/>
      <c r="G1874" s="319"/>
      <c r="H1874" s="319"/>
      <c r="I1874" s="319"/>
      <c r="J1874" s="132"/>
      <c r="K1874" s="319"/>
      <c r="L1874" s="135"/>
      <c r="M1874" s="321"/>
      <c r="N1874" s="322"/>
      <c r="O1874" s="150"/>
      <c r="P1874" s="135"/>
      <c r="Q1874" s="135"/>
      <c r="R1874" s="321"/>
      <c r="S1874" s="322"/>
      <c r="T1874" s="319"/>
      <c r="U1874" s="322"/>
      <c r="V1874" s="322"/>
      <c r="W1874" s="322"/>
      <c r="X1874" s="322"/>
      <c r="Y1874" s="319"/>
      <c r="Z1874" s="136" t="str">
        <f t="shared" si="16"/>
        <v/>
      </c>
      <c r="AA1874" s="137" t="str">
        <f t="shared" si="17"/>
        <v/>
      </c>
      <c r="AB1874" s="138" t="str">
        <f t="shared" si="19"/>
        <v/>
      </c>
      <c r="AC1874" s="322"/>
      <c r="AD1874" s="319"/>
      <c r="AE1874" s="320"/>
    </row>
    <row r="1875" ht="18.0" customHeight="1">
      <c r="A1875" s="118" t="str">
        <f t="shared" si="15"/>
        <v/>
      </c>
      <c r="B1875" s="109"/>
      <c r="C1875" s="119"/>
      <c r="D1875" s="119"/>
      <c r="E1875" s="330"/>
      <c r="F1875" s="121"/>
      <c r="G1875" s="153"/>
      <c r="H1875" s="153"/>
      <c r="I1875" s="153"/>
      <c r="J1875" s="112"/>
      <c r="K1875" s="153"/>
      <c r="L1875" s="114"/>
      <c r="M1875" s="151"/>
      <c r="N1875" s="152"/>
      <c r="O1875" s="150"/>
      <c r="P1875" s="114"/>
      <c r="Q1875" s="114"/>
      <c r="R1875" s="151"/>
      <c r="S1875" s="152"/>
      <c r="T1875" s="153"/>
      <c r="U1875" s="152"/>
      <c r="V1875" s="152"/>
      <c r="W1875" s="152"/>
      <c r="X1875" s="152"/>
      <c r="Y1875" s="153"/>
      <c r="Z1875" s="125" t="str">
        <f t="shared" si="16"/>
        <v/>
      </c>
      <c r="AA1875" s="126" t="str">
        <f t="shared" si="17"/>
        <v/>
      </c>
      <c r="AB1875" s="117" t="str">
        <f t="shared" si="19"/>
        <v/>
      </c>
      <c r="AC1875" s="152"/>
      <c r="AD1875" s="153"/>
      <c r="AE1875" s="156"/>
    </row>
    <row r="1876" ht="18.0" customHeight="1">
      <c r="A1876" s="127" t="str">
        <f t="shared" si="15"/>
        <v/>
      </c>
      <c r="B1876" s="128"/>
      <c r="C1876" s="129"/>
      <c r="D1876" s="129"/>
      <c r="E1876" s="325"/>
      <c r="F1876" s="131"/>
      <c r="G1876" s="319"/>
      <c r="H1876" s="319"/>
      <c r="I1876" s="319"/>
      <c r="J1876" s="132"/>
      <c r="K1876" s="319"/>
      <c r="L1876" s="135"/>
      <c r="M1876" s="321"/>
      <c r="N1876" s="322"/>
      <c r="O1876" s="150"/>
      <c r="P1876" s="135"/>
      <c r="Q1876" s="135"/>
      <c r="R1876" s="321"/>
      <c r="S1876" s="322"/>
      <c r="T1876" s="319"/>
      <c r="U1876" s="322"/>
      <c r="V1876" s="322"/>
      <c r="W1876" s="322"/>
      <c r="X1876" s="322"/>
      <c r="Y1876" s="319"/>
      <c r="Z1876" s="136" t="str">
        <f t="shared" si="16"/>
        <v/>
      </c>
      <c r="AA1876" s="137" t="str">
        <f t="shared" si="17"/>
        <v/>
      </c>
      <c r="AB1876" s="138" t="str">
        <f t="shared" si="19"/>
        <v/>
      </c>
      <c r="AC1876" s="322"/>
      <c r="AD1876" s="319"/>
      <c r="AE1876" s="320"/>
    </row>
    <row r="1877" ht="18.0" customHeight="1">
      <c r="A1877" s="118" t="str">
        <f t="shared" si="15"/>
        <v/>
      </c>
      <c r="B1877" s="109"/>
      <c r="C1877" s="119"/>
      <c r="D1877" s="119"/>
      <c r="E1877" s="330"/>
      <c r="F1877" s="121"/>
      <c r="G1877" s="153"/>
      <c r="H1877" s="153"/>
      <c r="I1877" s="153"/>
      <c r="J1877" s="112"/>
      <c r="K1877" s="153"/>
      <c r="L1877" s="114"/>
      <c r="M1877" s="151"/>
      <c r="N1877" s="152"/>
      <c r="O1877" s="150"/>
      <c r="P1877" s="114"/>
      <c r="Q1877" s="114"/>
      <c r="R1877" s="151"/>
      <c r="S1877" s="152"/>
      <c r="T1877" s="153"/>
      <c r="U1877" s="152"/>
      <c r="V1877" s="152"/>
      <c r="W1877" s="152"/>
      <c r="X1877" s="152"/>
      <c r="Y1877" s="153"/>
      <c r="Z1877" s="125" t="str">
        <f t="shared" si="16"/>
        <v/>
      </c>
      <c r="AA1877" s="126" t="str">
        <f t="shared" si="17"/>
        <v/>
      </c>
      <c r="AB1877" s="117" t="str">
        <f t="shared" si="19"/>
        <v/>
      </c>
      <c r="AC1877" s="152"/>
      <c r="AD1877" s="153"/>
      <c r="AE1877" s="156"/>
    </row>
    <row r="1878" ht="18.0" customHeight="1">
      <c r="A1878" s="127" t="str">
        <f t="shared" si="15"/>
        <v/>
      </c>
      <c r="B1878" s="128"/>
      <c r="C1878" s="129"/>
      <c r="D1878" s="129"/>
      <c r="E1878" s="325"/>
      <c r="F1878" s="131"/>
      <c r="G1878" s="319"/>
      <c r="H1878" s="319"/>
      <c r="I1878" s="319"/>
      <c r="J1878" s="132"/>
      <c r="K1878" s="319"/>
      <c r="L1878" s="135"/>
      <c r="M1878" s="321"/>
      <c r="N1878" s="322"/>
      <c r="O1878" s="150"/>
      <c r="P1878" s="135"/>
      <c r="Q1878" s="135"/>
      <c r="R1878" s="321"/>
      <c r="S1878" s="322"/>
      <c r="T1878" s="319"/>
      <c r="U1878" s="322"/>
      <c r="V1878" s="322"/>
      <c r="W1878" s="322"/>
      <c r="X1878" s="322"/>
      <c r="Y1878" s="319"/>
      <c r="Z1878" s="136" t="str">
        <f t="shared" si="16"/>
        <v/>
      </c>
      <c r="AA1878" s="137" t="str">
        <f t="shared" si="17"/>
        <v/>
      </c>
      <c r="AB1878" s="138" t="str">
        <f t="shared" si="19"/>
        <v/>
      </c>
      <c r="AC1878" s="322"/>
      <c r="AD1878" s="319"/>
      <c r="AE1878" s="320"/>
    </row>
    <row r="1879" ht="18.0" customHeight="1">
      <c r="A1879" s="118" t="str">
        <f t="shared" si="15"/>
        <v/>
      </c>
      <c r="B1879" s="109"/>
      <c r="C1879" s="119"/>
      <c r="D1879" s="119"/>
      <c r="E1879" s="330"/>
      <c r="F1879" s="121"/>
      <c r="G1879" s="153"/>
      <c r="H1879" s="153"/>
      <c r="I1879" s="153"/>
      <c r="J1879" s="112"/>
      <c r="K1879" s="153"/>
      <c r="L1879" s="114"/>
      <c r="M1879" s="151"/>
      <c r="N1879" s="152"/>
      <c r="O1879" s="150"/>
      <c r="P1879" s="114"/>
      <c r="Q1879" s="114"/>
      <c r="R1879" s="151"/>
      <c r="S1879" s="152"/>
      <c r="T1879" s="153"/>
      <c r="U1879" s="152"/>
      <c r="V1879" s="152"/>
      <c r="W1879" s="152"/>
      <c r="X1879" s="152"/>
      <c r="Y1879" s="153"/>
      <c r="Z1879" s="125" t="str">
        <f t="shared" si="16"/>
        <v/>
      </c>
      <c r="AA1879" s="126" t="str">
        <f t="shared" si="17"/>
        <v/>
      </c>
      <c r="AB1879" s="117" t="str">
        <f t="shared" si="19"/>
        <v/>
      </c>
      <c r="AC1879" s="152"/>
      <c r="AD1879" s="153"/>
      <c r="AE1879" s="156"/>
    </row>
    <row r="1880" ht="18.0" customHeight="1">
      <c r="A1880" s="127" t="str">
        <f t="shared" si="15"/>
        <v/>
      </c>
      <c r="B1880" s="128"/>
      <c r="C1880" s="129"/>
      <c r="D1880" s="129"/>
      <c r="E1880" s="325"/>
      <c r="F1880" s="131"/>
      <c r="G1880" s="319"/>
      <c r="H1880" s="319"/>
      <c r="I1880" s="319"/>
      <c r="J1880" s="132"/>
      <c r="K1880" s="319"/>
      <c r="L1880" s="135"/>
      <c r="M1880" s="321"/>
      <c r="N1880" s="322"/>
      <c r="O1880" s="150"/>
      <c r="P1880" s="135"/>
      <c r="Q1880" s="135"/>
      <c r="R1880" s="321"/>
      <c r="S1880" s="322"/>
      <c r="T1880" s="319"/>
      <c r="U1880" s="322"/>
      <c r="V1880" s="322"/>
      <c r="W1880" s="322"/>
      <c r="X1880" s="322"/>
      <c r="Y1880" s="319"/>
      <c r="Z1880" s="136" t="str">
        <f t="shared" si="16"/>
        <v/>
      </c>
      <c r="AA1880" s="137" t="str">
        <f t="shared" si="17"/>
        <v/>
      </c>
      <c r="AB1880" s="138" t="str">
        <f t="shared" si="19"/>
        <v/>
      </c>
      <c r="AC1880" s="322"/>
      <c r="AD1880" s="319"/>
      <c r="AE1880" s="320"/>
    </row>
    <row r="1881" ht="18.0" customHeight="1">
      <c r="A1881" s="118" t="str">
        <f t="shared" si="15"/>
        <v/>
      </c>
      <c r="B1881" s="109"/>
      <c r="C1881" s="119"/>
      <c r="D1881" s="119"/>
      <c r="E1881" s="330"/>
      <c r="F1881" s="121"/>
      <c r="G1881" s="153"/>
      <c r="H1881" s="153"/>
      <c r="I1881" s="153"/>
      <c r="J1881" s="112"/>
      <c r="K1881" s="153"/>
      <c r="L1881" s="114"/>
      <c r="M1881" s="151"/>
      <c r="N1881" s="152"/>
      <c r="O1881" s="150"/>
      <c r="P1881" s="114"/>
      <c r="Q1881" s="114"/>
      <c r="R1881" s="151"/>
      <c r="S1881" s="152"/>
      <c r="T1881" s="153"/>
      <c r="U1881" s="152"/>
      <c r="V1881" s="152"/>
      <c r="W1881" s="152"/>
      <c r="X1881" s="152"/>
      <c r="Y1881" s="153"/>
      <c r="Z1881" s="125" t="str">
        <f t="shared" si="16"/>
        <v/>
      </c>
      <c r="AA1881" s="126" t="str">
        <f t="shared" si="17"/>
        <v/>
      </c>
      <c r="AB1881" s="117" t="str">
        <f t="shared" si="19"/>
        <v/>
      </c>
      <c r="AC1881" s="152"/>
      <c r="AD1881" s="153"/>
      <c r="AE1881" s="156"/>
    </row>
    <row r="1882" ht="18.0" customHeight="1">
      <c r="A1882" s="127" t="str">
        <f t="shared" si="15"/>
        <v/>
      </c>
      <c r="B1882" s="128"/>
      <c r="C1882" s="129"/>
      <c r="D1882" s="129"/>
      <c r="E1882" s="325"/>
      <c r="F1882" s="131"/>
      <c r="G1882" s="319"/>
      <c r="H1882" s="319"/>
      <c r="I1882" s="319"/>
      <c r="J1882" s="132"/>
      <c r="K1882" s="319"/>
      <c r="L1882" s="135"/>
      <c r="M1882" s="321"/>
      <c r="N1882" s="322"/>
      <c r="O1882" s="150"/>
      <c r="P1882" s="135"/>
      <c r="Q1882" s="135"/>
      <c r="R1882" s="321"/>
      <c r="S1882" s="322"/>
      <c r="T1882" s="319"/>
      <c r="U1882" s="322"/>
      <c r="V1882" s="322"/>
      <c r="W1882" s="322"/>
      <c r="X1882" s="322"/>
      <c r="Y1882" s="319"/>
      <c r="Z1882" s="136" t="str">
        <f t="shared" si="16"/>
        <v/>
      </c>
      <c r="AA1882" s="137" t="str">
        <f t="shared" si="17"/>
        <v/>
      </c>
      <c r="AB1882" s="138" t="str">
        <f t="shared" si="19"/>
        <v/>
      </c>
      <c r="AC1882" s="322"/>
      <c r="AD1882" s="319"/>
      <c r="AE1882" s="320"/>
    </row>
    <row r="1883" ht="18.0" customHeight="1">
      <c r="A1883" s="118" t="str">
        <f t="shared" si="15"/>
        <v/>
      </c>
      <c r="B1883" s="109"/>
      <c r="C1883" s="119"/>
      <c r="D1883" s="119"/>
      <c r="E1883" s="330"/>
      <c r="F1883" s="121"/>
      <c r="G1883" s="153"/>
      <c r="H1883" s="153"/>
      <c r="I1883" s="153"/>
      <c r="J1883" s="112"/>
      <c r="K1883" s="153"/>
      <c r="L1883" s="114"/>
      <c r="M1883" s="151"/>
      <c r="N1883" s="152"/>
      <c r="O1883" s="150"/>
      <c r="P1883" s="114"/>
      <c r="Q1883" s="114"/>
      <c r="R1883" s="151"/>
      <c r="S1883" s="152"/>
      <c r="T1883" s="153"/>
      <c r="U1883" s="152"/>
      <c r="V1883" s="152"/>
      <c r="W1883" s="152"/>
      <c r="X1883" s="152"/>
      <c r="Y1883" s="153"/>
      <c r="Z1883" s="125" t="str">
        <f t="shared" si="16"/>
        <v/>
      </c>
      <c r="AA1883" s="126" t="str">
        <f t="shared" si="17"/>
        <v/>
      </c>
      <c r="AB1883" s="117" t="str">
        <f t="shared" si="19"/>
        <v/>
      </c>
      <c r="AC1883" s="152"/>
      <c r="AD1883" s="153"/>
      <c r="AE1883" s="156"/>
    </row>
    <row r="1884" ht="18.0" customHeight="1">
      <c r="A1884" s="127" t="str">
        <f t="shared" si="15"/>
        <v/>
      </c>
      <c r="B1884" s="128"/>
      <c r="C1884" s="129"/>
      <c r="D1884" s="129"/>
      <c r="E1884" s="325"/>
      <c r="F1884" s="131"/>
      <c r="G1884" s="319"/>
      <c r="H1884" s="319"/>
      <c r="I1884" s="319"/>
      <c r="J1884" s="132"/>
      <c r="K1884" s="319"/>
      <c r="L1884" s="135"/>
      <c r="M1884" s="321"/>
      <c r="N1884" s="322"/>
      <c r="O1884" s="150"/>
      <c r="P1884" s="135"/>
      <c r="Q1884" s="135"/>
      <c r="R1884" s="321"/>
      <c r="S1884" s="322"/>
      <c r="T1884" s="319"/>
      <c r="U1884" s="322"/>
      <c r="V1884" s="322"/>
      <c r="W1884" s="322"/>
      <c r="X1884" s="322"/>
      <c r="Y1884" s="319"/>
      <c r="Z1884" s="136" t="str">
        <f t="shared" si="16"/>
        <v/>
      </c>
      <c r="AA1884" s="137" t="str">
        <f t="shared" si="17"/>
        <v/>
      </c>
      <c r="AB1884" s="138" t="str">
        <f t="shared" si="19"/>
        <v/>
      </c>
      <c r="AC1884" s="322"/>
      <c r="AD1884" s="319"/>
      <c r="AE1884" s="320"/>
    </row>
    <row r="1885" ht="18.0" customHeight="1">
      <c r="A1885" s="118" t="str">
        <f t="shared" si="15"/>
        <v/>
      </c>
      <c r="B1885" s="109"/>
      <c r="C1885" s="119"/>
      <c r="D1885" s="119"/>
      <c r="E1885" s="330"/>
      <c r="F1885" s="121"/>
      <c r="G1885" s="153"/>
      <c r="H1885" s="153"/>
      <c r="I1885" s="153"/>
      <c r="J1885" s="112"/>
      <c r="K1885" s="153"/>
      <c r="L1885" s="114"/>
      <c r="M1885" s="151"/>
      <c r="N1885" s="152"/>
      <c r="O1885" s="150"/>
      <c r="P1885" s="114"/>
      <c r="Q1885" s="114"/>
      <c r="R1885" s="151"/>
      <c r="S1885" s="152"/>
      <c r="T1885" s="153"/>
      <c r="U1885" s="152"/>
      <c r="V1885" s="152"/>
      <c r="W1885" s="152"/>
      <c r="X1885" s="152"/>
      <c r="Y1885" s="153"/>
      <c r="Z1885" s="125" t="str">
        <f t="shared" si="16"/>
        <v/>
      </c>
      <c r="AA1885" s="126" t="str">
        <f t="shared" si="17"/>
        <v/>
      </c>
      <c r="AB1885" s="117" t="str">
        <f t="shared" si="19"/>
        <v/>
      </c>
      <c r="AC1885" s="152"/>
      <c r="AD1885" s="153"/>
      <c r="AE1885" s="156"/>
    </row>
    <row r="1886" ht="18.0" customHeight="1">
      <c r="A1886" s="127" t="str">
        <f t="shared" si="15"/>
        <v/>
      </c>
      <c r="B1886" s="128"/>
      <c r="C1886" s="129"/>
      <c r="D1886" s="129"/>
      <c r="E1886" s="325"/>
      <c r="F1886" s="131"/>
      <c r="G1886" s="319"/>
      <c r="H1886" s="319"/>
      <c r="I1886" s="319"/>
      <c r="J1886" s="132"/>
      <c r="K1886" s="319"/>
      <c r="L1886" s="135"/>
      <c r="M1886" s="321"/>
      <c r="N1886" s="322"/>
      <c r="O1886" s="150"/>
      <c r="P1886" s="135"/>
      <c r="Q1886" s="135"/>
      <c r="R1886" s="321"/>
      <c r="S1886" s="322"/>
      <c r="T1886" s="319"/>
      <c r="U1886" s="322"/>
      <c r="V1886" s="322"/>
      <c r="W1886" s="322"/>
      <c r="X1886" s="322"/>
      <c r="Y1886" s="319"/>
      <c r="Z1886" s="136" t="str">
        <f t="shared" si="16"/>
        <v/>
      </c>
      <c r="AA1886" s="137" t="str">
        <f t="shared" si="17"/>
        <v/>
      </c>
      <c r="AB1886" s="138" t="str">
        <f t="shared" si="19"/>
        <v/>
      </c>
      <c r="AC1886" s="322"/>
      <c r="AD1886" s="319"/>
      <c r="AE1886" s="320"/>
    </row>
    <row r="1887" ht="18.0" customHeight="1">
      <c r="A1887" s="118" t="str">
        <f t="shared" si="15"/>
        <v/>
      </c>
      <c r="B1887" s="109"/>
      <c r="C1887" s="119"/>
      <c r="D1887" s="119"/>
      <c r="E1887" s="330"/>
      <c r="F1887" s="121"/>
      <c r="G1887" s="153"/>
      <c r="H1887" s="153"/>
      <c r="I1887" s="153"/>
      <c r="J1887" s="112"/>
      <c r="K1887" s="153"/>
      <c r="L1887" s="114"/>
      <c r="M1887" s="151"/>
      <c r="N1887" s="152"/>
      <c r="O1887" s="150"/>
      <c r="P1887" s="114"/>
      <c r="Q1887" s="114"/>
      <c r="R1887" s="151"/>
      <c r="S1887" s="152"/>
      <c r="T1887" s="153"/>
      <c r="U1887" s="152"/>
      <c r="V1887" s="152"/>
      <c r="W1887" s="152"/>
      <c r="X1887" s="152"/>
      <c r="Y1887" s="153"/>
      <c r="Z1887" s="125" t="str">
        <f t="shared" si="16"/>
        <v/>
      </c>
      <c r="AA1887" s="126" t="str">
        <f t="shared" si="17"/>
        <v/>
      </c>
      <c r="AB1887" s="117" t="str">
        <f t="shared" si="19"/>
        <v/>
      </c>
      <c r="AC1887" s="152"/>
      <c r="AD1887" s="153"/>
      <c r="AE1887" s="156"/>
    </row>
    <row r="1888" ht="18.0" customHeight="1">
      <c r="A1888" s="127" t="str">
        <f t="shared" si="15"/>
        <v/>
      </c>
      <c r="B1888" s="128"/>
      <c r="C1888" s="129"/>
      <c r="D1888" s="129"/>
      <c r="E1888" s="325"/>
      <c r="F1888" s="131"/>
      <c r="G1888" s="319"/>
      <c r="H1888" s="319"/>
      <c r="I1888" s="319"/>
      <c r="J1888" s="132"/>
      <c r="K1888" s="319"/>
      <c r="L1888" s="135"/>
      <c r="M1888" s="321"/>
      <c r="N1888" s="322"/>
      <c r="O1888" s="150"/>
      <c r="P1888" s="135"/>
      <c r="Q1888" s="135"/>
      <c r="R1888" s="321"/>
      <c r="S1888" s="322"/>
      <c r="T1888" s="319"/>
      <c r="U1888" s="322"/>
      <c r="V1888" s="322"/>
      <c r="W1888" s="322"/>
      <c r="X1888" s="322"/>
      <c r="Y1888" s="319"/>
      <c r="Z1888" s="136" t="str">
        <f t="shared" si="16"/>
        <v/>
      </c>
      <c r="AA1888" s="137" t="str">
        <f t="shared" si="17"/>
        <v/>
      </c>
      <c r="AB1888" s="138" t="str">
        <f t="shared" si="19"/>
        <v/>
      </c>
      <c r="AC1888" s="322"/>
      <c r="AD1888" s="319"/>
      <c r="AE1888" s="320"/>
    </row>
    <row r="1889" ht="18.0" customHeight="1">
      <c r="A1889" s="118" t="str">
        <f t="shared" si="15"/>
        <v/>
      </c>
      <c r="B1889" s="109"/>
      <c r="C1889" s="119"/>
      <c r="D1889" s="119"/>
      <c r="E1889" s="330"/>
      <c r="F1889" s="121"/>
      <c r="G1889" s="153"/>
      <c r="H1889" s="153"/>
      <c r="I1889" s="153"/>
      <c r="J1889" s="112"/>
      <c r="K1889" s="153"/>
      <c r="L1889" s="114"/>
      <c r="M1889" s="151"/>
      <c r="N1889" s="152"/>
      <c r="O1889" s="150"/>
      <c r="P1889" s="114"/>
      <c r="Q1889" s="114"/>
      <c r="R1889" s="151"/>
      <c r="S1889" s="152"/>
      <c r="T1889" s="153"/>
      <c r="U1889" s="152"/>
      <c r="V1889" s="152"/>
      <c r="W1889" s="152"/>
      <c r="X1889" s="152"/>
      <c r="Y1889" s="153"/>
      <c r="Z1889" s="125" t="str">
        <f t="shared" si="16"/>
        <v/>
      </c>
      <c r="AA1889" s="126" t="str">
        <f t="shared" si="17"/>
        <v/>
      </c>
      <c r="AB1889" s="117" t="str">
        <f t="shared" si="19"/>
        <v/>
      </c>
      <c r="AC1889" s="152"/>
      <c r="AD1889" s="153"/>
      <c r="AE1889" s="156"/>
    </row>
    <row r="1890" ht="18.0" customHeight="1">
      <c r="A1890" s="127" t="str">
        <f t="shared" si="15"/>
        <v/>
      </c>
      <c r="B1890" s="128"/>
      <c r="C1890" s="129"/>
      <c r="D1890" s="129"/>
      <c r="E1890" s="325"/>
      <c r="F1890" s="131"/>
      <c r="G1890" s="319"/>
      <c r="H1890" s="319"/>
      <c r="I1890" s="319"/>
      <c r="J1890" s="132"/>
      <c r="K1890" s="319"/>
      <c r="L1890" s="135"/>
      <c r="M1890" s="321"/>
      <c r="N1890" s="322"/>
      <c r="O1890" s="150"/>
      <c r="P1890" s="135"/>
      <c r="Q1890" s="135"/>
      <c r="R1890" s="321"/>
      <c r="S1890" s="322"/>
      <c r="T1890" s="319"/>
      <c r="U1890" s="322"/>
      <c r="V1890" s="322"/>
      <c r="W1890" s="322"/>
      <c r="X1890" s="322"/>
      <c r="Y1890" s="319"/>
      <c r="Z1890" s="136" t="str">
        <f t="shared" si="16"/>
        <v/>
      </c>
      <c r="AA1890" s="137" t="str">
        <f t="shared" si="17"/>
        <v/>
      </c>
      <c r="AB1890" s="138" t="str">
        <f t="shared" si="19"/>
        <v/>
      </c>
      <c r="AC1890" s="322"/>
      <c r="AD1890" s="319"/>
      <c r="AE1890" s="320"/>
    </row>
    <row r="1891" ht="18.0" customHeight="1">
      <c r="A1891" s="118" t="str">
        <f t="shared" si="15"/>
        <v/>
      </c>
      <c r="B1891" s="109"/>
      <c r="C1891" s="119"/>
      <c r="D1891" s="119"/>
      <c r="E1891" s="330"/>
      <c r="F1891" s="121"/>
      <c r="G1891" s="153"/>
      <c r="H1891" s="153"/>
      <c r="I1891" s="153"/>
      <c r="J1891" s="112"/>
      <c r="K1891" s="153"/>
      <c r="L1891" s="114"/>
      <c r="M1891" s="151"/>
      <c r="N1891" s="152"/>
      <c r="O1891" s="150"/>
      <c r="P1891" s="114"/>
      <c r="Q1891" s="114"/>
      <c r="R1891" s="151"/>
      <c r="S1891" s="152"/>
      <c r="T1891" s="153"/>
      <c r="U1891" s="152"/>
      <c r="V1891" s="152"/>
      <c r="W1891" s="152"/>
      <c r="X1891" s="152"/>
      <c r="Y1891" s="153"/>
      <c r="Z1891" s="125" t="str">
        <f t="shared" si="16"/>
        <v/>
      </c>
      <c r="AA1891" s="126" t="str">
        <f t="shared" si="17"/>
        <v/>
      </c>
      <c r="AB1891" s="117" t="str">
        <f t="shared" si="19"/>
        <v/>
      </c>
      <c r="AC1891" s="152"/>
      <c r="AD1891" s="153"/>
      <c r="AE1891" s="156"/>
    </row>
    <row r="1892" ht="18.0" customHeight="1">
      <c r="A1892" s="127" t="str">
        <f t="shared" si="15"/>
        <v/>
      </c>
      <c r="B1892" s="128"/>
      <c r="C1892" s="129"/>
      <c r="D1892" s="129"/>
      <c r="E1892" s="325"/>
      <c r="F1892" s="131"/>
      <c r="G1892" s="319"/>
      <c r="H1892" s="319"/>
      <c r="I1892" s="319"/>
      <c r="J1892" s="132"/>
      <c r="K1892" s="319"/>
      <c r="L1892" s="135"/>
      <c r="M1892" s="321"/>
      <c r="N1892" s="322"/>
      <c r="O1892" s="150"/>
      <c r="P1892" s="135"/>
      <c r="Q1892" s="135"/>
      <c r="R1892" s="321"/>
      <c r="S1892" s="322"/>
      <c r="T1892" s="319"/>
      <c r="U1892" s="322"/>
      <c r="V1892" s="322"/>
      <c r="W1892" s="322"/>
      <c r="X1892" s="322"/>
      <c r="Y1892" s="319"/>
      <c r="Z1892" s="136" t="str">
        <f t="shared" si="16"/>
        <v/>
      </c>
      <c r="AA1892" s="137" t="str">
        <f t="shared" si="17"/>
        <v/>
      </c>
      <c r="AB1892" s="138" t="str">
        <f t="shared" si="19"/>
        <v/>
      </c>
      <c r="AC1892" s="322"/>
      <c r="AD1892" s="319"/>
      <c r="AE1892" s="320"/>
    </row>
    <row r="1893" ht="18.0" customHeight="1">
      <c r="A1893" s="118" t="str">
        <f t="shared" si="15"/>
        <v/>
      </c>
      <c r="B1893" s="109"/>
      <c r="C1893" s="119"/>
      <c r="D1893" s="119"/>
      <c r="E1893" s="330"/>
      <c r="F1893" s="121"/>
      <c r="G1893" s="153"/>
      <c r="H1893" s="153"/>
      <c r="I1893" s="153"/>
      <c r="J1893" s="112"/>
      <c r="K1893" s="153"/>
      <c r="L1893" s="114"/>
      <c r="M1893" s="151"/>
      <c r="N1893" s="152"/>
      <c r="O1893" s="150"/>
      <c r="P1893" s="114"/>
      <c r="Q1893" s="114"/>
      <c r="R1893" s="151"/>
      <c r="S1893" s="152"/>
      <c r="T1893" s="153"/>
      <c r="U1893" s="152"/>
      <c r="V1893" s="152"/>
      <c r="W1893" s="152"/>
      <c r="X1893" s="152"/>
      <c r="Y1893" s="153"/>
      <c r="Z1893" s="125" t="str">
        <f t="shared" si="16"/>
        <v/>
      </c>
      <c r="AA1893" s="126" t="str">
        <f t="shared" si="17"/>
        <v/>
      </c>
      <c r="AB1893" s="117" t="str">
        <f t="shared" si="19"/>
        <v/>
      </c>
      <c r="AC1893" s="152"/>
      <c r="AD1893" s="153"/>
      <c r="AE1893" s="156"/>
    </row>
    <row r="1894" ht="18.0" customHeight="1">
      <c r="A1894" s="127" t="str">
        <f t="shared" si="15"/>
        <v/>
      </c>
      <c r="B1894" s="128"/>
      <c r="C1894" s="129"/>
      <c r="D1894" s="129"/>
      <c r="E1894" s="325"/>
      <c r="F1894" s="131"/>
      <c r="G1894" s="319"/>
      <c r="H1894" s="319"/>
      <c r="I1894" s="319"/>
      <c r="J1894" s="132"/>
      <c r="K1894" s="319"/>
      <c r="L1894" s="135"/>
      <c r="M1894" s="321"/>
      <c r="N1894" s="322"/>
      <c r="O1894" s="150"/>
      <c r="P1894" s="135"/>
      <c r="Q1894" s="135"/>
      <c r="R1894" s="321"/>
      <c r="S1894" s="322"/>
      <c r="T1894" s="319"/>
      <c r="U1894" s="322"/>
      <c r="V1894" s="322"/>
      <c r="W1894" s="322"/>
      <c r="X1894" s="322"/>
      <c r="Y1894" s="319"/>
      <c r="Z1894" s="136" t="str">
        <f t="shared" si="16"/>
        <v/>
      </c>
      <c r="AA1894" s="137" t="str">
        <f t="shared" si="17"/>
        <v/>
      </c>
      <c r="AB1894" s="138" t="str">
        <f t="shared" si="19"/>
        <v/>
      </c>
      <c r="AC1894" s="322"/>
      <c r="AD1894" s="319"/>
      <c r="AE1894" s="320"/>
    </row>
    <row r="1895" ht="18.0" customHeight="1">
      <c r="A1895" s="118" t="str">
        <f t="shared" si="15"/>
        <v/>
      </c>
      <c r="B1895" s="109"/>
      <c r="C1895" s="119"/>
      <c r="D1895" s="119"/>
      <c r="E1895" s="330"/>
      <c r="F1895" s="121"/>
      <c r="G1895" s="153"/>
      <c r="H1895" s="153"/>
      <c r="I1895" s="153"/>
      <c r="J1895" s="112"/>
      <c r="K1895" s="153"/>
      <c r="L1895" s="114"/>
      <c r="M1895" s="151"/>
      <c r="N1895" s="152"/>
      <c r="O1895" s="150"/>
      <c r="P1895" s="114"/>
      <c r="Q1895" s="114"/>
      <c r="R1895" s="151"/>
      <c r="S1895" s="152"/>
      <c r="T1895" s="153"/>
      <c r="U1895" s="152"/>
      <c r="V1895" s="152"/>
      <c r="W1895" s="152"/>
      <c r="X1895" s="152"/>
      <c r="Y1895" s="153"/>
      <c r="Z1895" s="125" t="str">
        <f t="shared" si="16"/>
        <v/>
      </c>
      <c r="AA1895" s="126" t="str">
        <f t="shared" si="17"/>
        <v/>
      </c>
      <c r="AB1895" s="117" t="str">
        <f t="shared" si="19"/>
        <v/>
      </c>
      <c r="AC1895" s="152"/>
      <c r="AD1895" s="153"/>
      <c r="AE1895" s="156"/>
    </row>
    <row r="1896" ht="18.0" customHeight="1">
      <c r="A1896" s="127" t="str">
        <f t="shared" si="15"/>
        <v/>
      </c>
      <c r="B1896" s="128"/>
      <c r="C1896" s="129"/>
      <c r="D1896" s="129"/>
      <c r="E1896" s="325"/>
      <c r="F1896" s="131"/>
      <c r="G1896" s="319"/>
      <c r="H1896" s="319"/>
      <c r="I1896" s="319"/>
      <c r="J1896" s="132"/>
      <c r="K1896" s="319"/>
      <c r="L1896" s="135"/>
      <c r="M1896" s="321"/>
      <c r="N1896" s="322"/>
      <c r="O1896" s="150"/>
      <c r="P1896" s="135"/>
      <c r="Q1896" s="135"/>
      <c r="R1896" s="321"/>
      <c r="S1896" s="322"/>
      <c r="T1896" s="319"/>
      <c r="U1896" s="322"/>
      <c r="V1896" s="322"/>
      <c r="W1896" s="322"/>
      <c r="X1896" s="322"/>
      <c r="Y1896" s="319"/>
      <c r="Z1896" s="136" t="str">
        <f t="shared" si="16"/>
        <v/>
      </c>
      <c r="AA1896" s="137" t="str">
        <f t="shared" si="17"/>
        <v/>
      </c>
      <c r="AB1896" s="138" t="str">
        <f t="shared" si="19"/>
        <v/>
      </c>
      <c r="AC1896" s="322"/>
      <c r="AD1896" s="319"/>
      <c r="AE1896" s="320"/>
    </row>
    <row r="1897" ht="18.0" customHeight="1">
      <c r="A1897" s="118" t="str">
        <f t="shared" si="15"/>
        <v/>
      </c>
      <c r="B1897" s="109"/>
      <c r="C1897" s="119"/>
      <c r="D1897" s="119"/>
      <c r="E1897" s="330"/>
      <c r="F1897" s="121"/>
      <c r="G1897" s="153"/>
      <c r="H1897" s="153"/>
      <c r="I1897" s="153"/>
      <c r="J1897" s="112"/>
      <c r="K1897" s="153"/>
      <c r="L1897" s="114"/>
      <c r="M1897" s="151"/>
      <c r="N1897" s="152"/>
      <c r="O1897" s="150"/>
      <c r="P1897" s="114"/>
      <c r="Q1897" s="114"/>
      <c r="R1897" s="151"/>
      <c r="S1897" s="152"/>
      <c r="T1897" s="153"/>
      <c r="U1897" s="152"/>
      <c r="V1897" s="152"/>
      <c r="W1897" s="152"/>
      <c r="X1897" s="152"/>
      <c r="Y1897" s="153"/>
      <c r="Z1897" s="125" t="str">
        <f t="shared" si="16"/>
        <v/>
      </c>
      <c r="AA1897" s="126" t="str">
        <f t="shared" si="17"/>
        <v/>
      </c>
      <c r="AB1897" s="117" t="str">
        <f t="shared" si="19"/>
        <v/>
      </c>
      <c r="AC1897" s="152"/>
      <c r="AD1897" s="153"/>
      <c r="AE1897" s="156"/>
    </row>
    <row r="1898" ht="18.0" customHeight="1">
      <c r="A1898" s="127" t="str">
        <f t="shared" si="15"/>
        <v/>
      </c>
      <c r="B1898" s="128"/>
      <c r="C1898" s="129"/>
      <c r="D1898" s="129"/>
      <c r="E1898" s="325"/>
      <c r="F1898" s="131"/>
      <c r="G1898" s="319"/>
      <c r="H1898" s="319"/>
      <c r="I1898" s="319"/>
      <c r="J1898" s="132"/>
      <c r="K1898" s="319"/>
      <c r="L1898" s="135"/>
      <c r="M1898" s="321"/>
      <c r="N1898" s="322"/>
      <c r="O1898" s="150"/>
      <c r="P1898" s="135"/>
      <c r="Q1898" s="135"/>
      <c r="R1898" s="321"/>
      <c r="S1898" s="322"/>
      <c r="T1898" s="319"/>
      <c r="U1898" s="322"/>
      <c r="V1898" s="322"/>
      <c r="W1898" s="322"/>
      <c r="X1898" s="322"/>
      <c r="Y1898" s="319"/>
      <c r="Z1898" s="136" t="str">
        <f t="shared" si="16"/>
        <v/>
      </c>
      <c r="AA1898" s="137" t="str">
        <f t="shared" si="17"/>
        <v/>
      </c>
      <c r="AB1898" s="138" t="str">
        <f t="shared" si="19"/>
        <v/>
      </c>
      <c r="AC1898" s="322"/>
      <c r="AD1898" s="319"/>
      <c r="AE1898" s="320"/>
    </row>
    <row r="1899" ht="18.0" customHeight="1">
      <c r="A1899" s="118" t="str">
        <f t="shared" si="15"/>
        <v/>
      </c>
      <c r="B1899" s="109"/>
      <c r="C1899" s="119"/>
      <c r="D1899" s="119"/>
      <c r="E1899" s="330"/>
      <c r="F1899" s="121"/>
      <c r="G1899" s="153"/>
      <c r="H1899" s="153"/>
      <c r="I1899" s="153"/>
      <c r="J1899" s="112"/>
      <c r="K1899" s="153"/>
      <c r="L1899" s="114"/>
      <c r="M1899" s="151"/>
      <c r="N1899" s="152"/>
      <c r="O1899" s="150"/>
      <c r="P1899" s="114"/>
      <c r="Q1899" s="114"/>
      <c r="R1899" s="151"/>
      <c r="S1899" s="152"/>
      <c r="T1899" s="153"/>
      <c r="U1899" s="152"/>
      <c r="V1899" s="152"/>
      <c r="W1899" s="152"/>
      <c r="X1899" s="152"/>
      <c r="Y1899" s="153"/>
      <c r="Z1899" s="125" t="str">
        <f t="shared" si="16"/>
        <v/>
      </c>
      <c r="AA1899" s="126" t="str">
        <f t="shared" si="17"/>
        <v/>
      </c>
      <c r="AB1899" s="117" t="str">
        <f t="shared" si="19"/>
        <v/>
      </c>
      <c r="AC1899" s="152"/>
      <c r="AD1899" s="153"/>
      <c r="AE1899" s="156"/>
    </row>
    <row r="1900" ht="18.0" customHeight="1">
      <c r="A1900" s="127" t="str">
        <f t="shared" si="15"/>
        <v/>
      </c>
      <c r="B1900" s="128"/>
      <c r="C1900" s="129"/>
      <c r="D1900" s="129"/>
      <c r="E1900" s="325"/>
      <c r="F1900" s="131"/>
      <c r="G1900" s="319"/>
      <c r="H1900" s="319"/>
      <c r="I1900" s="319"/>
      <c r="J1900" s="132"/>
      <c r="K1900" s="319"/>
      <c r="L1900" s="135"/>
      <c r="M1900" s="321"/>
      <c r="N1900" s="322"/>
      <c r="O1900" s="150"/>
      <c r="P1900" s="135"/>
      <c r="Q1900" s="135"/>
      <c r="R1900" s="321"/>
      <c r="S1900" s="322"/>
      <c r="T1900" s="319"/>
      <c r="U1900" s="322"/>
      <c r="V1900" s="322"/>
      <c r="W1900" s="322"/>
      <c r="X1900" s="322"/>
      <c r="Y1900" s="319"/>
      <c r="Z1900" s="136" t="str">
        <f t="shared" si="16"/>
        <v/>
      </c>
      <c r="AA1900" s="137" t="str">
        <f t="shared" si="17"/>
        <v/>
      </c>
      <c r="AB1900" s="138" t="str">
        <f t="shared" si="19"/>
        <v/>
      </c>
      <c r="AC1900" s="322"/>
      <c r="AD1900" s="319"/>
      <c r="AE1900" s="320"/>
    </row>
    <row r="1901" ht="18.0" customHeight="1">
      <c r="A1901" s="118" t="str">
        <f t="shared" si="15"/>
        <v/>
      </c>
      <c r="B1901" s="109"/>
      <c r="C1901" s="119"/>
      <c r="D1901" s="119"/>
      <c r="E1901" s="330"/>
      <c r="F1901" s="121"/>
      <c r="G1901" s="153"/>
      <c r="H1901" s="153"/>
      <c r="I1901" s="153"/>
      <c r="J1901" s="112"/>
      <c r="K1901" s="153"/>
      <c r="L1901" s="114"/>
      <c r="M1901" s="151"/>
      <c r="N1901" s="152"/>
      <c r="O1901" s="150"/>
      <c r="P1901" s="114"/>
      <c r="Q1901" s="114"/>
      <c r="R1901" s="151"/>
      <c r="S1901" s="152"/>
      <c r="T1901" s="153"/>
      <c r="U1901" s="152"/>
      <c r="V1901" s="152"/>
      <c r="W1901" s="152"/>
      <c r="X1901" s="152"/>
      <c r="Y1901" s="153"/>
      <c r="Z1901" s="125" t="str">
        <f t="shared" si="16"/>
        <v/>
      </c>
      <c r="AA1901" s="126" t="str">
        <f t="shared" si="17"/>
        <v/>
      </c>
      <c r="AB1901" s="117" t="str">
        <f t="shared" si="19"/>
        <v/>
      </c>
      <c r="AC1901" s="152"/>
      <c r="AD1901" s="153"/>
      <c r="AE1901" s="156"/>
    </row>
    <row r="1902" ht="18.0" customHeight="1">
      <c r="A1902" s="127" t="str">
        <f t="shared" si="15"/>
        <v/>
      </c>
      <c r="B1902" s="128"/>
      <c r="C1902" s="129"/>
      <c r="D1902" s="129"/>
      <c r="E1902" s="325"/>
      <c r="F1902" s="131"/>
      <c r="G1902" s="319"/>
      <c r="H1902" s="319"/>
      <c r="I1902" s="319"/>
      <c r="J1902" s="132"/>
      <c r="K1902" s="319"/>
      <c r="L1902" s="135"/>
      <c r="M1902" s="321"/>
      <c r="N1902" s="322"/>
      <c r="O1902" s="150"/>
      <c r="P1902" s="135"/>
      <c r="Q1902" s="135"/>
      <c r="R1902" s="321"/>
      <c r="S1902" s="322"/>
      <c r="T1902" s="319"/>
      <c r="U1902" s="322"/>
      <c r="V1902" s="322"/>
      <c r="W1902" s="322"/>
      <c r="X1902" s="322"/>
      <c r="Y1902" s="319"/>
      <c r="Z1902" s="136" t="str">
        <f t="shared" si="16"/>
        <v/>
      </c>
      <c r="AA1902" s="137" t="str">
        <f t="shared" si="17"/>
        <v/>
      </c>
      <c r="AB1902" s="138" t="str">
        <f t="shared" si="19"/>
        <v/>
      </c>
      <c r="AC1902" s="322"/>
      <c r="AD1902" s="319"/>
      <c r="AE1902" s="320"/>
    </row>
    <row r="1903" ht="18.0" customHeight="1">
      <c r="A1903" s="118" t="str">
        <f t="shared" si="15"/>
        <v/>
      </c>
      <c r="B1903" s="109"/>
      <c r="C1903" s="119"/>
      <c r="D1903" s="119"/>
      <c r="E1903" s="330"/>
      <c r="F1903" s="121"/>
      <c r="G1903" s="153"/>
      <c r="H1903" s="153"/>
      <c r="I1903" s="153"/>
      <c r="J1903" s="112"/>
      <c r="K1903" s="153"/>
      <c r="L1903" s="114"/>
      <c r="M1903" s="151"/>
      <c r="N1903" s="152"/>
      <c r="O1903" s="150"/>
      <c r="P1903" s="114"/>
      <c r="Q1903" s="114"/>
      <c r="R1903" s="151"/>
      <c r="S1903" s="152"/>
      <c r="T1903" s="153"/>
      <c r="U1903" s="152"/>
      <c r="V1903" s="152"/>
      <c r="W1903" s="152"/>
      <c r="X1903" s="152"/>
      <c r="Y1903" s="153"/>
      <c r="Z1903" s="125" t="str">
        <f t="shared" si="16"/>
        <v/>
      </c>
      <c r="AA1903" s="126" t="str">
        <f t="shared" si="17"/>
        <v/>
      </c>
      <c r="AB1903" s="117" t="str">
        <f t="shared" si="19"/>
        <v/>
      </c>
      <c r="AC1903" s="152"/>
      <c r="AD1903" s="153"/>
      <c r="AE1903" s="156"/>
    </row>
    <row r="1904" ht="18.0" customHeight="1">
      <c r="A1904" s="127" t="str">
        <f t="shared" si="15"/>
        <v/>
      </c>
      <c r="B1904" s="128"/>
      <c r="C1904" s="129"/>
      <c r="D1904" s="129"/>
      <c r="E1904" s="325"/>
      <c r="F1904" s="131"/>
      <c r="G1904" s="319"/>
      <c r="H1904" s="319"/>
      <c r="I1904" s="319"/>
      <c r="J1904" s="132"/>
      <c r="K1904" s="319"/>
      <c r="L1904" s="135"/>
      <c r="M1904" s="321"/>
      <c r="N1904" s="322"/>
      <c r="O1904" s="150"/>
      <c r="P1904" s="135"/>
      <c r="Q1904" s="135"/>
      <c r="R1904" s="321"/>
      <c r="S1904" s="322"/>
      <c r="T1904" s="319"/>
      <c r="U1904" s="322"/>
      <c r="V1904" s="322"/>
      <c r="W1904" s="322"/>
      <c r="X1904" s="322"/>
      <c r="Y1904" s="319"/>
      <c r="Z1904" s="136" t="str">
        <f t="shared" si="16"/>
        <v/>
      </c>
      <c r="AA1904" s="137" t="str">
        <f t="shared" si="17"/>
        <v/>
      </c>
      <c r="AB1904" s="138" t="str">
        <f t="shared" si="19"/>
        <v/>
      </c>
      <c r="AC1904" s="322"/>
      <c r="AD1904" s="319"/>
      <c r="AE1904" s="320"/>
    </row>
    <row r="1905" ht="18.0" customHeight="1">
      <c r="A1905" s="118" t="str">
        <f t="shared" si="15"/>
        <v/>
      </c>
      <c r="B1905" s="109"/>
      <c r="C1905" s="119"/>
      <c r="D1905" s="119"/>
      <c r="E1905" s="330"/>
      <c r="F1905" s="121"/>
      <c r="G1905" s="153"/>
      <c r="H1905" s="153"/>
      <c r="I1905" s="153"/>
      <c r="J1905" s="112"/>
      <c r="K1905" s="153"/>
      <c r="L1905" s="114"/>
      <c r="M1905" s="151"/>
      <c r="N1905" s="152"/>
      <c r="O1905" s="150"/>
      <c r="P1905" s="114"/>
      <c r="Q1905" s="114"/>
      <c r="R1905" s="151"/>
      <c r="S1905" s="152"/>
      <c r="T1905" s="153"/>
      <c r="U1905" s="152"/>
      <c r="V1905" s="152"/>
      <c r="W1905" s="152"/>
      <c r="X1905" s="152"/>
      <c r="Y1905" s="153"/>
      <c r="Z1905" s="125" t="str">
        <f t="shared" si="16"/>
        <v/>
      </c>
      <c r="AA1905" s="126" t="str">
        <f t="shared" si="17"/>
        <v/>
      </c>
      <c r="AB1905" s="117" t="str">
        <f t="shared" si="19"/>
        <v/>
      </c>
      <c r="AC1905" s="152"/>
      <c r="AD1905" s="153"/>
      <c r="AE1905" s="156"/>
    </row>
    <row r="1906" ht="18.0" customHeight="1">
      <c r="A1906" s="127" t="str">
        <f t="shared" si="15"/>
        <v/>
      </c>
      <c r="B1906" s="128"/>
      <c r="C1906" s="129"/>
      <c r="D1906" s="129"/>
      <c r="E1906" s="325"/>
      <c r="F1906" s="131"/>
      <c r="G1906" s="319"/>
      <c r="H1906" s="319"/>
      <c r="I1906" s="319"/>
      <c r="J1906" s="132"/>
      <c r="K1906" s="319"/>
      <c r="L1906" s="135"/>
      <c r="M1906" s="321"/>
      <c r="N1906" s="322"/>
      <c r="O1906" s="150"/>
      <c r="P1906" s="135"/>
      <c r="Q1906" s="135"/>
      <c r="R1906" s="321"/>
      <c r="S1906" s="322"/>
      <c r="T1906" s="319"/>
      <c r="U1906" s="322"/>
      <c r="V1906" s="322"/>
      <c r="W1906" s="322"/>
      <c r="X1906" s="322"/>
      <c r="Y1906" s="319"/>
      <c r="Z1906" s="136" t="str">
        <f t="shared" si="16"/>
        <v/>
      </c>
      <c r="AA1906" s="137" t="str">
        <f t="shared" si="17"/>
        <v/>
      </c>
      <c r="AB1906" s="138" t="str">
        <f t="shared" si="19"/>
        <v/>
      </c>
      <c r="AC1906" s="322"/>
      <c r="AD1906" s="319"/>
      <c r="AE1906" s="320"/>
    </row>
    <row r="1907" ht="18.0" customHeight="1">
      <c r="A1907" s="118" t="str">
        <f t="shared" si="15"/>
        <v/>
      </c>
      <c r="B1907" s="109"/>
      <c r="C1907" s="119"/>
      <c r="D1907" s="119"/>
      <c r="E1907" s="330"/>
      <c r="F1907" s="121"/>
      <c r="G1907" s="153"/>
      <c r="H1907" s="153"/>
      <c r="I1907" s="153"/>
      <c r="J1907" s="112"/>
      <c r="K1907" s="153"/>
      <c r="L1907" s="114"/>
      <c r="M1907" s="151"/>
      <c r="N1907" s="152"/>
      <c r="O1907" s="150"/>
      <c r="P1907" s="114"/>
      <c r="Q1907" s="114"/>
      <c r="R1907" s="151"/>
      <c r="S1907" s="152"/>
      <c r="T1907" s="153"/>
      <c r="U1907" s="152"/>
      <c r="V1907" s="152"/>
      <c r="W1907" s="152"/>
      <c r="X1907" s="152"/>
      <c r="Y1907" s="153"/>
      <c r="Z1907" s="125" t="str">
        <f t="shared" si="16"/>
        <v/>
      </c>
      <c r="AA1907" s="126" t="str">
        <f t="shared" si="17"/>
        <v/>
      </c>
      <c r="AB1907" s="117" t="str">
        <f t="shared" si="19"/>
        <v/>
      </c>
      <c r="AC1907" s="152"/>
      <c r="AD1907" s="153"/>
      <c r="AE1907" s="156"/>
    </row>
    <row r="1908" ht="18.0" customHeight="1">
      <c r="A1908" s="127" t="str">
        <f t="shared" si="15"/>
        <v/>
      </c>
      <c r="B1908" s="128"/>
      <c r="C1908" s="129"/>
      <c r="D1908" s="129"/>
      <c r="E1908" s="325"/>
      <c r="F1908" s="131"/>
      <c r="G1908" s="319"/>
      <c r="H1908" s="319"/>
      <c r="I1908" s="319"/>
      <c r="J1908" s="132"/>
      <c r="K1908" s="319"/>
      <c r="L1908" s="135"/>
      <c r="M1908" s="321"/>
      <c r="N1908" s="322"/>
      <c r="O1908" s="150"/>
      <c r="P1908" s="135"/>
      <c r="Q1908" s="135"/>
      <c r="R1908" s="321"/>
      <c r="S1908" s="322"/>
      <c r="T1908" s="319"/>
      <c r="U1908" s="322"/>
      <c r="V1908" s="322"/>
      <c r="W1908" s="322"/>
      <c r="X1908" s="322"/>
      <c r="Y1908" s="319"/>
      <c r="Z1908" s="136" t="str">
        <f t="shared" si="16"/>
        <v/>
      </c>
      <c r="AA1908" s="137" t="str">
        <f t="shared" si="17"/>
        <v/>
      </c>
      <c r="AB1908" s="138" t="str">
        <f t="shared" si="19"/>
        <v/>
      </c>
      <c r="AC1908" s="322"/>
      <c r="AD1908" s="319"/>
      <c r="AE1908" s="320"/>
    </row>
    <row r="1909" ht="18.0" customHeight="1">
      <c r="A1909" s="118" t="str">
        <f t="shared" si="15"/>
        <v/>
      </c>
      <c r="B1909" s="109"/>
      <c r="C1909" s="119"/>
      <c r="D1909" s="119"/>
      <c r="E1909" s="330"/>
      <c r="F1909" s="121"/>
      <c r="G1909" s="153"/>
      <c r="H1909" s="153"/>
      <c r="I1909" s="153"/>
      <c r="J1909" s="112"/>
      <c r="K1909" s="153"/>
      <c r="L1909" s="114"/>
      <c r="M1909" s="151"/>
      <c r="N1909" s="152"/>
      <c r="O1909" s="150"/>
      <c r="P1909" s="114"/>
      <c r="Q1909" s="114"/>
      <c r="R1909" s="151"/>
      <c r="S1909" s="152"/>
      <c r="T1909" s="153"/>
      <c r="U1909" s="152"/>
      <c r="V1909" s="152"/>
      <c r="W1909" s="152"/>
      <c r="X1909" s="152"/>
      <c r="Y1909" s="153"/>
      <c r="Z1909" s="125" t="str">
        <f t="shared" si="16"/>
        <v/>
      </c>
      <c r="AA1909" s="126" t="str">
        <f t="shared" si="17"/>
        <v/>
      </c>
      <c r="AB1909" s="117" t="str">
        <f t="shared" si="19"/>
        <v/>
      </c>
      <c r="AC1909" s="152"/>
      <c r="AD1909" s="153"/>
      <c r="AE1909" s="156"/>
    </row>
    <row r="1910" ht="18.0" customHeight="1">
      <c r="A1910" s="127" t="str">
        <f t="shared" si="15"/>
        <v/>
      </c>
      <c r="B1910" s="128"/>
      <c r="C1910" s="129"/>
      <c r="D1910" s="129"/>
      <c r="E1910" s="325"/>
      <c r="F1910" s="131"/>
      <c r="G1910" s="319"/>
      <c r="H1910" s="319"/>
      <c r="I1910" s="319"/>
      <c r="J1910" s="132"/>
      <c r="K1910" s="319"/>
      <c r="L1910" s="135"/>
      <c r="M1910" s="321"/>
      <c r="N1910" s="322"/>
      <c r="O1910" s="150"/>
      <c r="P1910" s="135"/>
      <c r="Q1910" s="135"/>
      <c r="R1910" s="321"/>
      <c r="S1910" s="322"/>
      <c r="T1910" s="319"/>
      <c r="U1910" s="322"/>
      <c r="V1910" s="322"/>
      <c r="W1910" s="322"/>
      <c r="X1910" s="322"/>
      <c r="Y1910" s="319"/>
      <c r="Z1910" s="136" t="str">
        <f t="shared" si="16"/>
        <v/>
      </c>
      <c r="AA1910" s="137" t="str">
        <f t="shared" si="17"/>
        <v/>
      </c>
      <c r="AB1910" s="138" t="str">
        <f t="shared" si="19"/>
        <v/>
      </c>
      <c r="AC1910" s="322"/>
      <c r="AD1910" s="319"/>
      <c r="AE1910" s="320"/>
    </row>
    <row r="1911" ht="18.0" customHeight="1">
      <c r="A1911" s="118" t="str">
        <f t="shared" si="15"/>
        <v/>
      </c>
      <c r="B1911" s="109"/>
      <c r="C1911" s="119"/>
      <c r="D1911" s="119"/>
      <c r="E1911" s="330"/>
      <c r="F1911" s="121"/>
      <c r="G1911" s="153"/>
      <c r="H1911" s="153"/>
      <c r="I1911" s="153"/>
      <c r="J1911" s="112"/>
      <c r="K1911" s="153"/>
      <c r="L1911" s="114"/>
      <c r="M1911" s="151"/>
      <c r="N1911" s="152"/>
      <c r="O1911" s="150"/>
      <c r="P1911" s="114"/>
      <c r="Q1911" s="114"/>
      <c r="R1911" s="151"/>
      <c r="S1911" s="152"/>
      <c r="T1911" s="153"/>
      <c r="U1911" s="152"/>
      <c r="V1911" s="152"/>
      <c r="W1911" s="152"/>
      <c r="X1911" s="152"/>
      <c r="Y1911" s="153"/>
      <c r="Z1911" s="125" t="str">
        <f t="shared" si="16"/>
        <v/>
      </c>
      <c r="AA1911" s="126" t="str">
        <f t="shared" si="17"/>
        <v/>
      </c>
      <c r="AB1911" s="117" t="str">
        <f t="shared" si="19"/>
        <v/>
      </c>
      <c r="AC1911" s="152"/>
      <c r="AD1911" s="153"/>
      <c r="AE1911" s="156"/>
    </row>
    <row r="1912" ht="18.0" customHeight="1">
      <c r="A1912" s="127" t="str">
        <f t="shared" si="15"/>
        <v/>
      </c>
      <c r="B1912" s="128"/>
      <c r="C1912" s="129"/>
      <c r="D1912" s="129"/>
      <c r="E1912" s="325"/>
      <c r="F1912" s="131"/>
      <c r="G1912" s="319"/>
      <c r="H1912" s="319"/>
      <c r="I1912" s="319"/>
      <c r="J1912" s="132"/>
      <c r="K1912" s="319"/>
      <c r="L1912" s="135"/>
      <c r="M1912" s="321"/>
      <c r="N1912" s="322"/>
      <c r="O1912" s="150"/>
      <c r="P1912" s="135"/>
      <c r="Q1912" s="135"/>
      <c r="R1912" s="321"/>
      <c r="S1912" s="322"/>
      <c r="T1912" s="319"/>
      <c r="U1912" s="322"/>
      <c r="V1912" s="322"/>
      <c r="W1912" s="322"/>
      <c r="X1912" s="322"/>
      <c r="Y1912" s="319"/>
      <c r="Z1912" s="136" t="str">
        <f t="shared" si="16"/>
        <v/>
      </c>
      <c r="AA1912" s="137" t="str">
        <f t="shared" si="17"/>
        <v/>
      </c>
      <c r="AB1912" s="138" t="str">
        <f t="shared" si="19"/>
        <v/>
      </c>
      <c r="AC1912" s="322"/>
      <c r="AD1912" s="319"/>
      <c r="AE1912" s="320"/>
    </row>
    <row r="1913" ht="18.0" customHeight="1">
      <c r="A1913" s="118" t="str">
        <f t="shared" si="15"/>
        <v/>
      </c>
      <c r="B1913" s="109"/>
      <c r="C1913" s="119"/>
      <c r="D1913" s="119"/>
      <c r="E1913" s="330"/>
      <c r="F1913" s="121"/>
      <c r="G1913" s="153"/>
      <c r="H1913" s="153"/>
      <c r="I1913" s="153"/>
      <c r="J1913" s="112"/>
      <c r="K1913" s="153"/>
      <c r="L1913" s="114"/>
      <c r="M1913" s="151"/>
      <c r="N1913" s="152"/>
      <c r="O1913" s="150"/>
      <c r="P1913" s="114"/>
      <c r="Q1913" s="114"/>
      <c r="R1913" s="151"/>
      <c r="S1913" s="152"/>
      <c r="T1913" s="153"/>
      <c r="U1913" s="152"/>
      <c r="V1913" s="152"/>
      <c r="W1913" s="152"/>
      <c r="X1913" s="152"/>
      <c r="Y1913" s="153"/>
      <c r="Z1913" s="125" t="str">
        <f t="shared" si="16"/>
        <v/>
      </c>
      <c r="AA1913" s="126" t="str">
        <f t="shared" si="17"/>
        <v/>
      </c>
      <c r="AB1913" s="117" t="str">
        <f t="shared" si="19"/>
        <v/>
      </c>
      <c r="AC1913" s="152"/>
      <c r="AD1913" s="153"/>
      <c r="AE1913" s="156"/>
    </row>
    <row r="1914" ht="18.0" customHeight="1">
      <c r="A1914" s="127" t="str">
        <f t="shared" si="15"/>
        <v/>
      </c>
      <c r="B1914" s="128"/>
      <c r="C1914" s="129"/>
      <c r="D1914" s="129"/>
      <c r="E1914" s="325"/>
      <c r="F1914" s="131"/>
      <c r="G1914" s="319"/>
      <c r="H1914" s="319"/>
      <c r="I1914" s="319"/>
      <c r="J1914" s="132"/>
      <c r="K1914" s="319"/>
      <c r="L1914" s="135"/>
      <c r="M1914" s="321"/>
      <c r="N1914" s="322"/>
      <c r="O1914" s="150"/>
      <c r="P1914" s="135"/>
      <c r="Q1914" s="135"/>
      <c r="R1914" s="321"/>
      <c r="S1914" s="322"/>
      <c r="T1914" s="319"/>
      <c r="U1914" s="322"/>
      <c r="V1914" s="322"/>
      <c r="W1914" s="322"/>
      <c r="X1914" s="322"/>
      <c r="Y1914" s="319"/>
      <c r="Z1914" s="136" t="str">
        <f t="shared" si="16"/>
        <v/>
      </c>
      <c r="AA1914" s="137" t="str">
        <f t="shared" si="17"/>
        <v/>
      </c>
      <c r="AB1914" s="138" t="str">
        <f t="shared" si="19"/>
        <v/>
      </c>
      <c r="AC1914" s="322"/>
      <c r="AD1914" s="319"/>
      <c r="AE1914" s="320"/>
    </row>
    <row r="1915" ht="18.0" customHeight="1">
      <c r="A1915" s="118" t="str">
        <f t="shared" si="15"/>
        <v/>
      </c>
      <c r="B1915" s="109"/>
      <c r="C1915" s="119"/>
      <c r="D1915" s="119"/>
      <c r="E1915" s="330"/>
      <c r="F1915" s="121"/>
      <c r="G1915" s="153"/>
      <c r="H1915" s="153"/>
      <c r="I1915" s="153"/>
      <c r="J1915" s="112"/>
      <c r="K1915" s="153"/>
      <c r="L1915" s="114"/>
      <c r="M1915" s="151"/>
      <c r="N1915" s="152"/>
      <c r="O1915" s="150"/>
      <c r="P1915" s="114"/>
      <c r="Q1915" s="114"/>
      <c r="R1915" s="151"/>
      <c r="S1915" s="152"/>
      <c r="T1915" s="153"/>
      <c r="U1915" s="152"/>
      <c r="V1915" s="152"/>
      <c r="W1915" s="152"/>
      <c r="X1915" s="152"/>
      <c r="Y1915" s="153"/>
      <c r="Z1915" s="125" t="str">
        <f t="shared" si="16"/>
        <v/>
      </c>
      <c r="AA1915" s="126" t="str">
        <f t="shared" si="17"/>
        <v/>
      </c>
      <c r="AB1915" s="117" t="str">
        <f t="shared" si="19"/>
        <v/>
      </c>
      <c r="AC1915" s="152"/>
      <c r="AD1915" s="153"/>
      <c r="AE1915" s="156"/>
    </row>
    <row r="1916" ht="18.0" customHeight="1">
      <c r="A1916" s="127" t="str">
        <f t="shared" si="15"/>
        <v/>
      </c>
      <c r="B1916" s="128"/>
      <c r="C1916" s="129"/>
      <c r="D1916" s="129"/>
      <c r="E1916" s="325"/>
      <c r="F1916" s="131"/>
      <c r="G1916" s="319"/>
      <c r="H1916" s="319"/>
      <c r="I1916" s="319"/>
      <c r="J1916" s="132"/>
      <c r="K1916" s="319"/>
      <c r="L1916" s="135"/>
      <c r="M1916" s="321"/>
      <c r="N1916" s="322"/>
      <c r="O1916" s="150"/>
      <c r="P1916" s="135"/>
      <c r="Q1916" s="135"/>
      <c r="R1916" s="321"/>
      <c r="S1916" s="322"/>
      <c r="T1916" s="319"/>
      <c r="U1916" s="322"/>
      <c r="V1916" s="322"/>
      <c r="W1916" s="322"/>
      <c r="X1916" s="322"/>
      <c r="Y1916" s="319"/>
      <c r="Z1916" s="136" t="str">
        <f t="shared" si="16"/>
        <v/>
      </c>
      <c r="AA1916" s="137" t="str">
        <f t="shared" si="17"/>
        <v/>
      </c>
      <c r="AB1916" s="138" t="str">
        <f t="shared" si="19"/>
        <v/>
      </c>
      <c r="AC1916" s="322"/>
      <c r="AD1916" s="319"/>
      <c r="AE1916" s="320"/>
    </row>
    <row r="1917" ht="18.0" customHeight="1">
      <c r="A1917" s="118" t="str">
        <f t="shared" si="15"/>
        <v/>
      </c>
      <c r="B1917" s="109"/>
      <c r="C1917" s="119"/>
      <c r="D1917" s="119"/>
      <c r="E1917" s="330"/>
      <c r="F1917" s="121"/>
      <c r="G1917" s="153"/>
      <c r="H1917" s="153"/>
      <c r="I1917" s="153"/>
      <c r="J1917" s="112"/>
      <c r="K1917" s="153"/>
      <c r="L1917" s="114"/>
      <c r="M1917" s="151"/>
      <c r="N1917" s="152"/>
      <c r="O1917" s="150"/>
      <c r="P1917" s="114"/>
      <c r="Q1917" s="114"/>
      <c r="R1917" s="151"/>
      <c r="S1917" s="152"/>
      <c r="T1917" s="153"/>
      <c r="U1917" s="152"/>
      <c r="V1917" s="152"/>
      <c r="W1917" s="152"/>
      <c r="X1917" s="152"/>
      <c r="Y1917" s="153"/>
      <c r="Z1917" s="125" t="str">
        <f t="shared" si="16"/>
        <v/>
      </c>
      <c r="AA1917" s="126" t="str">
        <f t="shared" si="17"/>
        <v/>
      </c>
      <c r="AB1917" s="117" t="str">
        <f t="shared" si="19"/>
        <v/>
      </c>
      <c r="AC1917" s="152"/>
      <c r="AD1917" s="153"/>
      <c r="AE1917" s="156"/>
    </row>
    <row r="1918" ht="18.0" customHeight="1">
      <c r="A1918" s="127" t="str">
        <f t="shared" si="15"/>
        <v/>
      </c>
      <c r="B1918" s="128"/>
      <c r="C1918" s="129"/>
      <c r="D1918" s="129"/>
      <c r="E1918" s="325"/>
      <c r="F1918" s="131"/>
      <c r="G1918" s="319"/>
      <c r="H1918" s="319"/>
      <c r="I1918" s="319"/>
      <c r="J1918" s="132"/>
      <c r="K1918" s="319"/>
      <c r="L1918" s="135"/>
      <c r="M1918" s="321"/>
      <c r="N1918" s="322"/>
      <c r="O1918" s="150"/>
      <c r="P1918" s="135"/>
      <c r="Q1918" s="135"/>
      <c r="R1918" s="321"/>
      <c r="S1918" s="322"/>
      <c r="T1918" s="319"/>
      <c r="U1918" s="322"/>
      <c r="V1918" s="322"/>
      <c r="W1918" s="322"/>
      <c r="X1918" s="322"/>
      <c r="Y1918" s="319"/>
      <c r="Z1918" s="136" t="str">
        <f t="shared" si="16"/>
        <v/>
      </c>
      <c r="AA1918" s="137" t="str">
        <f t="shared" si="17"/>
        <v/>
      </c>
      <c r="AB1918" s="138" t="str">
        <f t="shared" si="19"/>
        <v/>
      </c>
      <c r="AC1918" s="322"/>
      <c r="AD1918" s="319"/>
      <c r="AE1918" s="320"/>
    </row>
    <row r="1919" ht="18.0" customHeight="1">
      <c r="A1919" s="118" t="str">
        <f t="shared" si="15"/>
        <v/>
      </c>
      <c r="B1919" s="109"/>
      <c r="C1919" s="119"/>
      <c r="D1919" s="119"/>
      <c r="E1919" s="330"/>
      <c r="F1919" s="121"/>
      <c r="G1919" s="153"/>
      <c r="H1919" s="153"/>
      <c r="I1919" s="153"/>
      <c r="J1919" s="112"/>
      <c r="K1919" s="153"/>
      <c r="L1919" s="114"/>
      <c r="M1919" s="151"/>
      <c r="N1919" s="152"/>
      <c r="O1919" s="150"/>
      <c r="P1919" s="114"/>
      <c r="Q1919" s="114"/>
      <c r="R1919" s="151"/>
      <c r="S1919" s="152"/>
      <c r="T1919" s="153"/>
      <c r="U1919" s="152"/>
      <c r="V1919" s="152"/>
      <c r="W1919" s="152"/>
      <c r="X1919" s="152"/>
      <c r="Y1919" s="153"/>
      <c r="Z1919" s="125" t="str">
        <f t="shared" si="16"/>
        <v/>
      </c>
      <c r="AA1919" s="126" t="str">
        <f t="shared" si="17"/>
        <v/>
      </c>
      <c r="AB1919" s="117" t="str">
        <f t="shared" si="19"/>
        <v/>
      </c>
      <c r="AC1919" s="152"/>
      <c r="AD1919" s="153"/>
      <c r="AE1919" s="156"/>
    </row>
    <row r="1920" ht="18.0" customHeight="1">
      <c r="A1920" s="127" t="str">
        <f t="shared" si="15"/>
        <v/>
      </c>
      <c r="B1920" s="128"/>
      <c r="C1920" s="129"/>
      <c r="D1920" s="129"/>
      <c r="E1920" s="325"/>
      <c r="F1920" s="131"/>
      <c r="G1920" s="319"/>
      <c r="H1920" s="319"/>
      <c r="I1920" s="319"/>
      <c r="J1920" s="132"/>
      <c r="K1920" s="319"/>
      <c r="L1920" s="135"/>
      <c r="M1920" s="321"/>
      <c r="N1920" s="322"/>
      <c r="O1920" s="150"/>
      <c r="P1920" s="135"/>
      <c r="Q1920" s="135"/>
      <c r="R1920" s="321"/>
      <c r="S1920" s="322"/>
      <c r="T1920" s="319"/>
      <c r="U1920" s="322"/>
      <c r="V1920" s="322"/>
      <c r="W1920" s="322"/>
      <c r="X1920" s="322"/>
      <c r="Y1920" s="319"/>
      <c r="Z1920" s="136" t="str">
        <f t="shared" si="16"/>
        <v/>
      </c>
      <c r="AA1920" s="137" t="str">
        <f t="shared" si="17"/>
        <v/>
      </c>
      <c r="AB1920" s="138" t="str">
        <f t="shared" si="19"/>
        <v/>
      </c>
      <c r="AC1920" s="322"/>
      <c r="AD1920" s="319"/>
      <c r="AE1920" s="320"/>
    </row>
    <row r="1921" ht="18.0" customHeight="1">
      <c r="A1921" s="118" t="str">
        <f t="shared" si="15"/>
        <v/>
      </c>
      <c r="B1921" s="109"/>
      <c r="C1921" s="119"/>
      <c r="D1921" s="119"/>
      <c r="E1921" s="330"/>
      <c r="F1921" s="121"/>
      <c r="G1921" s="153"/>
      <c r="H1921" s="153"/>
      <c r="I1921" s="153"/>
      <c r="J1921" s="112"/>
      <c r="K1921" s="153"/>
      <c r="L1921" s="114"/>
      <c r="M1921" s="151"/>
      <c r="N1921" s="152"/>
      <c r="O1921" s="150"/>
      <c r="P1921" s="114"/>
      <c r="Q1921" s="114"/>
      <c r="R1921" s="151"/>
      <c r="S1921" s="152"/>
      <c r="T1921" s="153"/>
      <c r="U1921" s="152"/>
      <c r="V1921" s="152"/>
      <c r="W1921" s="152"/>
      <c r="X1921" s="152"/>
      <c r="Y1921" s="153"/>
      <c r="Z1921" s="125" t="str">
        <f t="shared" si="16"/>
        <v/>
      </c>
      <c r="AA1921" s="126" t="str">
        <f t="shared" si="17"/>
        <v/>
      </c>
      <c r="AB1921" s="117" t="str">
        <f t="shared" si="19"/>
        <v/>
      </c>
      <c r="AC1921" s="152"/>
      <c r="AD1921" s="153"/>
      <c r="AE1921" s="156"/>
    </row>
    <row r="1922" ht="18.0" customHeight="1">
      <c r="A1922" s="127" t="str">
        <f t="shared" si="15"/>
        <v/>
      </c>
      <c r="B1922" s="128"/>
      <c r="C1922" s="129"/>
      <c r="D1922" s="129"/>
      <c r="E1922" s="325"/>
      <c r="F1922" s="131"/>
      <c r="G1922" s="319"/>
      <c r="H1922" s="319"/>
      <c r="I1922" s="319"/>
      <c r="J1922" s="132"/>
      <c r="K1922" s="319"/>
      <c r="L1922" s="135"/>
      <c r="M1922" s="321"/>
      <c r="N1922" s="322"/>
      <c r="O1922" s="150"/>
      <c r="P1922" s="135"/>
      <c r="Q1922" s="135"/>
      <c r="R1922" s="321"/>
      <c r="S1922" s="322"/>
      <c r="T1922" s="319"/>
      <c r="U1922" s="322"/>
      <c r="V1922" s="322"/>
      <c r="W1922" s="322"/>
      <c r="X1922" s="322"/>
      <c r="Y1922" s="319"/>
      <c r="Z1922" s="136" t="str">
        <f t="shared" si="16"/>
        <v/>
      </c>
      <c r="AA1922" s="137" t="str">
        <f t="shared" si="17"/>
        <v/>
      </c>
      <c r="AB1922" s="138" t="str">
        <f t="shared" si="19"/>
        <v/>
      </c>
      <c r="AC1922" s="322"/>
      <c r="AD1922" s="319"/>
      <c r="AE1922" s="320"/>
    </row>
    <row r="1923" ht="18.0" customHeight="1">
      <c r="A1923" s="118" t="str">
        <f t="shared" si="15"/>
        <v/>
      </c>
      <c r="B1923" s="109"/>
      <c r="C1923" s="119"/>
      <c r="D1923" s="119"/>
      <c r="E1923" s="330"/>
      <c r="F1923" s="121"/>
      <c r="G1923" s="153"/>
      <c r="H1923" s="153"/>
      <c r="I1923" s="153"/>
      <c r="J1923" s="112"/>
      <c r="K1923" s="153"/>
      <c r="L1923" s="114"/>
      <c r="M1923" s="151"/>
      <c r="N1923" s="152"/>
      <c r="O1923" s="150"/>
      <c r="P1923" s="114"/>
      <c r="Q1923" s="114"/>
      <c r="R1923" s="151"/>
      <c r="S1923" s="152"/>
      <c r="T1923" s="153"/>
      <c r="U1923" s="152"/>
      <c r="V1923" s="152"/>
      <c r="W1923" s="152"/>
      <c r="X1923" s="152"/>
      <c r="Y1923" s="153"/>
      <c r="Z1923" s="125" t="str">
        <f t="shared" si="16"/>
        <v/>
      </c>
      <c r="AA1923" s="126" t="str">
        <f t="shared" si="17"/>
        <v/>
      </c>
      <c r="AB1923" s="117" t="str">
        <f t="shared" si="19"/>
        <v/>
      </c>
      <c r="AC1923" s="152"/>
      <c r="AD1923" s="153"/>
      <c r="AE1923" s="156"/>
    </row>
    <row r="1924" ht="18.0" customHeight="1">
      <c r="A1924" s="127" t="str">
        <f t="shared" si="15"/>
        <v/>
      </c>
      <c r="B1924" s="128"/>
      <c r="C1924" s="129"/>
      <c r="D1924" s="129"/>
      <c r="E1924" s="325"/>
      <c r="F1924" s="131"/>
      <c r="G1924" s="319"/>
      <c r="H1924" s="319"/>
      <c r="I1924" s="319"/>
      <c r="J1924" s="132"/>
      <c r="K1924" s="319"/>
      <c r="L1924" s="135"/>
      <c r="M1924" s="321"/>
      <c r="N1924" s="322"/>
      <c r="O1924" s="150"/>
      <c r="P1924" s="135"/>
      <c r="Q1924" s="135"/>
      <c r="R1924" s="321"/>
      <c r="S1924" s="322"/>
      <c r="T1924" s="319"/>
      <c r="U1924" s="322"/>
      <c r="V1924" s="322"/>
      <c r="W1924" s="322"/>
      <c r="X1924" s="322"/>
      <c r="Y1924" s="319"/>
      <c r="Z1924" s="136" t="str">
        <f t="shared" si="16"/>
        <v/>
      </c>
      <c r="AA1924" s="137" t="str">
        <f t="shared" si="17"/>
        <v/>
      </c>
      <c r="AB1924" s="138" t="str">
        <f t="shared" si="19"/>
        <v/>
      </c>
      <c r="AC1924" s="322"/>
      <c r="AD1924" s="319"/>
      <c r="AE1924" s="320"/>
    </row>
    <row r="1925" ht="18.0" customHeight="1">
      <c r="A1925" s="118" t="str">
        <f t="shared" si="15"/>
        <v/>
      </c>
      <c r="B1925" s="109"/>
      <c r="C1925" s="119"/>
      <c r="D1925" s="119"/>
      <c r="E1925" s="330"/>
      <c r="F1925" s="121"/>
      <c r="G1925" s="153"/>
      <c r="H1925" s="153"/>
      <c r="I1925" s="153"/>
      <c r="J1925" s="112"/>
      <c r="K1925" s="153"/>
      <c r="L1925" s="114"/>
      <c r="M1925" s="151"/>
      <c r="N1925" s="152"/>
      <c r="O1925" s="150"/>
      <c r="P1925" s="114"/>
      <c r="Q1925" s="114"/>
      <c r="R1925" s="151"/>
      <c r="S1925" s="152"/>
      <c r="T1925" s="153"/>
      <c r="U1925" s="152"/>
      <c r="V1925" s="152"/>
      <c r="W1925" s="152"/>
      <c r="X1925" s="152"/>
      <c r="Y1925" s="153"/>
      <c r="Z1925" s="125" t="str">
        <f t="shared" si="16"/>
        <v/>
      </c>
      <c r="AA1925" s="126" t="str">
        <f t="shared" si="17"/>
        <v/>
      </c>
      <c r="AB1925" s="117" t="str">
        <f t="shared" si="19"/>
        <v/>
      </c>
      <c r="AC1925" s="152"/>
      <c r="AD1925" s="153"/>
      <c r="AE1925" s="156"/>
    </row>
    <row r="1926" ht="18.0" customHeight="1">
      <c r="A1926" s="127" t="str">
        <f t="shared" si="15"/>
        <v/>
      </c>
      <c r="B1926" s="128"/>
      <c r="C1926" s="129"/>
      <c r="D1926" s="129"/>
      <c r="E1926" s="325"/>
      <c r="F1926" s="131"/>
      <c r="G1926" s="319"/>
      <c r="H1926" s="319"/>
      <c r="I1926" s="319"/>
      <c r="J1926" s="132"/>
      <c r="K1926" s="319"/>
      <c r="L1926" s="135"/>
      <c r="M1926" s="321"/>
      <c r="N1926" s="322"/>
      <c r="O1926" s="150"/>
      <c r="P1926" s="135"/>
      <c r="Q1926" s="135"/>
      <c r="R1926" s="321"/>
      <c r="S1926" s="322"/>
      <c r="T1926" s="319"/>
      <c r="U1926" s="322"/>
      <c r="V1926" s="322"/>
      <c r="W1926" s="322"/>
      <c r="X1926" s="322"/>
      <c r="Y1926" s="319"/>
      <c r="Z1926" s="136" t="str">
        <f t="shared" si="16"/>
        <v/>
      </c>
      <c r="AA1926" s="137" t="str">
        <f t="shared" si="17"/>
        <v/>
      </c>
      <c r="AB1926" s="138" t="str">
        <f t="shared" si="19"/>
        <v/>
      </c>
      <c r="AC1926" s="322"/>
      <c r="AD1926" s="319"/>
      <c r="AE1926" s="320"/>
    </row>
    <row r="1927" ht="18.0" customHeight="1">
      <c r="A1927" s="118" t="str">
        <f t="shared" si="15"/>
        <v/>
      </c>
      <c r="B1927" s="109"/>
      <c r="C1927" s="119"/>
      <c r="D1927" s="119"/>
      <c r="E1927" s="330"/>
      <c r="F1927" s="121"/>
      <c r="G1927" s="153"/>
      <c r="H1927" s="153"/>
      <c r="I1927" s="153"/>
      <c r="J1927" s="112"/>
      <c r="K1927" s="153"/>
      <c r="L1927" s="114"/>
      <c r="M1927" s="151"/>
      <c r="N1927" s="152"/>
      <c r="O1927" s="150"/>
      <c r="P1927" s="114"/>
      <c r="Q1927" s="114"/>
      <c r="R1927" s="151"/>
      <c r="S1927" s="152"/>
      <c r="T1927" s="153"/>
      <c r="U1927" s="152"/>
      <c r="V1927" s="152"/>
      <c r="W1927" s="152"/>
      <c r="X1927" s="152"/>
      <c r="Y1927" s="153"/>
      <c r="Z1927" s="125" t="str">
        <f t="shared" si="16"/>
        <v/>
      </c>
      <c r="AA1927" s="126" t="str">
        <f t="shared" si="17"/>
        <v/>
      </c>
      <c r="AB1927" s="117" t="str">
        <f t="shared" si="19"/>
        <v/>
      </c>
      <c r="AC1927" s="152"/>
      <c r="AD1927" s="153"/>
      <c r="AE1927" s="156"/>
    </row>
    <row r="1928" ht="18.0" customHeight="1">
      <c r="A1928" s="127" t="str">
        <f t="shared" si="15"/>
        <v/>
      </c>
      <c r="B1928" s="128"/>
      <c r="C1928" s="129"/>
      <c r="D1928" s="129"/>
      <c r="E1928" s="325"/>
      <c r="F1928" s="131"/>
      <c r="G1928" s="319"/>
      <c r="H1928" s="319"/>
      <c r="I1928" s="319"/>
      <c r="J1928" s="132"/>
      <c r="K1928" s="319"/>
      <c r="L1928" s="135"/>
      <c r="M1928" s="321"/>
      <c r="N1928" s="322"/>
      <c r="O1928" s="150"/>
      <c r="P1928" s="135"/>
      <c r="Q1928" s="135"/>
      <c r="R1928" s="321"/>
      <c r="S1928" s="322"/>
      <c r="T1928" s="319"/>
      <c r="U1928" s="322"/>
      <c r="V1928" s="322"/>
      <c r="W1928" s="322"/>
      <c r="X1928" s="322"/>
      <c r="Y1928" s="319"/>
      <c r="Z1928" s="136" t="str">
        <f t="shared" si="16"/>
        <v/>
      </c>
      <c r="AA1928" s="137" t="str">
        <f t="shared" si="17"/>
        <v/>
      </c>
      <c r="AB1928" s="138" t="str">
        <f t="shared" si="19"/>
        <v/>
      </c>
      <c r="AC1928" s="322"/>
      <c r="AD1928" s="319"/>
      <c r="AE1928" s="320"/>
    </row>
    <row r="1929" ht="18.0" customHeight="1">
      <c r="A1929" s="118" t="str">
        <f t="shared" si="15"/>
        <v/>
      </c>
      <c r="B1929" s="109"/>
      <c r="C1929" s="119"/>
      <c r="D1929" s="119"/>
      <c r="E1929" s="330"/>
      <c r="F1929" s="121"/>
      <c r="G1929" s="153"/>
      <c r="H1929" s="153"/>
      <c r="I1929" s="153"/>
      <c r="J1929" s="112"/>
      <c r="K1929" s="153"/>
      <c r="L1929" s="114"/>
      <c r="M1929" s="151"/>
      <c r="N1929" s="152"/>
      <c r="O1929" s="150"/>
      <c r="P1929" s="114"/>
      <c r="Q1929" s="114"/>
      <c r="R1929" s="151"/>
      <c r="S1929" s="152"/>
      <c r="T1929" s="153"/>
      <c r="U1929" s="152"/>
      <c r="V1929" s="152"/>
      <c r="W1929" s="152"/>
      <c r="X1929" s="152"/>
      <c r="Y1929" s="153"/>
      <c r="Z1929" s="125" t="str">
        <f t="shared" si="16"/>
        <v/>
      </c>
      <c r="AA1929" s="126" t="str">
        <f t="shared" si="17"/>
        <v/>
      </c>
      <c r="AB1929" s="117" t="str">
        <f t="shared" si="19"/>
        <v/>
      </c>
      <c r="AC1929" s="152"/>
      <c r="AD1929" s="153"/>
      <c r="AE1929" s="156"/>
    </row>
    <row r="1930" ht="18.0" customHeight="1">
      <c r="A1930" s="127" t="str">
        <f t="shared" si="15"/>
        <v/>
      </c>
      <c r="B1930" s="128"/>
      <c r="C1930" s="129"/>
      <c r="D1930" s="129"/>
      <c r="E1930" s="325"/>
      <c r="F1930" s="131"/>
      <c r="G1930" s="319"/>
      <c r="H1930" s="319"/>
      <c r="I1930" s="319"/>
      <c r="J1930" s="132"/>
      <c r="K1930" s="319"/>
      <c r="L1930" s="135"/>
      <c r="M1930" s="321"/>
      <c r="N1930" s="322"/>
      <c r="O1930" s="150"/>
      <c r="P1930" s="135"/>
      <c r="Q1930" s="135"/>
      <c r="R1930" s="321"/>
      <c r="S1930" s="322"/>
      <c r="T1930" s="319"/>
      <c r="U1930" s="322"/>
      <c r="V1930" s="322"/>
      <c r="W1930" s="322"/>
      <c r="X1930" s="322"/>
      <c r="Y1930" s="319"/>
      <c r="Z1930" s="136" t="str">
        <f t="shared" si="16"/>
        <v/>
      </c>
      <c r="AA1930" s="137" t="str">
        <f t="shared" si="17"/>
        <v/>
      </c>
      <c r="AB1930" s="138" t="str">
        <f t="shared" si="19"/>
        <v/>
      </c>
      <c r="AC1930" s="322"/>
      <c r="AD1930" s="319"/>
      <c r="AE1930" s="320"/>
    </row>
    <row r="1931" ht="18.0" customHeight="1">
      <c r="A1931" s="118" t="str">
        <f t="shared" si="15"/>
        <v/>
      </c>
      <c r="B1931" s="109"/>
      <c r="C1931" s="119"/>
      <c r="D1931" s="119"/>
      <c r="E1931" s="330"/>
      <c r="F1931" s="121"/>
      <c r="G1931" s="153"/>
      <c r="H1931" s="153"/>
      <c r="I1931" s="153"/>
      <c r="J1931" s="112"/>
      <c r="K1931" s="153"/>
      <c r="L1931" s="114"/>
      <c r="M1931" s="151"/>
      <c r="N1931" s="152"/>
      <c r="O1931" s="150"/>
      <c r="P1931" s="114"/>
      <c r="Q1931" s="114"/>
      <c r="R1931" s="151"/>
      <c r="S1931" s="152"/>
      <c r="T1931" s="153"/>
      <c r="U1931" s="152"/>
      <c r="V1931" s="152"/>
      <c r="W1931" s="152"/>
      <c r="X1931" s="152"/>
      <c r="Y1931" s="153"/>
      <c r="Z1931" s="125" t="str">
        <f t="shared" si="16"/>
        <v/>
      </c>
      <c r="AA1931" s="126" t="str">
        <f t="shared" si="17"/>
        <v/>
      </c>
      <c r="AB1931" s="117" t="str">
        <f t="shared" si="19"/>
        <v/>
      </c>
      <c r="AC1931" s="152"/>
      <c r="AD1931" s="153"/>
      <c r="AE1931" s="156"/>
    </row>
    <row r="1932" ht="18.0" customHeight="1">
      <c r="A1932" s="127" t="str">
        <f t="shared" si="15"/>
        <v/>
      </c>
      <c r="B1932" s="128"/>
      <c r="C1932" s="129"/>
      <c r="D1932" s="129"/>
      <c r="E1932" s="325"/>
      <c r="F1932" s="131"/>
      <c r="G1932" s="319"/>
      <c r="H1932" s="319"/>
      <c r="I1932" s="319"/>
      <c r="J1932" s="132"/>
      <c r="K1932" s="319"/>
      <c r="L1932" s="135"/>
      <c r="M1932" s="321"/>
      <c r="N1932" s="322"/>
      <c r="O1932" s="150"/>
      <c r="P1932" s="135"/>
      <c r="Q1932" s="135"/>
      <c r="R1932" s="321"/>
      <c r="S1932" s="322"/>
      <c r="T1932" s="319"/>
      <c r="U1932" s="322"/>
      <c r="V1932" s="322"/>
      <c r="W1932" s="322"/>
      <c r="X1932" s="322"/>
      <c r="Y1932" s="319"/>
      <c r="Z1932" s="136" t="str">
        <f t="shared" si="16"/>
        <v/>
      </c>
      <c r="AA1932" s="137" t="str">
        <f t="shared" si="17"/>
        <v/>
      </c>
      <c r="AB1932" s="138" t="str">
        <f t="shared" si="19"/>
        <v/>
      </c>
      <c r="AC1932" s="322"/>
      <c r="AD1932" s="319"/>
      <c r="AE1932" s="320"/>
    </row>
    <row r="1933" ht="18.0" customHeight="1">
      <c r="A1933" s="118" t="str">
        <f t="shared" si="15"/>
        <v/>
      </c>
      <c r="B1933" s="109"/>
      <c r="C1933" s="119"/>
      <c r="D1933" s="119"/>
      <c r="E1933" s="330"/>
      <c r="F1933" s="121"/>
      <c r="G1933" s="153"/>
      <c r="H1933" s="153"/>
      <c r="I1933" s="153"/>
      <c r="J1933" s="112"/>
      <c r="K1933" s="153"/>
      <c r="L1933" s="114"/>
      <c r="M1933" s="151"/>
      <c r="N1933" s="152"/>
      <c r="O1933" s="150"/>
      <c r="P1933" s="114"/>
      <c r="Q1933" s="114"/>
      <c r="R1933" s="151"/>
      <c r="S1933" s="152"/>
      <c r="T1933" s="153"/>
      <c r="U1933" s="152"/>
      <c r="V1933" s="152"/>
      <c r="W1933" s="152"/>
      <c r="X1933" s="152"/>
      <c r="Y1933" s="153"/>
      <c r="Z1933" s="125" t="str">
        <f t="shared" si="16"/>
        <v/>
      </c>
      <c r="AA1933" s="126" t="str">
        <f t="shared" si="17"/>
        <v/>
      </c>
      <c r="AB1933" s="117" t="str">
        <f t="shared" si="19"/>
        <v/>
      </c>
      <c r="AC1933" s="152"/>
      <c r="AD1933" s="153"/>
      <c r="AE1933" s="156"/>
    </row>
    <row r="1934" ht="18.0" customHeight="1">
      <c r="A1934" s="127" t="str">
        <f t="shared" si="15"/>
        <v/>
      </c>
      <c r="B1934" s="128"/>
      <c r="C1934" s="129"/>
      <c r="D1934" s="129"/>
      <c r="E1934" s="325"/>
      <c r="F1934" s="131"/>
      <c r="G1934" s="319"/>
      <c r="H1934" s="319"/>
      <c r="I1934" s="319"/>
      <c r="J1934" s="132"/>
      <c r="K1934" s="319"/>
      <c r="L1934" s="135"/>
      <c r="M1934" s="321"/>
      <c r="N1934" s="322"/>
      <c r="O1934" s="150"/>
      <c r="P1934" s="135"/>
      <c r="Q1934" s="135"/>
      <c r="R1934" s="321"/>
      <c r="S1934" s="322"/>
      <c r="T1934" s="319"/>
      <c r="U1934" s="322"/>
      <c r="V1934" s="322"/>
      <c r="W1934" s="322"/>
      <c r="X1934" s="322"/>
      <c r="Y1934" s="319"/>
      <c r="Z1934" s="136" t="str">
        <f t="shared" si="16"/>
        <v/>
      </c>
      <c r="AA1934" s="137" t="str">
        <f t="shared" si="17"/>
        <v/>
      </c>
      <c r="AB1934" s="138" t="str">
        <f t="shared" si="19"/>
        <v/>
      </c>
      <c r="AC1934" s="322"/>
      <c r="AD1934" s="319"/>
      <c r="AE1934" s="320"/>
    </row>
    <row r="1935" ht="18.0" customHeight="1">
      <c r="A1935" s="118" t="str">
        <f t="shared" si="15"/>
        <v/>
      </c>
      <c r="B1935" s="109"/>
      <c r="C1935" s="119"/>
      <c r="D1935" s="119"/>
      <c r="E1935" s="330"/>
      <c r="F1935" s="121"/>
      <c r="G1935" s="153"/>
      <c r="H1935" s="153"/>
      <c r="I1935" s="153"/>
      <c r="J1935" s="112"/>
      <c r="K1935" s="153"/>
      <c r="L1935" s="114"/>
      <c r="M1935" s="151"/>
      <c r="N1935" s="152"/>
      <c r="O1935" s="150"/>
      <c r="P1935" s="114"/>
      <c r="Q1935" s="114"/>
      <c r="R1935" s="151"/>
      <c r="S1935" s="152"/>
      <c r="T1935" s="153"/>
      <c r="U1935" s="152"/>
      <c r="V1935" s="152"/>
      <c r="W1935" s="152"/>
      <c r="X1935" s="152"/>
      <c r="Y1935" s="153"/>
      <c r="Z1935" s="125" t="str">
        <f t="shared" si="16"/>
        <v/>
      </c>
      <c r="AA1935" s="126" t="str">
        <f t="shared" si="17"/>
        <v/>
      </c>
      <c r="AB1935" s="117" t="str">
        <f t="shared" si="19"/>
        <v/>
      </c>
      <c r="AC1935" s="152"/>
      <c r="AD1935" s="153"/>
      <c r="AE1935" s="156"/>
    </row>
    <row r="1936" ht="18.0" customHeight="1">
      <c r="A1936" s="127" t="str">
        <f t="shared" si="15"/>
        <v/>
      </c>
      <c r="B1936" s="128"/>
      <c r="C1936" s="129"/>
      <c r="D1936" s="129"/>
      <c r="E1936" s="325"/>
      <c r="F1936" s="131"/>
      <c r="G1936" s="319"/>
      <c r="H1936" s="319"/>
      <c r="I1936" s="319"/>
      <c r="J1936" s="132"/>
      <c r="K1936" s="319"/>
      <c r="L1936" s="135"/>
      <c r="M1936" s="321"/>
      <c r="N1936" s="322"/>
      <c r="O1936" s="150"/>
      <c r="P1936" s="135"/>
      <c r="Q1936" s="135"/>
      <c r="R1936" s="321"/>
      <c r="S1936" s="322"/>
      <c r="T1936" s="319"/>
      <c r="U1936" s="322"/>
      <c r="V1936" s="322"/>
      <c r="W1936" s="322"/>
      <c r="X1936" s="322"/>
      <c r="Y1936" s="319"/>
      <c r="Z1936" s="136" t="str">
        <f t="shared" si="16"/>
        <v/>
      </c>
      <c r="AA1936" s="137" t="str">
        <f t="shared" si="17"/>
        <v/>
      </c>
      <c r="AB1936" s="138" t="str">
        <f t="shared" si="19"/>
        <v/>
      </c>
      <c r="AC1936" s="322"/>
      <c r="AD1936" s="319"/>
      <c r="AE1936" s="320"/>
    </row>
    <row r="1937" ht="18.0" customHeight="1">
      <c r="A1937" s="118" t="str">
        <f t="shared" si="15"/>
        <v/>
      </c>
      <c r="B1937" s="109"/>
      <c r="C1937" s="119"/>
      <c r="D1937" s="119"/>
      <c r="E1937" s="330"/>
      <c r="F1937" s="121"/>
      <c r="G1937" s="153"/>
      <c r="H1937" s="153"/>
      <c r="I1937" s="153"/>
      <c r="J1937" s="112"/>
      <c r="K1937" s="153"/>
      <c r="L1937" s="114"/>
      <c r="M1937" s="151"/>
      <c r="N1937" s="152"/>
      <c r="O1937" s="150"/>
      <c r="P1937" s="114"/>
      <c r="Q1937" s="114"/>
      <c r="R1937" s="151"/>
      <c r="S1937" s="152"/>
      <c r="T1937" s="153"/>
      <c r="U1937" s="152"/>
      <c r="V1937" s="152"/>
      <c r="W1937" s="152"/>
      <c r="X1937" s="152"/>
      <c r="Y1937" s="153"/>
      <c r="Z1937" s="125" t="str">
        <f t="shared" si="16"/>
        <v/>
      </c>
      <c r="AA1937" s="126" t="str">
        <f t="shared" si="17"/>
        <v/>
      </c>
      <c r="AB1937" s="117" t="str">
        <f t="shared" si="19"/>
        <v/>
      </c>
      <c r="AC1937" s="152"/>
      <c r="AD1937" s="153"/>
      <c r="AE1937" s="156"/>
    </row>
    <row r="1938" ht="18.0" customHeight="1">
      <c r="A1938" s="127" t="str">
        <f t="shared" si="15"/>
        <v/>
      </c>
      <c r="B1938" s="128"/>
      <c r="C1938" s="129"/>
      <c r="D1938" s="129"/>
      <c r="E1938" s="325"/>
      <c r="F1938" s="131"/>
      <c r="G1938" s="319"/>
      <c r="H1938" s="319"/>
      <c r="I1938" s="319"/>
      <c r="J1938" s="132"/>
      <c r="K1938" s="319"/>
      <c r="L1938" s="135"/>
      <c r="M1938" s="321"/>
      <c r="N1938" s="322"/>
      <c r="O1938" s="150"/>
      <c r="P1938" s="135"/>
      <c r="Q1938" s="135"/>
      <c r="R1938" s="321"/>
      <c r="S1938" s="322"/>
      <c r="T1938" s="319"/>
      <c r="U1938" s="322"/>
      <c r="V1938" s="322"/>
      <c r="W1938" s="322"/>
      <c r="X1938" s="322"/>
      <c r="Y1938" s="319"/>
      <c r="Z1938" s="136" t="str">
        <f t="shared" si="16"/>
        <v/>
      </c>
      <c r="AA1938" s="137" t="str">
        <f t="shared" si="17"/>
        <v/>
      </c>
      <c r="AB1938" s="138" t="str">
        <f t="shared" si="19"/>
        <v/>
      </c>
      <c r="AC1938" s="322"/>
      <c r="AD1938" s="319"/>
      <c r="AE1938" s="320"/>
    </row>
    <row r="1939" ht="18.0" customHeight="1">
      <c r="A1939" s="118" t="str">
        <f t="shared" si="15"/>
        <v/>
      </c>
      <c r="B1939" s="109"/>
      <c r="C1939" s="119"/>
      <c r="D1939" s="119"/>
      <c r="E1939" s="330"/>
      <c r="F1939" s="121"/>
      <c r="G1939" s="153"/>
      <c r="H1939" s="153"/>
      <c r="I1939" s="153"/>
      <c r="J1939" s="112"/>
      <c r="K1939" s="153"/>
      <c r="L1939" s="114"/>
      <c r="M1939" s="151"/>
      <c r="N1939" s="152"/>
      <c r="O1939" s="150"/>
      <c r="P1939" s="114"/>
      <c r="Q1939" s="114"/>
      <c r="R1939" s="151"/>
      <c r="S1939" s="152"/>
      <c r="T1939" s="153"/>
      <c r="U1939" s="152"/>
      <c r="V1939" s="152"/>
      <c r="W1939" s="152"/>
      <c r="X1939" s="152"/>
      <c r="Y1939" s="153"/>
      <c r="Z1939" s="125" t="str">
        <f t="shared" si="16"/>
        <v/>
      </c>
      <c r="AA1939" s="126" t="str">
        <f t="shared" si="17"/>
        <v/>
      </c>
      <c r="AB1939" s="117" t="str">
        <f t="shared" si="19"/>
        <v/>
      </c>
      <c r="AC1939" s="152"/>
      <c r="AD1939" s="153"/>
      <c r="AE1939" s="156"/>
    </row>
    <row r="1940" ht="18.0" customHeight="1">
      <c r="A1940" s="127" t="str">
        <f t="shared" si="15"/>
        <v/>
      </c>
      <c r="B1940" s="128"/>
      <c r="C1940" s="129"/>
      <c r="D1940" s="129"/>
      <c r="E1940" s="325"/>
      <c r="F1940" s="131"/>
      <c r="G1940" s="319"/>
      <c r="H1940" s="319"/>
      <c r="I1940" s="319"/>
      <c r="J1940" s="132"/>
      <c r="K1940" s="319"/>
      <c r="L1940" s="135"/>
      <c r="M1940" s="321"/>
      <c r="N1940" s="322"/>
      <c r="O1940" s="150"/>
      <c r="P1940" s="135"/>
      <c r="Q1940" s="135"/>
      <c r="R1940" s="321"/>
      <c r="S1940" s="322"/>
      <c r="T1940" s="319"/>
      <c r="U1940" s="322"/>
      <c r="V1940" s="322"/>
      <c r="W1940" s="322"/>
      <c r="X1940" s="322"/>
      <c r="Y1940" s="319"/>
      <c r="Z1940" s="136" t="str">
        <f t="shared" si="16"/>
        <v/>
      </c>
      <c r="AA1940" s="137" t="str">
        <f t="shared" si="17"/>
        <v/>
      </c>
      <c r="AB1940" s="138" t="str">
        <f t="shared" si="19"/>
        <v/>
      </c>
      <c r="AC1940" s="322"/>
      <c r="AD1940" s="319"/>
      <c r="AE1940" s="320"/>
    </row>
    <row r="1941" ht="18.0" customHeight="1">
      <c r="A1941" s="118" t="str">
        <f t="shared" si="15"/>
        <v/>
      </c>
      <c r="B1941" s="109"/>
      <c r="C1941" s="119"/>
      <c r="D1941" s="119"/>
      <c r="E1941" s="330"/>
      <c r="F1941" s="121"/>
      <c r="G1941" s="153"/>
      <c r="H1941" s="153"/>
      <c r="I1941" s="153"/>
      <c r="J1941" s="112"/>
      <c r="K1941" s="153"/>
      <c r="L1941" s="114"/>
      <c r="M1941" s="151"/>
      <c r="N1941" s="152"/>
      <c r="O1941" s="150"/>
      <c r="P1941" s="114"/>
      <c r="Q1941" s="114"/>
      <c r="R1941" s="151"/>
      <c r="S1941" s="152"/>
      <c r="T1941" s="153"/>
      <c r="U1941" s="152"/>
      <c r="V1941" s="152"/>
      <c r="W1941" s="152"/>
      <c r="X1941" s="152"/>
      <c r="Y1941" s="153"/>
      <c r="Z1941" s="125" t="str">
        <f t="shared" si="16"/>
        <v/>
      </c>
      <c r="AA1941" s="126" t="str">
        <f t="shared" si="17"/>
        <v/>
      </c>
      <c r="AB1941" s="117" t="str">
        <f t="shared" si="19"/>
        <v/>
      </c>
      <c r="AC1941" s="152"/>
      <c r="AD1941" s="153"/>
      <c r="AE1941" s="156"/>
    </row>
    <row r="1942" ht="18.0" customHeight="1">
      <c r="A1942" s="127" t="str">
        <f t="shared" si="15"/>
        <v/>
      </c>
      <c r="B1942" s="128"/>
      <c r="C1942" s="129"/>
      <c r="D1942" s="129"/>
      <c r="E1942" s="325"/>
      <c r="F1942" s="131"/>
      <c r="G1942" s="319"/>
      <c r="H1942" s="319"/>
      <c r="I1942" s="319"/>
      <c r="J1942" s="132"/>
      <c r="K1942" s="319"/>
      <c r="L1942" s="135"/>
      <c r="M1942" s="321"/>
      <c r="N1942" s="322"/>
      <c r="O1942" s="150"/>
      <c r="P1942" s="135"/>
      <c r="Q1942" s="135"/>
      <c r="R1942" s="321"/>
      <c r="S1942" s="322"/>
      <c r="T1942" s="319"/>
      <c r="U1942" s="322"/>
      <c r="V1942" s="322"/>
      <c r="W1942" s="322"/>
      <c r="X1942" s="322"/>
      <c r="Y1942" s="319"/>
      <c r="Z1942" s="136" t="str">
        <f t="shared" si="16"/>
        <v/>
      </c>
      <c r="AA1942" s="137" t="str">
        <f t="shared" si="17"/>
        <v/>
      </c>
      <c r="AB1942" s="138" t="str">
        <f t="shared" si="19"/>
        <v/>
      </c>
      <c r="AC1942" s="322"/>
      <c r="AD1942" s="319"/>
      <c r="AE1942" s="320"/>
    </row>
    <row r="1943" ht="18.0" customHeight="1">
      <c r="A1943" s="118" t="str">
        <f t="shared" si="15"/>
        <v/>
      </c>
      <c r="B1943" s="109"/>
      <c r="C1943" s="119"/>
      <c r="D1943" s="119"/>
      <c r="E1943" s="330"/>
      <c r="F1943" s="121"/>
      <c r="G1943" s="153"/>
      <c r="H1943" s="153"/>
      <c r="I1943" s="153"/>
      <c r="J1943" s="112"/>
      <c r="K1943" s="153"/>
      <c r="L1943" s="114"/>
      <c r="M1943" s="151"/>
      <c r="N1943" s="152"/>
      <c r="O1943" s="150"/>
      <c r="P1943" s="114"/>
      <c r="Q1943" s="114"/>
      <c r="R1943" s="151"/>
      <c r="S1943" s="152"/>
      <c r="T1943" s="153"/>
      <c r="U1943" s="152"/>
      <c r="V1943" s="152"/>
      <c r="W1943" s="152"/>
      <c r="X1943" s="152"/>
      <c r="Y1943" s="153"/>
      <c r="Z1943" s="125" t="str">
        <f t="shared" si="16"/>
        <v/>
      </c>
      <c r="AA1943" s="126" t="str">
        <f t="shared" si="17"/>
        <v/>
      </c>
      <c r="AB1943" s="117" t="str">
        <f t="shared" si="19"/>
        <v/>
      </c>
      <c r="AC1943" s="152"/>
      <c r="AD1943" s="153"/>
      <c r="AE1943" s="156"/>
    </row>
    <row r="1944" ht="18.0" customHeight="1">
      <c r="A1944" s="127" t="str">
        <f t="shared" si="15"/>
        <v/>
      </c>
      <c r="B1944" s="128"/>
      <c r="C1944" s="129"/>
      <c r="D1944" s="129"/>
      <c r="E1944" s="325"/>
      <c r="F1944" s="131"/>
      <c r="G1944" s="319"/>
      <c r="H1944" s="319"/>
      <c r="I1944" s="319"/>
      <c r="J1944" s="132"/>
      <c r="K1944" s="319"/>
      <c r="L1944" s="135"/>
      <c r="M1944" s="321"/>
      <c r="N1944" s="322"/>
      <c r="O1944" s="150"/>
      <c r="P1944" s="135"/>
      <c r="Q1944" s="135"/>
      <c r="R1944" s="321"/>
      <c r="S1944" s="322"/>
      <c r="T1944" s="319"/>
      <c r="U1944" s="322"/>
      <c r="V1944" s="322"/>
      <c r="W1944" s="322"/>
      <c r="X1944" s="322"/>
      <c r="Y1944" s="319"/>
      <c r="Z1944" s="136" t="str">
        <f t="shared" si="16"/>
        <v/>
      </c>
      <c r="AA1944" s="137" t="str">
        <f t="shared" si="17"/>
        <v/>
      </c>
      <c r="AB1944" s="138" t="str">
        <f t="shared" si="19"/>
        <v/>
      </c>
      <c r="AC1944" s="322"/>
      <c r="AD1944" s="319"/>
      <c r="AE1944" s="320"/>
    </row>
    <row r="1945" ht="18.0" customHeight="1">
      <c r="A1945" s="118" t="str">
        <f t="shared" si="15"/>
        <v/>
      </c>
      <c r="B1945" s="109"/>
      <c r="C1945" s="119"/>
      <c r="D1945" s="119"/>
      <c r="E1945" s="330"/>
      <c r="F1945" s="121"/>
      <c r="G1945" s="153"/>
      <c r="H1945" s="153"/>
      <c r="I1945" s="153"/>
      <c r="J1945" s="112"/>
      <c r="K1945" s="153"/>
      <c r="L1945" s="114"/>
      <c r="M1945" s="151"/>
      <c r="N1945" s="152"/>
      <c r="O1945" s="150"/>
      <c r="P1945" s="114"/>
      <c r="Q1945" s="114"/>
      <c r="R1945" s="151"/>
      <c r="S1945" s="152"/>
      <c r="T1945" s="153"/>
      <c r="U1945" s="152"/>
      <c r="V1945" s="152"/>
      <c r="W1945" s="152"/>
      <c r="X1945" s="152"/>
      <c r="Y1945" s="153"/>
      <c r="Z1945" s="125" t="str">
        <f t="shared" si="16"/>
        <v/>
      </c>
      <c r="AA1945" s="126" t="str">
        <f t="shared" si="17"/>
        <v/>
      </c>
      <c r="AB1945" s="117" t="str">
        <f t="shared" si="19"/>
        <v/>
      </c>
      <c r="AC1945" s="152"/>
      <c r="AD1945" s="153"/>
      <c r="AE1945" s="156"/>
    </row>
    <row r="1946" ht="18.0" customHeight="1">
      <c r="A1946" s="127" t="str">
        <f t="shared" si="15"/>
        <v/>
      </c>
      <c r="B1946" s="128"/>
      <c r="C1946" s="129"/>
      <c r="D1946" s="129"/>
      <c r="E1946" s="325"/>
      <c r="F1946" s="131"/>
      <c r="G1946" s="319"/>
      <c r="H1946" s="319"/>
      <c r="I1946" s="319"/>
      <c r="J1946" s="132"/>
      <c r="K1946" s="319"/>
      <c r="L1946" s="135"/>
      <c r="M1946" s="321"/>
      <c r="N1946" s="322"/>
      <c r="O1946" s="150"/>
      <c r="P1946" s="135"/>
      <c r="Q1946" s="135"/>
      <c r="R1946" s="321"/>
      <c r="S1946" s="322"/>
      <c r="T1946" s="319"/>
      <c r="U1946" s="322"/>
      <c r="V1946" s="322"/>
      <c r="W1946" s="322"/>
      <c r="X1946" s="322"/>
      <c r="Y1946" s="319"/>
      <c r="Z1946" s="136" t="str">
        <f t="shared" si="16"/>
        <v/>
      </c>
      <c r="AA1946" s="137" t="str">
        <f t="shared" si="17"/>
        <v/>
      </c>
      <c r="AB1946" s="138" t="str">
        <f t="shared" si="19"/>
        <v/>
      </c>
      <c r="AC1946" s="322"/>
      <c r="AD1946" s="319"/>
      <c r="AE1946" s="320"/>
    </row>
    <row r="1947" ht="18.0" customHeight="1">
      <c r="A1947" s="118" t="str">
        <f t="shared" si="15"/>
        <v/>
      </c>
      <c r="B1947" s="109"/>
      <c r="C1947" s="119"/>
      <c r="D1947" s="119"/>
      <c r="E1947" s="330"/>
      <c r="F1947" s="121"/>
      <c r="G1947" s="153"/>
      <c r="H1947" s="153"/>
      <c r="I1947" s="153"/>
      <c r="J1947" s="112"/>
      <c r="K1947" s="153"/>
      <c r="L1947" s="114"/>
      <c r="M1947" s="151"/>
      <c r="N1947" s="152"/>
      <c r="O1947" s="150"/>
      <c r="P1947" s="114"/>
      <c r="Q1947" s="114"/>
      <c r="R1947" s="151"/>
      <c r="S1947" s="152"/>
      <c r="T1947" s="153"/>
      <c r="U1947" s="152"/>
      <c r="V1947" s="152"/>
      <c r="W1947" s="152"/>
      <c r="X1947" s="152"/>
      <c r="Y1947" s="153"/>
      <c r="Z1947" s="125" t="str">
        <f t="shared" si="16"/>
        <v/>
      </c>
      <c r="AA1947" s="126" t="str">
        <f t="shared" si="17"/>
        <v/>
      </c>
      <c r="AB1947" s="117" t="str">
        <f t="shared" si="19"/>
        <v/>
      </c>
      <c r="AC1947" s="152"/>
      <c r="AD1947" s="153"/>
      <c r="AE1947" s="156"/>
    </row>
    <row r="1948" ht="18.0" customHeight="1">
      <c r="A1948" s="127" t="str">
        <f t="shared" si="15"/>
        <v/>
      </c>
      <c r="B1948" s="128"/>
      <c r="C1948" s="129"/>
      <c r="D1948" s="129"/>
      <c r="E1948" s="325"/>
      <c r="F1948" s="131"/>
      <c r="G1948" s="319"/>
      <c r="H1948" s="319"/>
      <c r="I1948" s="319"/>
      <c r="J1948" s="132"/>
      <c r="K1948" s="319"/>
      <c r="L1948" s="135"/>
      <c r="M1948" s="321"/>
      <c r="N1948" s="322"/>
      <c r="O1948" s="150"/>
      <c r="P1948" s="135"/>
      <c r="Q1948" s="135"/>
      <c r="R1948" s="321"/>
      <c r="S1948" s="322"/>
      <c r="T1948" s="319"/>
      <c r="U1948" s="322"/>
      <c r="V1948" s="322"/>
      <c r="W1948" s="322"/>
      <c r="X1948" s="322"/>
      <c r="Y1948" s="319"/>
      <c r="Z1948" s="136" t="str">
        <f t="shared" si="16"/>
        <v/>
      </c>
      <c r="AA1948" s="137" t="str">
        <f t="shared" si="17"/>
        <v/>
      </c>
      <c r="AB1948" s="138" t="str">
        <f t="shared" si="19"/>
        <v/>
      </c>
      <c r="AC1948" s="322"/>
      <c r="AD1948" s="319"/>
      <c r="AE1948" s="320"/>
    </row>
    <row r="1949" ht="18.0" customHeight="1">
      <c r="A1949" s="118" t="str">
        <f t="shared" si="15"/>
        <v/>
      </c>
      <c r="B1949" s="109"/>
      <c r="C1949" s="119"/>
      <c r="D1949" s="119"/>
      <c r="E1949" s="330"/>
      <c r="F1949" s="121"/>
      <c r="G1949" s="153"/>
      <c r="H1949" s="153"/>
      <c r="I1949" s="153"/>
      <c r="J1949" s="112"/>
      <c r="K1949" s="153"/>
      <c r="L1949" s="114"/>
      <c r="M1949" s="151"/>
      <c r="N1949" s="152"/>
      <c r="O1949" s="150"/>
      <c r="P1949" s="114"/>
      <c r="Q1949" s="114"/>
      <c r="R1949" s="151"/>
      <c r="S1949" s="152"/>
      <c r="T1949" s="153"/>
      <c r="U1949" s="152"/>
      <c r="V1949" s="152"/>
      <c r="W1949" s="152"/>
      <c r="X1949" s="152"/>
      <c r="Y1949" s="153"/>
      <c r="Z1949" s="125" t="str">
        <f t="shared" si="16"/>
        <v/>
      </c>
      <c r="AA1949" s="126" t="str">
        <f t="shared" si="17"/>
        <v/>
      </c>
      <c r="AB1949" s="117" t="str">
        <f t="shared" si="19"/>
        <v/>
      </c>
      <c r="AC1949" s="152"/>
      <c r="AD1949" s="153"/>
      <c r="AE1949" s="156"/>
    </row>
    <row r="1950" ht="18.0" customHeight="1">
      <c r="A1950" s="127" t="str">
        <f t="shared" si="15"/>
        <v/>
      </c>
      <c r="B1950" s="128"/>
      <c r="C1950" s="129"/>
      <c r="D1950" s="129"/>
      <c r="E1950" s="325"/>
      <c r="F1950" s="131"/>
      <c r="G1950" s="319"/>
      <c r="H1950" s="319"/>
      <c r="I1950" s="319"/>
      <c r="J1950" s="132"/>
      <c r="K1950" s="319"/>
      <c r="L1950" s="135"/>
      <c r="M1950" s="321"/>
      <c r="N1950" s="322"/>
      <c r="O1950" s="150"/>
      <c r="P1950" s="135"/>
      <c r="Q1950" s="135"/>
      <c r="R1950" s="321"/>
      <c r="S1950" s="322"/>
      <c r="T1950" s="319"/>
      <c r="U1950" s="322"/>
      <c r="V1950" s="322"/>
      <c r="W1950" s="322"/>
      <c r="X1950" s="322"/>
      <c r="Y1950" s="319"/>
      <c r="Z1950" s="136" t="str">
        <f t="shared" si="16"/>
        <v/>
      </c>
      <c r="AA1950" s="137" t="str">
        <f t="shared" si="17"/>
        <v/>
      </c>
      <c r="AB1950" s="138" t="str">
        <f t="shared" si="19"/>
        <v/>
      </c>
      <c r="AC1950" s="322"/>
      <c r="AD1950" s="319"/>
      <c r="AE1950" s="320"/>
    </row>
    <row r="1951" ht="18.0" customHeight="1">
      <c r="A1951" s="118" t="str">
        <f t="shared" si="15"/>
        <v/>
      </c>
      <c r="B1951" s="109"/>
      <c r="C1951" s="119"/>
      <c r="D1951" s="119"/>
      <c r="E1951" s="330"/>
      <c r="F1951" s="121"/>
      <c r="G1951" s="153"/>
      <c r="H1951" s="153"/>
      <c r="I1951" s="153"/>
      <c r="J1951" s="112"/>
      <c r="K1951" s="153"/>
      <c r="L1951" s="114"/>
      <c r="M1951" s="151"/>
      <c r="N1951" s="152"/>
      <c r="O1951" s="150"/>
      <c r="P1951" s="114"/>
      <c r="Q1951" s="114"/>
      <c r="R1951" s="151"/>
      <c r="S1951" s="152"/>
      <c r="T1951" s="153"/>
      <c r="U1951" s="152"/>
      <c r="V1951" s="152"/>
      <c r="W1951" s="152"/>
      <c r="X1951" s="152"/>
      <c r="Y1951" s="153"/>
      <c r="Z1951" s="125" t="str">
        <f t="shared" si="16"/>
        <v/>
      </c>
      <c r="AA1951" s="126" t="str">
        <f t="shared" si="17"/>
        <v/>
      </c>
      <c r="AB1951" s="117" t="str">
        <f t="shared" si="19"/>
        <v/>
      </c>
      <c r="AC1951" s="152"/>
      <c r="AD1951" s="153"/>
      <c r="AE1951" s="156"/>
    </row>
    <row r="1952" ht="18.0" customHeight="1">
      <c r="A1952" s="127" t="str">
        <f t="shared" si="15"/>
        <v/>
      </c>
      <c r="B1952" s="128"/>
      <c r="C1952" s="129"/>
      <c r="D1952" s="129"/>
      <c r="E1952" s="325"/>
      <c r="F1952" s="131"/>
      <c r="G1952" s="319"/>
      <c r="H1952" s="319"/>
      <c r="I1952" s="319"/>
      <c r="J1952" s="132"/>
      <c r="K1952" s="319"/>
      <c r="L1952" s="135"/>
      <c r="M1952" s="321"/>
      <c r="N1952" s="322"/>
      <c r="O1952" s="150"/>
      <c r="P1952" s="135"/>
      <c r="Q1952" s="135"/>
      <c r="R1952" s="321"/>
      <c r="S1952" s="322"/>
      <c r="T1952" s="319"/>
      <c r="U1952" s="322"/>
      <c r="V1952" s="322"/>
      <c r="W1952" s="322"/>
      <c r="X1952" s="322"/>
      <c r="Y1952" s="319"/>
      <c r="Z1952" s="136" t="str">
        <f t="shared" si="16"/>
        <v/>
      </c>
      <c r="AA1952" s="137" t="str">
        <f t="shared" si="17"/>
        <v/>
      </c>
      <c r="AB1952" s="138" t="str">
        <f t="shared" si="19"/>
        <v/>
      </c>
      <c r="AC1952" s="322"/>
      <c r="AD1952" s="319"/>
      <c r="AE1952" s="320"/>
    </row>
    <row r="1953" ht="18.0" customHeight="1">
      <c r="A1953" s="118" t="str">
        <f t="shared" si="15"/>
        <v/>
      </c>
      <c r="B1953" s="109"/>
      <c r="C1953" s="119"/>
      <c r="D1953" s="119"/>
      <c r="E1953" s="330"/>
      <c r="F1953" s="121"/>
      <c r="G1953" s="153"/>
      <c r="H1953" s="153"/>
      <c r="I1953" s="153"/>
      <c r="J1953" s="112"/>
      <c r="K1953" s="153"/>
      <c r="L1953" s="114"/>
      <c r="M1953" s="151"/>
      <c r="N1953" s="152"/>
      <c r="O1953" s="150"/>
      <c r="P1953" s="114"/>
      <c r="Q1953" s="114"/>
      <c r="R1953" s="151"/>
      <c r="S1953" s="152"/>
      <c r="T1953" s="153"/>
      <c r="U1953" s="152"/>
      <c r="V1953" s="152"/>
      <c r="W1953" s="152"/>
      <c r="X1953" s="152"/>
      <c r="Y1953" s="153"/>
      <c r="Z1953" s="125" t="str">
        <f t="shared" si="16"/>
        <v/>
      </c>
      <c r="AA1953" s="126" t="str">
        <f t="shared" si="17"/>
        <v/>
      </c>
      <c r="AB1953" s="117" t="str">
        <f t="shared" si="19"/>
        <v/>
      </c>
      <c r="AC1953" s="152"/>
      <c r="AD1953" s="153"/>
      <c r="AE1953" s="156"/>
    </row>
    <row r="1954" ht="18.0" customHeight="1">
      <c r="A1954" s="127" t="str">
        <f t="shared" si="15"/>
        <v/>
      </c>
      <c r="B1954" s="128"/>
      <c r="C1954" s="129"/>
      <c r="D1954" s="129"/>
      <c r="E1954" s="325"/>
      <c r="F1954" s="131"/>
      <c r="G1954" s="319"/>
      <c r="H1954" s="319"/>
      <c r="I1954" s="319"/>
      <c r="J1954" s="132"/>
      <c r="K1954" s="319"/>
      <c r="L1954" s="135"/>
      <c r="M1954" s="321"/>
      <c r="N1954" s="322"/>
      <c r="O1954" s="150"/>
      <c r="P1954" s="135"/>
      <c r="Q1954" s="135"/>
      <c r="R1954" s="321"/>
      <c r="S1954" s="322"/>
      <c r="T1954" s="319"/>
      <c r="U1954" s="322"/>
      <c r="V1954" s="322"/>
      <c r="W1954" s="322"/>
      <c r="X1954" s="322"/>
      <c r="Y1954" s="319"/>
      <c r="Z1954" s="136" t="str">
        <f t="shared" si="16"/>
        <v/>
      </c>
      <c r="AA1954" s="137" t="str">
        <f t="shared" si="17"/>
        <v/>
      </c>
      <c r="AB1954" s="138" t="str">
        <f t="shared" si="19"/>
        <v/>
      </c>
      <c r="AC1954" s="322"/>
      <c r="AD1954" s="319"/>
      <c r="AE1954" s="320"/>
    </row>
    <row r="1955" ht="18.0" customHeight="1">
      <c r="A1955" s="118" t="str">
        <f t="shared" si="15"/>
        <v/>
      </c>
      <c r="B1955" s="109"/>
      <c r="C1955" s="119"/>
      <c r="D1955" s="119"/>
      <c r="E1955" s="330"/>
      <c r="F1955" s="121"/>
      <c r="G1955" s="153"/>
      <c r="H1955" s="153"/>
      <c r="I1955" s="153"/>
      <c r="J1955" s="112"/>
      <c r="K1955" s="153"/>
      <c r="L1955" s="114"/>
      <c r="M1955" s="151"/>
      <c r="N1955" s="152"/>
      <c r="O1955" s="150"/>
      <c r="P1955" s="114"/>
      <c r="Q1955" s="114"/>
      <c r="R1955" s="151"/>
      <c r="S1955" s="152"/>
      <c r="T1955" s="153"/>
      <c r="U1955" s="152"/>
      <c r="V1955" s="152"/>
      <c r="W1955" s="152"/>
      <c r="X1955" s="152"/>
      <c r="Y1955" s="153"/>
      <c r="Z1955" s="125" t="str">
        <f t="shared" si="16"/>
        <v/>
      </c>
      <c r="AA1955" s="126" t="str">
        <f t="shared" si="17"/>
        <v/>
      </c>
      <c r="AB1955" s="117" t="str">
        <f t="shared" si="19"/>
        <v/>
      </c>
      <c r="AC1955" s="152"/>
      <c r="AD1955" s="153"/>
      <c r="AE1955" s="156"/>
    </row>
    <row r="1956" ht="18.0" customHeight="1">
      <c r="A1956" s="127" t="str">
        <f t="shared" si="15"/>
        <v/>
      </c>
      <c r="B1956" s="128"/>
      <c r="C1956" s="129"/>
      <c r="D1956" s="129"/>
      <c r="E1956" s="325"/>
      <c r="F1956" s="131"/>
      <c r="G1956" s="319"/>
      <c r="H1956" s="319"/>
      <c r="I1956" s="319"/>
      <c r="J1956" s="132"/>
      <c r="K1956" s="319"/>
      <c r="L1956" s="135"/>
      <c r="M1956" s="321"/>
      <c r="N1956" s="322"/>
      <c r="O1956" s="150"/>
      <c r="P1956" s="135"/>
      <c r="Q1956" s="135"/>
      <c r="R1956" s="321"/>
      <c r="S1956" s="322"/>
      <c r="T1956" s="319"/>
      <c r="U1956" s="322"/>
      <c r="V1956" s="322"/>
      <c r="W1956" s="322"/>
      <c r="X1956" s="322"/>
      <c r="Y1956" s="319"/>
      <c r="Z1956" s="136" t="str">
        <f t="shared" si="16"/>
        <v/>
      </c>
      <c r="AA1956" s="137" t="str">
        <f t="shared" si="17"/>
        <v/>
      </c>
      <c r="AB1956" s="138" t="str">
        <f t="shared" si="19"/>
        <v/>
      </c>
      <c r="AC1956" s="322"/>
      <c r="AD1956" s="319"/>
      <c r="AE1956" s="320"/>
    </row>
    <row r="1957" ht="18.0" customHeight="1">
      <c r="A1957" s="118" t="str">
        <f t="shared" si="15"/>
        <v/>
      </c>
      <c r="B1957" s="109"/>
      <c r="C1957" s="119"/>
      <c r="D1957" s="119"/>
      <c r="E1957" s="330"/>
      <c r="F1957" s="121"/>
      <c r="G1957" s="153"/>
      <c r="H1957" s="153"/>
      <c r="I1957" s="153"/>
      <c r="J1957" s="112"/>
      <c r="K1957" s="153"/>
      <c r="L1957" s="114"/>
      <c r="M1957" s="151"/>
      <c r="N1957" s="152"/>
      <c r="O1957" s="150"/>
      <c r="P1957" s="114"/>
      <c r="Q1957" s="114"/>
      <c r="R1957" s="151"/>
      <c r="S1957" s="152"/>
      <c r="T1957" s="153"/>
      <c r="U1957" s="152"/>
      <c r="V1957" s="152"/>
      <c r="W1957" s="152"/>
      <c r="X1957" s="152"/>
      <c r="Y1957" s="153"/>
      <c r="Z1957" s="125" t="str">
        <f t="shared" si="16"/>
        <v/>
      </c>
      <c r="AA1957" s="126" t="str">
        <f t="shared" si="17"/>
        <v/>
      </c>
      <c r="AB1957" s="117" t="str">
        <f t="shared" si="19"/>
        <v/>
      </c>
      <c r="AC1957" s="152"/>
      <c r="AD1957" s="153"/>
      <c r="AE1957" s="156"/>
    </row>
    <row r="1958" ht="18.0" customHeight="1">
      <c r="A1958" s="127" t="str">
        <f t="shared" si="15"/>
        <v/>
      </c>
      <c r="B1958" s="128"/>
      <c r="C1958" s="129"/>
      <c r="D1958" s="129"/>
      <c r="E1958" s="325"/>
      <c r="F1958" s="131"/>
      <c r="G1958" s="319"/>
      <c r="H1958" s="319"/>
      <c r="I1958" s="319"/>
      <c r="J1958" s="132"/>
      <c r="K1958" s="319"/>
      <c r="L1958" s="135"/>
      <c r="M1958" s="321"/>
      <c r="N1958" s="322"/>
      <c r="O1958" s="150"/>
      <c r="P1958" s="135"/>
      <c r="Q1958" s="135"/>
      <c r="R1958" s="321"/>
      <c r="S1958" s="322"/>
      <c r="T1958" s="319"/>
      <c r="U1958" s="322"/>
      <c r="V1958" s="322"/>
      <c r="W1958" s="322"/>
      <c r="X1958" s="322"/>
      <c r="Y1958" s="319"/>
      <c r="Z1958" s="136" t="str">
        <f t="shared" si="16"/>
        <v/>
      </c>
      <c r="AA1958" s="137" t="str">
        <f t="shared" si="17"/>
        <v/>
      </c>
      <c r="AB1958" s="138" t="str">
        <f t="shared" si="19"/>
        <v/>
      </c>
      <c r="AC1958" s="322"/>
      <c r="AD1958" s="319"/>
      <c r="AE1958" s="320"/>
    </row>
    <row r="1959" ht="18.0" customHeight="1">
      <c r="A1959" s="118" t="str">
        <f t="shared" si="15"/>
        <v/>
      </c>
      <c r="B1959" s="109"/>
      <c r="C1959" s="119"/>
      <c r="D1959" s="119"/>
      <c r="E1959" s="330"/>
      <c r="F1959" s="121"/>
      <c r="G1959" s="153"/>
      <c r="H1959" s="153"/>
      <c r="I1959" s="153"/>
      <c r="J1959" s="112"/>
      <c r="K1959" s="153"/>
      <c r="L1959" s="114"/>
      <c r="M1959" s="151"/>
      <c r="N1959" s="152"/>
      <c r="O1959" s="150"/>
      <c r="P1959" s="114"/>
      <c r="Q1959" s="114"/>
      <c r="R1959" s="151"/>
      <c r="S1959" s="152"/>
      <c r="T1959" s="153"/>
      <c r="U1959" s="152"/>
      <c r="V1959" s="152"/>
      <c r="W1959" s="152"/>
      <c r="X1959" s="152"/>
      <c r="Y1959" s="153"/>
      <c r="Z1959" s="125" t="str">
        <f t="shared" si="16"/>
        <v/>
      </c>
      <c r="AA1959" s="126" t="str">
        <f t="shared" si="17"/>
        <v/>
      </c>
      <c r="AB1959" s="117" t="str">
        <f t="shared" si="19"/>
        <v/>
      </c>
      <c r="AC1959" s="152"/>
      <c r="AD1959" s="153"/>
      <c r="AE1959" s="156"/>
    </row>
    <row r="1960" ht="18.0" customHeight="1">
      <c r="A1960" s="127" t="str">
        <f t="shared" si="15"/>
        <v/>
      </c>
      <c r="B1960" s="128"/>
      <c r="C1960" s="129"/>
      <c r="D1960" s="129"/>
      <c r="E1960" s="325"/>
      <c r="F1960" s="131"/>
      <c r="G1960" s="319"/>
      <c r="H1960" s="319"/>
      <c r="I1960" s="319"/>
      <c r="J1960" s="132"/>
      <c r="K1960" s="319"/>
      <c r="L1960" s="135"/>
      <c r="M1960" s="321"/>
      <c r="N1960" s="322"/>
      <c r="O1960" s="150"/>
      <c r="P1960" s="135"/>
      <c r="Q1960" s="135"/>
      <c r="R1960" s="321"/>
      <c r="S1960" s="322"/>
      <c r="T1960" s="319"/>
      <c r="U1960" s="322"/>
      <c r="V1960" s="322"/>
      <c r="W1960" s="322"/>
      <c r="X1960" s="322"/>
      <c r="Y1960" s="319"/>
      <c r="Z1960" s="136" t="str">
        <f t="shared" si="16"/>
        <v/>
      </c>
      <c r="AA1960" s="137" t="str">
        <f t="shared" si="17"/>
        <v/>
      </c>
      <c r="AB1960" s="138" t="str">
        <f t="shared" si="19"/>
        <v/>
      </c>
      <c r="AC1960" s="322"/>
      <c r="AD1960" s="319"/>
      <c r="AE1960" s="320"/>
    </row>
    <row r="1961" ht="18.0" customHeight="1">
      <c r="A1961" s="118" t="str">
        <f t="shared" si="15"/>
        <v/>
      </c>
      <c r="B1961" s="109"/>
      <c r="C1961" s="119"/>
      <c r="D1961" s="119"/>
      <c r="E1961" s="330"/>
      <c r="F1961" s="121"/>
      <c r="G1961" s="153"/>
      <c r="H1961" s="153"/>
      <c r="I1961" s="153"/>
      <c r="J1961" s="112"/>
      <c r="K1961" s="153"/>
      <c r="L1961" s="114"/>
      <c r="M1961" s="151"/>
      <c r="N1961" s="152"/>
      <c r="O1961" s="150"/>
      <c r="P1961" s="114"/>
      <c r="Q1961" s="114"/>
      <c r="R1961" s="151"/>
      <c r="S1961" s="152"/>
      <c r="T1961" s="153"/>
      <c r="U1961" s="152"/>
      <c r="V1961" s="152"/>
      <c r="W1961" s="152"/>
      <c r="X1961" s="152"/>
      <c r="Y1961" s="153"/>
      <c r="Z1961" s="125" t="str">
        <f t="shared" si="16"/>
        <v/>
      </c>
      <c r="AA1961" s="126" t="str">
        <f t="shared" si="17"/>
        <v/>
      </c>
      <c r="AB1961" s="117" t="str">
        <f t="shared" si="19"/>
        <v/>
      </c>
      <c r="AC1961" s="152"/>
      <c r="AD1961" s="153"/>
      <c r="AE1961" s="156"/>
    </row>
    <row r="1962" ht="18.0" customHeight="1">
      <c r="A1962" s="127" t="str">
        <f t="shared" si="15"/>
        <v/>
      </c>
      <c r="B1962" s="128"/>
      <c r="C1962" s="129"/>
      <c r="D1962" s="129"/>
      <c r="E1962" s="325"/>
      <c r="F1962" s="131"/>
      <c r="G1962" s="319"/>
      <c r="H1962" s="319"/>
      <c r="I1962" s="319"/>
      <c r="J1962" s="132"/>
      <c r="K1962" s="319"/>
      <c r="L1962" s="135"/>
      <c r="M1962" s="321"/>
      <c r="N1962" s="322"/>
      <c r="O1962" s="150"/>
      <c r="P1962" s="135"/>
      <c r="Q1962" s="135"/>
      <c r="R1962" s="321"/>
      <c r="S1962" s="322"/>
      <c r="T1962" s="319"/>
      <c r="U1962" s="322"/>
      <c r="V1962" s="322"/>
      <c r="W1962" s="322"/>
      <c r="X1962" s="322"/>
      <c r="Y1962" s="319"/>
      <c r="Z1962" s="136" t="str">
        <f t="shared" si="16"/>
        <v/>
      </c>
      <c r="AA1962" s="137" t="str">
        <f t="shared" si="17"/>
        <v/>
      </c>
      <c r="AB1962" s="138" t="str">
        <f t="shared" si="19"/>
        <v/>
      </c>
      <c r="AC1962" s="322"/>
      <c r="AD1962" s="319"/>
      <c r="AE1962" s="320"/>
    </row>
    <row r="1963" ht="18.0" customHeight="1">
      <c r="A1963" s="118" t="str">
        <f t="shared" si="15"/>
        <v/>
      </c>
      <c r="B1963" s="109"/>
      <c r="C1963" s="119"/>
      <c r="D1963" s="119"/>
      <c r="E1963" s="330"/>
      <c r="F1963" s="121"/>
      <c r="G1963" s="153"/>
      <c r="H1963" s="153"/>
      <c r="I1963" s="153"/>
      <c r="J1963" s="112"/>
      <c r="K1963" s="153"/>
      <c r="L1963" s="114"/>
      <c r="M1963" s="151"/>
      <c r="N1963" s="152"/>
      <c r="O1963" s="150"/>
      <c r="P1963" s="114"/>
      <c r="Q1963" s="114"/>
      <c r="R1963" s="151"/>
      <c r="S1963" s="152"/>
      <c r="T1963" s="153"/>
      <c r="U1963" s="152"/>
      <c r="V1963" s="152"/>
      <c r="W1963" s="152"/>
      <c r="X1963" s="152"/>
      <c r="Y1963" s="153"/>
      <c r="Z1963" s="125" t="str">
        <f t="shared" si="16"/>
        <v/>
      </c>
      <c r="AA1963" s="126" t="str">
        <f t="shared" si="17"/>
        <v/>
      </c>
      <c r="AB1963" s="117" t="str">
        <f t="shared" si="19"/>
        <v/>
      </c>
      <c r="AC1963" s="152"/>
      <c r="AD1963" s="153"/>
      <c r="AE1963" s="156"/>
    </row>
    <row r="1964" ht="18.0" customHeight="1">
      <c r="A1964" s="127" t="str">
        <f t="shared" si="15"/>
        <v/>
      </c>
      <c r="B1964" s="128"/>
      <c r="C1964" s="129"/>
      <c r="D1964" s="129"/>
      <c r="E1964" s="325"/>
      <c r="F1964" s="131"/>
      <c r="G1964" s="319"/>
      <c r="H1964" s="319"/>
      <c r="I1964" s="319"/>
      <c r="J1964" s="132"/>
      <c r="K1964" s="319"/>
      <c r="L1964" s="135"/>
      <c r="M1964" s="321"/>
      <c r="N1964" s="322"/>
      <c r="O1964" s="150"/>
      <c r="P1964" s="135"/>
      <c r="Q1964" s="135"/>
      <c r="R1964" s="321"/>
      <c r="S1964" s="322"/>
      <c r="T1964" s="319"/>
      <c r="U1964" s="322"/>
      <c r="V1964" s="322"/>
      <c r="W1964" s="322"/>
      <c r="X1964" s="322"/>
      <c r="Y1964" s="319"/>
      <c r="Z1964" s="136" t="str">
        <f t="shared" si="16"/>
        <v/>
      </c>
      <c r="AA1964" s="137" t="str">
        <f t="shared" si="17"/>
        <v/>
      </c>
      <c r="AB1964" s="138" t="str">
        <f t="shared" si="19"/>
        <v/>
      </c>
      <c r="AC1964" s="322"/>
      <c r="AD1964" s="319"/>
      <c r="AE1964" s="320"/>
    </row>
    <row r="1965" ht="18.0" customHeight="1">
      <c r="A1965" s="118" t="str">
        <f t="shared" si="15"/>
        <v/>
      </c>
      <c r="B1965" s="109"/>
      <c r="C1965" s="119"/>
      <c r="D1965" s="119"/>
      <c r="E1965" s="330"/>
      <c r="F1965" s="121"/>
      <c r="G1965" s="153"/>
      <c r="H1965" s="153"/>
      <c r="I1965" s="153"/>
      <c r="J1965" s="112"/>
      <c r="K1965" s="153"/>
      <c r="L1965" s="114"/>
      <c r="M1965" s="151"/>
      <c r="N1965" s="152"/>
      <c r="O1965" s="150"/>
      <c r="P1965" s="114"/>
      <c r="Q1965" s="114"/>
      <c r="R1965" s="151"/>
      <c r="S1965" s="152"/>
      <c r="T1965" s="153"/>
      <c r="U1965" s="152"/>
      <c r="V1965" s="152"/>
      <c r="W1965" s="152"/>
      <c r="X1965" s="152"/>
      <c r="Y1965" s="153"/>
      <c r="Z1965" s="125" t="str">
        <f t="shared" si="16"/>
        <v/>
      </c>
      <c r="AA1965" s="126" t="str">
        <f t="shared" si="17"/>
        <v/>
      </c>
      <c r="AB1965" s="117" t="str">
        <f t="shared" si="19"/>
        <v/>
      </c>
      <c r="AC1965" s="152"/>
      <c r="AD1965" s="153"/>
      <c r="AE1965" s="156"/>
    </row>
    <row r="1966" ht="18.0" customHeight="1">
      <c r="A1966" s="127" t="str">
        <f t="shared" si="15"/>
        <v/>
      </c>
      <c r="B1966" s="128"/>
      <c r="C1966" s="129"/>
      <c r="D1966" s="129"/>
      <c r="E1966" s="325"/>
      <c r="F1966" s="131"/>
      <c r="G1966" s="319"/>
      <c r="H1966" s="319"/>
      <c r="I1966" s="319"/>
      <c r="J1966" s="132"/>
      <c r="K1966" s="319"/>
      <c r="L1966" s="135"/>
      <c r="M1966" s="321"/>
      <c r="N1966" s="322"/>
      <c r="O1966" s="150"/>
      <c r="P1966" s="135"/>
      <c r="Q1966" s="135"/>
      <c r="R1966" s="321"/>
      <c r="S1966" s="322"/>
      <c r="T1966" s="319"/>
      <c r="U1966" s="322"/>
      <c r="V1966" s="322"/>
      <c r="W1966" s="322"/>
      <c r="X1966" s="322"/>
      <c r="Y1966" s="319"/>
      <c r="Z1966" s="136" t="str">
        <f t="shared" si="16"/>
        <v/>
      </c>
      <c r="AA1966" s="137" t="str">
        <f t="shared" si="17"/>
        <v/>
      </c>
      <c r="AB1966" s="138" t="str">
        <f t="shared" si="19"/>
        <v/>
      </c>
      <c r="AC1966" s="322"/>
      <c r="AD1966" s="319"/>
      <c r="AE1966" s="320"/>
    </row>
    <row r="1967" ht="18.0" customHeight="1">
      <c r="A1967" s="118" t="str">
        <f t="shared" si="15"/>
        <v/>
      </c>
      <c r="B1967" s="109"/>
      <c r="C1967" s="119"/>
      <c r="D1967" s="119"/>
      <c r="E1967" s="330"/>
      <c r="F1967" s="121"/>
      <c r="G1967" s="153"/>
      <c r="H1967" s="153"/>
      <c r="I1967" s="153"/>
      <c r="J1967" s="112"/>
      <c r="K1967" s="153"/>
      <c r="L1967" s="114"/>
      <c r="M1967" s="151"/>
      <c r="N1967" s="152"/>
      <c r="O1967" s="150"/>
      <c r="P1967" s="114"/>
      <c r="Q1967" s="114"/>
      <c r="R1967" s="151"/>
      <c r="S1967" s="152"/>
      <c r="T1967" s="153"/>
      <c r="U1967" s="152"/>
      <c r="V1967" s="152"/>
      <c r="W1967" s="152"/>
      <c r="X1967" s="152"/>
      <c r="Y1967" s="153"/>
      <c r="Z1967" s="125" t="str">
        <f t="shared" si="16"/>
        <v/>
      </c>
      <c r="AA1967" s="126" t="str">
        <f t="shared" si="17"/>
        <v/>
      </c>
      <c r="AB1967" s="117" t="str">
        <f t="shared" si="19"/>
        <v/>
      </c>
      <c r="AC1967" s="152"/>
      <c r="AD1967" s="153"/>
      <c r="AE1967" s="156"/>
    </row>
    <row r="1968" ht="18.0" customHeight="1">
      <c r="A1968" s="127" t="str">
        <f t="shared" si="15"/>
        <v/>
      </c>
      <c r="B1968" s="128"/>
      <c r="C1968" s="129"/>
      <c r="D1968" s="129"/>
      <c r="E1968" s="325"/>
      <c r="F1968" s="131"/>
      <c r="G1968" s="319"/>
      <c r="H1968" s="319"/>
      <c r="I1968" s="319"/>
      <c r="J1968" s="132"/>
      <c r="K1968" s="319"/>
      <c r="L1968" s="135"/>
      <c r="M1968" s="321"/>
      <c r="N1968" s="322"/>
      <c r="O1968" s="150"/>
      <c r="P1968" s="135"/>
      <c r="Q1968" s="135"/>
      <c r="R1968" s="321"/>
      <c r="S1968" s="322"/>
      <c r="T1968" s="319"/>
      <c r="U1968" s="322"/>
      <c r="V1968" s="322"/>
      <c r="W1968" s="322"/>
      <c r="X1968" s="322"/>
      <c r="Y1968" s="319"/>
      <c r="Z1968" s="136" t="str">
        <f t="shared" si="16"/>
        <v/>
      </c>
      <c r="AA1968" s="137" t="str">
        <f t="shared" si="17"/>
        <v/>
      </c>
      <c r="AB1968" s="138" t="str">
        <f t="shared" si="19"/>
        <v/>
      </c>
      <c r="AC1968" s="322"/>
      <c r="AD1968" s="319"/>
      <c r="AE1968" s="320"/>
    </row>
    <row r="1969" ht="18.0" customHeight="1">
      <c r="A1969" s="118" t="str">
        <f t="shared" si="15"/>
        <v/>
      </c>
      <c r="B1969" s="109"/>
      <c r="C1969" s="119"/>
      <c r="D1969" s="119"/>
      <c r="E1969" s="330"/>
      <c r="F1969" s="121"/>
      <c r="G1969" s="153"/>
      <c r="H1969" s="153"/>
      <c r="I1969" s="153"/>
      <c r="J1969" s="112"/>
      <c r="K1969" s="153"/>
      <c r="L1969" s="114"/>
      <c r="M1969" s="151"/>
      <c r="N1969" s="152"/>
      <c r="O1969" s="150"/>
      <c r="P1969" s="114"/>
      <c r="Q1969" s="114"/>
      <c r="R1969" s="151"/>
      <c r="S1969" s="152"/>
      <c r="T1969" s="153"/>
      <c r="U1969" s="152"/>
      <c r="V1969" s="152"/>
      <c r="W1969" s="152"/>
      <c r="X1969" s="152"/>
      <c r="Y1969" s="153"/>
      <c r="Z1969" s="125" t="str">
        <f t="shared" si="16"/>
        <v/>
      </c>
      <c r="AA1969" s="126" t="str">
        <f t="shared" si="17"/>
        <v/>
      </c>
      <c r="AB1969" s="117" t="str">
        <f t="shared" si="19"/>
        <v/>
      </c>
      <c r="AC1969" s="152"/>
      <c r="AD1969" s="153"/>
      <c r="AE1969" s="156"/>
    </row>
    <row r="1970" ht="18.0" customHeight="1">
      <c r="A1970" s="127" t="str">
        <f t="shared" si="15"/>
        <v/>
      </c>
      <c r="B1970" s="128"/>
      <c r="C1970" s="129"/>
      <c r="D1970" s="129"/>
      <c r="E1970" s="325"/>
      <c r="F1970" s="131"/>
      <c r="G1970" s="319"/>
      <c r="H1970" s="319"/>
      <c r="I1970" s="319"/>
      <c r="J1970" s="132"/>
      <c r="K1970" s="319"/>
      <c r="L1970" s="135"/>
      <c r="M1970" s="321"/>
      <c r="N1970" s="322"/>
      <c r="O1970" s="150"/>
      <c r="P1970" s="135"/>
      <c r="Q1970" s="135"/>
      <c r="R1970" s="321"/>
      <c r="S1970" s="322"/>
      <c r="T1970" s="319"/>
      <c r="U1970" s="322"/>
      <c r="V1970" s="322"/>
      <c r="W1970" s="322"/>
      <c r="X1970" s="322"/>
      <c r="Y1970" s="319"/>
      <c r="Z1970" s="136" t="str">
        <f t="shared" si="16"/>
        <v/>
      </c>
      <c r="AA1970" s="137" t="str">
        <f t="shared" si="17"/>
        <v/>
      </c>
      <c r="AB1970" s="138" t="str">
        <f t="shared" si="19"/>
        <v/>
      </c>
      <c r="AC1970" s="322"/>
      <c r="AD1970" s="319"/>
      <c r="AE1970" s="320"/>
    </row>
    <row r="1971" ht="18.0" customHeight="1">
      <c r="A1971" s="118" t="str">
        <f t="shared" si="15"/>
        <v/>
      </c>
      <c r="B1971" s="109"/>
      <c r="C1971" s="119"/>
      <c r="D1971" s="119"/>
      <c r="E1971" s="330"/>
      <c r="F1971" s="121"/>
      <c r="G1971" s="153"/>
      <c r="H1971" s="153"/>
      <c r="I1971" s="153"/>
      <c r="J1971" s="112"/>
      <c r="K1971" s="153"/>
      <c r="L1971" s="114"/>
      <c r="M1971" s="151"/>
      <c r="N1971" s="152"/>
      <c r="O1971" s="150"/>
      <c r="P1971" s="114"/>
      <c r="Q1971" s="114"/>
      <c r="R1971" s="151"/>
      <c r="S1971" s="152"/>
      <c r="T1971" s="153"/>
      <c r="U1971" s="152"/>
      <c r="V1971" s="152"/>
      <c r="W1971" s="152"/>
      <c r="X1971" s="152"/>
      <c r="Y1971" s="153"/>
      <c r="Z1971" s="125" t="str">
        <f t="shared" si="16"/>
        <v/>
      </c>
      <c r="AA1971" s="126" t="str">
        <f t="shared" si="17"/>
        <v/>
      </c>
      <c r="AB1971" s="117" t="str">
        <f t="shared" si="19"/>
        <v/>
      </c>
      <c r="AC1971" s="152"/>
      <c r="AD1971" s="153"/>
      <c r="AE1971" s="156"/>
    </row>
    <row r="1972" ht="18.0" customHeight="1">
      <c r="A1972" s="127" t="str">
        <f t="shared" si="15"/>
        <v/>
      </c>
      <c r="B1972" s="128"/>
      <c r="C1972" s="129"/>
      <c r="D1972" s="129"/>
      <c r="E1972" s="325"/>
      <c r="F1972" s="131"/>
      <c r="G1972" s="319"/>
      <c r="H1972" s="319"/>
      <c r="I1972" s="319"/>
      <c r="J1972" s="132"/>
      <c r="K1972" s="319"/>
      <c r="L1972" s="135"/>
      <c r="M1972" s="321"/>
      <c r="N1972" s="322"/>
      <c r="O1972" s="150"/>
      <c r="P1972" s="135"/>
      <c r="Q1972" s="135"/>
      <c r="R1972" s="321"/>
      <c r="S1972" s="322"/>
      <c r="T1972" s="319"/>
      <c r="U1972" s="322"/>
      <c r="V1972" s="322"/>
      <c r="W1972" s="322"/>
      <c r="X1972" s="322"/>
      <c r="Y1972" s="319"/>
      <c r="Z1972" s="136" t="str">
        <f t="shared" si="16"/>
        <v/>
      </c>
      <c r="AA1972" s="137" t="str">
        <f t="shared" si="17"/>
        <v/>
      </c>
      <c r="AB1972" s="138" t="str">
        <f t="shared" si="19"/>
        <v/>
      </c>
      <c r="AC1972" s="322"/>
      <c r="AD1972" s="319"/>
      <c r="AE1972" s="320"/>
    </row>
    <row r="1973" ht="18.0" customHeight="1">
      <c r="A1973" s="118" t="str">
        <f t="shared" si="15"/>
        <v/>
      </c>
      <c r="B1973" s="109"/>
      <c r="C1973" s="119"/>
      <c r="D1973" s="119"/>
      <c r="E1973" s="330"/>
      <c r="F1973" s="121"/>
      <c r="G1973" s="153"/>
      <c r="H1973" s="153"/>
      <c r="I1973" s="153"/>
      <c r="J1973" s="112"/>
      <c r="K1973" s="153"/>
      <c r="L1973" s="114"/>
      <c r="M1973" s="151"/>
      <c r="N1973" s="152"/>
      <c r="O1973" s="150"/>
      <c r="P1973" s="114"/>
      <c r="Q1973" s="114"/>
      <c r="R1973" s="151"/>
      <c r="S1973" s="152"/>
      <c r="T1973" s="153"/>
      <c r="U1973" s="152"/>
      <c r="V1973" s="152"/>
      <c r="W1973" s="152"/>
      <c r="X1973" s="152"/>
      <c r="Y1973" s="153"/>
      <c r="Z1973" s="125" t="str">
        <f t="shared" si="16"/>
        <v/>
      </c>
      <c r="AA1973" s="126" t="str">
        <f t="shared" si="17"/>
        <v/>
      </c>
      <c r="AB1973" s="117" t="str">
        <f t="shared" si="19"/>
        <v/>
      </c>
      <c r="AC1973" s="152"/>
      <c r="AD1973" s="153"/>
      <c r="AE1973" s="156"/>
    </row>
    <row r="1974" ht="18.0" customHeight="1">
      <c r="A1974" s="127" t="str">
        <f t="shared" si="15"/>
        <v/>
      </c>
      <c r="B1974" s="128"/>
      <c r="C1974" s="129"/>
      <c r="D1974" s="129"/>
      <c r="E1974" s="325"/>
      <c r="F1974" s="131"/>
      <c r="G1974" s="319"/>
      <c r="H1974" s="319"/>
      <c r="I1974" s="319"/>
      <c r="J1974" s="132"/>
      <c r="K1974" s="319"/>
      <c r="L1974" s="135"/>
      <c r="M1974" s="321"/>
      <c r="N1974" s="322"/>
      <c r="O1974" s="150"/>
      <c r="P1974" s="135"/>
      <c r="Q1974" s="135"/>
      <c r="R1974" s="321"/>
      <c r="S1974" s="322"/>
      <c r="T1974" s="319"/>
      <c r="U1974" s="322"/>
      <c r="V1974" s="322"/>
      <c r="W1974" s="322"/>
      <c r="X1974" s="322"/>
      <c r="Y1974" s="319"/>
      <c r="Z1974" s="136" t="str">
        <f t="shared" si="16"/>
        <v/>
      </c>
      <c r="AA1974" s="137" t="str">
        <f t="shared" si="17"/>
        <v/>
      </c>
      <c r="AB1974" s="138" t="str">
        <f t="shared" si="19"/>
        <v/>
      </c>
      <c r="AC1974" s="322"/>
      <c r="AD1974" s="319"/>
      <c r="AE1974" s="320"/>
    </row>
    <row r="1975" ht="18.0" customHeight="1">
      <c r="A1975" s="118" t="str">
        <f t="shared" si="15"/>
        <v/>
      </c>
      <c r="B1975" s="109"/>
      <c r="C1975" s="119"/>
      <c r="D1975" s="119"/>
      <c r="E1975" s="330"/>
      <c r="F1975" s="121"/>
      <c r="G1975" s="153"/>
      <c r="H1975" s="153"/>
      <c r="I1975" s="153"/>
      <c r="J1975" s="112"/>
      <c r="K1975" s="153"/>
      <c r="L1975" s="114"/>
      <c r="M1975" s="151"/>
      <c r="N1975" s="152"/>
      <c r="O1975" s="150"/>
      <c r="P1975" s="114"/>
      <c r="Q1975" s="114"/>
      <c r="R1975" s="151"/>
      <c r="S1975" s="152"/>
      <c r="T1975" s="153"/>
      <c r="U1975" s="152"/>
      <c r="V1975" s="152"/>
      <c r="W1975" s="152"/>
      <c r="X1975" s="152"/>
      <c r="Y1975" s="153"/>
      <c r="Z1975" s="125" t="str">
        <f t="shared" si="16"/>
        <v/>
      </c>
      <c r="AA1975" s="126" t="str">
        <f t="shared" si="17"/>
        <v/>
      </c>
      <c r="AB1975" s="117" t="str">
        <f t="shared" si="19"/>
        <v/>
      </c>
      <c r="AC1975" s="152"/>
      <c r="AD1975" s="153"/>
      <c r="AE1975" s="156"/>
    </row>
    <row r="1976" ht="18.0" customHeight="1">
      <c r="A1976" s="127" t="str">
        <f t="shared" si="15"/>
        <v/>
      </c>
      <c r="B1976" s="128"/>
      <c r="C1976" s="129"/>
      <c r="D1976" s="129"/>
      <c r="E1976" s="325"/>
      <c r="F1976" s="131"/>
      <c r="G1976" s="319"/>
      <c r="H1976" s="319"/>
      <c r="I1976" s="319"/>
      <c r="J1976" s="132"/>
      <c r="K1976" s="319"/>
      <c r="L1976" s="135"/>
      <c r="M1976" s="321"/>
      <c r="N1976" s="322"/>
      <c r="O1976" s="150"/>
      <c r="P1976" s="135"/>
      <c r="Q1976" s="135"/>
      <c r="R1976" s="321"/>
      <c r="S1976" s="322"/>
      <c r="T1976" s="319"/>
      <c r="U1976" s="322"/>
      <c r="V1976" s="322"/>
      <c r="W1976" s="322"/>
      <c r="X1976" s="322"/>
      <c r="Y1976" s="319"/>
      <c r="Z1976" s="136" t="str">
        <f t="shared" si="16"/>
        <v/>
      </c>
      <c r="AA1976" s="137" t="str">
        <f t="shared" si="17"/>
        <v/>
      </c>
      <c r="AB1976" s="138" t="str">
        <f t="shared" si="19"/>
        <v/>
      </c>
      <c r="AC1976" s="322"/>
      <c r="AD1976" s="319"/>
      <c r="AE1976" s="320"/>
    </row>
    <row r="1977" ht="18.0" customHeight="1">
      <c r="A1977" s="118" t="str">
        <f t="shared" si="15"/>
        <v/>
      </c>
      <c r="B1977" s="109"/>
      <c r="C1977" s="119"/>
      <c r="D1977" s="119"/>
      <c r="E1977" s="330"/>
      <c r="F1977" s="121"/>
      <c r="G1977" s="153"/>
      <c r="H1977" s="153"/>
      <c r="I1977" s="153"/>
      <c r="J1977" s="112"/>
      <c r="K1977" s="153"/>
      <c r="L1977" s="114"/>
      <c r="M1977" s="151"/>
      <c r="N1977" s="152"/>
      <c r="O1977" s="150"/>
      <c r="P1977" s="114"/>
      <c r="Q1977" s="114"/>
      <c r="R1977" s="151"/>
      <c r="S1977" s="152"/>
      <c r="T1977" s="153"/>
      <c r="U1977" s="152"/>
      <c r="V1977" s="152"/>
      <c r="W1977" s="152"/>
      <c r="X1977" s="152"/>
      <c r="Y1977" s="153"/>
      <c r="Z1977" s="125" t="str">
        <f t="shared" si="16"/>
        <v/>
      </c>
      <c r="AA1977" s="126" t="str">
        <f t="shared" si="17"/>
        <v/>
      </c>
      <c r="AB1977" s="117" t="str">
        <f t="shared" si="19"/>
        <v/>
      </c>
      <c r="AC1977" s="152"/>
      <c r="AD1977" s="153"/>
      <c r="AE1977" s="156"/>
    </row>
    <row r="1978" ht="18.0" customHeight="1">
      <c r="A1978" s="127" t="str">
        <f t="shared" si="15"/>
        <v/>
      </c>
      <c r="B1978" s="128"/>
      <c r="C1978" s="129"/>
      <c r="D1978" s="129"/>
      <c r="E1978" s="325"/>
      <c r="F1978" s="131"/>
      <c r="G1978" s="319"/>
      <c r="H1978" s="319"/>
      <c r="I1978" s="319"/>
      <c r="J1978" s="132"/>
      <c r="K1978" s="319"/>
      <c r="L1978" s="135"/>
      <c r="M1978" s="321"/>
      <c r="N1978" s="322"/>
      <c r="O1978" s="150"/>
      <c r="P1978" s="135"/>
      <c r="Q1978" s="135"/>
      <c r="R1978" s="321"/>
      <c r="S1978" s="322"/>
      <c r="T1978" s="319"/>
      <c r="U1978" s="322"/>
      <c r="V1978" s="322"/>
      <c r="W1978" s="322"/>
      <c r="X1978" s="322"/>
      <c r="Y1978" s="319"/>
      <c r="Z1978" s="136" t="str">
        <f t="shared" si="16"/>
        <v/>
      </c>
      <c r="AA1978" s="137" t="str">
        <f t="shared" si="17"/>
        <v/>
      </c>
      <c r="AB1978" s="138" t="str">
        <f t="shared" si="19"/>
        <v/>
      </c>
      <c r="AC1978" s="322"/>
      <c r="AD1978" s="319"/>
      <c r="AE1978" s="320"/>
    </row>
    <row r="1979" ht="18.0" customHeight="1">
      <c r="A1979" s="118" t="str">
        <f t="shared" si="15"/>
        <v/>
      </c>
      <c r="B1979" s="109"/>
      <c r="C1979" s="119"/>
      <c r="D1979" s="119"/>
      <c r="E1979" s="330"/>
      <c r="F1979" s="121"/>
      <c r="G1979" s="153"/>
      <c r="H1979" s="153"/>
      <c r="I1979" s="153"/>
      <c r="J1979" s="112"/>
      <c r="K1979" s="153"/>
      <c r="L1979" s="114"/>
      <c r="M1979" s="151"/>
      <c r="N1979" s="152"/>
      <c r="O1979" s="150"/>
      <c r="P1979" s="114"/>
      <c r="Q1979" s="114"/>
      <c r="R1979" s="151"/>
      <c r="S1979" s="152"/>
      <c r="T1979" s="153"/>
      <c r="U1979" s="152"/>
      <c r="V1979" s="152"/>
      <c r="W1979" s="152"/>
      <c r="X1979" s="152"/>
      <c r="Y1979" s="153"/>
      <c r="Z1979" s="125" t="str">
        <f t="shared" si="16"/>
        <v/>
      </c>
      <c r="AA1979" s="126" t="str">
        <f t="shared" si="17"/>
        <v/>
      </c>
      <c r="AB1979" s="117" t="str">
        <f t="shared" si="19"/>
        <v/>
      </c>
      <c r="AC1979" s="152"/>
      <c r="AD1979" s="153"/>
      <c r="AE1979" s="156"/>
    </row>
    <row r="1980" ht="18.0" customHeight="1">
      <c r="A1980" s="127" t="str">
        <f t="shared" si="15"/>
        <v/>
      </c>
      <c r="B1980" s="128"/>
      <c r="C1980" s="129"/>
      <c r="D1980" s="129"/>
      <c r="E1980" s="325"/>
      <c r="F1980" s="131"/>
      <c r="G1980" s="319"/>
      <c r="H1980" s="319"/>
      <c r="I1980" s="319"/>
      <c r="J1980" s="132"/>
      <c r="K1980" s="319"/>
      <c r="L1980" s="135"/>
      <c r="M1980" s="321"/>
      <c r="N1980" s="322"/>
      <c r="O1980" s="150"/>
      <c r="P1980" s="135"/>
      <c r="Q1980" s="135"/>
      <c r="R1980" s="321"/>
      <c r="S1980" s="322"/>
      <c r="T1980" s="319"/>
      <c r="U1980" s="322"/>
      <c r="V1980" s="322"/>
      <c r="W1980" s="322"/>
      <c r="X1980" s="322"/>
      <c r="Y1980" s="319"/>
      <c r="Z1980" s="136" t="str">
        <f t="shared" si="16"/>
        <v/>
      </c>
      <c r="AA1980" s="137" t="str">
        <f t="shared" si="17"/>
        <v/>
      </c>
      <c r="AB1980" s="138" t="str">
        <f t="shared" si="19"/>
        <v/>
      </c>
      <c r="AC1980" s="322"/>
      <c r="AD1980" s="319"/>
      <c r="AE1980" s="320"/>
    </row>
    <row r="1981" ht="18.0" customHeight="1">
      <c r="A1981" s="118" t="str">
        <f t="shared" si="15"/>
        <v/>
      </c>
      <c r="B1981" s="109"/>
      <c r="C1981" s="119"/>
      <c r="D1981" s="119"/>
      <c r="E1981" s="330"/>
      <c r="F1981" s="121"/>
      <c r="G1981" s="153"/>
      <c r="H1981" s="153"/>
      <c r="I1981" s="153"/>
      <c r="J1981" s="112"/>
      <c r="K1981" s="153"/>
      <c r="L1981" s="114"/>
      <c r="M1981" s="151"/>
      <c r="N1981" s="152"/>
      <c r="O1981" s="150"/>
      <c r="P1981" s="114"/>
      <c r="Q1981" s="114"/>
      <c r="R1981" s="151"/>
      <c r="S1981" s="152"/>
      <c r="T1981" s="153"/>
      <c r="U1981" s="152"/>
      <c r="V1981" s="152"/>
      <c r="W1981" s="152"/>
      <c r="X1981" s="152"/>
      <c r="Y1981" s="153"/>
      <c r="Z1981" s="125" t="str">
        <f t="shared" si="16"/>
        <v/>
      </c>
      <c r="AA1981" s="126" t="str">
        <f t="shared" si="17"/>
        <v/>
      </c>
      <c r="AB1981" s="117" t="str">
        <f t="shared" si="19"/>
        <v/>
      </c>
      <c r="AC1981" s="152"/>
      <c r="AD1981" s="153"/>
      <c r="AE1981" s="156"/>
    </row>
    <row r="1982" ht="18.0" customHeight="1">
      <c r="A1982" s="127" t="str">
        <f t="shared" si="15"/>
        <v/>
      </c>
      <c r="B1982" s="128"/>
      <c r="C1982" s="129"/>
      <c r="D1982" s="129"/>
      <c r="E1982" s="325"/>
      <c r="F1982" s="131"/>
      <c r="G1982" s="319"/>
      <c r="H1982" s="319"/>
      <c r="I1982" s="319"/>
      <c r="J1982" s="132"/>
      <c r="K1982" s="319"/>
      <c r="L1982" s="135"/>
      <c r="M1982" s="321"/>
      <c r="N1982" s="322"/>
      <c r="O1982" s="150"/>
      <c r="P1982" s="135"/>
      <c r="Q1982" s="135"/>
      <c r="R1982" s="321"/>
      <c r="S1982" s="322"/>
      <c r="T1982" s="319"/>
      <c r="U1982" s="322"/>
      <c r="V1982" s="322"/>
      <c r="W1982" s="322"/>
      <c r="X1982" s="322"/>
      <c r="Y1982" s="319"/>
      <c r="Z1982" s="136" t="str">
        <f t="shared" si="16"/>
        <v/>
      </c>
      <c r="AA1982" s="137" t="str">
        <f t="shared" si="17"/>
        <v/>
      </c>
      <c r="AB1982" s="138" t="str">
        <f t="shared" si="19"/>
        <v/>
      </c>
      <c r="AC1982" s="322"/>
      <c r="AD1982" s="319"/>
      <c r="AE1982" s="320"/>
    </row>
    <row r="1983" ht="18.0" customHeight="1">
      <c r="A1983" s="118" t="str">
        <f t="shared" si="15"/>
        <v/>
      </c>
      <c r="B1983" s="109"/>
      <c r="C1983" s="119"/>
      <c r="D1983" s="119"/>
      <c r="E1983" s="330"/>
      <c r="F1983" s="121"/>
      <c r="G1983" s="153"/>
      <c r="H1983" s="153"/>
      <c r="I1983" s="153"/>
      <c r="J1983" s="112"/>
      <c r="K1983" s="153"/>
      <c r="L1983" s="114"/>
      <c r="M1983" s="151"/>
      <c r="N1983" s="152"/>
      <c r="O1983" s="150"/>
      <c r="P1983" s="114"/>
      <c r="Q1983" s="114"/>
      <c r="R1983" s="151"/>
      <c r="S1983" s="152"/>
      <c r="T1983" s="153"/>
      <c r="U1983" s="152"/>
      <c r="V1983" s="152"/>
      <c r="W1983" s="152"/>
      <c r="X1983" s="152"/>
      <c r="Y1983" s="153"/>
      <c r="Z1983" s="125" t="str">
        <f t="shared" si="16"/>
        <v/>
      </c>
      <c r="AA1983" s="126" t="str">
        <f t="shared" si="17"/>
        <v/>
      </c>
      <c r="AB1983" s="117" t="str">
        <f t="shared" si="19"/>
        <v/>
      </c>
      <c r="AC1983" s="152"/>
      <c r="AD1983" s="153"/>
      <c r="AE1983" s="156"/>
    </row>
    <row r="1984" ht="18.0" customHeight="1">
      <c r="A1984" s="127" t="str">
        <f t="shared" si="15"/>
        <v/>
      </c>
      <c r="B1984" s="128"/>
      <c r="C1984" s="129"/>
      <c r="D1984" s="129"/>
      <c r="E1984" s="325"/>
      <c r="F1984" s="131"/>
      <c r="G1984" s="319"/>
      <c r="H1984" s="319"/>
      <c r="I1984" s="319"/>
      <c r="J1984" s="132"/>
      <c r="K1984" s="319"/>
      <c r="L1984" s="135"/>
      <c r="M1984" s="321"/>
      <c r="N1984" s="322"/>
      <c r="O1984" s="150"/>
      <c r="P1984" s="135"/>
      <c r="Q1984" s="135"/>
      <c r="R1984" s="321"/>
      <c r="S1984" s="322"/>
      <c r="T1984" s="319"/>
      <c r="U1984" s="322"/>
      <c r="V1984" s="322"/>
      <c r="W1984" s="322"/>
      <c r="X1984" s="322"/>
      <c r="Y1984" s="319"/>
      <c r="Z1984" s="136" t="str">
        <f t="shared" si="16"/>
        <v/>
      </c>
      <c r="AA1984" s="137" t="str">
        <f t="shared" si="17"/>
        <v/>
      </c>
      <c r="AB1984" s="138" t="str">
        <f t="shared" si="19"/>
        <v/>
      </c>
      <c r="AC1984" s="322"/>
      <c r="AD1984" s="319"/>
      <c r="AE1984" s="320"/>
    </row>
    <row r="1985" ht="18.0" customHeight="1">
      <c r="A1985" s="118" t="str">
        <f t="shared" si="15"/>
        <v/>
      </c>
      <c r="B1985" s="109"/>
      <c r="C1985" s="119"/>
      <c r="D1985" s="119"/>
      <c r="E1985" s="330"/>
      <c r="F1985" s="121"/>
      <c r="G1985" s="153"/>
      <c r="H1985" s="153"/>
      <c r="I1985" s="153"/>
      <c r="J1985" s="112"/>
      <c r="K1985" s="153"/>
      <c r="L1985" s="114"/>
      <c r="M1985" s="151"/>
      <c r="N1985" s="152"/>
      <c r="O1985" s="150"/>
      <c r="P1985" s="114"/>
      <c r="Q1985" s="114"/>
      <c r="R1985" s="151"/>
      <c r="S1985" s="152"/>
      <c r="T1985" s="153"/>
      <c r="U1985" s="152"/>
      <c r="V1985" s="152"/>
      <c r="W1985" s="152"/>
      <c r="X1985" s="152"/>
      <c r="Y1985" s="153"/>
      <c r="Z1985" s="125" t="str">
        <f t="shared" si="16"/>
        <v/>
      </c>
      <c r="AA1985" s="126" t="str">
        <f t="shared" si="17"/>
        <v/>
      </c>
      <c r="AB1985" s="117" t="str">
        <f t="shared" si="19"/>
        <v/>
      </c>
      <c r="AC1985" s="152"/>
      <c r="AD1985" s="153"/>
      <c r="AE1985" s="156"/>
    </row>
    <row r="1986" ht="18.0" customHeight="1">
      <c r="A1986" s="127" t="str">
        <f t="shared" si="15"/>
        <v/>
      </c>
      <c r="B1986" s="128"/>
      <c r="C1986" s="129"/>
      <c r="D1986" s="129"/>
      <c r="E1986" s="325"/>
      <c r="F1986" s="131"/>
      <c r="G1986" s="319"/>
      <c r="H1986" s="319"/>
      <c r="I1986" s="319"/>
      <c r="J1986" s="132"/>
      <c r="K1986" s="319"/>
      <c r="L1986" s="135"/>
      <c r="M1986" s="321"/>
      <c r="N1986" s="322"/>
      <c r="O1986" s="150"/>
      <c r="P1986" s="135"/>
      <c r="Q1986" s="135"/>
      <c r="R1986" s="321"/>
      <c r="S1986" s="322"/>
      <c r="T1986" s="319"/>
      <c r="U1986" s="322"/>
      <c r="V1986" s="322"/>
      <c r="W1986" s="322"/>
      <c r="X1986" s="322"/>
      <c r="Y1986" s="319"/>
      <c r="Z1986" s="136" t="str">
        <f t="shared" si="16"/>
        <v/>
      </c>
      <c r="AA1986" s="137" t="str">
        <f t="shared" si="17"/>
        <v/>
      </c>
      <c r="AB1986" s="138" t="str">
        <f t="shared" si="19"/>
        <v/>
      </c>
      <c r="AC1986" s="322"/>
      <c r="AD1986" s="319"/>
      <c r="AE1986" s="320"/>
    </row>
    <row r="1987" ht="18.0" customHeight="1">
      <c r="A1987" s="118" t="str">
        <f t="shared" si="15"/>
        <v/>
      </c>
      <c r="B1987" s="109"/>
      <c r="C1987" s="119"/>
      <c r="D1987" s="119"/>
      <c r="E1987" s="330"/>
      <c r="F1987" s="121"/>
      <c r="G1987" s="153"/>
      <c r="H1987" s="153"/>
      <c r="I1987" s="153"/>
      <c r="J1987" s="112"/>
      <c r="K1987" s="153"/>
      <c r="L1987" s="114"/>
      <c r="M1987" s="151"/>
      <c r="N1987" s="152"/>
      <c r="O1987" s="150"/>
      <c r="P1987" s="114"/>
      <c r="Q1987" s="114"/>
      <c r="R1987" s="151"/>
      <c r="S1987" s="152"/>
      <c r="T1987" s="153"/>
      <c r="U1987" s="152"/>
      <c r="V1987" s="152"/>
      <c r="W1987" s="152"/>
      <c r="X1987" s="152"/>
      <c r="Y1987" s="153"/>
      <c r="Z1987" s="125" t="str">
        <f t="shared" si="16"/>
        <v/>
      </c>
      <c r="AA1987" s="126" t="str">
        <f t="shared" si="17"/>
        <v/>
      </c>
      <c r="AB1987" s="117" t="str">
        <f t="shared" si="19"/>
        <v/>
      </c>
      <c r="AC1987" s="152"/>
      <c r="AD1987" s="153"/>
      <c r="AE1987" s="156"/>
    </row>
    <row r="1988" ht="18.0" customHeight="1">
      <c r="A1988" s="127" t="str">
        <f t="shared" si="15"/>
        <v/>
      </c>
      <c r="B1988" s="128"/>
      <c r="C1988" s="129"/>
      <c r="D1988" s="129"/>
      <c r="E1988" s="325"/>
      <c r="F1988" s="131"/>
      <c r="G1988" s="319"/>
      <c r="H1988" s="319"/>
      <c r="I1988" s="319"/>
      <c r="J1988" s="132"/>
      <c r="K1988" s="319"/>
      <c r="L1988" s="135"/>
      <c r="M1988" s="321"/>
      <c r="N1988" s="322"/>
      <c r="O1988" s="150"/>
      <c r="P1988" s="135"/>
      <c r="Q1988" s="135"/>
      <c r="R1988" s="321"/>
      <c r="S1988" s="322"/>
      <c r="T1988" s="319"/>
      <c r="U1988" s="322"/>
      <c r="V1988" s="322"/>
      <c r="W1988" s="322"/>
      <c r="X1988" s="322"/>
      <c r="Y1988" s="319"/>
      <c r="Z1988" s="136" t="str">
        <f t="shared" si="16"/>
        <v/>
      </c>
      <c r="AA1988" s="137" t="str">
        <f t="shared" si="17"/>
        <v/>
      </c>
      <c r="AB1988" s="138" t="str">
        <f t="shared" si="19"/>
        <v/>
      </c>
      <c r="AC1988" s="322"/>
      <c r="AD1988" s="319"/>
      <c r="AE1988" s="320"/>
    </row>
    <row r="1989" ht="18.0" customHeight="1">
      <c r="A1989" s="118" t="str">
        <f t="shared" si="15"/>
        <v/>
      </c>
      <c r="B1989" s="109"/>
      <c r="C1989" s="119"/>
      <c r="D1989" s="119"/>
      <c r="E1989" s="330"/>
      <c r="F1989" s="121"/>
      <c r="G1989" s="153"/>
      <c r="H1989" s="153"/>
      <c r="I1989" s="153"/>
      <c r="J1989" s="112"/>
      <c r="K1989" s="153"/>
      <c r="L1989" s="114"/>
      <c r="M1989" s="151"/>
      <c r="N1989" s="152"/>
      <c r="O1989" s="150"/>
      <c r="P1989" s="114"/>
      <c r="Q1989" s="114"/>
      <c r="R1989" s="151"/>
      <c r="S1989" s="152"/>
      <c r="T1989" s="153"/>
      <c r="U1989" s="152"/>
      <c r="V1989" s="152"/>
      <c r="W1989" s="152"/>
      <c r="X1989" s="152"/>
      <c r="Y1989" s="153"/>
      <c r="Z1989" s="125" t="str">
        <f t="shared" si="16"/>
        <v/>
      </c>
      <c r="AA1989" s="126" t="str">
        <f t="shared" si="17"/>
        <v/>
      </c>
      <c r="AB1989" s="117" t="str">
        <f t="shared" si="19"/>
        <v/>
      </c>
      <c r="AC1989" s="152"/>
      <c r="AD1989" s="153"/>
      <c r="AE1989" s="156"/>
    </row>
    <row r="1990" ht="18.0" customHeight="1">
      <c r="A1990" s="127" t="str">
        <f t="shared" si="15"/>
        <v/>
      </c>
      <c r="B1990" s="128"/>
      <c r="C1990" s="129"/>
      <c r="D1990" s="129"/>
      <c r="E1990" s="325"/>
      <c r="F1990" s="131"/>
      <c r="G1990" s="319"/>
      <c r="H1990" s="319"/>
      <c r="I1990" s="319"/>
      <c r="J1990" s="132"/>
      <c r="K1990" s="319"/>
      <c r="L1990" s="135"/>
      <c r="M1990" s="321"/>
      <c r="N1990" s="322"/>
      <c r="O1990" s="150"/>
      <c r="P1990" s="135"/>
      <c r="Q1990" s="135"/>
      <c r="R1990" s="321"/>
      <c r="S1990" s="322"/>
      <c r="T1990" s="319"/>
      <c r="U1990" s="322"/>
      <c r="V1990" s="322"/>
      <c r="W1990" s="322"/>
      <c r="X1990" s="322"/>
      <c r="Y1990" s="319"/>
      <c r="Z1990" s="136" t="str">
        <f t="shared" si="16"/>
        <v/>
      </c>
      <c r="AA1990" s="137" t="str">
        <f t="shared" si="17"/>
        <v/>
      </c>
      <c r="AB1990" s="138" t="str">
        <f t="shared" si="19"/>
        <v/>
      </c>
      <c r="AC1990" s="322"/>
      <c r="AD1990" s="319"/>
      <c r="AE1990" s="320"/>
    </row>
    <row r="1991" ht="18.0" customHeight="1">
      <c r="A1991" s="118" t="str">
        <f t="shared" si="15"/>
        <v/>
      </c>
      <c r="B1991" s="109"/>
      <c r="C1991" s="119"/>
      <c r="D1991" s="119"/>
      <c r="E1991" s="330"/>
      <c r="F1991" s="121"/>
      <c r="G1991" s="153"/>
      <c r="H1991" s="153"/>
      <c r="I1991" s="153"/>
      <c r="J1991" s="112"/>
      <c r="K1991" s="153"/>
      <c r="L1991" s="114"/>
      <c r="M1991" s="151"/>
      <c r="N1991" s="152"/>
      <c r="O1991" s="150"/>
      <c r="P1991" s="114"/>
      <c r="Q1991" s="114"/>
      <c r="R1991" s="151"/>
      <c r="S1991" s="152"/>
      <c r="T1991" s="153"/>
      <c r="U1991" s="152"/>
      <c r="V1991" s="152"/>
      <c r="W1991" s="152"/>
      <c r="X1991" s="152"/>
      <c r="Y1991" s="153"/>
      <c r="Z1991" s="125" t="str">
        <f t="shared" si="16"/>
        <v/>
      </c>
      <c r="AA1991" s="126" t="str">
        <f t="shared" si="17"/>
        <v/>
      </c>
      <c r="AB1991" s="117" t="str">
        <f t="shared" si="19"/>
        <v/>
      </c>
      <c r="AC1991" s="152"/>
      <c r="AD1991" s="153"/>
      <c r="AE1991" s="156"/>
    </row>
    <row r="1992" ht="18.0" customHeight="1">
      <c r="A1992" s="127" t="str">
        <f t="shared" si="15"/>
        <v/>
      </c>
      <c r="B1992" s="128"/>
      <c r="C1992" s="129"/>
      <c r="D1992" s="129"/>
      <c r="E1992" s="325"/>
      <c r="F1992" s="131"/>
      <c r="G1992" s="319"/>
      <c r="H1992" s="319"/>
      <c r="I1992" s="319"/>
      <c r="J1992" s="132"/>
      <c r="K1992" s="319"/>
      <c r="L1992" s="135"/>
      <c r="M1992" s="321"/>
      <c r="N1992" s="322"/>
      <c r="O1992" s="150"/>
      <c r="P1992" s="135"/>
      <c r="Q1992" s="135"/>
      <c r="R1992" s="321"/>
      <c r="S1992" s="322"/>
      <c r="T1992" s="319"/>
      <c r="U1992" s="322"/>
      <c r="V1992" s="322"/>
      <c r="W1992" s="322"/>
      <c r="X1992" s="322"/>
      <c r="Y1992" s="319"/>
      <c r="Z1992" s="136" t="str">
        <f t="shared" si="16"/>
        <v/>
      </c>
      <c r="AA1992" s="137" t="str">
        <f t="shared" si="17"/>
        <v/>
      </c>
      <c r="AB1992" s="138" t="str">
        <f t="shared" si="19"/>
        <v/>
      </c>
      <c r="AC1992" s="322"/>
      <c r="AD1992" s="319"/>
      <c r="AE1992" s="320"/>
    </row>
    <row r="1993" ht="18.0" customHeight="1">
      <c r="A1993" s="118" t="str">
        <f t="shared" si="15"/>
        <v/>
      </c>
      <c r="B1993" s="109"/>
      <c r="C1993" s="119"/>
      <c r="D1993" s="119"/>
      <c r="E1993" s="330"/>
      <c r="F1993" s="121"/>
      <c r="G1993" s="153"/>
      <c r="H1993" s="153"/>
      <c r="I1993" s="153"/>
      <c r="J1993" s="112"/>
      <c r="K1993" s="153"/>
      <c r="L1993" s="114"/>
      <c r="M1993" s="151"/>
      <c r="N1993" s="152"/>
      <c r="O1993" s="150"/>
      <c r="P1993" s="114"/>
      <c r="Q1993" s="114"/>
      <c r="R1993" s="151"/>
      <c r="S1993" s="152"/>
      <c r="T1993" s="153"/>
      <c r="U1993" s="152"/>
      <c r="V1993" s="152"/>
      <c r="W1993" s="152"/>
      <c r="X1993" s="152"/>
      <c r="Y1993" s="153"/>
      <c r="Z1993" s="125" t="str">
        <f t="shared" si="16"/>
        <v/>
      </c>
      <c r="AA1993" s="126" t="str">
        <f t="shared" si="17"/>
        <v/>
      </c>
      <c r="AB1993" s="117" t="str">
        <f t="shared" si="19"/>
        <v/>
      </c>
      <c r="AC1993" s="152"/>
      <c r="AD1993" s="153"/>
      <c r="AE1993" s="156"/>
    </row>
    <row r="1994" ht="18.0" customHeight="1">
      <c r="A1994" s="127" t="str">
        <f t="shared" si="15"/>
        <v/>
      </c>
      <c r="B1994" s="128"/>
      <c r="C1994" s="129"/>
      <c r="D1994" s="129"/>
      <c r="E1994" s="325"/>
      <c r="F1994" s="131"/>
      <c r="G1994" s="319"/>
      <c r="H1994" s="319"/>
      <c r="I1994" s="319"/>
      <c r="J1994" s="132"/>
      <c r="K1994" s="319"/>
      <c r="L1994" s="135"/>
      <c r="M1994" s="321"/>
      <c r="N1994" s="322"/>
      <c r="O1994" s="150"/>
      <c r="P1994" s="135"/>
      <c r="Q1994" s="135"/>
      <c r="R1994" s="321"/>
      <c r="S1994" s="322"/>
      <c r="T1994" s="319"/>
      <c r="U1994" s="322"/>
      <c r="V1994" s="322"/>
      <c r="W1994" s="322"/>
      <c r="X1994" s="322"/>
      <c r="Y1994" s="319"/>
      <c r="Z1994" s="136" t="str">
        <f t="shared" si="16"/>
        <v/>
      </c>
      <c r="AA1994" s="137" t="str">
        <f t="shared" si="17"/>
        <v/>
      </c>
      <c r="AB1994" s="138" t="str">
        <f t="shared" si="19"/>
        <v/>
      </c>
      <c r="AC1994" s="322"/>
      <c r="AD1994" s="319"/>
      <c r="AE1994" s="320"/>
    </row>
    <row r="1995" ht="18.0" customHeight="1">
      <c r="A1995" s="118" t="str">
        <f t="shared" si="15"/>
        <v/>
      </c>
      <c r="B1995" s="109"/>
      <c r="C1995" s="119"/>
      <c r="D1995" s="119"/>
      <c r="E1995" s="330"/>
      <c r="F1995" s="121"/>
      <c r="G1995" s="153"/>
      <c r="H1995" s="153"/>
      <c r="I1995" s="153"/>
      <c r="J1995" s="112"/>
      <c r="K1995" s="153"/>
      <c r="L1995" s="114"/>
      <c r="M1995" s="151"/>
      <c r="N1995" s="152"/>
      <c r="O1995" s="150"/>
      <c r="P1995" s="114"/>
      <c r="Q1995" s="114"/>
      <c r="R1995" s="151"/>
      <c r="S1995" s="152"/>
      <c r="T1995" s="153"/>
      <c r="U1995" s="152"/>
      <c r="V1995" s="152"/>
      <c r="W1995" s="152"/>
      <c r="X1995" s="152"/>
      <c r="Y1995" s="153"/>
      <c r="Z1995" s="125" t="str">
        <f t="shared" si="16"/>
        <v/>
      </c>
      <c r="AA1995" s="126" t="str">
        <f t="shared" si="17"/>
        <v/>
      </c>
      <c r="AB1995" s="117" t="str">
        <f t="shared" si="19"/>
        <v/>
      </c>
      <c r="AC1995" s="152"/>
      <c r="AD1995" s="153"/>
      <c r="AE1995" s="156"/>
    </row>
    <row r="1996" ht="18.0" customHeight="1">
      <c r="A1996" s="127" t="str">
        <f t="shared" si="15"/>
        <v/>
      </c>
      <c r="B1996" s="333"/>
      <c r="C1996" s="334"/>
      <c r="D1996" s="334"/>
      <c r="E1996" s="335"/>
      <c r="F1996" s="336"/>
      <c r="G1996" s="337"/>
      <c r="H1996" s="337"/>
      <c r="I1996" s="337"/>
      <c r="J1996" s="338"/>
      <c r="K1996" s="337"/>
      <c r="L1996" s="135"/>
      <c r="M1996" s="339"/>
      <c r="N1996" s="340"/>
      <c r="O1996" s="150"/>
      <c r="P1996" s="135"/>
      <c r="Q1996" s="135"/>
      <c r="R1996" s="339"/>
      <c r="S1996" s="340"/>
      <c r="T1996" s="337"/>
      <c r="U1996" s="340"/>
      <c r="V1996" s="340"/>
      <c r="W1996" s="340"/>
      <c r="X1996" s="340"/>
      <c r="Y1996" s="337"/>
      <c r="Z1996" s="136" t="str">
        <f t="shared" si="16"/>
        <v/>
      </c>
      <c r="AA1996" s="137" t="str">
        <f t="shared" si="17"/>
        <v/>
      </c>
      <c r="AB1996" s="138" t="str">
        <f t="shared" si="19"/>
        <v/>
      </c>
      <c r="AC1996" s="340"/>
      <c r="AD1996" s="337"/>
      <c r="AE1996" s="341"/>
    </row>
  </sheetData>
  <autoFilter ref="$A$5:$AD$211"/>
  <mergeCells count="6">
    <mergeCell ref="A1:AE1"/>
    <mergeCell ref="A2:AE2"/>
    <mergeCell ref="A3:K3"/>
    <mergeCell ref="L3:Q3"/>
    <mergeCell ref="R3:Y3"/>
    <mergeCell ref="Z3:AD3"/>
  </mergeCells>
  <conditionalFormatting sqref="AA6 AA8:AA1996">
    <cfRule type="cellIs" dxfId="1" priority="1" operator="equal">
      <formula>"A"</formula>
    </cfRule>
  </conditionalFormatting>
  <conditionalFormatting sqref="AA6 AA8:AA1996">
    <cfRule type="cellIs" dxfId="2" priority="2" operator="equal">
      <formula>"B"</formula>
    </cfRule>
  </conditionalFormatting>
  <conditionalFormatting sqref="AA6 AA8:AA1996">
    <cfRule type="cellIs" dxfId="3" priority="3" operator="equal">
      <formula>"C"</formula>
    </cfRule>
  </conditionalFormatting>
  <conditionalFormatting sqref="AA6 AA8:AA1996">
    <cfRule type="cellIs" dxfId="4" priority="4" operator="equal">
      <formula>"D"</formula>
    </cfRule>
  </conditionalFormatting>
  <conditionalFormatting sqref="AB6 AB8:AB1996">
    <cfRule type="expression" dxfId="5" priority="5">
      <formula>LEFT(AB6,1)="✓"</formula>
    </cfRule>
  </conditionalFormatting>
  <conditionalFormatting sqref="AB6 AB8:AB1996">
    <cfRule type="expression" dxfId="6" priority="6">
      <formula>LEFT(AB6,1)="⚠"</formula>
    </cfRule>
  </conditionalFormatting>
  <conditionalFormatting sqref="AC6 AC8:AC203 AC210:AC347">
    <cfRule type="cellIs" dxfId="1" priority="7" operator="equal">
      <formula>"Move to Scoping"</formula>
    </cfRule>
  </conditionalFormatting>
  <conditionalFormatting sqref="AC6 AC8:AC203 AC210:AC347">
    <cfRule type="cellIs" dxfId="6" priority="8" operator="equal">
      <formula>"Dead — No Response"</formula>
    </cfRule>
  </conditionalFormatting>
  <conditionalFormatting sqref="AC6 AC8:AC203 AC210:AC347">
    <cfRule type="cellIs" dxfId="6" priority="9" operator="equal">
      <formula>"Dead — Not a Fit"</formula>
    </cfRule>
  </conditionalFormatting>
  <conditionalFormatting sqref="AC6 AC8:AC203 AC210:AC347">
    <cfRule type="cellIs" dxfId="6" priority="10" operator="equal">
      <formula>"Dead — Lost to Competitor"</formula>
    </cfRule>
  </conditionalFormatting>
  <conditionalFormatting sqref="AC6 AC8:AC203 AC210:AC347">
    <cfRule type="cellIs" dxfId="6" priority="11" operator="equal">
      <formula>"Dead — No Budget"</formula>
    </cfRule>
  </conditionalFormatting>
  <dataValidations>
    <dataValidation type="list" allowBlank="1" showErrorMessage="1" sqref="S7:S1996">
      <formula1>"Image,Video,Text/NLP,Audio/Speech,LiDAR/3D,Document/OCR,Tabular Data,Mixed,Other"</formula1>
    </dataValidation>
    <dataValidation type="list" allowBlank="1" showErrorMessage="1" sqref="L8:L1996">
      <formula1>"Akhil,Seyram,Brendon ,Darius,Michael,Freddie,Elton,Other,Olivia"</formula1>
    </dataValidation>
    <dataValidation type="list" allowBlank="1" showErrorMessage="1" sqref="N8:N1996">
      <formula1>"No Response,Responded — Interested,Responded — Not a Fit,Bounced/Invalid Email,Meeting Booked"</formula1>
    </dataValidation>
    <dataValidation type="list" allowBlank="1" showErrorMessage="1" sqref="O8:O1996">
      <formula1>"Data Annotation,AI Solutions,Partnerships"</formula1>
    </dataValidation>
    <dataValidation type="list" allowBlank="1" showErrorMessage="1" sqref="Q8:Q1996">
      <formula1>"Direct,Partner -Alegion/SanctifAI,Partner -SuperbAI,Partner -v7,Partner -MLTwist,Partner -Datasaur,Partner- TELUS,Partner- Other"</formula1>
    </dataValidation>
    <dataValidation type="list" allowBlank="1" showInputMessage="1" showErrorMessage="1" prompt="Invalid Entry - Please select from the dropdown list." sqref="U6">
      <formula1>"&lt;$1k,$1k–$5k,$5k–$25k,$25k–$100k,$100k–$500k,$500k+,Unknown"</formula1>
    </dataValidation>
    <dataValidation type="list" allowBlank="1" showInputMessage="1" showErrorMessage="1" prompt="Invalid Entry - Please select from the dropdown list." sqref="X6:X7">
      <formula1>"Healthcare/Medical,Automotive/AV,Agriculture/Geo,Finance,Retail/E-commerce,Robotics,Government/Defence,Education,Tech/SaaS,Other"</formula1>
    </dataValidation>
    <dataValidation type="list" allowBlank="1" showErrorMessage="1" sqref="U7:U1996">
      <formula1>"&lt;$1k,$1k–$5k,$5k–$25k,$25k–$100k,$100k–$500k,$500k+,Unknown"</formula1>
    </dataValidation>
    <dataValidation type="list" allowBlank="1" showErrorMessage="1" sqref="P203">
      <formula1>"Medical AI Annotation,GenAI Annotation,CV Annotation,LiDAR Annotation,Data Collection,Speech Solutions,Grow Solutions,Agentic AI Solutions,Other Solutions"</formula1>
    </dataValidation>
    <dataValidation type="list" allowBlank="1" showInputMessage="1" showErrorMessage="1" prompt="Invalid Entry - Please select from the dropdown list." sqref="W6">
      <formula1>"Yes,No,Unclear"</formula1>
    </dataValidation>
    <dataValidation type="list" allowBlank="1" showErrorMessage="1" sqref="V7:V1996">
      <formula1>"Immediate (this month),Short-term (1–3 months),Medium (3–6 months),Exploratory / No timeline"</formula1>
    </dataValidation>
    <dataValidation type="list" allowBlank="1" showErrorMessage="1" sqref="P8:P202 P204:P1996">
      <formula1>"Medical AI Annotation,GenAI Annotation,CV Annotation,LiDAR Annotation,Data Collection,Speech Solutions,Grow Solutions,Agentic AI Solutions,Other Solutions"</formula1>
    </dataValidation>
    <dataValidation type="list" allowBlank="1" showInputMessage="1" showErrorMessage="1" prompt="Invalid Entry - Please select from the dropdown list." sqref="AC6">
      <formula1>"New Lead,Contacted,Discovery Scheduled,Discovery Complete,Move to Scoping,Dead — No Response,Dead — Not a Fit,Dead — Lost to Competitor,Dead — No Budget"</formula1>
    </dataValidation>
    <dataValidation type="list" allowBlank="1" showErrorMessage="1" sqref="X228">
      <formula1>"Healthcare/Medical,Automotive/AV,Agriculture/Geo,Finance,Retail/E-commerce,Robotics,Government/Defence,Education,Tech/SaaS,Insurance,Other"</formula1>
    </dataValidation>
    <dataValidation type="date" operator="greaterThan" allowBlank="1" showInputMessage="1" prompt="Date Entry - Enter a date (YYYY-MM-DD)" sqref="B8:B246 B250:B1996 M8:M1996 R8:R1996 AE8:AE1996">
      <formula1>1.0</formula1>
    </dataValidation>
    <dataValidation type="list" allowBlank="1" showErrorMessage="1" sqref="AC8:AC1996">
      <formula1>"New Lead,Contacted,Discovery Scheduled,Discovery Complete,Move to Scoping,Dead — No Response,Dead — Not a Fit,Dead — Lost to Competitor,Dead — No Budget"</formula1>
    </dataValidation>
    <dataValidation type="list" allowBlank="1" showErrorMessage="1" sqref="X210">
      <formula1>"Healthcare/Medical,Automotive/AV,Agriculture/Geo,Finance,Retail/E-commerce,Robotics,Government/Defence,Education,Tech/SaaS,Other,Logistics"</formula1>
    </dataValidation>
    <dataValidation type="list" allowBlank="1" showErrorMessage="1" sqref="X249">
      <formula1>"Healthcare/Medical,Automotive/AV,Agriculture/Geo,Finance,Retail/E-commerce,Robotics,Government/Defence,Education,Tech/SaaS,Mining/Extractives,Other"</formula1>
    </dataValidation>
    <dataValidation type="list" allowBlank="1" showErrorMessage="1" sqref="W7:W1996">
      <formula1>"Yes,No,Unclear"</formula1>
    </dataValidation>
    <dataValidation type="list" allowBlank="1" showInputMessage="1" showErrorMessage="1" prompt="Invalid Entry - Please select from the dropdown list." sqref="V6">
      <formula1>"Immediate (this month),Short-term (1–3 months),Medium (3–6 months),Exploratory / No timeline"</formula1>
    </dataValidation>
    <dataValidation type="list" allowBlank="1" showErrorMessage="1" sqref="J8:J1996">
      <formula1>"Search Engine,Google Ads,ChatGPT,Perplexity,LinkedIn,Email,Website Form,Referral,Partner Intro,Event/Conference,Cold Outreach,Collective OS,Other,Referral from Gillian"</formula1>
    </dataValidation>
    <dataValidation type="list" allowBlank="1" showErrorMessage="1" sqref="X8:X209 X211:X227 X229:X248 X250:X1996">
      <formula1>"Healthcare/Medical,Automotive/AV,Agriculture/Geo,Finance,Retail/E-commerce,Robotics,Government/Defence,Education,Tech/SaaS,Other"</formula1>
    </dataValidation>
  </dataValidations>
  <hyperlinks>
    <hyperlink r:id="rId2" ref="K245"/>
  </hyperlinks>
  <printOptions/>
  <pageMargins bottom="1.0" footer="0.0" header="0.0" left="0.75" right="0.75" top="1.0"/>
  <pageSetup paperSize="9" orientation="portrait"/>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A745"/>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13.29"/>
    <col customWidth="1" min="2" max="2" width="27.57"/>
    <col customWidth="1" min="3" max="3" width="24.86"/>
    <col customWidth="1" min="4" max="4" width="15.14"/>
    <col customWidth="1" min="5" max="5" width="16.86"/>
    <col customWidth="1" min="6" max="6" width="35.57"/>
    <col customWidth="1" min="7" max="7" width="21.29"/>
    <col customWidth="1" min="8" max="8" width="19.57"/>
    <col customWidth="1" min="9" max="9" width="23.0"/>
    <col customWidth="1" min="10" max="10" width="19.57"/>
    <col customWidth="1" min="11" max="12" width="17.86"/>
    <col customWidth="1" min="13" max="14" width="16.0"/>
    <col customWidth="1" min="15" max="15" width="14.14"/>
    <col customWidth="1" min="16" max="16" width="16.0"/>
    <col customWidth="1" min="17" max="17" width="23.14"/>
    <col customWidth="1" min="18" max="18" width="15.14"/>
    <col customWidth="1" min="19" max="19" width="18.71"/>
    <col customWidth="1" min="20" max="20" width="17.86"/>
    <col customWidth="1" min="21" max="22" width="18.71"/>
    <col customWidth="1" min="23" max="24" width="16.0"/>
    <col customWidth="1" min="25" max="25" width="20.43"/>
    <col customWidth="1" min="26" max="26" width="16.0"/>
    <col customWidth="1" min="27" max="27" width="18.71"/>
    <col customWidth="1" min="28" max="28" width="17.86"/>
    <col customWidth="1" min="29" max="29" width="14.14"/>
    <col customWidth="1" min="30" max="30" width="24.0"/>
    <col customWidth="1" min="31" max="31" width="25.86"/>
    <col customWidth="1" min="32" max="32" width="24.0"/>
    <col customWidth="1" min="33" max="33" width="16.0"/>
    <col customWidth="1" min="34" max="34" width="15.14"/>
    <col customWidth="1" min="35" max="36" width="16.0"/>
    <col customWidth="1" min="37" max="37" width="17.86"/>
  </cols>
  <sheetData>
    <row r="1">
      <c r="A1" s="342" t="s">
        <v>1599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row>
    <row r="2">
      <c r="A2" s="343" t="s">
        <v>1600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c r="A3" s="344" t="s">
        <v>1601</v>
      </c>
      <c r="B3" s="7"/>
      <c r="C3" s="7"/>
      <c r="D3" s="8"/>
      <c r="E3" s="345" t="s">
        <v>1602</v>
      </c>
      <c r="F3" s="7"/>
      <c r="G3" s="7"/>
      <c r="H3" s="7"/>
      <c r="I3" s="7"/>
      <c r="J3" s="7"/>
      <c r="K3" s="7"/>
      <c r="L3" s="7"/>
      <c r="M3" s="7"/>
      <c r="N3" s="7"/>
      <c r="O3" s="7"/>
      <c r="P3" s="7"/>
      <c r="Q3" s="8"/>
      <c r="R3" s="346" t="s">
        <v>1603</v>
      </c>
      <c r="S3" s="7"/>
      <c r="T3" s="7"/>
      <c r="U3" s="7"/>
      <c r="V3" s="7"/>
      <c r="W3" s="7"/>
      <c r="X3" s="8"/>
      <c r="Y3" s="347" t="s">
        <v>1604</v>
      </c>
      <c r="Z3" s="2"/>
      <c r="AA3" s="2"/>
      <c r="AB3" s="2"/>
      <c r="AC3" s="2"/>
      <c r="AD3" s="2"/>
      <c r="AE3" s="2"/>
      <c r="AF3" s="2"/>
      <c r="AG3" s="3"/>
      <c r="AH3" s="348" t="s">
        <v>1605</v>
      </c>
      <c r="AI3" s="2"/>
      <c r="AJ3" s="2"/>
      <c r="AK3" s="3"/>
    </row>
    <row r="4">
      <c r="A4" s="349" t="s">
        <v>203</v>
      </c>
      <c r="B4" s="349" t="s">
        <v>131</v>
      </c>
      <c r="C4" s="349" t="s">
        <v>209</v>
      </c>
      <c r="D4" s="349" t="s">
        <v>133</v>
      </c>
      <c r="E4" s="349" t="s">
        <v>1606</v>
      </c>
      <c r="F4" s="349" t="s">
        <v>1607</v>
      </c>
      <c r="G4" s="349" t="s">
        <v>132</v>
      </c>
      <c r="H4" s="349" t="s">
        <v>218</v>
      </c>
      <c r="I4" s="349" t="s">
        <v>1608</v>
      </c>
      <c r="J4" s="349" t="s">
        <v>1609</v>
      </c>
      <c r="K4" s="349" t="s">
        <v>1610</v>
      </c>
      <c r="L4" s="349" t="s">
        <v>1611</v>
      </c>
      <c r="M4" s="349" t="s">
        <v>1612</v>
      </c>
      <c r="N4" s="349" t="s">
        <v>1613</v>
      </c>
      <c r="O4" s="349" t="s">
        <v>1614</v>
      </c>
      <c r="P4" s="349" t="s">
        <v>1615</v>
      </c>
      <c r="Q4" s="349" t="s">
        <v>1616</v>
      </c>
      <c r="R4" s="349" t="s">
        <v>1617</v>
      </c>
      <c r="S4" s="349" t="s">
        <v>1618</v>
      </c>
      <c r="T4" s="349" t="s">
        <v>1619</v>
      </c>
      <c r="U4" s="349" t="s">
        <v>1620</v>
      </c>
      <c r="V4" s="349" t="s">
        <v>1621</v>
      </c>
      <c r="W4" s="349" t="s">
        <v>1622</v>
      </c>
      <c r="X4" s="349" t="s">
        <v>1623</v>
      </c>
      <c r="Y4" s="349" t="s">
        <v>1624</v>
      </c>
      <c r="Z4" s="349" t="s">
        <v>1625</v>
      </c>
      <c r="AA4" s="349" t="s">
        <v>179</v>
      </c>
      <c r="AB4" s="349" t="s">
        <v>139</v>
      </c>
      <c r="AC4" s="349" t="s">
        <v>1626</v>
      </c>
      <c r="AD4" s="349" t="s">
        <v>1627</v>
      </c>
      <c r="AE4" s="349" t="s">
        <v>1628</v>
      </c>
      <c r="AF4" s="350" t="s">
        <v>1629</v>
      </c>
      <c r="AG4" s="350" t="s">
        <v>1630</v>
      </c>
      <c r="AH4" s="350" t="s">
        <v>1631</v>
      </c>
      <c r="AI4" s="350" t="s">
        <v>1632</v>
      </c>
      <c r="AJ4" s="350" t="s">
        <v>1633</v>
      </c>
      <c r="AK4" s="350" t="s">
        <v>1634</v>
      </c>
    </row>
    <row r="5">
      <c r="A5" s="351" t="s">
        <v>1635</v>
      </c>
      <c r="B5" s="351" t="s">
        <v>1636</v>
      </c>
      <c r="C5" s="351" t="s">
        <v>1635</v>
      </c>
      <c r="D5" s="351" t="s">
        <v>1637</v>
      </c>
      <c r="E5" s="351" t="s">
        <v>1638</v>
      </c>
      <c r="F5" s="351" t="s">
        <v>1639</v>
      </c>
      <c r="G5" s="351" t="s">
        <v>1640</v>
      </c>
      <c r="H5" s="351" t="s">
        <v>1640</v>
      </c>
      <c r="I5" s="351" t="s">
        <v>1641</v>
      </c>
      <c r="J5" s="351" t="s">
        <v>1642</v>
      </c>
      <c r="K5" s="351" t="s">
        <v>1643</v>
      </c>
      <c r="L5" s="351" t="s">
        <v>1644</v>
      </c>
      <c r="M5" s="351" t="s">
        <v>1645</v>
      </c>
      <c r="N5" s="351" t="s">
        <v>1645</v>
      </c>
      <c r="O5" s="351"/>
      <c r="P5" s="351" t="s">
        <v>1646</v>
      </c>
      <c r="Q5" s="351" t="s">
        <v>1647</v>
      </c>
      <c r="R5" s="351" t="s">
        <v>1648</v>
      </c>
      <c r="S5" s="351" t="s">
        <v>1649</v>
      </c>
      <c r="T5" s="351" t="s">
        <v>1650</v>
      </c>
      <c r="U5" s="351"/>
      <c r="V5" s="351"/>
      <c r="W5" s="351" t="s">
        <v>1640</v>
      </c>
      <c r="X5" s="351" t="s">
        <v>1645</v>
      </c>
      <c r="Y5" s="351" t="s">
        <v>1640</v>
      </c>
      <c r="Z5" s="351" t="s">
        <v>1651</v>
      </c>
      <c r="AA5" s="351" t="s">
        <v>1652</v>
      </c>
      <c r="AB5" s="351" t="s">
        <v>1653</v>
      </c>
      <c r="AC5" s="351" t="s">
        <v>1652</v>
      </c>
      <c r="AD5" s="351" t="s">
        <v>1654</v>
      </c>
      <c r="AE5" s="351" t="s">
        <v>1655</v>
      </c>
      <c r="AF5" s="351" t="s">
        <v>1656</v>
      </c>
      <c r="AG5" s="351" t="s">
        <v>1645</v>
      </c>
      <c r="AH5" s="351" t="s">
        <v>1657</v>
      </c>
      <c r="AI5" s="351" t="s">
        <v>1658</v>
      </c>
      <c r="AJ5" s="351" t="s">
        <v>1659</v>
      </c>
      <c r="AK5" s="351" t="s">
        <v>1660</v>
      </c>
    </row>
    <row r="6">
      <c r="A6" s="352"/>
      <c r="B6" s="353" t="s">
        <v>1661</v>
      </c>
      <c r="C6" s="112" t="s">
        <v>1662</v>
      </c>
      <c r="D6" s="112" t="s">
        <v>149</v>
      </c>
      <c r="E6" s="123">
        <v>45566.0</v>
      </c>
      <c r="F6" s="354" t="s">
        <v>1663</v>
      </c>
      <c r="G6" s="112" t="s">
        <v>267</v>
      </c>
      <c r="H6" s="112" t="s">
        <v>1377</v>
      </c>
      <c r="I6" s="112" t="s">
        <v>1664</v>
      </c>
      <c r="J6" s="112"/>
      <c r="K6" s="112" t="s">
        <v>1665</v>
      </c>
      <c r="L6" s="112"/>
      <c r="M6" s="123"/>
      <c r="N6" s="123"/>
      <c r="O6" s="355"/>
      <c r="P6" s="114"/>
      <c r="Q6" s="354"/>
      <c r="R6" s="355"/>
      <c r="S6" s="355">
        <v>21000.0</v>
      </c>
      <c r="T6" s="114"/>
      <c r="U6" s="356"/>
      <c r="V6" s="124"/>
      <c r="W6" s="114" t="s">
        <v>1666</v>
      </c>
      <c r="X6" s="123"/>
      <c r="Y6" s="114" t="s">
        <v>109</v>
      </c>
      <c r="Z6" s="357">
        <v>1.0</v>
      </c>
      <c r="AA6" s="355" t="str">
        <f t="shared" ref="AA6:AA2000" si="1">IF(OR(S6="",Z6=""),"",IF(OR(Y6="Won — In Production",Y6="Lost",Y6="On Hold"),"",S6*Z6))</f>
        <v/>
      </c>
      <c r="AB6" s="114" t="s">
        <v>1667</v>
      </c>
      <c r="AC6" s="358" t="str">
        <f t="shared" ref="AC6:AC1996" si="2">IF(E6="","",IF(OR(Y6="Won — In Production",Y6="Lost"),"-",TODAY()-E6))</f>
        <v>-</v>
      </c>
      <c r="AD6" s="354" t="s">
        <v>1668</v>
      </c>
      <c r="AE6" s="354" t="s">
        <v>1669</v>
      </c>
      <c r="AF6" s="354" t="s">
        <v>1668</v>
      </c>
      <c r="AG6" s="359">
        <v>46087.0</v>
      </c>
      <c r="AH6" s="359"/>
      <c r="AI6" s="123"/>
      <c r="AJ6" s="123"/>
      <c r="AK6" s="114"/>
    </row>
    <row r="7">
      <c r="A7" s="360"/>
      <c r="B7" s="361" t="s">
        <v>1670</v>
      </c>
      <c r="C7" s="132" t="s">
        <v>1671</v>
      </c>
      <c r="D7" s="132" t="s">
        <v>149</v>
      </c>
      <c r="E7" s="134">
        <v>45566.0</v>
      </c>
      <c r="F7" s="362" t="s">
        <v>1672</v>
      </c>
      <c r="G7" s="132" t="s">
        <v>267</v>
      </c>
      <c r="H7" s="132" t="s">
        <v>1508</v>
      </c>
      <c r="I7" s="132" t="s">
        <v>1673</v>
      </c>
      <c r="J7" s="132"/>
      <c r="K7" s="132" t="s">
        <v>1674</v>
      </c>
      <c r="L7" s="132"/>
      <c r="M7" s="134"/>
      <c r="N7" s="134"/>
      <c r="O7" s="363"/>
      <c r="P7" s="135"/>
      <c r="Q7" s="362"/>
      <c r="R7" s="363"/>
      <c r="S7" s="363">
        <v>3250.0</v>
      </c>
      <c r="T7" s="135"/>
      <c r="U7" s="364"/>
      <c r="V7" s="135"/>
      <c r="W7" s="135" t="s">
        <v>1675</v>
      </c>
      <c r="X7" s="134"/>
      <c r="Y7" s="150" t="s">
        <v>95</v>
      </c>
      <c r="Z7" s="365">
        <v>0.0</v>
      </c>
      <c r="AA7" s="355" t="str">
        <f t="shared" si="1"/>
        <v/>
      </c>
      <c r="AB7" s="135" t="s">
        <v>1667</v>
      </c>
      <c r="AC7" s="366" t="str">
        <f t="shared" si="2"/>
        <v>-</v>
      </c>
      <c r="AD7" s="362"/>
      <c r="AE7" s="362" t="s">
        <v>1676</v>
      </c>
      <c r="AF7" s="362"/>
      <c r="AG7" s="367">
        <v>46087.0</v>
      </c>
      <c r="AH7" s="367"/>
      <c r="AI7" s="134"/>
      <c r="AJ7" s="134"/>
      <c r="AK7" s="135"/>
    </row>
    <row r="8">
      <c r="A8" s="352"/>
      <c r="B8" s="353" t="s">
        <v>1677</v>
      </c>
      <c r="C8" s="112" t="s">
        <v>1678</v>
      </c>
      <c r="D8" s="112" t="s">
        <v>149</v>
      </c>
      <c r="E8" s="123">
        <v>45566.0</v>
      </c>
      <c r="F8" s="354" t="s">
        <v>1679</v>
      </c>
      <c r="G8" s="112" t="s">
        <v>267</v>
      </c>
      <c r="H8" s="112" t="s">
        <v>1377</v>
      </c>
      <c r="I8" s="112" t="s">
        <v>1680</v>
      </c>
      <c r="J8" s="112"/>
      <c r="K8" s="112" t="s">
        <v>1681</v>
      </c>
      <c r="L8" s="112"/>
      <c r="M8" s="123"/>
      <c r="N8" s="123"/>
      <c r="O8" s="355"/>
      <c r="P8" s="114"/>
      <c r="Q8" s="354"/>
      <c r="R8" s="355"/>
      <c r="S8" s="355">
        <v>94000.0</v>
      </c>
      <c r="T8" s="114"/>
      <c r="U8" s="356"/>
      <c r="V8" s="114"/>
      <c r="W8" s="114"/>
      <c r="X8" s="123"/>
      <c r="Y8" s="368" t="s">
        <v>95</v>
      </c>
      <c r="Z8" s="357">
        <v>0.0</v>
      </c>
      <c r="AA8" s="355" t="str">
        <f t="shared" si="1"/>
        <v/>
      </c>
      <c r="AB8" s="114"/>
      <c r="AC8" s="358" t="str">
        <f t="shared" si="2"/>
        <v>-</v>
      </c>
      <c r="AD8" s="354" t="s">
        <v>1682</v>
      </c>
      <c r="AE8" s="354" t="s">
        <v>1669</v>
      </c>
      <c r="AF8" s="354"/>
      <c r="AG8" s="359"/>
      <c r="AH8" s="359"/>
      <c r="AI8" s="123"/>
      <c r="AJ8" s="123"/>
      <c r="AK8" s="114"/>
    </row>
    <row r="9">
      <c r="A9" s="360"/>
      <c r="B9" s="361" t="s">
        <v>1683</v>
      </c>
      <c r="C9" s="132" t="s">
        <v>1683</v>
      </c>
      <c r="D9" s="132" t="s">
        <v>151</v>
      </c>
      <c r="E9" s="134">
        <v>45566.0</v>
      </c>
      <c r="F9" s="362" t="s">
        <v>1684</v>
      </c>
      <c r="G9" s="309" t="s">
        <v>375</v>
      </c>
      <c r="H9" s="132" t="s">
        <v>1508</v>
      </c>
      <c r="I9" s="132" t="s">
        <v>360</v>
      </c>
      <c r="J9" s="132"/>
      <c r="K9" s="132" t="s">
        <v>1685</v>
      </c>
      <c r="L9" s="132"/>
      <c r="M9" s="134"/>
      <c r="N9" s="134"/>
      <c r="O9" s="363"/>
      <c r="P9" s="135"/>
      <c r="Q9" s="362"/>
      <c r="R9" s="363"/>
      <c r="S9" s="363">
        <v>35000.0</v>
      </c>
      <c r="T9" s="135"/>
      <c r="U9" s="364"/>
      <c r="V9" s="135"/>
      <c r="W9" s="135" t="s">
        <v>1675</v>
      </c>
      <c r="X9" s="134"/>
      <c r="Y9" s="135" t="s">
        <v>95</v>
      </c>
      <c r="Z9" s="365">
        <v>0.0</v>
      </c>
      <c r="AA9" s="355" t="str">
        <f t="shared" si="1"/>
        <v/>
      </c>
      <c r="AB9" s="135" t="s">
        <v>1667</v>
      </c>
      <c r="AC9" s="366" t="str">
        <f t="shared" si="2"/>
        <v>-</v>
      </c>
      <c r="AD9" s="362" t="s">
        <v>1686</v>
      </c>
      <c r="AE9" s="362" t="s">
        <v>1687</v>
      </c>
      <c r="AF9" s="362" t="s">
        <v>1686</v>
      </c>
      <c r="AG9" s="367">
        <v>46087.0</v>
      </c>
      <c r="AH9" s="367"/>
      <c r="AI9" s="134"/>
      <c r="AJ9" s="134"/>
      <c r="AK9" s="135"/>
    </row>
    <row r="10">
      <c r="A10" s="352" t="s">
        <v>1688</v>
      </c>
      <c r="B10" s="353" t="s">
        <v>1689</v>
      </c>
      <c r="C10" s="112" t="s">
        <v>1689</v>
      </c>
      <c r="D10" s="112" t="s">
        <v>151</v>
      </c>
      <c r="E10" s="123">
        <v>45566.0</v>
      </c>
      <c r="F10" s="354" t="s">
        <v>1690</v>
      </c>
      <c r="G10" s="112" t="s">
        <v>267</v>
      </c>
      <c r="H10" s="112"/>
      <c r="I10" s="112" t="s">
        <v>1690</v>
      </c>
      <c r="J10" s="112"/>
      <c r="K10" s="112" t="s">
        <v>1691</v>
      </c>
      <c r="L10" s="112"/>
      <c r="M10" s="123"/>
      <c r="N10" s="123"/>
      <c r="O10" s="355"/>
      <c r="P10" s="114"/>
      <c r="Q10" s="354"/>
      <c r="R10" s="355"/>
      <c r="S10" s="355">
        <v>6600.0</v>
      </c>
      <c r="T10" s="114"/>
      <c r="U10" s="356"/>
      <c r="V10" s="114"/>
      <c r="W10" s="114"/>
      <c r="X10" s="123"/>
      <c r="Y10" s="114" t="s">
        <v>109</v>
      </c>
      <c r="Z10" s="357">
        <v>1.0</v>
      </c>
      <c r="AA10" s="355" t="str">
        <f t="shared" si="1"/>
        <v/>
      </c>
      <c r="AB10" s="114" t="s">
        <v>1667</v>
      </c>
      <c r="AC10" s="358" t="str">
        <f t="shared" si="2"/>
        <v>-</v>
      </c>
      <c r="AD10" s="354" t="s">
        <v>1692</v>
      </c>
      <c r="AE10" s="354" t="s">
        <v>1693</v>
      </c>
      <c r="AF10" s="354" t="s">
        <v>1692</v>
      </c>
      <c r="AG10" s="359">
        <v>46087.0</v>
      </c>
      <c r="AH10" s="359"/>
      <c r="AI10" s="123"/>
      <c r="AJ10" s="123"/>
      <c r="AK10" s="114"/>
    </row>
    <row r="11">
      <c r="A11" s="360"/>
      <c r="B11" s="361" t="s">
        <v>1694</v>
      </c>
      <c r="C11" s="132" t="s">
        <v>1694</v>
      </c>
      <c r="D11" s="132" t="s">
        <v>151</v>
      </c>
      <c r="E11" s="134">
        <v>45566.0</v>
      </c>
      <c r="F11" s="362" t="s">
        <v>1695</v>
      </c>
      <c r="G11" s="132" t="s">
        <v>267</v>
      </c>
      <c r="H11" s="132"/>
      <c r="I11" s="132" t="s">
        <v>1696</v>
      </c>
      <c r="J11" s="132"/>
      <c r="K11" s="132" t="s">
        <v>1697</v>
      </c>
      <c r="L11" s="132"/>
      <c r="M11" s="134"/>
      <c r="N11" s="134"/>
      <c r="O11" s="363"/>
      <c r="P11" s="135"/>
      <c r="Q11" s="362"/>
      <c r="R11" s="363"/>
      <c r="S11" s="363">
        <v>334.0</v>
      </c>
      <c r="T11" s="135"/>
      <c r="U11" s="364"/>
      <c r="V11" s="135"/>
      <c r="W11" s="135" t="s">
        <v>1666</v>
      </c>
      <c r="X11" s="134"/>
      <c r="Y11" s="135" t="s">
        <v>109</v>
      </c>
      <c r="Z11" s="365">
        <v>1.0</v>
      </c>
      <c r="AA11" s="355" t="str">
        <f t="shared" si="1"/>
        <v/>
      </c>
      <c r="AB11" s="135" t="s">
        <v>1667</v>
      </c>
      <c r="AC11" s="366" t="str">
        <f t="shared" si="2"/>
        <v>-</v>
      </c>
      <c r="AD11" s="362" t="s">
        <v>1698</v>
      </c>
      <c r="AE11" s="362" t="s">
        <v>1699</v>
      </c>
      <c r="AF11" s="362" t="s">
        <v>1698</v>
      </c>
      <c r="AG11" s="367">
        <v>46087.0</v>
      </c>
      <c r="AH11" s="367"/>
      <c r="AI11" s="134"/>
      <c r="AJ11" s="134"/>
      <c r="AK11" s="135"/>
    </row>
    <row r="12">
      <c r="A12" s="352"/>
      <c r="B12" s="353" t="s">
        <v>1700</v>
      </c>
      <c r="C12" s="354" t="s">
        <v>1700</v>
      </c>
      <c r="D12" s="112" t="s">
        <v>67</v>
      </c>
      <c r="E12" s="123">
        <v>45566.0</v>
      </c>
      <c r="F12" s="354" t="s">
        <v>1701</v>
      </c>
      <c r="G12" s="112" t="s">
        <v>267</v>
      </c>
      <c r="H12" s="112"/>
      <c r="I12" s="112" t="s">
        <v>1702</v>
      </c>
      <c r="J12" s="112"/>
      <c r="K12" s="112" t="s">
        <v>1703</v>
      </c>
      <c r="L12" s="112"/>
      <c r="M12" s="123"/>
      <c r="N12" s="123"/>
      <c r="O12" s="355"/>
      <c r="P12" s="114"/>
      <c r="Q12" s="354"/>
      <c r="R12" s="355"/>
      <c r="S12" s="355">
        <v>13000.0</v>
      </c>
      <c r="T12" s="114"/>
      <c r="U12" s="356"/>
      <c r="V12" s="114"/>
      <c r="W12" s="114"/>
      <c r="X12" s="123"/>
      <c r="Y12" s="114" t="s">
        <v>95</v>
      </c>
      <c r="Z12" s="357">
        <v>0.0</v>
      </c>
      <c r="AA12" s="355" t="str">
        <f t="shared" si="1"/>
        <v/>
      </c>
      <c r="AB12" s="114" t="s">
        <v>1667</v>
      </c>
      <c r="AC12" s="358" t="str">
        <f t="shared" si="2"/>
        <v>-</v>
      </c>
      <c r="AD12" s="354" t="s">
        <v>1704</v>
      </c>
      <c r="AE12" s="354" t="s">
        <v>1705</v>
      </c>
      <c r="AF12" s="354" t="s">
        <v>1704</v>
      </c>
      <c r="AG12" s="359">
        <v>46087.0</v>
      </c>
      <c r="AH12" s="359"/>
      <c r="AI12" s="123"/>
      <c r="AJ12" s="123"/>
      <c r="AK12" s="114"/>
    </row>
    <row r="13">
      <c r="A13" s="360"/>
      <c r="B13" s="361" t="s">
        <v>1706</v>
      </c>
      <c r="C13" s="362" t="s">
        <v>1706</v>
      </c>
      <c r="D13" s="132" t="s">
        <v>67</v>
      </c>
      <c r="E13" s="134">
        <v>45566.0</v>
      </c>
      <c r="F13" s="362" t="s">
        <v>1701</v>
      </c>
      <c r="G13" s="132" t="s">
        <v>267</v>
      </c>
      <c r="H13" s="132"/>
      <c r="I13" s="132" t="s">
        <v>1702</v>
      </c>
      <c r="J13" s="132"/>
      <c r="K13" s="132" t="s">
        <v>1707</v>
      </c>
      <c r="L13" s="132"/>
      <c r="M13" s="134"/>
      <c r="N13" s="134"/>
      <c r="O13" s="363"/>
      <c r="P13" s="135"/>
      <c r="Q13" s="362"/>
      <c r="R13" s="363"/>
      <c r="S13" s="363">
        <v>9500.0</v>
      </c>
      <c r="T13" s="135"/>
      <c r="U13" s="364"/>
      <c r="V13" s="135"/>
      <c r="W13" s="135"/>
      <c r="X13" s="134"/>
      <c r="Y13" s="135" t="s">
        <v>95</v>
      </c>
      <c r="Z13" s="365">
        <v>0.0</v>
      </c>
      <c r="AA13" s="355" t="str">
        <f t="shared" si="1"/>
        <v/>
      </c>
      <c r="AB13" s="135" t="s">
        <v>1667</v>
      </c>
      <c r="AC13" s="366" t="str">
        <f t="shared" si="2"/>
        <v>-</v>
      </c>
      <c r="AD13" s="362" t="s">
        <v>1704</v>
      </c>
      <c r="AE13" s="362" t="s">
        <v>1705</v>
      </c>
      <c r="AF13" s="362" t="s">
        <v>1704</v>
      </c>
      <c r="AG13" s="367">
        <v>46087.0</v>
      </c>
      <c r="AH13" s="367"/>
      <c r="AI13" s="134"/>
      <c r="AJ13" s="134"/>
      <c r="AK13" s="135"/>
    </row>
    <row r="14">
      <c r="A14" s="352"/>
      <c r="B14" s="353" t="s">
        <v>1708</v>
      </c>
      <c r="C14" s="354" t="s">
        <v>1708</v>
      </c>
      <c r="D14" s="112" t="s">
        <v>67</v>
      </c>
      <c r="E14" s="123">
        <v>45566.0</v>
      </c>
      <c r="F14" s="354" t="s">
        <v>1701</v>
      </c>
      <c r="G14" s="112" t="s">
        <v>267</v>
      </c>
      <c r="H14" s="112"/>
      <c r="I14" s="112" t="s">
        <v>1702</v>
      </c>
      <c r="J14" s="112"/>
      <c r="K14" s="112" t="s">
        <v>1703</v>
      </c>
      <c r="L14" s="112"/>
      <c r="M14" s="123"/>
      <c r="N14" s="123"/>
      <c r="O14" s="355"/>
      <c r="P14" s="114"/>
      <c r="Q14" s="354"/>
      <c r="R14" s="355"/>
      <c r="S14" s="355">
        <v>28000.0</v>
      </c>
      <c r="T14" s="114"/>
      <c r="U14" s="356"/>
      <c r="V14" s="114"/>
      <c r="W14" s="114"/>
      <c r="X14" s="123"/>
      <c r="Y14" s="114" t="s">
        <v>95</v>
      </c>
      <c r="Z14" s="357">
        <v>0.0</v>
      </c>
      <c r="AA14" s="355" t="str">
        <f t="shared" si="1"/>
        <v/>
      </c>
      <c r="AB14" s="114" t="s">
        <v>1667</v>
      </c>
      <c r="AC14" s="358" t="str">
        <f t="shared" si="2"/>
        <v>-</v>
      </c>
      <c r="AD14" s="354" t="s">
        <v>1709</v>
      </c>
      <c r="AE14" s="354" t="s">
        <v>1710</v>
      </c>
      <c r="AF14" s="354" t="s">
        <v>1709</v>
      </c>
      <c r="AG14" s="359">
        <v>46087.0</v>
      </c>
      <c r="AH14" s="359"/>
      <c r="AI14" s="123"/>
      <c r="AJ14" s="123"/>
      <c r="AK14" s="114"/>
    </row>
    <row r="15">
      <c r="A15" s="360"/>
      <c r="B15" s="361" t="s">
        <v>1711</v>
      </c>
      <c r="C15" s="362" t="s">
        <v>1711</v>
      </c>
      <c r="D15" s="132" t="s">
        <v>67</v>
      </c>
      <c r="E15" s="134">
        <v>45566.0</v>
      </c>
      <c r="F15" s="362" t="s">
        <v>1701</v>
      </c>
      <c r="G15" s="132" t="s">
        <v>267</v>
      </c>
      <c r="H15" s="132"/>
      <c r="I15" s="132" t="s">
        <v>1702</v>
      </c>
      <c r="J15" s="132"/>
      <c r="K15" s="132" t="s">
        <v>1707</v>
      </c>
      <c r="L15" s="132"/>
      <c r="M15" s="134"/>
      <c r="N15" s="134"/>
      <c r="O15" s="363"/>
      <c r="P15" s="135"/>
      <c r="Q15" s="362"/>
      <c r="R15" s="363"/>
      <c r="S15" s="363">
        <v>9000.0</v>
      </c>
      <c r="T15" s="135"/>
      <c r="U15" s="364"/>
      <c r="V15" s="135"/>
      <c r="W15" s="135"/>
      <c r="X15" s="134"/>
      <c r="Y15" s="135" t="s">
        <v>95</v>
      </c>
      <c r="Z15" s="365">
        <v>0.0</v>
      </c>
      <c r="AA15" s="355" t="str">
        <f t="shared" si="1"/>
        <v/>
      </c>
      <c r="AB15" s="135" t="s">
        <v>1667</v>
      </c>
      <c r="AC15" s="366" t="str">
        <f t="shared" si="2"/>
        <v>-</v>
      </c>
      <c r="AD15" s="362" t="s">
        <v>1704</v>
      </c>
      <c r="AE15" s="362" t="s">
        <v>1705</v>
      </c>
      <c r="AF15" s="362" t="s">
        <v>1704</v>
      </c>
      <c r="AG15" s="367">
        <v>46087.0</v>
      </c>
      <c r="AH15" s="367"/>
      <c r="AI15" s="134"/>
      <c r="AJ15" s="134"/>
      <c r="AK15" s="135"/>
    </row>
    <row r="16">
      <c r="A16" s="352"/>
      <c r="B16" s="353" t="s">
        <v>1712</v>
      </c>
      <c r="C16" s="112" t="s">
        <v>1713</v>
      </c>
      <c r="D16" s="112" t="s">
        <v>149</v>
      </c>
      <c r="E16" s="123">
        <v>45658.0</v>
      </c>
      <c r="F16" s="354" t="s">
        <v>1714</v>
      </c>
      <c r="G16" s="146" t="s">
        <v>375</v>
      </c>
      <c r="H16" s="112" t="s">
        <v>1377</v>
      </c>
      <c r="I16" s="112" t="s">
        <v>1715</v>
      </c>
      <c r="J16" s="112"/>
      <c r="K16" s="112" t="s">
        <v>1716</v>
      </c>
      <c r="L16" s="112"/>
      <c r="M16" s="123"/>
      <c r="N16" s="123"/>
      <c r="O16" s="355"/>
      <c r="P16" s="114"/>
      <c r="Q16" s="354"/>
      <c r="R16" s="355"/>
      <c r="S16" s="355">
        <v>6128.08</v>
      </c>
      <c r="T16" s="114"/>
      <c r="U16" s="356"/>
      <c r="V16" s="114"/>
      <c r="W16" s="114" t="s">
        <v>1666</v>
      </c>
      <c r="X16" s="123"/>
      <c r="Y16" s="114" t="s">
        <v>109</v>
      </c>
      <c r="Z16" s="357">
        <v>1.0</v>
      </c>
      <c r="AA16" s="355" t="str">
        <f t="shared" si="1"/>
        <v/>
      </c>
      <c r="AB16" s="114" t="s">
        <v>1667</v>
      </c>
      <c r="AC16" s="358" t="str">
        <f t="shared" si="2"/>
        <v>-</v>
      </c>
      <c r="AD16" s="354" t="s">
        <v>1717</v>
      </c>
      <c r="AE16" s="354" t="s">
        <v>1718</v>
      </c>
      <c r="AF16" s="354" t="s">
        <v>1717</v>
      </c>
      <c r="AG16" s="359">
        <v>46087.0</v>
      </c>
      <c r="AH16" s="359"/>
      <c r="AI16" s="123"/>
      <c r="AJ16" s="123"/>
      <c r="AK16" s="114"/>
    </row>
    <row r="17">
      <c r="A17" s="360"/>
      <c r="B17" s="361" t="s">
        <v>1719</v>
      </c>
      <c r="C17" s="132" t="s">
        <v>1720</v>
      </c>
      <c r="D17" s="132" t="s">
        <v>149</v>
      </c>
      <c r="E17" s="134">
        <v>45658.0</v>
      </c>
      <c r="F17" s="362" t="s">
        <v>1721</v>
      </c>
      <c r="G17" s="309" t="s">
        <v>375</v>
      </c>
      <c r="H17" s="132" t="s">
        <v>1508</v>
      </c>
      <c r="I17" s="132" t="s">
        <v>1722</v>
      </c>
      <c r="J17" s="132"/>
      <c r="K17" s="132" t="s">
        <v>1723</v>
      </c>
      <c r="L17" s="132"/>
      <c r="M17" s="134"/>
      <c r="N17" s="134"/>
      <c r="O17" s="363"/>
      <c r="P17" s="135"/>
      <c r="Q17" s="362"/>
      <c r="R17" s="363"/>
      <c r="S17" s="363">
        <v>42788.0</v>
      </c>
      <c r="T17" s="135"/>
      <c r="U17" s="364"/>
      <c r="V17" s="135"/>
      <c r="W17" s="135"/>
      <c r="X17" s="134"/>
      <c r="Y17" s="135" t="s">
        <v>95</v>
      </c>
      <c r="Z17" s="365">
        <v>0.0</v>
      </c>
      <c r="AA17" s="355" t="str">
        <f t="shared" si="1"/>
        <v/>
      </c>
      <c r="AB17" s="135"/>
      <c r="AC17" s="366" t="str">
        <f t="shared" si="2"/>
        <v>-</v>
      </c>
      <c r="AD17" s="362" t="s">
        <v>1724</v>
      </c>
      <c r="AE17" s="362" t="s">
        <v>1725</v>
      </c>
      <c r="AF17" s="362"/>
      <c r="AG17" s="367"/>
      <c r="AH17" s="367"/>
      <c r="AI17" s="134"/>
      <c r="AJ17" s="134"/>
      <c r="AK17" s="135" t="s">
        <v>1726</v>
      </c>
    </row>
    <row r="18">
      <c r="A18" s="352"/>
      <c r="B18" s="353" t="s">
        <v>1727</v>
      </c>
      <c r="C18" s="112" t="s">
        <v>1728</v>
      </c>
      <c r="D18" s="112" t="s">
        <v>149</v>
      </c>
      <c r="E18" s="123">
        <v>45658.0</v>
      </c>
      <c r="F18" s="354" t="s">
        <v>1729</v>
      </c>
      <c r="G18" s="112" t="s">
        <v>267</v>
      </c>
      <c r="H18" s="112" t="s">
        <v>1207</v>
      </c>
      <c r="I18" s="112" t="s">
        <v>1673</v>
      </c>
      <c r="J18" s="112"/>
      <c r="K18" s="112" t="s">
        <v>1730</v>
      </c>
      <c r="L18" s="112"/>
      <c r="M18" s="123"/>
      <c r="N18" s="123"/>
      <c r="O18" s="355"/>
      <c r="P18" s="114"/>
      <c r="Q18" s="354"/>
      <c r="R18" s="355"/>
      <c r="S18" s="355">
        <v>8873.94</v>
      </c>
      <c r="T18" s="114"/>
      <c r="U18" s="356"/>
      <c r="V18" s="114"/>
      <c r="W18" s="114"/>
      <c r="X18" s="123"/>
      <c r="Y18" s="114" t="s">
        <v>1731</v>
      </c>
      <c r="Z18" s="357">
        <v>0.0</v>
      </c>
      <c r="AA18" s="355" t="str">
        <f t="shared" si="1"/>
        <v/>
      </c>
      <c r="AB18" s="114"/>
      <c r="AC18" s="358">
        <f t="shared" si="2"/>
        <v>462</v>
      </c>
      <c r="AD18" s="354" t="s">
        <v>1732</v>
      </c>
      <c r="AE18" s="354" t="s">
        <v>1733</v>
      </c>
      <c r="AF18" s="354"/>
      <c r="AG18" s="359"/>
      <c r="AH18" s="359"/>
      <c r="AI18" s="123"/>
      <c r="AJ18" s="123"/>
      <c r="AK18" s="114"/>
    </row>
    <row r="19">
      <c r="A19" s="360"/>
      <c r="B19" s="361" t="s">
        <v>1734</v>
      </c>
      <c r="C19" s="132" t="s">
        <v>1734</v>
      </c>
      <c r="D19" s="132" t="s">
        <v>148</v>
      </c>
      <c r="E19" s="134">
        <v>45658.0</v>
      </c>
      <c r="F19" s="362" t="s">
        <v>1735</v>
      </c>
      <c r="G19" s="132" t="s">
        <v>267</v>
      </c>
      <c r="H19" s="132" t="s">
        <v>1508</v>
      </c>
      <c r="I19" s="132" t="s">
        <v>1736</v>
      </c>
      <c r="J19" s="132"/>
      <c r="K19" s="132" t="s">
        <v>1737</v>
      </c>
      <c r="L19" s="132"/>
      <c r="M19" s="134"/>
      <c r="N19" s="134"/>
      <c r="O19" s="363"/>
      <c r="P19" s="135"/>
      <c r="Q19" s="362"/>
      <c r="R19" s="363"/>
      <c r="S19" s="363">
        <v>5951.0</v>
      </c>
      <c r="T19" s="135"/>
      <c r="U19" s="364"/>
      <c r="V19" s="135"/>
      <c r="W19" s="135" t="s">
        <v>1666</v>
      </c>
      <c r="X19" s="134"/>
      <c r="Y19" s="135" t="s">
        <v>109</v>
      </c>
      <c r="Z19" s="365">
        <v>1.0</v>
      </c>
      <c r="AA19" s="355" t="str">
        <f t="shared" si="1"/>
        <v/>
      </c>
      <c r="AB19" s="135" t="s">
        <v>1667</v>
      </c>
      <c r="AC19" s="366" t="str">
        <f t="shared" si="2"/>
        <v>-</v>
      </c>
      <c r="AD19" s="362" t="s">
        <v>1738</v>
      </c>
      <c r="AE19" s="362" t="s">
        <v>1739</v>
      </c>
      <c r="AF19" s="362" t="s">
        <v>1740</v>
      </c>
      <c r="AG19" s="367">
        <v>46087.0</v>
      </c>
      <c r="AH19" s="367"/>
      <c r="AI19" s="134"/>
      <c r="AJ19" s="134"/>
      <c r="AK19" s="135"/>
    </row>
    <row r="20">
      <c r="A20" s="352"/>
      <c r="B20" s="353" t="s">
        <v>1741</v>
      </c>
      <c r="C20" s="112" t="s">
        <v>1741</v>
      </c>
      <c r="D20" s="112" t="s">
        <v>150</v>
      </c>
      <c r="E20" s="123">
        <v>45689.0</v>
      </c>
      <c r="F20" s="354" t="s">
        <v>1742</v>
      </c>
      <c r="G20" s="112" t="s">
        <v>267</v>
      </c>
      <c r="H20" s="112" t="s">
        <v>1508</v>
      </c>
      <c r="I20" s="112" t="s">
        <v>1743</v>
      </c>
      <c r="J20" s="112"/>
      <c r="K20" s="112" t="s">
        <v>1744</v>
      </c>
      <c r="L20" s="112"/>
      <c r="M20" s="123"/>
      <c r="N20" s="123"/>
      <c r="O20" s="355"/>
      <c r="P20" s="114"/>
      <c r="Q20" s="354"/>
      <c r="R20" s="355"/>
      <c r="S20" s="355">
        <v>1500.0</v>
      </c>
      <c r="T20" s="114"/>
      <c r="U20" s="356"/>
      <c r="V20" s="114"/>
      <c r="W20" s="114"/>
      <c r="X20" s="123"/>
      <c r="Y20" s="114" t="s">
        <v>109</v>
      </c>
      <c r="Z20" s="357">
        <v>1.0</v>
      </c>
      <c r="AA20" s="355" t="str">
        <f t="shared" si="1"/>
        <v/>
      </c>
      <c r="AB20" s="114"/>
      <c r="AC20" s="358" t="str">
        <f t="shared" si="2"/>
        <v>-</v>
      </c>
      <c r="AD20" s="354" t="s">
        <v>1745</v>
      </c>
      <c r="AE20" s="354" t="s">
        <v>1687</v>
      </c>
      <c r="AF20" s="354"/>
      <c r="AG20" s="359"/>
      <c r="AH20" s="359"/>
      <c r="AI20" s="123"/>
      <c r="AJ20" s="123"/>
      <c r="AK20" s="114"/>
    </row>
    <row r="21">
      <c r="A21" s="360" t="s">
        <v>1746</v>
      </c>
      <c r="B21" s="361" t="s">
        <v>1747</v>
      </c>
      <c r="C21" s="132" t="s">
        <v>1747</v>
      </c>
      <c r="D21" s="132" t="s">
        <v>151</v>
      </c>
      <c r="E21" s="134">
        <v>45689.0</v>
      </c>
      <c r="F21" s="362" t="s">
        <v>1748</v>
      </c>
      <c r="G21" s="309" t="s">
        <v>375</v>
      </c>
      <c r="H21" s="132" t="s">
        <v>1508</v>
      </c>
      <c r="I21" s="132" t="s">
        <v>1749</v>
      </c>
      <c r="J21" s="132"/>
      <c r="K21" s="132" t="s">
        <v>1750</v>
      </c>
      <c r="L21" s="132"/>
      <c r="M21" s="134"/>
      <c r="N21" s="134"/>
      <c r="O21" s="363"/>
      <c r="P21" s="135"/>
      <c r="Q21" s="362"/>
      <c r="R21" s="363"/>
      <c r="S21" s="363">
        <v>8487.0</v>
      </c>
      <c r="T21" s="135"/>
      <c r="U21" s="364"/>
      <c r="V21" s="135"/>
      <c r="W21" s="135"/>
      <c r="X21" s="134"/>
      <c r="Y21" s="135" t="s">
        <v>95</v>
      </c>
      <c r="Z21" s="365">
        <v>0.5</v>
      </c>
      <c r="AA21" s="355" t="str">
        <f t="shared" si="1"/>
        <v/>
      </c>
      <c r="AB21" s="135" t="s">
        <v>1667</v>
      </c>
      <c r="AC21" s="366" t="str">
        <f t="shared" si="2"/>
        <v>-</v>
      </c>
      <c r="AD21" s="362" t="s">
        <v>1751</v>
      </c>
      <c r="AE21" s="362" t="s">
        <v>1752</v>
      </c>
      <c r="AF21" s="362" t="s">
        <v>1753</v>
      </c>
      <c r="AG21" s="367">
        <v>46087.0</v>
      </c>
      <c r="AH21" s="367"/>
      <c r="AI21" s="134"/>
      <c r="AJ21" s="134"/>
      <c r="AK21" s="135"/>
    </row>
    <row r="22">
      <c r="A22" s="352"/>
      <c r="B22" s="353" t="s">
        <v>1754</v>
      </c>
      <c r="C22" s="112" t="s">
        <v>1754</v>
      </c>
      <c r="D22" s="112" t="s">
        <v>151</v>
      </c>
      <c r="E22" s="123">
        <v>45689.0</v>
      </c>
      <c r="F22" s="354" t="s">
        <v>1755</v>
      </c>
      <c r="G22" s="146" t="s">
        <v>375</v>
      </c>
      <c r="H22" s="112" t="s">
        <v>1508</v>
      </c>
      <c r="I22" s="112" t="s">
        <v>1756</v>
      </c>
      <c r="J22" s="112"/>
      <c r="K22" s="112" t="s">
        <v>1757</v>
      </c>
      <c r="L22" s="112"/>
      <c r="M22" s="123"/>
      <c r="N22" s="123"/>
      <c r="O22" s="355"/>
      <c r="P22" s="114"/>
      <c r="Q22" s="354"/>
      <c r="R22" s="355"/>
      <c r="S22" s="355">
        <v>2000.0</v>
      </c>
      <c r="T22" s="114"/>
      <c r="U22" s="356"/>
      <c r="V22" s="114"/>
      <c r="W22" s="114"/>
      <c r="X22" s="123"/>
      <c r="Y22" s="114" t="s">
        <v>95</v>
      </c>
      <c r="Z22" s="357">
        <v>0.0</v>
      </c>
      <c r="AA22" s="355" t="str">
        <f t="shared" si="1"/>
        <v/>
      </c>
      <c r="AB22" s="114"/>
      <c r="AC22" s="358" t="str">
        <f t="shared" si="2"/>
        <v>-</v>
      </c>
      <c r="AD22" s="354" t="s">
        <v>1758</v>
      </c>
      <c r="AE22" s="354" t="s">
        <v>1759</v>
      </c>
      <c r="AF22" s="354"/>
      <c r="AG22" s="359"/>
      <c r="AH22" s="359"/>
      <c r="AI22" s="123"/>
      <c r="AJ22" s="123"/>
      <c r="AK22" s="114"/>
    </row>
    <row r="23">
      <c r="A23" s="360"/>
      <c r="B23" s="361" t="s">
        <v>1760</v>
      </c>
      <c r="C23" s="132" t="s">
        <v>1760</v>
      </c>
      <c r="D23" s="132" t="s">
        <v>67</v>
      </c>
      <c r="E23" s="134">
        <v>45689.0</v>
      </c>
      <c r="F23" s="362" t="s">
        <v>1761</v>
      </c>
      <c r="G23" s="132" t="s">
        <v>1762</v>
      </c>
      <c r="H23" s="132" t="s">
        <v>1763</v>
      </c>
      <c r="I23" s="132" t="s">
        <v>1762</v>
      </c>
      <c r="J23" s="132"/>
      <c r="K23" s="132"/>
      <c r="L23" s="132"/>
      <c r="M23" s="134"/>
      <c r="N23" s="134"/>
      <c r="O23" s="363"/>
      <c r="P23" s="135"/>
      <c r="Q23" s="362"/>
      <c r="R23" s="363"/>
      <c r="S23" s="363">
        <v>15000.0</v>
      </c>
      <c r="T23" s="135"/>
      <c r="U23" s="364"/>
      <c r="V23" s="135"/>
      <c r="W23" s="135"/>
      <c r="X23" s="134"/>
      <c r="Y23" s="135" t="s">
        <v>95</v>
      </c>
      <c r="Z23" s="365">
        <v>0.0</v>
      </c>
      <c r="AA23" s="355" t="str">
        <f t="shared" si="1"/>
        <v/>
      </c>
      <c r="AB23" s="135" t="s">
        <v>1667</v>
      </c>
      <c r="AC23" s="366" t="str">
        <f t="shared" si="2"/>
        <v>-</v>
      </c>
      <c r="AD23" s="362" t="s">
        <v>1764</v>
      </c>
      <c r="AE23" s="362" t="s">
        <v>1765</v>
      </c>
      <c r="AF23" s="362" t="s">
        <v>1764</v>
      </c>
      <c r="AG23" s="367">
        <v>46087.0</v>
      </c>
      <c r="AH23" s="367"/>
      <c r="AI23" s="134"/>
      <c r="AJ23" s="134"/>
      <c r="AK23" s="135"/>
    </row>
    <row r="24">
      <c r="A24" s="352"/>
      <c r="B24" s="353" t="s">
        <v>1766</v>
      </c>
      <c r="C24" s="112" t="s">
        <v>1767</v>
      </c>
      <c r="D24" s="112" t="s">
        <v>149</v>
      </c>
      <c r="E24" s="123">
        <v>45717.0</v>
      </c>
      <c r="F24" s="354" t="s">
        <v>1768</v>
      </c>
      <c r="G24" s="146" t="s">
        <v>375</v>
      </c>
      <c r="H24" s="112" t="s">
        <v>1377</v>
      </c>
      <c r="I24" s="112" t="s">
        <v>1769</v>
      </c>
      <c r="J24" s="112"/>
      <c r="K24" s="112" t="s">
        <v>1770</v>
      </c>
      <c r="L24" s="112"/>
      <c r="M24" s="123"/>
      <c r="N24" s="123"/>
      <c r="O24" s="355"/>
      <c r="P24" s="114"/>
      <c r="Q24" s="354"/>
      <c r="R24" s="355"/>
      <c r="S24" s="355">
        <v>9527.0</v>
      </c>
      <c r="T24" s="114"/>
      <c r="U24" s="356"/>
      <c r="V24" s="114"/>
      <c r="W24" s="114" t="s">
        <v>1666</v>
      </c>
      <c r="X24" s="123"/>
      <c r="Y24" s="114" t="s">
        <v>109</v>
      </c>
      <c r="Z24" s="357">
        <v>1.0</v>
      </c>
      <c r="AA24" s="355" t="str">
        <f t="shared" si="1"/>
        <v/>
      </c>
      <c r="AB24" s="114" t="s">
        <v>1667</v>
      </c>
      <c r="AC24" s="358" t="str">
        <f t="shared" si="2"/>
        <v>-</v>
      </c>
      <c r="AD24" s="354" t="s">
        <v>1771</v>
      </c>
      <c r="AE24" s="354" t="s">
        <v>1772</v>
      </c>
      <c r="AF24" s="354" t="s">
        <v>1773</v>
      </c>
      <c r="AG24" s="359">
        <v>46087.0</v>
      </c>
      <c r="AH24" s="359"/>
      <c r="AI24" s="123"/>
      <c r="AJ24" s="123"/>
      <c r="AK24" s="114"/>
    </row>
    <row r="25">
      <c r="A25" s="360"/>
      <c r="B25" s="361" t="s">
        <v>1774</v>
      </c>
      <c r="C25" s="132" t="s">
        <v>1775</v>
      </c>
      <c r="D25" s="132" t="s">
        <v>149</v>
      </c>
      <c r="E25" s="134">
        <v>45717.0</v>
      </c>
      <c r="F25" s="362" t="s">
        <v>1776</v>
      </c>
      <c r="G25" s="132" t="s">
        <v>267</v>
      </c>
      <c r="H25" s="132" t="s">
        <v>1508</v>
      </c>
      <c r="I25" s="132" t="s">
        <v>1777</v>
      </c>
      <c r="J25" s="132"/>
      <c r="K25" s="132" t="s">
        <v>1778</v>
      </c>
      <c r="L25" s="132"/>
      <c r="M25" s="134"/>
      <c r="N25" s="134"/>
      <c r="O25" s="363"/>
      <c r="P25" s="135"/>
      <c r="Q25" s="362"/>
      <c r="R25" s="363"/>
      <c r="S25" s="363">
        <v>254271.6</v>
      </c>
      <c r="T25" s="135"/>
      <c r="U25" s="364"/>
      <c r="V25" s="135"/>
      <c r="W25" s="135" t="s">
        <v>1675</v>
      </c>
      <c r="X25" s="134"/>
      <c r="Y25" s="135" t="s">
        <v>95</v>
      </c>
      <c r="Z25" s="365">
        <v>0.0</v>
      </c>
      <c r="AA25" s="355" t="str">
        <f t="shared" si="1"/>
        <v/>
      </c>
      <c r="AB25" s="135" t="s">
        <v>1667</v>
      </c>
      <c r="AC25" s="366" t="str">
        <f t="shared" si="2"/>
        <v>-</v>
      </c>
      <c r="AD25" s="362" t="s">
        <v>1779</v>
      </c>
      <c r="AE25" s="362" t="s">
        <v>1780</v>
      </c>
      <c r="AF25" s="362" t="s">
        <v>1781</v>
      </c>
      <c r="AG25" s="367">
        <v>46087.0</v>
      </c>
      <c r="AH25" s="367"/>
      <c r="AI25" s="134"/>
      <c r="AJ25" s="134"/>
      <c r="AK25" s="135"/>
    </row>
    <row r="26">
      <c r="A26" s="352"/>
      <c r="B26" s="353" t="s">
        <v>1782</v>
      </c>
      <c r="C26" s="112" t="s">
        <v>1775</v>
      </c>
      <c r="D26" s="112" t="s">
        <v>149</v>
      </c>
      <c r="E26" s="123">
        <v>45717.0</v>
      </c>
      <c r="F26" s="354" t="s">
        <v>1783</v>
      </c>
      <c r="G26" s="112" t="s">
        <v>267</v>
      </c>
      <c r="H26" s="112" t="s">
        <v>1508</v>
      </c>
      <c r="I26" s="112" t="s">
        <v>1777</v>
      </c>
      <c r="J26" s="112"/>
      <c r="K26" s="354" t="s">
        <v>1784</v>
      </c>
      <c r="L26" s="112"/>
      <c r="M26" s="123"/>
      <c r="N26" s="123"/>
      <c r="O26" s="355"/>
      <c r="P26" s="114"/>
      <c r="Q26" s="354"/>
      <c r="R26" s="355"/>
      <c r="S26" s="355">
        <v>25632.0</v>
      </c>
      <c r="T26" s="114"/>
      <c r="U26" s="356"/>
      <c r="V26" s="114"/>
      <c r="W26" s="114" t="s">
        <v>1675</v>
      </c>
      <c r="X26" s="123"/>
      <c r="Y26" s="135" t="s">
        <v>95</v>
      </c>
      <c r="Z26" s="357">
        <v>0.0</v>
      </c>
      <c r="AA26" s="355" t="str">
        <f t="shared" si="1"/>
        <v/>
      </c>
      <c r="AB26" s="114" t="s">
        <v>1667</v>
      </c>
      <c r="AC26" s="358" t="str">
        <f t="shared" si="2"/>
        <v>-</v>
      </c>
      <c r="AD26" s="354" t="s">
        <v>1785</v>
      </c>
      <c r="AE26" s="354" t="s">
        <v>1780</v>
      </c>
      <c r="AF26" s="354" t="s">
        <v>1781</v>
      </c>
      <c r="AG26" s="359">
        <v>46087.0</v>
      </c>
      <c r="AH26" s="359"/>
      <c r="AI26" s="123"/>
      <c r="AJ26" s="123"/>
      <c r="AK26" s="114"/>
    </row>
    <row r="27">
      <c r="A27" s="360"/>
      <c r="B27" s="361" t="s">
        <v>1786</v>
      </c>
      <c r="C27" s="132" t="s">
        <v>1775</v>
      </c>
      <c r="D27" s="132" t="s">
        <v>149</v>
      </c>
      <c r="E27" s="134">
        <v>45717.0</v>
      </c>
      <c r="F27" s="362" t="s">
        <v>1787</v>
      </c>
      <c r="G27" s="309" t="s">
        <v>375</v>
      </c>
      <c r="H27" s="132" t="s">
        <v>1508</v>
      </c>
      <c r="I27" s="132" t="s">
        <v>1715</v>
      </c>
      <c r="J27" s="132"/>
      <c r="K27" s="362" t="s">
        <v>1788</v>
      </c>
      <c r="L27" s="132"/>
      <c r="M27" s="134"/>
      <c r="N27" s="134"/>
      <c r="O27" s="363"/>
      <c r="P27" s="135"/>
      <c r="Q27" s="362"/>
      <c r="R27" s="363"/>
      <c r="S27" s="363">
        <v>3040.0</v>
      </c>
      <c r="T27" s="135"/>
      <c r="U27" s="364"/>
      <c r="V27" s="135"/>
      <c r="W27" s="135" t="s">
        <v>1675</v>
      </c>
      <c r="X27" s="134"/>
      <c r="Y27" s="135" t="s">
        <v>95</v>
      </c>
      <c r="Z27" s="365">
        <v>0.0</v>
      </c>
      <c r="AA27" s="355" t="str">
        <f t="shared" si="1"/>
        <v/>
      </c>
      <c r="AB27" s="135" t="s">
        <v>1667</v>
      </c>
      <c r="AC27" s="366" t="str">
        <f t="shared" si="2"/>
        <v>-</v>
      </c>
      <c r="AD27" s="362" t="s">
        <v>1785</v>
      </c>
      <c r="AE27" s="362" t="s">
        <v>1780</v>
      </c>
      <c r="AF27" s="362" t="s">
        <v>1781</v>
      </c>
      <c r="AG27" s="367">
        <v>46087.0</v>
      </c>
      <c r="AH27" s="367"/>
      <c r="AI27" s="134"/>
      <c r="AJ27" s="134"/>
      <c r="AK27" s="135"/>
    </row>
    <row r="28">
      <c r="A28" s="352"/>
      <c r="B28" s="353" t="s">
        <v>1789</v>
      </c>
      <c r="C28" s="112" t="s">
        <v>1775</v>
      </c>
      <c r="D28" s="112" t="s">
        <v>149</v>
      </c>
      <c r="E28" s="123">
        <v>45717.0</v>
      </c>
      <c r="F28" s="354" t="s">
        <v>1790</v>
      </c>
      <c r="G28" s="146" t="s">
        <v>375</v>
      </c>
      <c r="H28" s="112" t="s">
        <v>1573</v>
      </c>
      <c r="I28" s="112" t="s">
        <v>1791</v>
      </c>
      <c r="J28" s="112"/>
      <c r="K28" s="354" t="s">
        <v>1792</v>
      </c>
      <c r="L28" s="112"/>
      <c r="M28" s="123"/>
      <c r="N28" s="123"/>
      <c r="O28" s="355"/>
      <c r="P28" s="114"/>
      <c r="Q28" s="354"/>
      <c r="R28" s="355"/>
      <c r="S28" s="355">
        <v>43498.8</v>
      </c>
      <c r="T28" s="114"/>
      <c r="U28" s="356"/>
      <c r="V28" s="114"/>
      <c r="W28" s="114" t="s">
        <v>1675</v>
      </c>
      <c r="X28" s="123"/>
      <c r="Y28" s="135" t="s">
        <v>95</v>
      </c>
      <c r="Z28" s="357">
        <v>0.0</v>
      </c>
      <c r="AA28" s="355" t="str">
        <f t="shared" si="1"/>
        <v/>
      </c>
      <c r="AB28" s="114" t="s">
        <v>1667</v>
      </c>
      <c r="AC28" s="358" t="str">
        <f t="shared" si="2"/>
        <v>-</v>
      </c>
      <c r="AD28" s="354" t="s">
        <v>1785</v>
      </c>
      <c r="AE28" s="354" t="s">
        <v>1780</v>
      </c>
      <c r="AF28" s="354" t="s">
        <v>1781</v>
      </c>
      <c r="AG28" s="359">
        <v>46087.0</v>
      </c>
      <c r="AH28" s="359"/>
      <c r="AI28" s="123"/>
      <c r="AJ28" s="123"/>
      <c r="AK28" s="114"/>
    </row>
    <row r="29">
      <c r="A29" s="360"/>
      <c r="B29" s="361" t="s">
        <v>1793</v>
      </c>
      <c r="C29" s="132" t="s">
        <v>1793</v>
      </c>
      <c r="D29" s="132"/>
      <c r="E29" s="134">
        <v>45717.0</v>
      </c>
      <c r="F29" s="362" t="s">
        <v>1794</v>
      </c>
      <c r="G29" s="132" t="s">
        <v>267</v>
      </c>
      <c r="H29" s="132"/>
      <c r="I29" s="132" t="s">
        <v>1795</v>
      </c>
      <c r="J29" s="132"/>
      <c r="K29" s="132" t="s">
        <v>1796</v>
      </c>
      <c r="L29" s="132"/>
      <c r="M29" s="134"/>
      <c r="N29" s="134"/>
      <c r="O29" s="363"/>
      <c r="P29" s="135"/>
      <c r="Q29" s="362"/>
      <c r="R29" s="363"/>
      <c r="S29" s="363">
        <v>1.0</v>
      </c>
      <c r="T29" s="135"/>
      <c r="U29" s="364"/>
      <c r="V29" s="135"/>
      <c r="W29" s="135"/>
      <c r="X29" s="134"/>
      <c r="Y29" s="135" t="s">
        <v>109</v>
      </c>
      <c r="Z29" s="365">
        <v>1.0</v>
      </c>
      <c r="AA29" s="355" t="str">
        <f t="shared" si="1"/>
        <v/>
      </c>
      <c r="AB29" s="135"/>
      <c r="AC29" s="366" t="str">
        <f t="shared" si="2"/>
        <v>-</v>
      </c>
      <c r="AD29" s="362" t="s">
        <v>1797</v>
      </c>
      <c r="AE29" s="362" t="s">
        <v>1687</v>
      </c>
      <c r="AF29" s="362"/>
      <c r="AG29" s="367"/>
      <c r="AH29" s="367"/>
      <c r="AI29" s="134"/>
      <c r="AJ29" s="134"/>
      <c r="AK29" s="135"/>
    </row>
    <row r="30">
      <c r="A30" s="352"/>
      <c r="B30" s="353" t="s">
        <v>1798</v>
      </c>
      <c r="C30" s="112" t="s">
        <v>1798</v>
      </c>
      <c r="D30" s="112" t="s">
        <v>151</v>
      </c>
      <c r="E30" s="123">
        <v>45717.0</v>
      </c>
      <c r="F30" s="354" t="s">
        <v>1799</v>
      </c>
      <c r="G30" s="146" t="s">
        <v>375</v>
      </c>
      <c r="H30" s="112" t="s">
        <v>1508</v>
      </c>
      <c r="I30" s="112" t="s">
        <v>1800</v>
      </c>
      <c r="J30" s="112"/>
      <c r="K30" s="112"/>
      <c r="L30" s="112"/>
      <c r="M30" s="123"/>
      <c r="N30" s="123"/>
      <c r="O30" s="355"/>
      <c r="P30" s="114"/>
      <c r="Q30" s="354"/>
      <c r="R30" s="355"/>
      <c r="S30" s="355">
        <v>5000.0</v>
      </c>
      <c r="T30" s="114"/>
      <c r="U30" s="356"/>
      <c r="V30" s="114"/>
      <c r="W30" s="114"/>
      <c r="X30" s="123"/>
      <c r="Y30" s="114" t="s">
        <v>95</v>
      </c>
      <c r="Z30" s="357">
        <v>0.0</v>
      </c>
      <c r="AA30" s="355" t="str">
        <f t="shared" si="1"/>
        <v/>
      </c>
      <c r="AB30" s="114"/>
      <c r="AC30" s="358" t="str">
        <f t="shared" si="2"/>
        <v>-</v>
      </c>
      <c r="AD30" s="354" t="s">
        <v>1801</v>
      </c>
      <c r="AE30" s="354" t="s">
        <v>1802</v>
      </c>
      <c r="AF30" s="354"/>
      <c r="AG30" s="359"/>
      <c r="AH30" s="359"/>
      <c r="AI30" s="123"/>
      <c r="AJ30" s="123"/>
      <c r="AK30" s="114"/>
    </row>
    <row r="31">
      <c r="A31" s="360"/>
      <c r="B31" s="361" t="s">
        <v>1803</v>
      </c>
      <c r="C31" s="132" t="s">
        <v>1803</v>
      </c>
      <c r="D31" s="132" t="s">
        <v>67</v>
      </c>
      <c r="E31" s="134">
        <v>45717.0</v>
      </c>
      <c r="F31" s="362" t="s">
        <v>1804</v>
      </c>
      <c r="G31" s="132" t="s">
        <v>267</v>
      </c>
      <c r="H31" s="132"/>
      <c r="I31" s="132" t="s">
        <v>1702</v>
      </c>
      <c r="J31" s="132"/>
      <c r="K31" s="132"/>
      <c r="L31" s="132"/>
      <c r="M31" s="134"/>
      <c r="N31" s="134"/>
      <c r="O31" s="363"/>
      <c r="P31" s="135"/>
      <c r="Q31" s="362"/>
      <c r="R31" s="363"/>
      <c r="S31" s="363">
        <v>400.0</v>
      </c>
      <c r="T31" s="135"/>
      <c r="U31" s="364"/>
      <c r="V31" s="135"/>
      <c r="W31" s="135"/>
      <c r="X31" s="134"/>
      <c r="Y31" s="135" t="s">
        <v>95</v>
      </c>
      <c r="Z31" s="365">
        <v>0.5</v>
      </c>
      <c r="AA31" s="355" t="str">
        <f t="shared" si="1"/>
        <v/>
      </c>
      <c r="AB31" s="135" t="s">
        <v>1667</v>
      </c>
      <c r="AC31" s="366" t="str">
        <f t="shared" si="2"/>
        <v>-</v>
      </c>
      <c r="AD31" s="362" t="s">
        <v>1805</v>
      </c>
      <c r="AE31" s="362" t="s">
        <v>1806</v>
      </c>
      <c r="AF31" s="362" t="s">
        <v>1805</v>
      </c>
      <c r="AG31" s="367">
        <v>46087.0</v>
      </c>
      <c r="AH31" s="367"/>
      <c r="AI31" s="134"/>
      <c r="AJ31" s="134"/>
      <c r="AK31" s="135"/>
    </row>
    <row r="32">
      <c r="A32" s="352" t="s">
        <v>1807</v>
      </c>
      <c r="B32" s="353" t="s">
        <v>1808</v>
      </c>
      <c r="C32" s="112" t="s">
        <v>1809</v>
      </c>
      <c r="D32" s="112" t="s">
        <v>149</v>
      </c>
      <c r="E32" s="123">
        <v>45748.0</v>
      </c>
      <c r="F32" s="354" t="s">
        <v>1810</v>
      </c>
      <c r="G32" s="112" t="s">
        <v>267</v>
      </c>
      <c r="H32" s="112" t="s">
        <v>1573</v>
      </c>
      <c r="I32" s="112" t="s">
        <v>1791</v>
      </c>
      <c r="J32" s="112"/>
      <c r="K32" s="112" t="s">
        <v>1811</v>
      </c>
      <c r="L32" s="112"/>
      <c r="M32" s="123"/>
      <c r="N32" s="123"/>
      <c r="O32" s="355"/>
      <c r="P32" s="114"/>
      <c r="Q32" s="354"/>
      <c r="R32" s="355"/>
      <c r="S32" s="355"/>
      <c r="T32" s="114"/>
      <c r="U32" s="356"/>
      <c r="V32" s="114"/>
      <c r="W32" s="114" t="s">
        <v>1675</v>
      </c>
      <c r="X32" s="123"/>
      <c r="Y32" s="114" t="s">
        <v>95</v>
      </c>
      <c r="Z32" s="357">
        <v>0.0</v>
      </c>
      <c r="AA32" s="355" t="str">
        <f t="shared" si="1"/>
        <v/>
      </c>
      <c r="AB32" s="114"/>
      <c r="AC32" s="358" t="str">
        <f t="shared" si="2"/>
        <v>-</v>
      </c>
      <c r="AD32" s="354" t="s">
        <v>1812</v>
      </c>
      <c r="AE32" s="354" t="s">
        <v>1813</v>
      </c>
      <c r="AF32" s="354"/>
      <c r="AG32" s="359"/>
      <c r="AH32" s="359"/>
      <c r="AI32" s="123"/>
      <c r="AJ32" s="123"/>
      <c r="AK32" s="114"/>
    </row>
    <row r="33">
      <c r="A33" s="360"/>
      <c r="B33" s="361" t="s">
        <v>1814</v>
      </c>
      <c r="C33" s="132" t="s">
        <v>1815</v>
      </c>
      <c r="D33" s="132"/>
      <c r="E33" s="134">
        <v>45748.0</v>
      </c>
      <c r="F33" s="362" t="s">
        <v>1816</v>
      </c>
      <c r="G33" s="309" t="s">
        <v>375</v>
      </c>
      <c r="H33" s="132" t="s">
        <v>1377</v>
      </c>
      <c r="I33" s="132" t="s">
        <v>1715</v>
      </c>
      <c r="J33" s="132"/>
      <c r="K33" s="132" t="s">
        <v>1817</v>
      </c>
      <c r="L33" s="132"/>
      <c r="M33" s="134"/>
      <c r="N33" s="134"/>
      <c r="O33" s="363"/>
      <c r="P33" s="135"/>
      <c r="Q33" s="362"/>
      <c r="R33" s="363"/>
      <c r="S33" s="363"/>
      <c r="T33" s="135"/>
      <c r="U33" s="364"/>
      <c r="V33" s="135"/>
      <c r="W33" s="135" t="s">
        <v>1666</v>
      </c>
      <c r="X33" s="134"/>
      <c r="Y33" s="135" t="s">
        <v>109</v>
      </c>
      <c r="Z33" s="365">
        <v>1.0</v>
      </c>
      <c r="AA33" s="355" t="str">
        <f t="shared" si="1"/>
        <v/>
      </c>
      <c r="AB33" s="135"/>
      <c r="AC33" s="366" t="str">
        <f t="shared" si="2"/>
        <v>-</v>
      </c>
      <c r="AD33" s="362"/>
      <c r="AE33" s="362"/>
      <c r="AF33" s="362"/>
      <c r="AG33" s="367"/>
      <c r="AH33" s="367"/>
      <c r="AI33" s="134"/>
      <c r="AJ33" s="134"/>
      <c r="AK33" s="135"/>
    </row>
    <row r="34">
      <c r="A34" s="352"/>
      <c r="B34" s="353" t="s">
        <v>1818</v>
      </c>
      <c r="C34" s="112" t="s">
        <v>1819</v>
      </c>
      <c r="D34" s="112"/>
      <c r="E34" s="123">
        <v>45748.0</v>
      </c>
      <c r="F34" s="354"/>
      <c r="G34" s="112" t="s">
        <v>267</v>
      </c>
      <c r="H34" s="112"/>
      <c r="I34" s="112"/>
      <c r="J34" s="112"/>
      <c r="K34" s="112"/>
      <c r="L34" s="112"/>
      <c r="M34" s="123"/>
      <c r="N34" s="123"/>
      <c r="O34" s="355"/>
      <c r="P34" s="114"/>
      <c r="Q34" s="354"/>
      <c r="R34" s="355"/>
      <c r="S34" s="355"/>
      <c r="T34" s="114"/>
      <c r="U34" s="356"/>
      <c r="V34" s="114"/>
      <c r="W34" s="114"/>
      <c r="X34" s="123"/>
      <c r="Y34" s="114" t="s">
        <v>95</v>
      </c>
      <c r="Z34" s="357">
        <v>0.0</v>
      </c>
      <c r="AA34" s="355" t="str">
        <f t="shared" si="1"/>
        <v/>
      </c>
      <c r="AB34" s="114"/>
      <c r="AC34" s="358" t="str">
        <f t="shared" si="2"/>
        <v>-</v>
      </c>
      <c r="AD34" s="354"/>
      <c r="AE34" s="354"/>
      <c r="AF34" s="354"/>
      <c r="AG34" s="359"/>
      <c r="AH34" s="359"/>
      <c r="AI34" s="123"/>
      <c r="AJ34" s="123"/>
      <c r="AK34" s="114"/>
    </row>
    <row r="35">
      <c r="A35" s="360"/>
      <c r="B35" s="361" t="s">
        <v>1820</v>
      </c>
      <c r="C35" s="132" t="s">
        <v>1821</v>
      </c>
      <c r="D35" s="132" t="s">
        <v>149</v>
      </c>
      <c r="E35" s="134">
        <v>45748.0</v>
      </c>
      <c r="F35" s="362" t="s">
        <v>1822</v>
      </c>
      <c r="G35" s="132" t="s">
        <v>267</v>
      </c>
      <c r="H35" s="132" t="s">
        <v>1508</v>
      </c>
      <c r="I35" s="132" t="s">
        <v>1715</v>
      </c>
      <c r="J35" s="132"/>
      <c r="K35" s="132" t="s">
        <v>1823</v>
      </c>
      <c r="L35" s="132"/>
      <c r="M35" s="134"/>
      <c r="N35" s="134"/>
      <c r="O35" s="363"/>
      <c r="P35" s="135"/>
      <c r="Q35" s="362"/>
      <c r="R35" s="363"/>
      <c r="S35" s="363">
        <v>2000.0</v>
      </c>
      <c r="T35" s="135"/>
      <c r="U35" s="364"/>
      <c r="V35" s="135"/>
      <c r="W35" s="135"/>
      <c r="X35" s="134"/>
      <c r="Y35" s="114" t="s">
        <v>95</v>
      </c>
      <c r="Z35" s="365">
        <v>0.0</v>
      </c>
      <c r="AA35" s="355" t="str">
        <f t="shared" si="1"/>
        <v/>
      </c>
      <c r="AB35" s="135"/>
      <c r="AC35" s="366" t="str">
        <f t="shared" si="2"/>
        <v>-</v>
      </c>
      <c r="AD35" s="362" t="s">
        <v>1824</v>
      </c>
      <c r="AE35" s="362" t="s">
        <v>1825</v>
      </c>
      <c r="AF35" s="362"/>
      <c r="AG35" s="367"/>
      <c r="AH35" s="367"/>
      <c r="AI35" s="134"/>
      <c r="AJ35" s="134"/>
      <c r="AK35" s="135"/>
    </row>
    <row r="36">
      <c r="A36" s="352"/>
      <c r="B36" s="353" t="s">
        <v>1826</v>
      </c>
      <c r="C36" s="112" t="s">
        <v>1827</v>
      </c>
      <c r="D36" s="112" t="s">
        <v>149</v>
      </c>
      <c r="E36" s="123">
        <v>45748.0</v>
      </c>
      <c r="F36" s="354" t="s">
        <v>1828</v>
      </c>
      <c r="G36" s="146" t="s">
        <v>375</v>
      </c>
      <c r="H36" s="112" t="s">
        <v>1508</v>
      </c>
      <c r="I36" s="112" t="s">
        <v>1715</v>
      </c>
      <c r="J36" s="112"/>
      <c r="K36" s="112" t="s">
        <v>1829</v>
      </c>
      <c r="L36" s="112"/>
      <c r="M36" s="123"/>
      <c r="N36" s="123"/>
      <c r="O36" s="355"/>
      <c r="P36" s="114"/>
      <c r="Q36" s="354"/>
      <c r="R36" s="355"/>
      <c r="S36" s="355"/>
      <c r="T36" s="114"/>
      <c r="U36" s="356"/>
      <c r="V36" s="114"/>
      <c r="W36" s="114"/>
      <c r="X36" s="123"/>
      <c r="Y36" s="114" t="s">
        <v>95</v>
      </c>
      <c r="Z36" s="357">
        <v>0.0</v>
      </c>
      <c r="AA36" s="355" t="str">
        <f t="shared" si="1"/>
        <v/>
      </c>
      <c r="AB36" s="114"/>
      <c r="AC36" s="358" t="str">
        <f t="shared" si="2"/>
        <v>-</v>
      </c>
      <c r="AD36" s="354" t="s">
        <v>1830</v>
      </c>
      <c r="AE36" s="354" t="s">
        <v>1831</v>
      </c>
      <c r="AF36" s="354"/>
      <c r="AG36" s="359"/>
      <c r="AH36" s="359"/>
      <c r="AI36" s="123"/>
      <c r="AJ36" s="123"/>
      <c r="AK36" s="114"/>
    </row>
    <row r="37">
      <c r="A37" s="352"/>
      <c r="B37" s="353" t="s">
        <v>1832</v>
      </c>
      <c r="C37" s="112" t="s">
        <v>1832</v>
      </c>
      <c r="D37" s="112" t="s">
        <v>150</v>
      </c>
      <c r="E37" s="123">
        <v>45748.0</v>
      </c>
      <c r="F37" s="354" t="s">
        <v>1833</v>
      </c>
      <c r="G37" s="146" t="s">
        <v>375</v>
      </c>
      <c r="H37" s="112" t="s">
        <v>1508</v>
      </c>
      <c r="I37" s="112"/>
      <c r="J37" s="112"/>
      <c r="K37" s="112" t="s">
        <v>1834</v>
      </c>
      <c r="L37" s="112"/>
      <c r="M37" s="123"/>
      <c r="N37" s="123"/>
      <c r="O37" s="355"/>
      <c r="P37" s="114"/>
      <c r="Q37" s="354"/>
      <c r="R37" s="355"/>
      <c r="S37" s="355">
        <v>387.0</v>
      </c>
      <c r="T37" s="114"/>
      <c r="U37" s="356"/>
      <c r="V37" s="114"/>
      <c r="W37" s="114"/>
      <c r="X37" s="123"/>
      <c r="Y37" s="114" t="s">
        <v>109</v>
      </c>
      <c r="Z37" s="357">
        <v>1.0</v>
      </c>
      <c r="AA37" s="355" t="str">
        <f t="shared" si="1"/>
        <v/>
      </c>
      <c r="AB37" s="114"/>
      <c r="AC37" s="358" t="str">
        <f t="shared" si="2"/>
        <v>-</v>
      </c>
      <c r="AD37" s="354" t="s">
        <v>1835</v>
      </c>
      <c r="AE37" s="354" t="s">
        <v>1687</v>
      </c>
      <c r="AF37" s="354"/>
      <c r="AG37" s="359"/>
      <c r="AH37" s="359"/>
      <c r="AI37" s="123"/>
      <c r="AJ37" s="123"/>
      <c r="AK37" s="114"/>
    </row>
    <row r="38">
      <c r="A38" s="360"/>
      <c r="B38" s="361" t="s">
        <v>1836</v>
      </c>
      <c r="C38" s="132" t="s">
        <v>1836</v>
      </c>
      <c r="D38" s="132" t="s">
        <v>67</v>
      </c>
      <c r="E38" s="134">
        <v>45748.0</v>
      </c>
      <c r="F38" s="362" t="s">
        <v>1837</v>
      </c>
      <c r="G38" s="132" t="s">
        <v>267</v>
      </c>
      <c r="H38" s="132" t="s">
        <v>1508</v>
      </c>
      <c r="I38" s="132" t="s">
        <v>1702</v>
      </c>
      <c r="J38" s="132"/>
      <c r="K38" s="132"/>
      <c r="L38" s="132"/>
      <c r="M38" s="134"/>
      <c r="N38" s="134"/>
      <c r="O38" s="363"/>
      <c r="P38" s="135"/>
      <c r="Q38" s="362"/>
      <c r="R38" s="363"/>
      <c r="S38" s="363">
        <v>5000.0</v>
      </c>
      <c r="T38" s="135"/>
      <c r="U38" s="364"/>
      <c r="V38" s="135"/>
      <c r="W38" s="135"/>
      <c r="X38" s="134"/>
      <c r="Y38" s="135" t="s">
        <v>95</v>
      </c>
      <c r="Z38" s="365">
        <v>0.0</v>
      </c>
      <c r="AA38" s="355" t="str">
        <f t="shared" si="1"/>
        <v/>
      </c>
      <c r="AB38" s="135" t="s">
        <v>1667</v>
      </c>
      <c r="AC38" s="366" t="str">
        <f t="shared" si="2"/>
        <v>-</v>
      </c>
      <c r="AD38" s="362" t="s">
        <v>1805</v>
      </c>
      <c r="AE38" s="362" t="s">
        <v>1806</v>
      </c>
      <c r="AF38" s="362" t="s">
        <v>1805</v>
      </c>
      <c r="AG38" s="367">
        <v>46087.0</v>
      </c>
      <c r="AH38" s="367"/>
      <c r="AI38" s="134"/>
      <c r="AJ38" s="134"/>
      <c r="AK38" s="135"/>
    </row>
    <row r="39">
      <c r="A39" s="352"/>
      <c r="B39" s="353" t="s">
        <v>1838</v>
      </c>
      <c r="C39" s="112" t="s">
        <v>1839</v>
      </c>
      <c r="D39" s="112" t="s">
        <v>149</v>
      </c>
      <c r="E39" s="123">
        <v>45778.0</v>
      </c>
      <c r="F39" s="354" t="s">
        <v>1840</v>
      </c>
      <c r="G39" s="146" t="s">
        <v>375</v>
      </c>
      <c r="H39" s="112" t="s">
        <v>1508</v>
      </c>
      <c r="I39" s="112"/>
      <c r="J39" s="112"/>
      <c r="K39" s="112" t="s">
        <v>1841</v>
      </c>
      <c r="L39" s="112"/>
      <c r="M39" s="123"/>
      <c r="N39" s="123"/>
      <c r="O39" s="355"/>
      <c r="P39" s="114"/>
      <c r="Q39" s="354"/>
      <c r="R39" s="355"/>
      <c r="S39" s="355">
        <v>80000.0</v>
      </c>
      <c r="T39" s="114"/>
      <c r="U39" s="356"/>
      <c r="V39" s="114"/>
      <c r="W39" s="114"/>
      <c r="X39" s="123"/>
      <c r="Y39" s="114" t="s">
        <v>95</v>
      </c>
      <c r="Z39" s="357">
        <v>0.0</v>
      </c>
      <c r="AA39" s="355" t="str">
        <f t="shared" si="1"/>
        <v/>
      </c>
      <c r="AB39" s="114"/>
      <c r="AC39" s="358" t="str">
        <f t="shared" si="2"/>
        <v>-</v>
      </c>
      <c r="AD39" s="354" t="s">
        <v>1842</v>
      </c>
      <c r="AE39" s="354" t="s">
        <v>1843</v>
      </c>
      <c r="AF39" s="354"/>
      <c r="AG39" s="359"/>
      <c r="AH39" s="359"/>
      <c r="AI39" s="123"/>
      <c r="AJ39" s="123"/>
      <c r="AK39" s="114"/>
    </row>
    <row r="40">
      <c r="A40" s="360"/>
      <c r="B40" s="361" t="s">
        <v>1844</v>
      </c>
      <c r="C40" s="132" t="s">
        <v>1844</v>
      </c>
      <c r="D40" s="132" t="s">
        <v>149</v>
      </c>
      <c r="E40" s="134">
        <v>45778.0</v>
      </c>
      <c r="F40" s="362" t="s">
        <v>1845</v>
      </c>
      <c r="G40" s="309" t="s">
        <v>375</v>
      </c>
      <c r="H40" s="132" t="s">
        <v>1377</v>
      </c>
      <c r="I40" s="132" t="s">
        <v>1846</v>
      </c>
      <c r="J40" s="132"/>
      <c r="K40" s="132" t="s">
        <v>1847</v>
      </c>
      <c r="L40" s="132"/>
      <c r="M40" s="134"/>
      <c r="N40" s="134"/>
      <c r="O40" s="363"/>
      <c r="P40" s="135"/>
      <c r="Q40" s="362"/>
      <c r="R40" s="363"/>
      <c r="S40" s="363">
        <v>50400.0</v>
      </c>
      <c r="T40" s="135"/>
      <c r="U40" s="364"/>
      <c r="V40" s="135"/>
      <c r="W40" s="135" t="s">
        <v>1666</v>
      </c>
      <c r="X40" s="134"/>
      <c r="Y40" s="135" t="s">
        <v>109</v>
      </c>
      <c r="Z40" s="365">
        <v>1.0</v>
      </c>
      <c r="AA40" s="355" t="str">
        <f t="shared" si="1"/>
        <v/>
      </c>
      <c r="AB40" s="135" t="s">
        <v>1667</v>
      </c>
      <c r="AC40" s="366" t="str">
        <f t="shared" si="2"/>
        <v>-</v>
      </c>
      <c r="AD40" s="362" t="s">
        <v>1848</v>
      </c>
      <c r="AE40" s="362" t="s">
        <v>1849</v>
      </c>
      <c r="AF40" s="362" t="s">
        <v>1848</v>
      </c>
      <c r="AG40" s="367">
        <v>46087.0</v>
      </c>
      <c r="AH40" s="367"/>
      <c r="AI40" s="134"/>
      <c r="AJ40" s="134"/>
      <c r="AK40" s="135"/>
    </row>
    <row r="41">
      <c r="A41" s="352" t="s">
        <v>1850</v>
      </c>
      <c r="B41" s="353" t="s">
        <v>1851</v>
      </c>
      <c r="C41" s="112" t="s">
        <v>382</v>
      </c>
      <c r="D41" s="112"/>
      <c r="E41" s="123">
        <v>45778.0</v>
      </c>
      <c r="F41" s="354"/>
      <c r="G41" s="112" t="s">
        <v>267</v>
      </c>
      <c r="H41" s="112" t="s">
        <v>1498</v>
      </c>
      <c r="I41" s="112" t="s">
        <v>1852</v>
      </c>
      <c r="J41" s="112"/>
      <c r="K41" s="112" t="s">
        <v>1330</v>
      </c>
      <c r="L41" s="112"/>
      <c r="M41" s="123"/>
      <c r="N41" s="123"/>
      <c r="O41" s="355"/>
      <c r="P41" s="114"/>
      <c r="Q41" s="354"/>
      <c r="R41" s="355"/>
      <c r="S41" s="355">
        <v>10000.0</v>
      </c>
      <c r="T41" s="114"/>
      <c r="U41" s="356"/>
      <c r="V41" s="114"/>
      <c r="W41" s="114"/>
      <c r="X41" s="123"/>
      <c r="Y41" s="114" t="s">
        <v>95</v>
      </c>
      <c r="Z41" s="357">
        <v>0.0</v>
      </c>
      <c r="AA41" s="355" t="str">
        <f t="shared" si="1"/>
        <v/>
      </c>
      <c r="AB41" s="114"/>
      <c r="AC41" s="358" t="str">
        <f t="shared" si="2"/>
        <v>-</v>
      </c>
      <c r="AD41" s="354" t="s">
        <v>1853</v>
      </c>
      <c r="AE41" s="354" t="s">
        <v>1854</v>
      </c>
      <c r="AF41" s="354"/>
      <c r="AG41" s="359"/>
      <c r="AH41" s="359"/>
      <c r="AI41" s="123"/>
      <c r="AJ41" s="123"/>
      <c r="AK41" s="114"/>
    </row>
    <row r="42">
      <c r="A42" s="360"/>
      <c r="B42" s="361" t="s">
        <v>1855</v>
      </c>
      <c r="C42" s="132" t="s">
        <v>1855</v>
      </c>
      <c r="D42" s="132" t="s">
        <v>67</v>
      </c>
      <c r="E42" s="134">
        <v>45778.0</v>
      </c>
      <c r="F42" s="362" t="s">
        <v>1856</v>
      </c>
      <c r="G42" s="309" t="s">
        <v>274</v>
      </c>
      <c r="H42" s="132"/>
      <c r="I42" s="132" t="s">
        <v>1857</v>
      </c>
      <c r="J42" s="132"/>
      <c r="K42" s="132" t="s">
        <v>1858</v>
      </c>
      <c r="L42" s="132"/>
      <c r="M42" s="134"/>
      <c r="N42" s="134"/>
      <c r="O42" s="363"/>
      <c r="P42" s="135"/>
      <c r="Q42" s="362"/>
      <c r="R42" s="363"/>
      <c r="S42" s="363"/>
      <c r="T42" s="135"/>
      <c r="U42" s="364"/>
      <c r="V42" s="135"/>
      <c r="W42" s="135"/>
      <c r="X42" s="134"/>
      <c r="Y42" s="135" t="s">
        <v>109</v>
      </c>
      <c r="Z42" s="365">
        <v>1.0</v>
      </c>
      <c r="AA42" s="355" t="str">
        <f t="shared" si="1"/>
        <v/>
      </c>
      <c r="AB42" s="135"/>
      <c r="AC42" s="366" t="str">
        <f t="shared" si="2"/>
        <v>-</v>
      </c>
      <c r="AD42" s="362" t="s">
        <v>1859</v>
      </c>
      <c r="AE42" s="362" t="s">
        <v>1860</v>
      </c>
      <c r="AF42" s="362"/>
      <c r="AG42" s="367"/>
      <c r="AH42" s="367"/>
      <c r="AI42" s="134"/>
      <c r="AJ42" s="134"/>
      <c r="AK42" s="135"/>
    </row>
    <row r="43">
      <c r="A43" s="352"/>
      <c r="B43" s="353" t="s">
        <v>1861</v>
      </c>
      <c r="C43" s="112" t="s">
        <v>1861</v>
      </c>
      <c r="D43" s="112" t="s">
        <v>151</v>
      </c>
      <c r="E43" s="123">
        <v>45778.0</v>
      </c>
      <c r="F43" s="354" t="s">
        <v>1862</v>
      </c>
      <c r="G43" s="112" t="s">
        <v>267</v>
      </c>
      <c r="H43" s="112"/>
      <c r="I43" s="112" t="s">
        <v>1863</v>
      </c>
      <c r="J43" s="112"/>
      <c r="K43" s="112" t="s">
        <v>1864</v>
      </c>
      <c r="L43" s="112"/>
      <c r="M43" s="123"/>
      <c r="N43" s="123"/>
      <c r="O43" s="355"/>
      <c r="P43" s="114"/>
      <c r="Q43" s="354"/>
      <c r="R43" s="355"/>
      <c r="S43" s="355">
        <v>5.0</v>
      </c>
      <c r="T43" s="114"/>
      <c r="U43" s="356"/>
      <c r="V43" s="114"/>
      <c r="W43" s="114"/>
      <c r="X43" s="123"/>
      <c r="Y43" s="114" t="s">
        <v>95</v>
      </c>
      <c r="Z43" s="357">
        <v>0.0</v>
      </c>
      <c r="AA43" s="355" t="str">
        <f t="shared" si="1"/>
        <v/>
      </c>
      <c r="AB43" s="114" t="s">
        <v>1667</v>
      </c>
      <c r="AC43" s="358" t="str">
        <f t="shared" si="2"/>
        <v>-</v>
      </c>
      <c r="AD43" s="354" t="s">
        <v>1865</v>
      </c>
      <c r="AE43" s="354"/>
      <c r="AF43" s="354" t="s">
        <v>1866</v>
      </c>
      <c r="AG43" s="359">
        <v>46087.0</v>
      </c>
      <c r="AH43" s="359"/>
      <c r="AI43" s="123"/>
      <c r="AJ43" s="123"/>
      <c r="AK43" s="114"/>
    </row>
    <row r="44">
      <c r="A44" s="360"/>
      <c r="B44" s="361" t="s">
        <v>1867</v>
      </c>
      <c r="C44" s="132" t="s">
        <v>1867</v>
      </c>
      <c r="D44" s="132" t="s">
        <v>151</v>
      </c>
      <c r="E44" s="134">
        <v>45778.0</v>
      </c>
      <c r="F44" s="362" t="s">
        <v>1868</v>
      </c>
      <c r="G44" s="309" t="s">
        <v>375</v>
      </c>
      <c r="H44" s="132" t="s">
        <v>1498</v>
      </c>
      <c r="I44" s="132" t="s">
        <v>1869</v>
      </c>
      <c r="J44" s="132"/>
      <c r="K44" s="132" t="s">
        <v>1870</v>
      </c>
      <c r="L44" s="132"/>
      <c r="M44" s="134"/>
      <c r="N44" s="134"/>
      <c r="O44" s="363"/>
      <c r="P44" s="135"/>
      <c r="Q44" s="362"/>
      <c r="R44" s="363"/>
      <c r="S44" s="363">
        <v>32500.0</v>
      </c>
      <c r="T44" s="135"/>
      <c r="U44" s="364"/>
      <c r="V44" s="135"/>
      <c r="W44" s="135"/>
      <c r="X44" s="134"/>
      <c r="Y44" s="135" t="s">
        <v>109</v>
      </c>
      <c r="Z44" s="365">
        <v>1.0</v>
      </c>
      <c r="AA44" s="355" t="str">
        <f t="shared" si="1"/>
        <v/>
      </c>
      <c r="AB44" s="135"/>
      <c r="AC44" s="366" t="str">
        <f t="shared" si="2"/>
        <v>-</v>
      </c>
      <c r="AD44" s="362" t="s">
        <v>1871</v>
      </c>
      <c r="AE44" s="362" t="s">
        <v>1872</v>
      </c>
      <c r="AF44" s="362"/>
      <c r="AG44" s="367"/>
      <c r="AH44" s="367"/>
      <c r="AI44" s="134"/>
      <c r="AJ44" s="134"/>
      <c r="AK44" s="135"/>
    </row>
    <row r="45">
      <c r="A45" s="352"/>
      <c r="B45" s="353" t="s">
        <v>1873</v>
      </c>
      <c r="C45" s="112" t="s">
        <v>1873</v>
      </c>
      <c r="D45" s="112" t="s">
        <v>67</v>
      </c>
      <c r="E45" s="123">
        <v>45778.0</v>
      </c>
      <c r="F45" s="354" t="s">
        <v>1874</v>
      </c>
      <c r="G45" s="112" t="s">
        <v>267</v>
      </c>
      <c r="H45" s="112"/>
      <c r="I45" s="112" t="s">
        <v>1702</v>
      </c>
      <c r="J45" s="112"/>
      <c r="K45" s="112"/>
      <c r="L45" s="112"/>
      <c r="M45" s="123"/>
      <c r="N45" s="123"/>
      <c r="O45" s="355"/>
      <c r="P45" s="114"/>
      <c r="Q45" s="354"/>
      <c r="R45" s="355"/>
      <c r="S45" s="355"/>
      <c r="T45" s="114"/>
      <c r="U45" s="356"/>
      <c r="V45" s="114"/>
      <c r="W45" s="114"/>
      <c r="X45" s="123"/>
      <c r="Y45" s="114" t="s">
        <v>95</v>
      </c>
      <c r="Z45" s="357">
        <v>0.0</v>
      </c>
      <c r="AA45" s="355" t="str">
        <f t="shared" si="1"/>
        <v/>
      </c>
      <c r="AB45" s="114"/>
      <c r="AC45" s="358" t="str">
        <f t="shared" si="2"/>
        <v>-</v>
      </c>
      <c r="AD45" s="354" t="s">
        <v>1875</v>
      </c>
      <c r="AE45" s="354" t="s">
        <v>1876</v>
      </c>
      <c r="AF45" s="354"/>
      <c r="AG45" s="359"/>
      <c r="AH45" s="359"/>
      <c r="AI45" s="123"/>
      <c r="AJ45" s="123"/>
      <c r="AK45" s="114"/>
    </row>
    <row r="46">
      <c r="A46" s="360"/>
      <c r="B46" s="361" t="s">
        <v>1877</v>
      </c>
      <c r="C46" s="132" t="s">
        <v>1877</v>
      </c>
      <c r="D46" s="132"/>
      <c r="E46" s="134">
        <v>45778.0</v>
      </c>
      <c r="F46" s="362" t="s">
        <v>1878</v>
      </c>
      <c r="G46" s="132" t="s">
        <v>267</v>
      </c>
      <c r="H46" s="132"/>
      <c r="I46" s="132" t="s">
        <v>1702</v>
      </c>
      <c r="J46" s="132"/>
      <c r="K46" s="132"/>
      <c r="L46" s="132"/>
      <c r="M46" s="134"/>
      <c r="N46" s="134"/>
      <c r="O46" s="363"/>
      <c r="P46" s="135"/>
      <c r="Q46" s="362"/>
      <c r="R46" s="363"/>
      <c r="S46" s="363">
        <v>5000.0</v>
      </c>
      <c r="T46" s="135"/>
      <c r="U46" s="364"/>
      <c r="V46" s="135"/>
      <c r="W46" s="135"/>
      <c r="X46" s="134"/>
      <c r="Y46" s="135" t="s">
        <v>1879</v>
      </c>
      <c r="Z46" s="365"/>
      <c r="AA46" s="355" t="str">
        <f t="shared" si="1"/>
        <v/>
      </c>
      <c r="AB46" s="135"/>
      <c r="AC46" s="366">
        <f t="shared" si="2"/>
        <v>342</v>
      </c>
      <c r="AD46" s="362"/>
      <c r="AE46" s="362"/>
      <c r="AF46" s="362"/>
      <c r="AG46" s="367"/>
      <c r="AH46" s="367"/>
      <c r="AI46" s="134"/>
      <c r="AJ46" s="134"/>
      <c r="AK46" s="135"/>
    </row>
    <row r="47">
      <c r="A47" s="352"/>
      <c r="B47" s="353" t="s">
        <v>1880</v>
      </c>
      <c r="C47" s="112" t="s">
        <v>1880</v>
      </c>
      <c r="D47" s="112"/>
      <c r="E47" s="123">
        <v>45778.0</v>
      </c>
      <c r="F47" s="354" t="s">
        <v>1881</v>
      </c>
      <c r="G47" s="112" t="s">
        <v>267</v>
      </c>
      <c r="H47" s="112"/>
      <c r="I47" s="112" t="s">
        <v>1702</v>
      </c>
      <c r="J47" s="112"/>
      <c r="K47" s="112"/>
      <c r="L47" s="112"/>
      <c r="M47" s="123"/>
      <c r="N47" s="123"/>
      <c r="O47" s="355"/>
      <c r="P47" s="114"/>
      <c r="Q47" s="354"/>
      <c r="R47" s="355"/>
      <c r="S47" s="355">
        <v>3500.0</v>
      </c>
      <c r="T47" s="114"/>
      <c r="U47" s="356"/>
      <c r="V47" s="114"/>
      <c r="W47" s="114"/>
      <c r="X47" s="123"/>
      <c r="Y47" s="114" t="s">
        <v>95</v>
      </c>
      <c r="Z47" s="357">
        <v>0.5</v>
      </c>
      <c r="AA47" s="355" t="str">
        <f t="shared" si="1"/>
        <v/>
      </c>
      <c r="AB47" s="114" t="s">
        <v>1667</v>
      </c>
      <c r="AC47" s="358" t="str">
        <f t="shared" si="2"/>
        <v>-</v>
      </c>
      <c r="AD47" s="354" t="s">
        <v>1805</v>
      </c>
      <c r="AE47" s="354" t="s">
        <v>1882</v>
      </c>
      <c r="AF47" s="354" t="s">
        <v>1805</v>
      </c>
      <c r="AG47" s="359">
        <v>46087.0</v>
      </c>
      <c r="AH47" s="359"/>
      <c r="AI47" s="123"/>
      <c r="AJ47" s="123"/>
      <c r="AK47" s="114"/>
    </row>
    <row r="48">
      <c r="A48" s="352"/>
      <c r="B48" s="353" t="s">
        <v>1883</v>
      </c>
      <c r="C48" s="112" t="s">
        <v>1884</v>
      </c>
      <c r="D48" s="112" t="s">
        <v>67</v>
      </c>
      <c r="E48" s="123">
        <v>45778.0</v>
      </c>
      <c r="F48" s="354" t="s">
        <v>1885</v>
      </c>
      <c r="G48" s="146" t="s">
        <v>375</v>
      </c>
      <c r="H48" s="112" t="s">
        <v>1508</v>
      </c>
      <c r="I48" s="112" t="s">
        <v>1886</v>
      </c>
      <c r="J48" s="112"/>
      <c r="K48" s="112" t="s">
        <v>1887</v>
      </c>
      <c r="L48" s="112"/>
      <c r="M48" s="123"/>
      <c r="N48" s="123"/>
      <c r="O48" s="355"/>
      <c r="P48" s="114"/>
      <c r="Q48" s="354"/>
      <c r="R48" s="355"/>
      <c r="S48" s="355"/>
      <c r="T48" s="114"/>
      <c r="U48" s="356"/>
      <c r="V48" s="114"/>
      <c r="W48" s="114"/>
      <c r="X48" s="123"/>
      <c r="Y48" s="114" t="s">
        <v>95</v>
      </c>
      <c r="Z48" s="357">
        <v>0.0</v>
      </c>
      <c r="AA48" s="355" t="str">
        <f t="shared" si="1"/>
        <v/>
      </c>
      <c r="AB48" s="114"/>
      <c r="AC48" s="358" t="str">
        <f t="shared" si="2"/>
        <v>-</v>
      </c>
      <c r="AD48" s="354" t="s">
        <v>1888</v>
      </c>
      <c r="AE48" s="354" t="s">
        <v>1889</v>
      </c>
      <c r="AF48" s="354"/>
      <c r="AG48" s="359"/>
      <c r="AH48" s="359"/>
      <c r="AI48" s="123"/>
      <c r="AJ48" s="123"/>
      <c r="AK48" s="114"/>
    </row>
    <row r="49">
      <c r="A49" s="360"/>
      <c r="B49" s="361" t="s">
        <v>1890</v>
      </c>
      <c r="C49" s="132" t="s">
        <v>1891</v>
      </c>
      <c r="D49" s="132" t="s">
        <v>149</v>
      </c>
      <c r="E49" s="134">
        <v>45809.0</v>
      </c>
      <c r="F49" s="362" t="s">
        <v>1892</v>
      </c>
      <c r="G49" s="146" t="s">
        <v>375</v>
      </c>
      <c r="H49" s="132" t="s">
        <v>1377</v>
      </c>
      <c r="I49" s="132" t="s">
        <v>1893</v>
      </c>
      <c r="J49" s="132"/>
      <c r="K49" s="132" t="s">
        <v>1894</v>
      </c>
      <c r="L49" s="132"/>
      <c r="M49" s="134"/>
      <c r="N49" s="134"/>
      <c r="O49" s="363"/>
      <c r="P49" s="135" t="s">
        <v>1895</v>
      </c>
      <c r="Q49" s="362"/>
      <c r="R49" s="363"/>
      <c r="S49" s="363"/>
      <c r="T49" s="135"/>
      <c r="U49" s="364"/>
      <c r="V49" s="135"/>
      <c r="W49" s="135"/>
      <c r="X49" s="134"/>
      <c r="Y49" s="135" t="s">
        <v>109</v>
      </c>
      <c r="Z49" s="365">
        <v>1.0</v>
      </c>
      <c r="AA49" s="355" t="str">
        <f t="shared" si="1"/>
        <v/>
      </c>
      <c r="AB49" s="135"/>
      <c r="AC49" s="366" t="str">
        <f t="shared" si="2"/>
        <v>-</v>
      </c>
      <c r="AD49" s="362" t="s">
        <v>1896</v>
      </c>
      <c r="AE49" s="362" t="s">
        <v>1897</v>
      </c>
      <c r="AF49" s="362"/>
      <c r="AG49" s="367"/>
      <c r="AH49" s="367"/>
      <c r="AI49" s="134"/>
      <c r="AJ49" s="134"/>
      <c r="AK49" s="135"/>
    </row>
    <row r="50">
      <c r="A50" s="352"/>
      <c r="B50" s="353" t="s">
        <v>1898</v>
      </c>
      <c r="C50" s="112" t="s">
        <v>1899</v>
      </c>
      <c r="D50" s="112" t="s">
        <v>149</v>
      </c>
      <c r="E50" s="123">
        <v>45809.0</v>
      </c>
      <c r="F50" s="354" t="s">
        <v>1900</v>
      </c>
      <c r="G50" s="146" t="s">
        <v>375</v>
      </c>
      <c r="H50" s="112" t="s">
        <v>1377</v>
      </c>
      <c r="I50" s="112" t="s">
        <v>1901</v>
      </c>
      <c r="J50" s="112"/>
      <c r="K50" s="112" t="s">
        <v>1902</v>
      </c>
      <c r="L50" s="112"/>
      <c r="M50" s="123"/>
      <c r="N50" s="123"/>
      <c r="O50" s="355"/>
      <c r="P50" s="114"/>
      <c r="Q50" s="354"/>
      <c r="R50" s="355"/>
      <c r="S50" s="355">
        <v>3096.0</v>
      </c>
      <c r="T50" s="114"/>
      <c r="U50" s="356"/>
      <c r="V50" s="114"/>
      <c r="W50" s="114"/>
      <c r="X50" s="123"/>
      <c r="Y50" s="114" t="s">
        <v>1731</v>
      </c>
      <c r="Z50" s="357">
        <v>0.0</v>
      </c>
      <c r="AA50" s="355" t="str">
        <f t="shared" si="1"/>
        <v/>
      </c>
      <c r="AB50" s="114"/>
      <c r="AC50" s="358">
        <f t="shared" si="2"/>
        <v>311</v>
      </c>
      <c r="AD50" s="354" t="s">
        <v>1848</v>
      </c>
      <c r="AE50" s="354" t="s">
        <v>1903</v>
      </c>
      <c r="AF50" s="354"/>
      <c r="AG50" s="359"/>
      <c r="AH50" s="359"/>
      <c r="AI50" s="123"/>
      <c r="AJ50" s="123"/>
      <c r="AK50" s="114"/>
    </row>
    <row r="51">
      <c r="A51" s="360"/>
      <c r="B51" s="361" t="s">
        <v>1904</v>
      </c>
      <c r="C51" s="132" t="s">
        <v>1904</v>
      </c>
      <c r="D51" s="132"/>
      <c r="E51" s="134">
        <v>45809.0</v>
      </c>
      <c r="F51" s="362" t="s">
        <v>1905</v>
      </c>
      <c r="G51" s="132" t="s">
        <v>267</v>
      </c>
      <c r="H51" s="132"/>
      <c r="I51" s="132" t="s">
        <v>1702</v>
      </c>
      <c r="J51" s="132"/>
      <c r="K51" s="132"/>
      <c r="L51" s="132"/>
      <c r="M51" s="134"/>
      <c r="N51" s="134"/>
      <c r="O51" s="363"/>
      <c r="P51" s="135"/>
      <c r="Q51" s="362"/>
      <c r="R51" s="363"/>
      <c r="S51" s="363">
        <v>2000.0</v>
      </c>
      <c r="T51" s="135"/>
      <c r="U51" s="364"/>
      <c r="V51" s="135"/>
      <c r="W51" s="135"/>
      <c r="X51" s="134"/>
      <c r="Y51" s="135" t="s">
        <v>95</v>
      </c>
      <c r="Z51" s="365">
        <v>0.0</v>
      </c>
      <c r="AA51" s="355" t="str">
        <f t="shared" si="1"/>
        <v/>
      </c>
      <c r="AB51" s="135" t="s">
        <v>1667</v>
      </c>
      <c r="AC51" s="366" t="str">
        <f t="shared" si="2"/>
        <v>-</v>
      </c>
      <c r="AD51" s="362" t="s">
        <v>1805</v>
      </c>
      <c r="AE51" s="362" t="s">
        <v>1906</v>
      </c>
      <c r="AF51" s="362" t="s">
        <v>1805</v>
      </c>
      <c r="AG51" s="367">
        <v>46087.0</v>
      </c>
      <c r="AH51" s="367"/>
      <c r="AI51" s="134"/>
      <c r="AJ51" s="134"/>
      <c r="AK51" s="135"/>
    </row>
    <row r="52">
      <c r="A52" s="360"/>
      <c r="B52" s="361" t="s">
        <v>1907</v>
      </c>
      <c r="C52" s="132" t="s">
        <v>1884</v>
      </c>
      <c r="D52" s="132" t="s">
        <v>148</v>
      </c>
      <c r="E52" s="134">
        <v>45809.0</v>
      </c>
      <c r="F52" s="362" t="s">
        <v>1908</v>
      </c>
      <c r="G52" s="132" t="s">
        <v>267</v>
      </c>
      <c r="H52" s="132" t="s">
        <v>1508</v>
      </c>
      <c r="I52" s="132" t="s">
        <v>1886</v>
      </c>
      <c r="J52" s="132"/>
      <c r="K52" s="132" t="s">
        <v>1909</v>
      </c>
      <c r="L52" s="132"/>
      <c r="M52" s="134"/>
      <c r="N52" s="134"/>
      <c r="O52" s="363"/>
      <c r="P52" s="135"/>
      <c r="Q52" s="362"/>
      <c r="R52" s="363"/>
      <c r="S52" s="363"/>
      <c r="T52" s="135"/>
      <c r="U52" s="364"/>
      <c r="V52" s="135"/>
      <c r="W52" s="135"/>
      <c r="X52" s="134"/>
      <c r="Y52" s="135" t="s">
        <v>95</v>
      </c>
      <c r="Z52" s="365">
        <v>0.0</v>
      </c>
      <c r="AA52" s="355" t="str">
        <f t="shared" si="1"/>
        <v/>
      </c>
      <c r="AB52" s="135"/>
      <c r="AC52" s="366" t="str">
        <f t="shared" si="2"/>
        <v>-</v>
      </c>
      <c r="AD52" s="362" t="s">
        <v>1910</v>
      </c>
      <c r="AE52" s="362" t="s">
        <v>1911</v>
      </c>
      <c r="AF52" s="362"/>
      <c r="AG52" s="367"/>
      <c r="AH52" s="367"/>
      <c r="AI52" s="134"/>
      <c r="AJ52" s="134"/>
      <c r="AK52" s="135"/>
    </row>
    <row r="53">
      <c r="A53" s="352"/>
      <c r="B53" s="353" t="s">
        <v>1912</v>
      </c>
      <c r="C53" s="112" t="s">
        <v>1775</v>
      </c>
      <c r="D53" s="112" t="s">
        <v>149</v>
      </c>
      <c r="E53" s="123">
        <v>45839.0</v>
      </c>
      <c r="F53" s="354" t="s">
        <v>1913</v>
      </c>
      <c r="G53" s="146" t="s">
        <v>375</v>
      </c>
      <c r="H53" s="112" t="s">
        <v>1508</v>
      </c>
      <c r="I53" s="112" t="s">
        <v>1914</v>
      </c>
      <c r="J53" s="112"/>
      <c r="K53" s="112" t="s">
        <v>1915</v>
      </c>
      <c r="L53" s="112"/>
      <c r="M53" s="123"/>
      <c r="N53" s="123"/>
      <c r="O53" s="355"/>
      <c r="P53" s="114"/>
      <c r="Q53" s="354"/>
      <c r="R53" s="355"/>
      <c r="S53" s="355">
        <v>1650.0</v>
      </c>
      <c r="T53" s="114"/>
      <c r="U53" s="356"/>
      <c r="V53" s="114"/>
      <c r="W53" s="114" t="s">
        <v>1675</v>
      </c>
      <c r="X53" s="123"/>
      <c r="Y53" s="114" t="s">
        <v>95</v>
      </c>
      <c r="Z53" s="357">
        <v>0.0</v>
      </c>
      <c r="AA53" s="355" t="str">
        <f t="shared" si="1"/>
        <v/>
      </c>
      <c r="AB53" s="114" t="s">
        <v>1667</v>
      </c>
      <c r="AC53" s="358" t="str">
        <f t="shared" si="2"/>
        <v>-</v>
      </c>
      <c r="AD53" s="354" t="s">
        <v>1916</v>
      </c>
      <c r="AE53" s="354" t="s">
        <v>1917</v>
      </c>
      <c r="AF53" s="354" t="s">
        <v>1918</v>
      </c>
      <c r="AG53" s="359">
        <v>46087.0</v>
      </c>
      <c r="AH53" s="359"/>
      <c r="AI53" s="123"/>
      <c r="AJ53" s="123"/>
      <c r="AK53" s="114"/>
    </row>
    <row r="54">
      <c r="A54" s="360"/>
      <c r="B54" s="361" t="s">
        <v>1919</v>
      </c>
      <c r="C54" s="132" t="s">
        <v>1775</v>
      </c>
      <c r="D54" s="132" t="s">
        <v>149</v>
      </c>
      <c r="E54" s="134">
        <v>45839.0</v>
      </c>
      <c r="F54" s="362" t="s">
        <v>1920</v>
      </c>
      <c r="G54" s="146" t="s">
        <v>375</v>
      </c>
      <c r="H54" s="132" t="s">
        <v>1498</v>
      </c>
      <c r="I54" s="132" t="s">
        <v>1921</v>
      </c>
      <c r="J54" s="132"/>
      <c r="K54" s="132" t="s">
        <v>1922</v>
      </c>
      <c r="L54" s="132"/>
      <c r="M54" s="134"/>
      <c r="N54" s="134"/>
      <c r="O54" s="363"/>
      <c r="P54" s="135"/>
      <c r="Q54" s="362"/>
      <c r="R54" s="363"/>
      <c r="S54" s="363">
        <v>4085.56</v>
      </c>
      <c r="T54" s="135"/>
      <c r="U54" s="364"/>
      <c r="V54" s="135"/>
      <c r="W54" s="135"/>
      <c r="X54" s="134"/>
      <c r="Y54" s="135" t="s">
        <v>109</v>
      </c>
      <c r="Z54" s="365">
        <v>1.0</v>
      </c>
      <c r="AA54" s="355" t="str">
        <f t="shared" si="1"/>
        <v/>
      </c>
      <c r="AB54" s="135" t="s">
        <v>1667</v>
      </c>
      <c r="AC54" s="366" t="str">
        <f t="shared" si="2"/>
        <v>-</v>
      </c>
      <c r="AD54" s="362" t="s">
        <v>1923</v>
      </c>
      <c r="AE54" s="362" t="s">
        <v>1924</v>
      </c>
      <c r="AF54" s="362" t="s">
        <v>1925</v>
      </c>
      <c r="AG54" s="367">
        <v>46087.0</v>
      </c>
      <c r="AH54" s="367"/>
      <c r="AI54" s="134"/>
      <c r="AJ54" s="134"/>
      <c r="AK54" s="135"/>
    </row>
    <row r="55">
      <c r="A55" s="352"/>
      <c r="B55" s="353" t="s">
        <v>1926</v>
      </c>
      <c r="C55" s="112" t="s">
        <v>1927</v>
      </c>
      <c r="D55" s="112" t="s">
        <v>149</v>
      </c>
      <c r="E55" s="123">
        <v>45839.0</v>
      </c>
      <c r="F55" s="354" t="s">
        <v>1928</v>
      </c>
      <c r="G55" s="146" t="s">
        <v>375</v>
      </c>
      <c r="H55" s="112" t="s">
        <v>1508</v>
      </c>
      <c r="I55" s="112" t="s">
        <v>1901</v>
      </c>
      <c r="J55" s="112"/>
      <c r="K55" s="354" t="s">
        <v>1929</v>
      </c>
      <c r="L55" s="112"/>
      <c r="M55" s="123"/>
      <c r="N55" s="123"/>
      <c r="O55" s="355"/>
      <c r="P55" s="114"/>
      <c r="Q55" s="354"/>
      <c r="R55" s="355"/>
      <c r="S55" s="355">
        <v>180576.0</v>
      </c>
      <c r="T55" s="114"/>
      <c r="U55" s="356"/>
      <c r="V55" s="114"/>
      <c r="W55" s="114"/>
      <c r="X55" s="123"/>
      <c r="Y55" s="114" t="s">
        <v>95</v>
      </c>
      <c r="Z55" s="357">
        <v>0.5</v>
      </c>
      <c r="AA55" s="355" t="str">
        <f t="shared" si="1"/>
        <v/>
      </c>
      <c r="AB55" s="114" t="s">
        <v>1667</v>
      </c>
      <c r="AC55" s="358" t="str">
        <f t="shared" si="2"/>
        <v>-</v>
      </c>
      <c r="AD55" s="354" t="s">
        <v>1930</v>
      </c>
      <c r="AE55" s="354" t="s">
        <v>1931</v>
      </c>
      <c r="AF55" s="354" t="s">
        <v>1932</v>
      </c>
      <c r="AG55" s="359">
        <v>46087.0</v>
      </c>
      <c r="AH55" s="359"/>
      <c r="AI55" s="123"/>
      <c r="AJ55" s="123"/>
      <c r="AK55" s="114"/>
    </row>
    <row r="56">
      <c r="A56" s="360"/>
      <c r="B56" s="361" t="s">
        <v>1933</v>
      </c>
      <c r="C56" s="132" t="s">
        <v>1933</v>
      </c>
      <c r="D56" s="132" t="s">
        <v>150</v>
      </c>
      <c r="E56" s="134">
        <v>45839.0</v>
      </c>
      <c r="F56" s="362" t="s">
        <v>1934</v>
      </c>
      <c r="G56" s="132" t="s">
        <v>267</v>
      </c>
      <c r="H56" s="132"/>
      <c r="I56" s="132" t="s">
        <v>1795</v>
      </c>
      <c r="J56" s="132"/>
      <c r="K56" s="132" t="s">
        <v>1935</v>
      </c>
      <c r="L56" s="132"/>
      <c r="M56" s="134"/>
      <c r="N56" s="134"/>
      <c r="O56" s="363"/>
      <c r="P56" s="135"/>
      <c r="Q56" s="362"/>
      <c r="R56" s="363"/>
      <c r="S56" s="363"/>
      <c r="T56" s="135"/>
      <c r="U56" s="364"/>
      <c r="V56" s="135"/>
      <c r="W56" s="135"/>
      <c r="X56" s="134"/>
      <c r="Y56" s="135" t="s">
        <v>109</v>
      </c>
      <c r="Z56" s="365">
        <v>1.0</v>
      </c>
      <c r="AA56" s="355" t="str">
        <f t="shared" si="1"/>
        <v/>
      </c>
      <c r="AB56" s="135"/>
      <c r="AC56" s="366" t="str">
        <f t="shared" si="2"/>
        <v>-</v>
      </c>
      <c r="AD56" s="362" t="s">
        <v>1936</v>
      </c>
      <c r="AE56" s="362" t="s">
        <v>1937</v>
      </c>
      <c r="AF56" s="362"/>
      <c r="AG56" s="367"/>
      <c r="AH56" s="367"/>
      <c r="AI56" s="134"/>
      <c r="AJ56" s="134"/>
      <c r="AK56" s="135"/>
    </row>
    <row r="57">
      <c r="A57" s="352"/>
      <c r="B57" s="353" t="s">
        <v>1938</v>
      </c>
      <c r="C57" s="112" t="s">
        <v>1938</v>
      </c>
      <c r="D57" s="112"/>
      <c r="E57" s="123">
        <v>45839.0</v>
      </c>
      <c r="F57" s="354" t="s">
        <v>1878</v>
      </c>
      <c r="G57" s="112" t="s">
        <v>267</v>
      </c>
      <c r="H57" s="112"/>
      <c r="I57" s="112" t="s">
        <v>1702</v>
      </c>
      <c r="J57" s="112"/>
      <c r="K57" s="112"/>
      <c r="L57" s="112"/>
      <c r="M57" s="123"/>
      <c r="N57" s="123"/>
      <c r="O57" s="355"/>
      <c r="P57" s="114"/>
      <c r="Q57" s="354"/>
      <c r="R57" s="355"/>
      <c r="S57" s="355">
        <v>2000.0</v>
      </c>
      <c r="T57" s="114"/>
      <c r="U57" s="356"/>
      <c r="V57" s="114"/>
      <c r="W57" s="114"/>
      <c r="X57" s="123"/>
      <c r="Y57" s="114" t="s">
        <v>95</v>
      </c>
      <c r="Z57" s="357">
        <v>0.0</v>
      </c>
      <c r="AA57" s="355" t="str">
        <f t="shared" si="1"/>
        <v/>
      </c>
      <c r="AB57" s="114" t="s">
        <v>1667</v>
      </c>
      <c r="AC57" s="358" t="str">
        <f t="shared" si="2"/>
        <v>-</v>
      </c>
      <c r="AD57" s="354"/>
      <c r="AE57" s="354"/>
      <c r="AF57" s="354"/>
      <c r="AG57" s="359">
        <v>46087.0</v>
      </c>
      <c r="AH57" s="359"/>
      <c r="AI57" s="123"/>
      <c r="AJ57" s="123"/>
      <c r="AK57" s="114"/>
    </row>
    <row r="58">
      <c r="A58" s="352"/>
      <c r="B58" s="353" t="s">
        <v>1939</v>
      </c>
      <c r="C58" s="112" t="s">
        <v>1939</v>
      </c>
      <c r="D58" s="112"/>
      <c r="E58" s="123">
        <v>45839.0</v>
      </c>
      <c r="F58" s="354" t="s">
        <v>1940</v>
      </c>
      <c r="G58" s="112" t="s">
        <v>267</v>
      </c>
      <c r="H58" s="112"/>
      <c r="I58" s="112" t="s">
        <v>1702</v>
      </c>
      <c r="J58" s="112"/>
      <c r="K58" s="112"/>
      <c r="L58" s="112"/>
      <c r="M58" s="123"/>
      <c r="N58" s="123"/>
      <c r="O58" s="355"/>
      <c r="P58" s="114"/>
      <c r="Q58" s="354"/>
      <c r="R58" s="355"/>
      <c r="S58" s="355">
        <v>2000.0</v>
      </c>
      <c r="T58" s="114"/>
      <c r="U58" s="356"/>
      <c r="V58" s="114"/>
      <c r="W58" s="114"/>
      <c r="X58" s="123"/>
      <c r="Y58" s="114" t="s">
        <v>95</v>
      </c>
      <c r="Z58" s="357">
        <v>0.0</v>
      </c>
      <c r="AA58" s="355" t="str">
        <f t="shared" si="1"/>
        <v/>
      </c>
      <c r="AB58" s="114" t="s">
        <v>1667</v>
      </c>
      <c r="AC58" s="358" t="str">
        <f t="shared" si="2"/>
        <v>-</v>
      </c>
      <c r="AD58" s="354" t="s">
        <v>1941</v>
      </c>
      <c r="AE58" s="354"/>
      <c r="AF58" s="354" t="s">
        <v>1941</v>
      </c>
      <c r="AG58" s="359">
        <v>46087.0</v>
      </c>
      <c r="AH58" s="359"/>
      <c r="AI58" s="123"/>
      <c r="AJ58" s="123"/>
      <c r="AK58" s="114"/>
    </row>
    <row r="59">
      <c r="A59" s="360"/>
      <c r="B59" s="361" t="s">
        <v>1942</v>
      </c>
      <c r="C59" s="132" t="s">
        <v>1942</v>
      </c>
      <c r="D59" s="132"/>
      <c r="E59" s="134">
        <v>45839.0</v>
      </c>
      <c r="F59" s="362" t="s">
        <v>1943</v>
      </c>
      <c r="G59" s="132" t="s">
        <v>267</v>
      </c>
      <c r="H59" s="132"/>
      <c r="I59" s="132" t="s">
        <v>1702</v>
      </c>
      <c r="J59" s="132"/>
      <c r="K59" s="132"/>
      <c r="L59" s="132"/>
      <c r="M59" s="134"/>
      <c r="N59" s="134"/>
      <c r="O59" s="363"/>
      <c r="P59" s="135"/>
      <c r="Q59" s="362"/>
      <c r="R59" s="363"/>
      <c r="S59" s="363">
        <v>6000.0</v>
      </c>
      <c r="T59" s="135"/>
      <c r="U59" s="364"/>
      <c r="V59" s="135"/>
      <c r="W59" s="135"/>
      <c r="X59" s="134"/>
      <c r="Y59" s="135" t="s">
        <v>95</v>
      </c>
      <c r="Z59" s="365">
        <v>0.0</v>
      </c>
      <c r="AA59" s="355" t="str">
        <f t="shared" si="1"/>
        <v/>
      </c>
      <c r="AB59" s="135" t="s">
        <v>1667</v>
      </c>
      <c r="AC59" s="366" t="str">
        <f t="shared" si="2"/>
        <v>-</v>
      </c>
      <c r="AD59" s="362" t="s">
        <v>1944</v>
      </c>
      <c r="AE59" s="362"/>
      <c r="AF59" s="362" t="s">
        <v>1944</v>
      </c>
      <c r="AG59" s="367">
        <v>46087.0</v>
      </c>
      <c r="AH59" s="367"/>
      <c r="AI59" s="134"/>
      <c r="AJ59" s="134"/>
      <c r="AK59" s="135"/>
    </row>
    <row r="60">
      <c r="A60" s="352"/>
      <c r="B60" s="353" t="s">
        <v>1945</v>
      </c>
      <c r="C60" s="112" t="s">
        <v>1945</v>
      </c>
      <c r="D60" s="112"/>
      <c r="E60" s="123">
        <v>45870.0</v>
      </c>
      <c r="F60" s="354" t="s">
        <v>1946</v>
      </c>
      <c r="G60" s="112" t="s">
        <v>267</v>
      </c>
      <c r="H60" s="112"/>
      <c r="I60" s="112" t="s">
        <v>1702</v>
      </c>
      <c r="J60" s="112"/>
      <c r="K60" s="112"/>
      <c r="L60" s="112"/>
      <c r="M60" s="123"/>
      <c r="N60" s="123"/>
      <c r="O60" s="355"/>
      <c r="P60" s="114"/>
      <c r="Q60" s="354"/>
      <c r="R60" s="355"/>
      <c r="S60" s="355">
        <v>120000.0</v>
      </c>
      <c r="T60" s="114"/>
      <c r="U60" s="356"/>
      <c r="V60" s="114"/>
      <c r="W60" s="114"/>
      <c r="X60" s="123"/>
      <c r="Y60" s="114" t="s">
        <v>95</v>
      </c>
      <c r="Z60" s="357">
        <v>0.0</v>
      </c>
      <c r="AA60" s="355" t="str">
        <f t="shared" si="1"/>
        <v/>
      </c>
      <c r="AB60" s="114" t="s">
        <v>1667</v>
      </c>
      <c r="AC60" s="358" t="str">
        <f t="shared" si="2"/>
        <v>-</v>
      </c>
      <c r="AD60" s="354" t="s">
        <v>1947</v>
      </c>
      <c r="AE60" s="354"/>
      <c r="AF60" s="354" t="s">
        <v>1947</v>
      </c>
      <c r="AG60" s="359">
        <v>46087.0</v>
      </c>
      <c r="AH60" s="359"/>
      <c r="AI60" s="123"/>
      <c r="AJ60" s="123"/>
      <c r="AK60" s="114"/>
    </row>
    <row r="61">
      <c r="A61" s="360" t="s">
        <v>1948</v>
      </c>
      <c r="B61" s="361" t="s">
        <v>1949</v>
      </c>
      <c r="C61" s="132" t="s">
        <v>1949</v>
      </c>
      <c r="D61" s="132"/>
      <c r="E61" s="134">
        <v>45870.0</v>
      </c>
      <c r="F61" s="362" t="s">
        <v>1950</v>
      </c>
      <c r="G61" s="132" t="s">
        <v>267</v>
      </c>
      <c r="H61" s="132"/>
      <c r="I61" s="132" t="s">
        <v>1702</v>
      </c>
      <c r="J61" s="132"/>
      <c r="K61" s="132"/>
      <c r="L61" s="132"/>
      <c r="M61" s="134"/>
      <c r="N61" s="134"/>
      <c r="O61" s="363"/>
      <c r="P61" s="135"/>
      <c r="Q61" s="362"/>
      <c r="R61" s="363"/>
      <c r="S61" s="363"/>
      <c r="T61" s="135"/>
      <c r="U61" s="364"/>
      <c r="V61" s="135"/>
      <c r="W61" s="135"/>
      <c r="X61" s="134"/>
      <c r="Y61" s="135" t="s">
        <v>95</v>
      </c>
      <c r="Z61" s="365">
        <v>0.0</v>
      </c>
      <c r="AA61" s="355" t="str">
        <f t="shared" si="1"/>
        <v/>
      </c>
      <c r="AB61" s="135"/>
      <c r="AC61" s="366" t="str">
        <f t="shared" si="2"/>
        <v>-</v>
      </c>
      <c r="AD61" s="362"/>
      <c r="AE61" s="362"/>
      <c r="AF61" s="362"/>
      <c r="AG61" s="367"/>
      <c r="AH61" s="367"/>
      <c r="AI61" s="134"/>
      <c r="AJ61" s="134"/>
      <c r="AK61" s="135"/>
    </row>
    <row r="62">
      <c r="A62" s="352" t="s">
        <v>1850</v>
      </c>
      <c r="B62" s="353" t="s">
        <v>1951</v>
      </c>
      <c r="C62" s="112" t="s">
        <v>382</v>
      </c>
      <c r="D62" s="112"/>
      <c r="E62" s="123">
        <v>45901.0</v>
      </c>
      <c r="F62" s="354" t="s">
        <v>1952</v>
      </c>
      <c r="G62" s="146" t="s">
        <v>452</v>
      </c>
      <c r="H62" s="112" t="s">
        <v>1498</v>
      </c>
      <c r="I62" s="112" t="s">
        <v>1953</v>
      </c>
      <c r="J62" s="112"/>
      <c r="K62" s="112" t="s">
        <v>1954</v>
      </c>
      <c r="L62" s="112"/>
      <c r="M62" s="123"/>
      <c r="N62" s="123"/>
      <c r="O62" s="355"/>
      <c r="P62" s="114"/>
      <c r="Q62" s="354"/>
      <c r="R62" s="355"/>
      <c r="S62" s="355">
        <v>25920.0</v>
      </c>
      <c r="T62" s="114"/>
      <c r="U62" s="356"/>
      <c r="V62" s="114"/>
      <c r="W62" s="114"/>
      <c r="X62" s="123"/>
      <c r="Y62" s="114" t="s">
        <v>95</v>
      </c>
      <c r="Z62" s="357">
        <v>0.0</v>
      </c>
      <c r="AA62" s="355" t="str">
        <f t="shared" si="1"/>
        <v/>
      </c>
      <c r="AB62" s="114" t="s">
        <v>1667</v>
      </c>
      <c r="AC62" s="358" t="str">
        <f t="shared" si="2"/>
        <v>-</v>
      </c>
      <c r="AD62" s="354" t="s">
        <v>1955</v>
      </c>
      <c r="AE62" s="354" t="s">
        <v>1956</v>
      </c>
      <c r="AF62" s="354" t="s">
        <v>1955</v>
      </c>
      <c r="AG62" s="359">
        <v>46087.0</v>
      </c>
      <c r="AH62" s="359"/>
      <c r="AI62" s="123"/>
      <c r="AJ62" s="123"/>
      <c r="AK62" s="114"/>
    </row>
    <row r="63">
      <c r="A63" s="360"/>
      <c r="B63" s="361" t="s">
        <v>1957</v>
      </c>
      <c r="C63" s="132" t="s">
        <v>1957</v>
      </c>
      <c r="D63" s="132" t="s">
        <v>149</v>
      </c>
      <c r="E63" s="134">
        <v>45901.0</v>
      </c>
      <c r="F63" s="362" t="s">
        <v>1958</v>
      </c>
      <c r="G63" s="309" t="s">
        <v>303</v>
      </c>
      <c r="H63" s="132" t="s">
        <v>1763</v>
      </c>
      <c r="I63" s="132" t="s">
        <v>1959</v>
      </c>
      <c r="J63" s="132"/>
      <c r="K63" s="132" t="s">
        <v>1960</v>
      </c>
      <c r="L63" s="132"/>
      <c r="M63" s="134"/>
      <c r="N63" s="134"/>
      <c r="O63" s="363"/>
      <c r="P63" s="135"/>
      <c r="Q63" s="362"/>
      <c r="R63" s="363"/>
      <c r="S63" s="363">
        <v>2058801.8</v>
      </c>
      <c r="T63" s="135"/>
      <c r="U63" s="364"/>
      <c r="V63" s="135"/>
      <c r="W63" s="135"/>
      <c r="X63" s="134"/>
      <c r="Y63" s="135" t="s">
        <v>95</v>
      </c>
      <c r="Z63" s="365">
        <v>0.0</v>
      </c>
      <c r="AA63" s="355" t="str">
        <f t="shared" si="1"/>
        <v/>
      </c>
      <c r="AB63" s="135"/>
      <c r="AC63" s="366" t="str">
        <f t="shared" si="2"/>
        <v>-</v>
      </c>
      <c r="AD63" s="362" t="s">
        <v>1961</v>
      </c>
      <c r="AE63" s="362" t="s">
        <v>1962</v>
      </c>
      <c r="AF63" s="362"/>
      <c r="AG63" s="367"/>
      <c r="AH63" s="367"/>
      <c r="AI63" s="134"/>
      <c r="AJ63" s="134"/>
      <c r="AK63" s="135"/>
    </row>
    <row r="64">
      <c r="A64" s="352"/>
      <c r="B64" s="353" t="s">
        <v>1963</v>
      </c>
      <c r="C64" s="112" t="s">
        <v>1963</v>
      </c>
      <c r="D64" s="112" t="s">
        <v>149</v>
      </c>
      <c r="E64" s="123">
        <v>45901.0</v>
      </c>
      <c r="F64" s="354" t="s">
        <v>1964</v>
      </c>
      <c r="G64" s="146" t="s">
        <v>375</v>
      </c>
      <c r="H64" s="112" t="s">
        <v>1508</v>
      </c>
      <c r="I64" s="112" t="s">
        <v>1965</v>
      </c>
      <c r="J64" s="112"/>
      <c r="K64" s="112" t="s">
        <v>1966</v>
      </c>
      <c r="L64" s="112"/>
      <c r="M64" s="123"/>
      <c r="N64" s="123"/>
      <c r="O64" s="355"/>
      <c r="P64" s="114"/>
      <c r="Q64" s="354"/>
      <c r="R64" s="355"/>
      <c r="S64" s="355"/>
      <c r="T64" s="114"/>
      <c r="U64" s="356"/>
      <c r="V64" s="114"/>
      <c r="W64" s="114" t="s">
        <v>1675</v>
      </c>
      <c r="X64" s="123"/>
      <c r="Y64" s="135" t="s">
        <v>95</v>
      </c>
      <c r="Z64" s="357">
        <v>0.0</v>
      </c>
      <c r="AA64" s="355" t="str">
        <f t="shared" si="1"/>
        <v/>
      </c>
      <c r="AB64" s="114"/>
      <c r="AC64" s="358" t="str">
        <f t="shared" si="2"/>
        <v>-</v>
      </c>
      <c r="AD64" s="354" t="s">
        <v>1967</v>
      </c>
      <c r="AE64" s="354" t="s">
        <v>1968</v>
      </c>
      <c r="AF64" s="354"/>
      <c r="AG64" s="359"/>
      <c r="AH64" s="359"/>
      <c r="AI64" s="123"/>
      <c r="AJ64" s="123"/>
      <c r="AK64" s="114"/>
    </row>
    <row r="65">
      <c r="A65" s="360"/>
      <c r="B65" s="361" t="s">
        <v>1969</v>
      </c>
      <c r="C65" s="132" t="s">
        <v>1969</v>
      </c>
      <c r="D65" s="132" t="s">
        <v>149</v>
      </c>
      <c r="E65" s="134">
        <v>45901.0</v>
      </c>
      <c r="F65" s="362" t="s">
        <v>1970</v>
      </c>
      <c r="G65" s="309" t="s">
        <v>375</v>
      </c>
      <c r="H65" s="132" t="s">
        <v>1207</v>
      </c>
      <c r="I65" s="132" t="s">
        <v>1971</v>
      </c>
      <c r="J65" s="132"/>
      <c r="K65" s="132" t="s">
        <v>1972</v>
      </c>
      <c r="L65" s="132"/>
      <c r="M65" s="134"/>
      <c r="N65" s="134"/>
      <c r="O65" s="363"/>
      <c r="P65" s="135"/>
      <c r="Q65" s="362"/>
      <c r="R65" s="363"/>
      <c r="S65" s="363">
        <v>1.892</v>
      </c>
      <c r="T65" s="135"/>
      <c r="U65" s="364"/>
      <c r="V65" s="135"/>
      <c r="W65" s="135"/>
      <c r="X65" s="134"/>
      <c r="Y65" s="135" t="s">
        <v>95</v>
      </c>
      <c r="Z65" s="365">
        <v>0.0</v>
      </c>
      <c r="AA65" s="355" t="str">
        <f t="shared" si="1"/>
        <v/>
      </c>
      <c r="AB65" s="135" t="s">
        <v>1667</v>
      </c>
      <c r="AC65" s="366" t="str">
        <f t="shared" si="2"/>
        <v>-</v>
      </c>
      <c r="AD65" s="362" t="s">
        <v>1973</v>
      </c>
      <c r="AE65" s="362" t="s">
        <v>1974</v>
      </c>
      <c r="AF65" s="362" t="s">
        <v>1973</v>
      </c>
      <c r="AG65" s="367">
        <v>46087.0</v>
      </c>
      <c r="AH65" s="367"/>
      <c r="AI65" s="134"/>
      <c r="AJ65" s="134"/>
      <c r="AK65" s="135"/>
    </row>
    <row r="66">
      <c r="A66" s="352"/>
      <c r="B66" s="353" t="s">
        <v>1975</v>
      </c>
      <c r="C66" s="112" t="s">
        <v>1975</v>
      </c>
      <c r="D66" s="112" t="s">
        <v>149</v>
      </c>
      <c r="E66" s="123">
        <v>45901.0</v>
      </c>
      <c r="F66" s="354" t="s">
        <v>1976</v>
      </c>
      <c r="G66" s="146" t="s">
        <v>303</v>
      </c>
      <c r="H66" s="112" t="s">
        <v>1763</v>
      </c>
      <c r="I66" s="112" t="s">
        <v>1977</v>
      </c>
      <c r="J66" s="112"/>
      <c r="K66" s="112" t="s">
        <v>1978</v>
      </c>
      <c r="L66" s="112"/>
      <c r="M66" s="123"/>
      <c r="N66" s="123"/>
      <c r="O66" s="355"/>
      <c r="P66" s="114"/>
      <c r="Q66" s="354"/>
      <c r="R66" s="355"/>
      <c r="S66" s="355">
        <v>3.0</v>
      </c>
      <c r="T66" s="114"/>
      <c r="U66" s="356"/>
      <c r="V66" s="114"/>
      <c r="W66" s="114"/>
      <c r="X66" s="123"/>
      <c r="Y66" s="114" t="s">
        <v>95</v>
      </c>
      <c r="Z66" s="357">
        <v>0.0</v>
      </c>
      <c r="AA66" s="355" t="str">
        <f t="shared" si="1"/>
        <v/>
      </c>
      <c r="AB66" s="114" t="s">
        <v>1667</v>
      </c>
      <c r="AC66" s="358" t="str">
        <f t="shared" si="2"/>
        <v>-</v>
      </c>
      <c r="AD66" s="354" t="s">
        <v>1979</v>
      </c>
      <c r="AE66" s="354" t="s">
        <v>1980</v>
      </c>
      <c r="AF66" s="354" t="s">
        <v>1981</v>
      </c>
      <c r="AG66" s="359">
        <v>46087.0</v>
      </c>
      <c r="AH66" s="359"/>
      <c r="AI66" s="123"/>
      <c r="AJ66" s="123"/>
      <c r="AK66" s="114"/>
    </row>
    <row r="67">
      <c r="A67" s="360" t="s">
        <v>1982</v>
      </c>
      <c r="B67" s="361" t="s">
        <v>1983</v>
      </c>
      <c r="C67" s="132" t="s">
        <v>1983</v>
      </c>
      <c r="D67" s="132" t="s">
        <v>149</v>
      </c>
      <c r="E67" s="134">
        <v>45901.0</v>
      </c>
      <c r="F67" s="362" t="s">
        <v>1984</v>
      </c>
      <c r="G67" s="309" t="s">
        <v>375</v>
      </c>
      <c r="H67" s="132" t="s">
        <v>1377</v>
      </c>
      <c r="I67" s="132" t="s">
        <v>1985</v>
      </c>
      <c r="J67" s="132"/>
      <c r="K67" s="132" t="s">
        <v>1986</v>
      </c>
      <c r="L67" s="132"/>
      <c r="M67" s="134"/>
      <c r="N67" s="134"/>
      <c r="O67" s="363"/>
      <c r="P67" s="135"/>
      <c r="Q67" s="362"/>
      <c r="R67" s="363"/>
      <c r="S67" s="363">
        <v>345600.0</v>
      </c>
      <c r="T67" s="135"/>
      <c r="U67" s="364"/>
      <c r="V67" s="135"/>
      <c r="W67" s="135"/>
      <c r="X67" s="134"/>
      <c r="Y67" s="135" t="s">
        <v>95</v>
      </c>
      <c r="Z67" s="365">
        <v>0.0</v>
      </c>
      <c r="AA67" s="355" t="str">
        <f t="shared" si="1"/>
        <v/>
      </c>
      <c r="AB67" s="135" t="s">
        <v>1667</v>
      </c>
      <c r="AC67" s="366" t="str">
        <f t="shared" si="2"/>
        <v>-</v>
      </c>
      <c r="AD67" s="362" t="s">
        <v>1987</v>
      </c>
      <c r="AE67" s="362" t="s">
        <v>1988</v>
      </c>
      <c r="AF67" s="362" t="s">
        <v>1989</v>
      </c>
      <c r="AG67" s="367">
        <v>46087.0</v>
      </c>
      <c r="AH67" s="367"/>
      <c r="AI67" s="134"/>
      <c r="AJ67" s="134"/>
      <c r="AK67" s="135"/>
    </row>
    <row r="68">
      <c r="A68" s="352"/>
      <c r="B68" s="353" t="s">
        <v>1990</v>
      </c>
      <c r="C68" s="112" t="s">
        <v>1990</v>
      </c>
      <c r="D68" s="112" t="s">
        <v>149</v>
      </c>
      <c r="E68" s="123">
        <v>45901.0</v>
      </c>
      <c r="F68" s="354" t="s">
        <v>1991</v>
      </c>
      <c r="G68" s="112" t="s">
        <v>267</v>
      </c>
      <c r="H68" s="112" t="s">
        <v>1207</v>
      </c>
      <c r="I68" s="112" t="s">
        <v>1992</v>
      </c>
      <c r="J68" s="112"/>
      <c r="K68" s="112" t="s">
        <v>1993</v>
      </c>
      <c r="L68" s="112"/>
      <c r="M68" s="123"/>
      <c r="N68" s="123"/>
      <c r="O68" s="355"/>
      <c r="P68" s="114"/>
      <c r="Q68" s="354"/>
      <c r="R68" s="355"/>
      <c r="S68" s="355">
        <v>3000.0</v>
      </c>
      <c r="T68" s="114"/>
      <c r="U68" s="356"/>
      <c r="V68" s="114"/>
      <c r="W68" s="114"/>
      <c r="X68" s="123"/>
      <c r="Y68" s="114" t="s">
        <v>95</v>
      </c>
      <c r="Z68" s="357">
        <v>0.0</v>
      </c>
      <c r="AA68" s="355" t="str">
        <f t="shared" si="1"/>
        <v/>
      </c>
      <c r="AB68" s="114"/>
      <c r="AC68" s="358" t="str">
        <f t="shared" si="2"/>
        <v>-</v>
      </c>
      <c r="AD68" s="354" t="s">
        <v>1994</v>
      </c>
      <c r="AE68" s="354" t="s">
        <v>1995</v>
      </c>
      <c r="AF68" s="354"/>
      <c r="AG68" s="359"/>
      <c r="AH68" s="359"/>
      <c r="AI68" s="123"/>
      <c r="AJ68" s="123"/>
      <c r="AK68" s="114"/>
    </row>
    <row r="69">
      <c r="A69" s="360"/>
      <c r="B69" s="361" t="s">
        <v>1996</v>
      </c>
      <c r="C69" s="132" t="s">
        <v>1996</v>
      </c>
      <c r="D69" s="132" t="s">
        <v>149</v>
      </c>
      <c r="E69" s="134">
        <v>45901.0</v>
      </c>
      <c r="F69" s="362" t="s">
        <v>1997</v>
      </c>
      <c r="G69" s="309" t="s">
        <v>375</v>
      </c>
      <c r="H69" s="132" t="s">
        <v>1508</v>
      </c>
      <c r="I69" s="132" t="s">
        <v>1998</v>
      </c>
      <c r="J69" s="132"/>
      <c r="K69" s="132" t="s">
        <v>1999</v>
      </c>
      <c r="L69" s="132"/>
      <c r="M69" s="134"/>
      <c r="N69" s="134"/>
      <c r="O69" s="363"/>
      <c r="P69" s="135"/>
      <c r="Q69" s="362"/>
      <c r="R69" s="363"/>
      <c r="S69" s="363"/>
      <c r="T69" s="135"/>
      <c r="U69" s="364"/>
      <c r="V69" s="135"/>
      <c r="W69" s="135"/>
      <c r="X69" s="134"/>
      <c r="Y69" s="135" t="s">
        <v>109</v>
      </c>
      <c r="Z69" s="365">
        <v>1.0</v>
      </c>
      <c r="AA69" s="355" t="str">
        <f t="shared" si="1"/>
        <v/>
      </c>
      <c r="AB69" s="135"/>
      <c r="AC69" s="366" t="str">
        <f t="shared" si="2"/>
        <v>-</v>
      </c>
      <c r="AD69" s="362" t="s">
        <v>2000</v>
      </c>
      <c r="AE69" s="362" t="s">
        <v>2001</v>
      </c>
      <c r="AF69" s="362"/>
      <c r="AG69" s="367"/>
      <c r="AH69" s="367"/>
      <c r="AI69" s="134"/>
      <c r="AJ69" s="134"/>
      <c r="AK69" s="135"/>
    </row>
    <row r="70">
      <c r="A70" s="352"/>
      <c r="B70" s="353" t="s">
        <v>2002</v>
      </c>
      <c r="C70" s="112" t="s">
        <v>2002</v>
      </c>
      <c r="D70" s="112" t="s">
        <v>67</v>
      </c>
      <c r="E70" s="123">
        <v>45901.0</v>
      </c>
      <c r="F70" s="354" t="s">
        <v>2003</v>
      </c>
      <c r="G70" s="146" t="s">
        <v>303</v>
      </c>
      <c r="H70" s="112" t="s">
        <v>1763</v>
      </c>
      <c r="I70" s="112" t="s">
        <v>2004</v>
      </c>
      <c r="J70" s="112"/>
      <c r="K70" s="112"/>
      <c r="L70" s="112"/>
      <c r="M70" s="123"/>
      <c r="N70" s="123"/>
      <c r="O70" s="355"/>
      <c r="P70" s="114"/>
      <c r="Q70" s="354"/>
      <c r="R70" s="355"/>
      <c r="S70" s="355"/>
      <c r="T70" s="114"/>
      <c r="U70" s="356"/>
      <c r="V70" s="114"/>
      <c r="W70" s="114"/>
      <c r="X70" s="123"/>
      <c r="Y70" s="114" t="s">
        <v>95</v>
      </c>
      <c r="Z70" s="357">
        <v>0.0</v>
      </c>
      <c r="AA70" s="355" t="str">
        <f t="shared" si="1"/>
        <v/>
      </c>
      <c r="AB70" s="114"/>
      <c r="AC70" s="358" t="str">
        <f t="shared" si="2"/>
        <v>-</v>
      </c>
      <c r="AD70" s="354" t="s">
        <v>2005</v>
      </c>
      <c r="AE70" s="354" t="s">
        <v>2006</v>
      </c>
      <c r="AF70" s="354"/>
      <c r="AG70" s="359"/>
      <c r="AH70" s="359"/>
      <c r="AI70" s="123"/>
      <c r="AJ70" s="123"/>
      <c r="AK70" s="114"/>
    </row>
    <row r="71">
      <c r="A71" s="360"/>
      <c r="B71" s="361" t="s">
        <v>2007</v>
      </c>
      <c r="C71" s="132" t="s">
        <v>2007</v>
      </c>
      <c r="D71" s="132" t="s">
        <v>67</v>
      </c>
      <c r="E71" s="134">
        <v>45901.0</v>
      </c>
      <c r="F71" s="362" t="s">
        <v>1878</v>
      </c>
      <c r="G71" s="132" t="s">
        <v>267</v>
      </c>
      <c r="H71" s="132"/>
      <c r="I71" s="132" t="s">
        <v>1702</v>
      </c>
      <c r="J71" s="132"/>
      <c r="K71" s="132" t="s">
        <v>1703</v>
      </c>
      <c r="L71" s="132"/>
      <c r="M71" s="134"/>
      <c r="N71" s="134"/>
      <c r="O71" s="363"/>
      <c r="P71" s="135"/>
      <c r="Q71" s="362"/>
      <c r="R71" s="363"/>
      <c r="S71" s="363">
        <v>28000.0</v>
      </c>
      <c r="T71" s="135"/>
      <c r="U71" s="364"/>
      <c r="V71" s="135"/>
      <c r="W71" s="135"/>
      <c r="X71" s="134"/>
      <c r="Y71" s="114" t="s">
        <v>95</v>
      </c>
      <c r="Z71" s="365">
        <v>0.0</v>
      </c>
      <c r="AA71" s="355" t="str">
        <f t="shared" si="1"/>
        <v/>
      </c>
      <c r="AB71" s="135" t="s">
        <v>1667</v>
      </c>
      <c r="AC71" s="366" t="str">
        <f t="shared" si="2"/>
        <v>-</v>
      </c>
      <c r="AD71" s="362" t="s">
        <v>2008</v>
      </c>
      <c r="AE71" s="362" t="s">
        <v>2009</v>
      </c>
      <c r="AF71" s="362" t="s">
        <v>2010</v>
      </c>
      <c r="AG71" s="367">
        <v>46087.0</v>
      </c>
      <c r="AH71" s="367"/>
      <c r="AI71" s="134"/>
      <c r="AJ71" s="134"/>
      <c r="AK71" s="135"/>
    </row>
    <row r="72">
      <c r="A72" s="352"/>
      <c r="B72" s="353" t="s">
        <v>2011</v>
      </c>
      <c r="C72" s="112" t="s">
        <v>2011</v>
      </c>
      <c r="D72" s="112" t="s">
        <v>67</v>
      </c>
      <c r="E72" s="123">
        <v>45901.0</v>
      </c>
      <c r="F72" s="354" t="s">
        <v>2012</v>
      </c>
      <c r="G72" s="146" t="s">
        <v>375</v>
      </c>
      <c r="H72" s="112" t="s">
        <v>1508</v>
      </c>
      <c r="I72" s="112" t="s">
        <v>1702</v>
      </c>
      <c r="J72" s="112"/>
      <c r="K72" s="112"/>
      <c r="L72" s="112"/>
      <c r="M72" s="123"/>
      <c r="N72" s="123"/>
      <c r="O72" s="355"/>
      <c r="P72" s="114"/>
      <c r="Q72" s="354"/>
      <c r="R72" s="355"/>
      <c r="S72" s="355">
        <v>6000.0</v>
      </c>
      <c r="T72" s="114"/>
      <c r="U72" s="356"/>
      <c r="V72" s="114"/>
      <c r="W72" s="114"/>
      <c r="X72" s="123"/>
      <c r="Y72" s="114" t="s">
        <v>109</v>
      </c>
      <c r="Z72" s="357">
        <v>1.0</v>
      </c>
      <c r="AA72" s="355" t="str">
        <f t="shared" si="1"/>
        <v/>
      </c>
      <c r="AB72" s="114" t="s">
        <v>1667</v>
      </c>
      <c r="AC72" s="358" t="str">
        <f t="shared" si="2"/>
        <v>-</v>
      </c>
      <c r="AD72" s="354"/>
      <c r="AE72" s="354"/>
      <c r="AF72" s="354"/>
      <c r="AG72" s="359">
        <v>46087.0</v>
      </c>
      <c r="AH72" s="359"/>
      <c r="AI72" s="123"/>
      <c r="AJ72" s="123"/>
      <c r="AK72" s="114"/>
    </row>
    <row r="73">
      <c r="A73" s="360"/>
      <c r="B73" s="361" t="s">
        <v>2013</v>
      </c>
      <c r="C73" s="132" t="s">
        <v>2013</v>
      </c>
      <c r="D73" s="132"/>
      <c r="E73" s="134">
        <v>45901.0</v>
      </c>
      <c r="F73" s="362" t="s">
        <v>2014</v>
      </c>
      <c r="G73" s="132" t="s">
        <v>267</v>
      </c>
      <c r="H73" s="132" t="s">
        <v>1508</v>
      </c>
      <c r="I73" s="132" t="s">
        <v>1702</v>
      </c>
      <c r="J73" s="132"/>
      <c r="K73" s="132" t="s">
        <v>2015</v>
      </c>
      <c r="L73" s="132"/>
      <c r="M73" s="134"/>
      <c r="N73" s="134"/>
      <c r="O73" s="363"/>
      <c r="P73" s="135"/>
      <c r="Q73" s="362"/>
      <c r="R73" s="363"/>
      <c r="S73" s="363">
        <v>20987.0</v>
      </c>
      <c r="T73" s="135"/>
      <c r="U73" s="364"/>
      <c r="V73" s="135"/>
      <c r="W73" s="135"/>
      <c r="X73" s="134"/>
      <c r="Y73" s="135" t="s">
        <v>109</v>
      </c>
      <c r="Z73" s="365">
        <v>1.0</v>
      </c>
      <c r="AA73" s="355" t="str">
        <f t="shared" si="1"/>
        <v/>
      </c>
      <c r="AB73" s="135" t="s">
        <v>1667</v>
      </c>
      <c r="AC73" s="366" t="str">
        <f t="shared" si="2"/>
        <v>-</v>
      </c>
      <c r="AD73" s="362" t="s">
        <v>1947</v>
      </c>
      <c r="AE73" s="362"/>
      <c r="AF73" s="362" t="s">
        <v>1947</v>
      </c>
      <c r="AG73" s="367">
        <v>46087.0</v>
      </c>
      <c r="AH73" s="367"/>
      <c r="AI73" s="134"/>
      <c r="AJ73" s="134"/>
      <c r="AK73" s="135"/>
    </row>
    <row r="74">
      <c r="A74" s="352"/>
      <c r="B74" s="353" t="s">
        <v>2016</v>
      </c>
      <c r="C74" s="112" t="s">
        <v>2016</v>
      </c>
      <c r="D74" s="112"/>
      <c r="E74" s="123">
        <v>45901.0</v>
      </c>
      <c r="F74" s="354" t="s">
        <v>2017</v>
      </c>
      <c r="G74" s="112" t="s">
        <v>267</v>
      </c>
      <c r="H74" s="112"/>
      <c r="I74" s="112" t="s">
        <v>2018</v>
      </c>
      <c r="J74" s="112"/>
      <c r="K74" s="112"/>
      <c r="L74" s="112"/>
      <c r="M74" s="123"/>
      <c r="N74" s="123"/>
      <c r="O74" s="355"/>
      <c r="P74" s="114"/>
      <c r="Q74" s="354"/>
      <c r="R74" s="355"/>
      <c r="S74" s="355">
        <v>2400.0</v>
      </c>
      <c r="T74" s="114"/>
      <c r="U74" s="356"/>
      <c r="V74" s="114"/>
      <c r="W74" s="114" t="s">
        <v>1666</v>
      </c>
      <c r="X74" s="123"/>
      <c r="Y74" s="114" t="s">
        <v>109</v>
      </c>
      <c r="Z74" s="357">
        <v>1.0</v>
      </c>
      <c r="AA74" s="355" t="str">
        <f t="shared" si="1"/>
        <v/>
      </c>
      <c r="AB74" s="114" t="s">
        <v>1667</v>
      </c>
      <c r="AC74" s="358" t="str">
        <f t="shared" si="2"/>
        <v>-</v>
      </c>
      <c r="AD74" s="354"/>
      <c r="AE74" s="354"/>
      <c r="AF74" s="354"/>
      <c r="AG74" s="359">
        <v>46087.0</v>
      </c>
      <c r="AH74" s="359"/>
      <c r="AI74" s="123"/>
      <c r="AJ74" s="123"/>
      <c r="AK74" s="114"/>
    </row>
    <row r="75">
      <c r="A75" s="360"/>
      <c r="B75" s="361" t="s">
        <v>2019</v>
      </c>
      <c r="C75" s="132" t="s">
        <v>2020</v>
      </c>
      <c r="D75" s="132"/>
      <c r="E75" s="134">
        <v>45901.0</v>
      </c>
      <c r="F75" s="362" t="s">
        <v>1946</v>
      </c>
      <c r="G75" s="132" t="s">
        <v>267</v>
      </c>
      <c r="H75" s="132"/>
      <c r="I75" s="132" t="s">
        <v>1702</v>
      </c>
      <c r="J75" s="132"/>
      <c r="K75" s="132" t="s">
        <v>2021</v>
      </c>
      <c r="L75" s="132"/>
      <c r="M75" s="134"/>
      <c r="N75" s="134"/>
      <c r="O75" s="363"/>
      <c r="P75" s="135"/>
      <c r="Q75" s="362"/>
      <c r="R75" s="363"/>
      <c r="S75" s="363">
        <v>45000.0</v>
      </c>
      <c r="T75" s="135"/>
      <c r="U75" s="364"/>
      <c r="V75" s="135"/>
      <c r="W75" s="135"/>
      <c r="X75" s="134"/>
      <c r="Y75" s="135" t="s">
        <v>1731</v>
      </c>
      <c r="Z75" s="365">
        <v>0.0</v>
      </c>
      <c r="AA75" s="355" t="str">
        <f t="shared" si="1"/>
        <v/>
      </c>
      <c r="AB75" s="135" t="s">
        <v>1667</v>
      </c>
      <c r="AC75" s="366">
        <f t="shared" si="2"/>
        <v>219</v>
      </c>
      <c r="AD75" s="362"/>
      <c r="AE75" s="362"/>
      <c r="AF75" s="362"/>
      <c r="AG75" s="367">
        <v>46087.0</v>
      </c>
      <c r="AH75" s="367"/>
      <c r="AI75" s="134"/>
      <c r="AJ75" s="134"/>
      <c r="AK75" s="135"/>
    </row>
    <row r="76">
      <c r="A76" s="352"/>
      <c r="B76" s="353" t="s">
        <v>2022</v>
      </c>
      <c r="C76" s="112" t="s">
        <v>2023</v>
      </c>
      <c r="D76" s="112" t="s">
        <v>149</v>
      </c>
      <c r="E76" s="123">
        <v>45931.0</v>
      </c>
      <c r="F76" s="354" t="s">
        <v>2024</v>
      </c>
      <c r="G76" s="146" t="s">
        <v>375</v>
      </c>
      <c r="H76" s="112" t="s">
        <v>1508</v>
      </c>
      <c r="I76" s="112" t="s">
        <v>2025</v>
      </c>
      <c r="J76" s="112"/>
      <c r="K76" s="112" t="s">
        <v>2026</v>
      </c>
      <c r="L76" s="112"/>
      <c r="M76" s="123"/>
      <c r="N76" s="123"/>
      <c r="O76" s="355"/>
      <c r="P76" s="114"/>
      <c r="Q76" s="354"/>
      <c r="R76" s="355"/>
      <c r="S76" s="355">
        <v>800.0</v>
      </c>
      <c r="T76" s="114"/>
      <c r="U76" s="356"/>
      <c r="V76" s="114"/>
      <c r="W76" s="114"/>
      <c r="X76" s="123"/>
      <c r="Y76" s="114" t="s">
        <v>109</v>
      </c>
      <c r="Z76" s="357">
        <v>1.0</v>
      </c>
      <c r="AA76" s="355" t="str">
        <f t="shared" si="1"/>
        <v/>
      </c>
      <c r="AB76" s="114" t="s">
        <v>1667</v>
      </c>
      <c r="AC76" s="358" t="str">
        <f t="shared" si="2"/>
        <v>-</v>
      </c>
      <c r="AD76" s="354" t="s">
        <v>2027</v>
      </c>
      <c r="AE76" s="354" t="s">
        <v>2028</v>
      </c>
      <c r="AF76" s="354" t="s">
        <v>2029</v>
      </c>
      <c r="AG76" s="359">
        <v>46087.0</v>
      </c>
      <c r="AH76" s="359"/>
      <c r="AI76" s="123"/>
      <c r="AJ76" s="123"/>
      <c r="AK76" s="114"/>
    </row>
    <row r="77">
      <c r="A77" s="360"/>
      <c r="B77" s="361" t="s">
        <v>2030</v>
      </c>
      <c r="C77" s="132" t="s">
        <v>2030</v>
      </c>
      <c r="D77" s="132" t="s">
        <v>150</v>
      </c>
      <c r="E77" s="134">
        <v>45962.0</v>
      </c>
      <c r="F77" s="362" t="s">
        <v>2031</v>
      </c>
      <c r="G77" s="132" t="s">
        <v>267</v>
      </c>
      <c r="H77" s="132" t="s">
        <v>1508</v>
      </c>
      <c r="I77" s="132" t="s">
        <v>2032</v>
      </c>
      <c r="J77" s="132"/>
      <c r="K77" s="132">
        <v>3000.0</v>
      </c>
      <c r="L77" s="132"/>
      <c r="M77" s="134"/>
      <c r="N77" s="134"/>
      <c r="O77" s="363"/>
      <c r="P77" s="135"/>
      <c r="Q77" s="362"/>
      <c r="R77" s="363"/>
      <c r="S77" s="363">
        <v>23339.35</v>
      </c>
      <c r="T77" s="135"/>
      <c r="U77" s="364"/>
      <c r="V77" s="135"/>
      <c r="W77" s="135" t="s">
        <v>1666</v>
      </c>
      <c r="X77" s="134"/>
      <c r="Y77" s="135" t="s">
        <v>109</v>
      </c>
      <c r="Z77" s="365">
        <v>1.0</v>
      </c>
      <c r="AA77" s="355" t="str">
        <f t="shared" si="1"/>
        <v/>
      </c>
      <c r="AB77" s="135" t="s">
        <v>1667</v>
      </c>
      <c r="AC77" s="366" t="str">
        <f t="shared" si="2"/>
        <v>-</v>
      </c>
      <c r="AD77" s="362" t="s">
        <v>2033</v>
      </c>
      <c r="AE77" s="362" t="s">
        <v>2034</v>
      </c>
      <c r="AF77" s="362" t="s">
        <v>2033</v>
      </c>
      <c r="AG77" s="367">
        <v>46087.0</v>
      </c>
      <c r="AH77" s="367"/>
      <c r="AI77" s="134"/>
      <c r="AJ77" s="134"/>
      <c r="AK77" s="135"/>
    </row>
    <row r="78">
      <c r="A78" s="352"/>
      <c r="B78" s="353" t="s">
        <v>2035</v>
      </c>
      <c r="C78" s="112" t="s">
        <v>2035</v>
      </c>
      <c r="D78" s="112" t="s">
        <v>150</v>
      </c>
      <c r="E78" s="123">
        <v>45962.0</v>
      </c>
      <c r="F78" s="354" t="s">
        <v>2036</v>
      </c>
      <c r="G78" s="112" t="s">
        <v>267</v>
      </c>
      <c r="H78" s="112" t="s">
        <v>1508</v>
      </c>
      <c r="I78" s="112" t="s">
        <v>2037</v>
      </c>
      <c r="J78" s="112"/>
      <c r="K78" s="112" t="s">
        <v>2038</v>
      </c>
      <c r="L78" s="112"/>
      <c r="N78" s="123"/>
      <c r="O78" s="355"/>
      <c r="P78" s="114"/>
      <c r="Q78" s="354"/>
      <c r="R78" s="355"/>
      <c r="S78" s="355">
        <v>0.7</v>
      </c>
      <c r="T78" s="114"/>
      <c r="U78" s="356"/>
      <c r="V78" s="114"/>
      <c r="W78" s="114" t="s">
        <v>1666</v>
      </c>
      <c r="X78" s="123"/>
      <c r="Y78" s="114" t="s">
        <v>109</v>
      </c>
      <c r="Z78" s="357">
        <v>1.0</v>
      </c>
      <c r="AA78" s="355" t="str">
        <f t="shared" si="1"/>
        <v/>
      </c>
      <c r="AB78" s="114" t="s">
        <v>1667</v>
      </c>
      <c r="AC78" s="358" t="str">
        <f t="shared" si="2"/>
        <v>-</v>
      </c>
      <c r="AD78" s="354" t="s">
        <v>2039</v>
      </c>
      <c r="AE78" s="354" t="s">
        <v>2040</v>
      </c>
      <c r="AF78" s="354" t="s">
        <v>2041</v>
      </c>
      <c r="AG78" s="359">
        <v>46087.0</v>
      </c>
      <c r="AH78" s="359"/>
      <c r="AI78" s="123"/>
      <c r="AJ78" s="123"/>
      <c r="AK78" s="114"/>
    </row>
    <row r="79">
      <c r="A79" s="360"/>
      <c r="B79" s="361" t="s">
        <v>2042</v>
      </c>
      <c r="C79" s="132" t="s">
        <v>2042</v>
      </c>
      <c r="D79" s="132" t="s">
        <v>149</v>
      </c>
      <c r="E79" s="134">
        <v>45992.0</v>
      </c>
      <c r="F79" s="362" t="s">
        <v>2043</v>
      </c>
      <c r="G79" s="309" t="s">
        <v>375</v>
      </c>
      <c r="H79" s="132" t="s">
        <v>1508</v>
      </c>
      <c r="I79" s="132" t="s">
        <v>2044</v>
      </c>
      <c r="J79" s="132"/>
      <c r="K79" s="132" t="s">
        <v>2045</v>
      </c>
      <c r="L79" s="132"/>
      <c r="M79" s="134"/>
      <c r="N79" s="134"/>
      <c r="O79" s="363"/>
      <c r="P79" s="135"/>
      <c r="Q79" s="362"/>
      <c r="R79" s="363"/>
      <c r="S79" s="363"/>
      <c r="T79" s="135"/>
      <c r="U79" s="364"/>
      <c r="V79" s="135"/>
      <c r="W79" s="135"/>
      <c r="X79" s="134"/>
      <c r="Y79" s="135" t="s">
        <v>95</v>
      </c>
      <c r="Z79" s="365">
        <v>0.0</v>
      </c>
      <c r="AA79" s="355" t="str">
        <f t="shared" si="1"/>
        <v/>
      </c>
      <c r="AB79" s="135"/>
      <c r="AC79" s="366" t="str">
        <f t="shared" si="2"/>
        <v>-</v>
      </c>
      <c r="AD79" s="362" t="s">
        <v>2046</v>
      </c>
      <c r="AE79" s="362" t="s">
        <v>2047</v>
      </c>
      <c r="AF79" s="362"/>
      <c r="AG79" s="367"/>
      <c r="AH79" s="367"/>
      <c r="AI79" s="134"/>
      <c r="AJ79" s="134"/>
      <c r="AK79" s="135"/>
    </row>
    <row r="80">
      <c r="A80" s="352"/>
      <c r="B80" s="353" t="s">
        <v>2048</v>
      </c>
      <c r="C80" s="112" t="s">
        <v>2048</v>
      </c>
      <c r="D80" s="112" t="s">
        <v>149</v>
      </c>
      <c r="E80" s="123">
        <v>45992.0</v>
      </c>
      <c r="F80" s="354" t="s">
        <v>2049</v>
      </c>
      <c r="G80" s="146" t="s">
        <v>375</v>
      </c>
      <c r="H80" s="112" t="s">
        <v>1377</v>
      </c>
      <c r="I80" s="112" t="s">
        <v>2050</v>
      </c>
      <c r="J80" s="112"/>
      <c r="K80" s="112" t="s">
        <v>2051</v>
      </c>
      <c r="L80" s="112"/>
      <c r="M80" s="123"/>
      <c r="N80" s="123"/>
      <c r="O80" s="355"/>
      <c r="P80" s="114"/>
      <c r="Q80" s="354"/>
      <c r="R80" s="355"/>
      <c r="S80" s="355">
        <v>0.7002</v>
      </c>
      <c r="T80" s="114"/>
      <c r="U80" s="356"/>
      <c r="V80" s="114"/>
      <c r="W80" s="114"/>
      <c r="X80" s="123"/>
      <c r="Y80" s="114" t="s">
        <v>95</v>
      </c>
      <c r="Z80" s="357">
        <v>0.0</v>
      </c>
      <c r="AA80" s="355" t="str">
        <f t="shared" si="1"/>
        <v/>
      </c>
      <c r="AB80" s="114"/>
      <c r="AC80" s="358" t="str">
        <f t="shared" si="2"/>
        <v>-</v>
      </c>
      <c r="AD80" s="354" t="s">
        <v>2052</v>
      </c>
      <c r="AE80" s="354" t="s">
        <v>2053</v>
      </c>
      <c r="AF80" s="354"/>
      <c r="AG80" s="359"/>
      <c r="AH80" s="359"/>
      <c r="AI80" s="123"/>
      <c r="AJ80" s="123"/>
      <c r="AK80" s="114"/>
    </row>
    <row r="81">
      <c r="A81" s="360"/>
      <c r="B81" s="361" t="s">
        <v>2054</v>
      </c>
      <c r="C81" s="132" t="s">
        <v>2055</v>
      </c>
      <c r="D81" s="132" t="s">
        <v>149</v>
      </c>
      <c r="E81" s="134">
        <v>45992.0</v>
      </c>
      <c r="F81" s="362" t="s">
        <v>2056</v>
      </c>
      <c r="G81" s="309" t="s">
        <v>375</v>
      </c>
      <c r="H81" s="132" t="s">
        <v>1498</v>
      </c>
      <c r="I81" s="132" t="s">
        <v>2057</v>
      </c>
      <c r="J81" s="132"/>
      <c r="K81" s="132" t="s">
        <v>2058</v>
      </c>
      <c r="L81" s="132"/>
      <c r="M81" s="134"/>
      <c r="N81" s="134"/>
      <c r="O81" s="363"/>
      <c r="P81" s="135"/>
      <c r="Q81" s="362"/>
      <c r="R81" s="363"/>
      <c r="S81" s="363">
        <v>20.0</v>
      </c>
      <c r="T81" s="135"/>
      <c r="U81" s="364"/>
      <c r="V81" s="135"/>
      <c r="W81" s="135"/>
      <c r="X81" s="134"/>
      <c r="Y81" s="135" t="s">
        <v>95</v>
      </c>
      <c r="Z81" s="365">
        <v>0.0</v>
      </c>
      <c r="AA81" s="355" t="str">
        <f t="shared" si="1"/>
        <v/>
      </c>
      <c r="AB81" s="135"/>
      <c r="AC81" s="366" t="str">
        <f t="shared" si="2"/>
        <v>-</v>
      </c>
      <c r="AD81" s="362" t="s">
        <v>2059</v>
      </c>
      <c r="AE81" s="362" t="s">
        <v>2060</v>
      </c>
      <c r="AF81" s="362"/>
      <c r="AG81" s="367"/>
      <c r="AH81" s="367"/>
      <c r="AI81" s="134"/>
      <c r="AJ81" s="134"/>
      <c r="AK81" s="135"/>
    </row>
    <row r="82">
      <c r="A82" s="352"/>
      <c r="B82" s="353" t="s">
        <v>2061</v>
      </c>
      <c r="C82" s="112" t="s">
        <v>2062</v>
      </c>
      <c r="D82" s="112" t="s">
        <v>149</v>
      </c>
      <c r="E82" s="123">
        <v>45992.0</v>
      </c>
      <c r="F82" s="354" t="s">
        <v>2063</v>
      </c>
      <c r="G82" s="146" t="s">
        <v>375</v>
      </c>
      <c r="H82" s="112" t="s">
        <v>1508</v>
      </c>
      <c r="I82" s="112" t="s">
        <v>2064</v>
      </c>
      <c r="J82" s="112"/>
      <c r="K82" s="112" t="s">
        <v>2065</v>
      </c>
      <c r="L82" s="112"/>
      <c r="M82" s="123"/>
      <c r="N82" s="123"/>
      <c r="O82" s="355"/>
      <c r="P82" s="114"/>
      <c r="Q82" s="354"/>
      <c r="R82" s="355"/>
      <c r="S82" s="355"/>
      <c r="T82" s="114"/>
      <c r="U82" s="356"/>
      <c r="V82" s="114"/>
      <c r="W82" s="114" t="s">
        <v>1675</v>
      </c>
      <c r="X82" s="123"/>
      <c r="Y82" s="114" t="s">
        <v>95</v>
      </c>
      <c r="Z82" s="357">
        <v>0.0</v>
      </c>
      <c r="AA82" s="355" t="str">
        <f t="shared" si="1"/>
        <v/>
      </c>
      <c r="AB82" s="114"/>
      <c r="AC82" s="358" t="str">
        <f t="shared" si="2"/>
        <v>-</v>
      </c>
      <c r="AD82" s="354" t="s">
        <v>2066</v>
      </c>
      <c r="AE82" s="354" t="s">
        <v>2067</v>
      </c>
      <c r="AF82" s="354"/>
      <c r="AG82" s="359"/>
      <c r="AH82" s="359"/>
      <c r="AI82" s="123"/>
      <c r="AJ82" s="123"/>
      <c r="AK82" s="114"/>
    </row>
    <row r="83">
      <c r="A83" s="360"/>
      <c r="B83" s="361" t="s">
        <v>2068</v>
      </c>
      <c r="C83" s="132" t="s">
        <v>2068</v>
      </c>
      <c r="D83" s="132" t="s">
        <v>150</v>
      </c>
      <c r="E83" s="134">
        <v>45992.0</v>
      </c>
      <c r="F83" s="362" t="s">
        <v>2069</v>
      </c>
      <c r="G83" s="309" t="s">
        <v>303</v>
      </c>
      <c r="H83" s="132"/>
      <c r="I83" s="132" t="s">
        <v>1856</v>
      </c>
      <c r="J83" s="132"/>
      <c r="K83" s="132" t="s">
        <v>1796</v>
      </c>
      <c r="L83" s="132"/>
      <c r="M83" s="134"/>
      <c r="N83" s="134"/>
      <c r="O83" s="363"/>
      <c r="P83" s="135"/>
      <c r="Q83" s="362"/>
      <c r="R83" s="363"/>
      <c r="S83" s="363">
        <v>1500.0</v>
      </c>
      <c r="T83" s="135"/>
      <c r="U83" s="364"/>
      <c r="V83" s="135"/>
      <c r="W83" s="135" t="s">
        <v>1666</v>
      </c>
      <c r="X83" s="134"/>
      <c r="Y83" s="135" t="s">
        <v>109</v>
      </c>
      <c r="Z83" s="365">
        <v>1.0</v>
      </c>
      <c r="AA83" s="355" t="str">
        <f t="shared" si="1"/>
        <v/>
      </c>
      <c r="AB83" s="135" t="s">
        <v>1667</v>
      </c>
      <c r="AC83" s="366" t="str">
        <f t="shared" si="2"/>
        <v>-</v>
      </c>
      <c r="AD83" s="362" t="s">
        <v>2070</v>
      </c>
      <c r="AE83" s="362" t="s">
        <v>2071</v>
      </c>
      <c r="AF83" s="362" t="s">
        <v>2072</v>
      </c>
      <c r="AG83" s="367">
        <v>46087.0</v>
      </c>
      <c r="AH83" s="367"/>
      <c r="AI83" s="134"/>
      <c r="AJ83" s="134"/>
      <c r="AK83" s="135"/>
    </row>
    <row r="84">
      <c r="A84" s="352" t="s">
        <v>2073</v>
      </c>
      <c r="B84" s="353" t="s">
        <v>2074</v>
      </c>
      <c r="C84" s="112" t="s">
        <v>2075</v>
      </c>
      <c r="D84" s="112" t="s">
        <v>149</v>
      </c>
      <c r="E84" s="123">
        <v>46023.0</v>
      </c>
      <c r="F84" s="354" t="s">
        <v>2076</v>
      </c>
      <c r="G84" s="146" t="s">
        <v>375</v>
      </c>
      <c r="H84" s="112" t="s">
        <v>1508</v>
      </c>
      <c r="I84" s="112" t="s">
        <v>1921</v>
      </c>
      <c r="J84" s="112"/>
      <c r="K84" s="112" t="s">
        <v>2077</v>
      </c>
      <c r="L84" s="112"/>
      <c r="M84" s="123"/>
      <c r="N84" s="123"/>
      <c r="O84" s="355"/>
      <c r="P84" s="114"/>
      <c r="Q84" s="354"/>
      <c r="R84" s="355"/>
      <c r="S84" s="355">
        <v>650.0</v>
      </c>
      <c r="T84" s="114"/>
      <c r="U84" s="356"/>
      <c r="V84" s="114"/>
      <c r="W84" s="114" t="s">
        <v>1666</v>
      </c>
      <c r="X84" s="123"/>
      <c r="Y84" s="114" t="s">
        <v>109</v>
      </c>
      <c r="Z84" s="357">
        <v>1.0</v>
      </c>
      <c r="AA84" s="355" t="str">
        <f t="shared" si="1"/>
        <v/>
      </c>
      <c r="AB84" s="114" t="s">
        <v>1667</v>
      </c>
      <c r="AC84" s="358" t="str">
        <f t="shared" si="2"/>
        <v>-</v>
      </c>
      <c r="AD84" s="354" t="s">
        <v>1848</v>
      </c>
      <c r="AE84" s="354" t="s">
        <v>2078</v>
      </c>
      <c r="AF84" s="354" t="s">
        <v>1848</v>
      </c>
      <c r="AG84" s="359">
        <v>46087.0</v>
      </c>
      <c r="AH84" s="359"/>
      <c r="AI84" s="123"/>
      <c r="AJ84" s="123"/>
      <c r="AK84" s="114"/>
    </row>
    <row r="85">
      <c r="A85" s="360" t="s">
        <v>2079</v>
      </c>
      <c r="B85" s="361" t="s">
        <v>2080</v>
      </c>
      <c r="C85" s="132" t="s">
        <v>643</v>
      </c>
      <c r="D85" s="132" t="s">
        <v>149</v>
      </c>
      <c r="E85" s="134">
        <v>46023.0</v>
      </c>
      <c r="F85" s="362" t="s">
        <v>2081</v>
      </c>
      <c r="G85" s="132" t="s">
        <v>267</v>
      </c>
      <c r="H85" s="132" t="s">
        <v>1508</v>
      </c>
      <c r="I85" s="132" t="s">
        <v>1921</v>
      </c>
      <c r="J85" s="132"/>
      <c r="K85" s="132" t="s">
        <v>2082</v>
      </c>
      <c r="L85" s="132"/>
      <c r="M85" s="134"/>
      <c r="N85" s="134"/>
      <c r="O85" s="363"/>
      <c r="P85" s="135"/>
      <c r="Q85" s="362"/>
      <c r="R85" s="363"/>
      <c r="S85" s="363">
        <v>12814.9</v>
      </c>
      <c r="T85" s="135"/>
      <c r="U85" s="364"/>
      <c r="V85" s="135"/>
      <c r="W85" s="135"/>
      <c r="X85" s="134"/>
      <c r="Y85" s="135" t="s">
        <v>95</v>
      </c>
      <c r="Z85" s="365">
        <v>0.0</v>
      </c>
      <c r="AA85" s="355" t="str">
        <f t="shared" si="1"/>
        <v/>
      </c>
      <c r="AB85" s="135" t="s">
        <v>1667</v>
      </c>
      <c r="AC85" s="366" t="str">
        <f t="shared" si="2"/>
        <v>-</v>
      </c>
      <c r="AD85" s="362" t="s">
        <v>2083</v>
      </c>
      <c r="AE85" s="362" t="s">
        <v>2084</v>
      </c>
      <c r="AF85" s="362" t="s">
        <v>2085</v>
      </c>
      <c r="AG85" s="367">
        <v>46087.0</v>
      </c>
      <c r="AH85" s="367"/>
      <c r="AI85" s="134"/>
      <c r="AJ85" s="134"/>
      <c r="AK85" s="135"/>
    </row>
    <row r="86">
      <c r="A86" s="352"/>
      <c r="B86" s="353" t="s">
        <v>2086</v>
      </c>
      <c r="C86" s="112" t="s">
        <v>2087</v>
      </c>
      <c r="D86" s="112" t="s">
        <v>149</v>
      </c>
      <c r="E86" s="123">
        <v>46054.0</v>
      </c>
      <c r="F86" s="354" t="s">
        <v>2088</v>
      </c>
      <c r="G86" s="112" t="s">
        <v>267</v>
      </c>
      <c r="H86" s="112" t="s">
        <v>1508</v>
      </c>
      <c r="I86" s="112" t="s">
        <v>2089</v>
      </c>
      <c r="J86" s="112"/>
      <c r="K86" s="112" t="s">
        <v>2090</v>
      </c>
      <c r="L86" s="112"/>
      <c r="M86" s="123"/>
      <c r="N86" s="123"/>
      <c r="O86" s="355"/>
      <c r="P86" s="114"/>
      <c r="Q86" s="354"/>
      <c r="R86" s="355"/>
      <c r="S86" s="355">
        <v>8510.0</v>
      </c>
      <c r="T86" s="114"/>
      <c r="U86" s="356"/>
      <c r="V86" s="114"/>
      <c r="W86" s="114" t="s">
        <v>1666</v>
      </c>
      <c r="X86" s="123"/>
      <c r="Y86" s="114" t="s">
        <v>109</v>
      </c>
      <c r="Z86" s="357">
        <v>1.0</v>
      </c>
      <c r="AA86" s="355" t="str">
        <f t="shared" si="1"/>
        <v/>
      </c>
      <c r="AB86" s="114" t="s">
        <v>1667</v>
      </c>
      <c r="AC86" s="358" t="str">
        <f t="shared" si="2"/>
        <v>-</v>
      </c>
      <c r="AD86" s="354" t="s">
        <v>2091</v>
      </c>
      <c r="AE86" s="354" t="s">
        <v>2092</v>
      </c>
      <c r="AF86" s="354" t="s">
        <v>2091</v>
      </c>
      <c r="AG86" s="359">
        <v>46087.0</v>
      </c>
      <c r="AH86" s="359"/>
      <c r="AI86" s="123"/>
      <c r="AJ86" s="123"/>
      <c r="AK86" s="114"/>
    </row>
    <row r="87">
      <c r="A87" s="360" t="s">
        <v>2093</v>
      </c>
      <c r="B87" s="361" t="s">
        <v>2094</v>
      </c>
      <c r="C87" s="132" t="s">
        <v>1021</v>
      </c>
      <c r="D87" s="132" t="s">
        <v>67</v>
      </c>
      <c r="E87" s="134">
        <v>46054.0</v>
      </c>
      <c r="F87" s="362" t="s">
        <v>2095</v>
      </c>
      <c r="G87" s="309" t="s">
        <v>375</v>
      </c>
      <c r="H87" s="132" t="s">
        <v>1508</v>
      </c>
      <c r="I87" s="132" t="s">
        <v>2096</v>
      </c>
      <c r="J87" s="132"/>
      <c r="K87" s="132" t="s">
        <v>2097</v>
      </c>
      <c r="L87" s="132"/>
      <c r="M87" s="134"/>
      <c r="N87" s="134"/>
      <c r="O87" s="363"/>
      <c r="P87" s="135" t="s">
        <v>1895</v>
      </c>
      <c r="Q87" s="362"/>
      <c r="R87" s="363"/>
      <c r="S87" s="363">
        <v>263.0</v>
      </c>
      <c r="T87" s="135"/>
      <c r="U87" s="364"/>
      <c r="V87" s="135"/>
      <c r="W87" s="135"/>
      <c r="X87" s="134"/>
      <c r="Y87" s="135" t="s">
        <v>95</v>
      </c>
      <c r="Z87" s="365">
        <v>0.0</v>
      </c>
      <c r="AA87" s="355" t="str">
        <f t="shared" si="1"/>
        <v/>
      </c>
      <c r="AB87" s="135" t="s">
        <v>1667</v>
      </c>
      <c r="AC87" s="366" t="str">
        <f t="shared" si="2"/>
        <v>-</v>
      </c>
      <c r="AD87" s="362" t="s">
        <v>2098</v>
      </c>
      <c r="AE87" s="362" t="s">
        <v>2099</v>
      </c>
      <c r="AF87" s="362" t="s">
        <v>2100</v>
      </c>
      <c r="AG87" s="367">
        <v>46087.0</v>
      </c>
      <c r="AH87" s="367"/>
      <c r="AI87" s="134"/>
      <c r="AJ87" s="134"/>
      <c r="AK87" s="135"/>
    </row>
    <row r="88">
      <c r="A88" s="352" t="s">
        <v>2101</v>
      </c>
      <c r="B88" s="353" t="s">
        <v>2102</v>
      </c>
      <c r="C88" s="112" t="s">
        <v>2102</v>
      </c>
      <c r="D88" s="112" t="s">
        <v>148</v>
      </c>
      <c r="E88" s="123">
        <v>46054.0</v>
      </c>
      <c r="F88" s="354" t="s">
        <v>2103</v>
      </c>
      <c r="G88" s="146" t="s">
        <v>375</v>
      </c>
      <c r="H88" s="112" t="s">
        <v>1573</v>
      </c>
      <c r="I88" s="112" t="s">
        <v>2104</v>
      </c>
      <c r="J88" s="112"/>
      <c r="K88" s="112" t="s">
        <v>2105</v>
      </c>
      <c r="L88" s="112"/>
      <c r="M88" s="123"/>
      <c r="N88" s="123"/>
      <c r="O88" s="355"/>
      <c r="P88" s="114" t="s">
        <v>1895</v>
      </c>
      <c r="Q88" s="354"/>
      <c r="R88" s="355"/>
      <c r="S88" s="355">
        <v>80000.0</v>
      </c>
      <c r="T88" s="114"/>
      <c r="U88" s="356"/>
      <c r="V88" s="114"/>
      <c r="W88" s="114"/>
      <c r="X88" s="123"/>
      <c r="Y88" s="124" t="s">
        <v>2106</v>
      </c>
      <c r="Z88" s="357">
        <v>0.3</v>
      </c>
      <c r="AA88" s="355">
        <f t="shared" si="1"/>
        <v>24000</v>
      </c>
      <c r="AB88" s="114" t="s">
        <v>1667</v>
      </c>
      <c r="AC88" s="358">
        <f t="shared" si="2"/>
        <v>66</v>
      </c>
      <c r="AD88" s="354" t="s">
        <v>2107</v>
      </c>
      <c r="AE88" s="354" t="s">
        <v>2108</v>
      </c>
      <c r="AF88" s="354" t="s">
        <v>2109</v>
      </c>
      <c r="AG88" s="359">
        <v>46087.0</v>
      </c>
      <c r="AH88" s="359"/>
      <c r="AI88" s="123"/>
      <c r="AJ88" s="123"/>
      <c r="AK88" s="114"/>
    </row>
    <row r="89">
      <c r="A89" s="360" t="s">
        <v>2110</v>
      </c>
      <c r="B89" s="361" t="s">
        <v>2111</v>
      </c>
      <c r="C89" s="132" t="s">
        <v>2111</v>
      </c>
      <c r="D89" s="132" t="s">
        <v>148</v>
      </c>
      <c r="E89" s="134">
        <v>46054.0</v>
      </c>
      <c r="F89" s="362" t="s">
        <v>2112</v>
      </c>
      <c r="G89" s="309" t="s">
        <v>375</v>
      </c>
      <c r="H89" s="132" t="s">
        <v>1508</v>
      </c>
      <c r="I89" s="132" t="s">
        <v>2113</v>
      </c>
      <c r="J89" s="132"/>
      <c r="K89" s="132" t="s">
        <v>2114</v>
      </c>
      <c r="L89" s="132"/>
      <c r="M89" s="134"/>
      <c r="N89" s="134"/>
      <c r="O89" s="363"/>
      <c r="P89" s="135"/>
      <c r="Q89" s="362"/>
      <c r="R89" s="363"/>
      <c r="S89" s="363">
        <v>37000.0</v>
      </c>
      <c r="T89" s="135"/>
      <c r="U89" s="364"/>
      <c r="V89" s="135"/>
      <c r="W89" s="135"/>
      <c r="X89" s="134"/>
      <c r="Y89" s="135" t="s">
        <v>95</v>
      </c>
      <c r="Z89" s="365">
        <v>0.0</v>
      </c>
      <c r="AA89" s="355" t="str">
        <f t="shared" si="1"/>
        <v/>
      </c>
      <c r="AB89" s="135" t="s">
        <v>1667</v>
      </c>
      <c r="AC89" s="366" t="str">
        <f t="shared" si="2"/>
        <v>-</v>
      </c>
      <c r="AD89" s="362" t="s">
        <v>2115</v>
      </c>
      <c r="AE89" s="362" t="s">
        <v>2116</v>
      </c>
      <c r="AF89" s="362" t="s">
        <v>2117</v>
      </c>
      <c r="AG89" s="367">
        <v>46087.0</v>
      </c>
      <c r="AH89" s="369"/>
      <c r="AI89" s="134"/>
      <c r="AJ89" s="134"/>
      <c r="AK89" s="135"/>
    </row>
    <row r="90">
      <c r="A90" s="352"/>
      <c r="B90" s="353" t="s">
        <v>2118</v>
      </c>
      <c r="C90" s="112" t="s">
        <v>2119</v>
      </c>
      <c r="D90" s="112" t="s">
        <v>149</v>
      </c>
      <c r="E90" s="123">
        <v>46054.0</v>
      </c>
      <c r="F90" s="354" t="s">
        <v>2120</v>
      </c>
      <c r="G90" s="146" t="s">
        <v>375</v>
      </c>
      <c r="H90" s="112" t="s">
        <v>1377</v>
      </c>
      <c r="I90" s="112" t="s">
        <v>2121</v>
      </c>
      <c r="J90" s="112"/>
      <c r="K90" s="112" t="s">
        <v>2122</v>
      </c>
      <c r="L90" s="112"/>
      <c r="M90" s="123"/>
      <c r="N90" s="123"/>
      <c r="O90" s="355"/>
      <c r="P90" s="114"/>
      <c r="Q90" s="354"/>
      <c r="R90" s="355"/>
      <c r="S90" s="355"/>
      <c r="T90" s="114"/>
      <c r="U90" s="356"/>
      <c r="V90" s="114"/>
      <c r="W90" s="114"/>
      <c r="X90" s="123"/>
      <c r="Y90" s="114" t="s">
        <v>104</v>
      </c>
      <c r="Z90" s="357"/>
      <c r="AA90" s="355" t="str">
        <f t="shared" si="1"/>
        <v/>
      </c>
      <c r="AB90" s="114"/>
      <c r="AC90" s="358">
        <f t="shared" si="2"/>
        <v>66</v>
      </c>
      <c r="AD90" s="354" t="s">
        <v>2123</v>
      </c>
      <c r="AE90" s="354" t="s">
        <v>2124</v>
      </c>
      <c r="AF90" s="354"/>
      <c r="AG90" s="359"/>
      <c r="AH90" s="359"/>
      <c r="AI90" s="123"/>
      <c r="AJ90" s="123"/>
      <c r="AK90" s="114"/>
    </row>
    <row r="91">
      <c r="A91" s="360"/>
      <c r="B91" s="361" t="s">
        <v>2125</v>
      </c>
      <c r="C91" s="132" t="s">
        <v>2126</v>
      </c>
      <c r="D91" s="132" t="s">
        <v>149</v>
      </c>
      <c r="E91" s="134">
        <v>46054.0</v>
      </c>
      <c r="F91" s="362" t="s">
        <v>2127</v>
      </c>
      <c r="G91" s="132" t="s">
        <v>267</v>
      </c>
      <c r="H91" s="132" t="s">
        <v>1508</v>
      </c>
      <c r="I91" s="132" t="s">
        <v>2128</v>
      </c>
      <c r="J91" s="132"/>
      <c r="K91" s="132" t="s">
        <v>2129</v>
      </c>
      <c r="L91" s="132"/>
      <c r="M91" s="134"/>
      <c r="N91" s="134"/>
      <c r="O91" s="363"/>
      <c r="P91" s="135"/>
      <c r="Q91" s="362"/>
      <c r="R91" s="363"/>
      <c r="S91" s="363"/>
      <c r="T91" s="135"/>
      <c r="U91" s="364"/>
      <c r="V91" s="135"/>
      <c r="W91" s="135"/>
      <c r="X91" s="134"/>
      <c r="Y91" s="139" t="s">
        <v>95</v>
      </c>
      <c r="Z91" s="365"/>
      <c r="AA91" s="355" t="str">
        <f t="shared" si="1"/>
        <v/>
      </c>
      <c r="AB91" s="135"/>
      <c r="AC91" s="366" t="str">
        <f t="shared" si="2"/>
        <v>-</v>
      </c>
      <c r="AD91" s="362" t="s">
        <v>2130</v>
      </c>
      <c r="AE91" s="362" t="s">
        <v>2131</v>
      </c>
      <c r="AF91" s="362"/>
      <c r="AG91" s="367"/>
      <c r="AH91" s="367"/>
      <c r="AI91" s="134"/>
      <c r="AJ91" s="134"/>
      <c r="AK91" s="135"/>
    </row>
    <row r="92">
      <c r="A92" s="352"/>
      <c r="B92" s="353" t="s">
        <v>2132</v>
      </c>
      <c r="C92" s="112" t="s">
        <v>2133</v>
      </c>
      <c r="D92" s="112" t="s">
        <v>149</v>
      </c>
      <c r="E92" s="123">
        <v>46054.0</v>
      </c>
      <c r="F92" s="354" t="s">
        <v>2134</v>
      </c>
      <c r="G92" s="146" t="s">
        <v>375</v>
      </c>
      <c r="H92" s="112" t="s">
        <v>1498</v>
      </c>
      <c r="I92" s="112" t="s">
        <v>2135</v>
      </c>
      <c r="J92" s="112"/>
      <c r="K92" s="354" t="s">
        <v>2136</v>
      </c>
      <c r="L92" s="112"/>
      <c r="M92" s="123"/>
      <c r="N92" s="123"/>
      <c r="O92" s="355"/>
      <c r="P92" s="114"/>
      <c r="Q92" s="354"/>
      <c r="R92" s="355"/>
      <c r="S92" s="355"/>
      <c r="T92" s="114"/>
      <c r="U92" s="356"/>
      <c r="V92" s="114"/>
      <c r="W92" s="114"/>
      <c r="X92" s="123"/>
      <c r="Y92" s="114" t="s">
        <v>104</v>
      </c>
      <c r="Z92" s="357"/>
      <c r="AA92" s="355" t="str">
        <f t="shared" si="1"/>
        <v/>
      </c>
      <c r="AB92" s="114"/>
      <c r="AC92" s="358">
        <f t="shared" si="2"/>
        <v>66</v>
      </c>
      <c r="AD92" s="354" t="s">
        <v>2137</v>
      </c>
      <c r="AE92" s="354" t="s">
        <v>2138</v>
      </c>
      <c r="AF92" s="354"/>
      <c r="AG92" s="359"/>
      <c r="AH92" s="359"/>
      <c r="AI92" s="123"/>
      <c r="AJ92" s="123"/>
      <c r="AK92" s="114"/>
    </row>
    <row r="93">
      <c r="A93" s="360" t="s">
        <v>2139</v>
      </c>
      <c r="B93" s="361" t="s">
        <v>2140</v>
      </c>
      <c r="C93" s="132" t="s">
        <v>2140</v>
      </c>
      <c r="D93" s="132" t="s">
        <v>149</v>
      </c>
      <c r="E93" s="134">
        <v>46054.0</v>
      </c>
      <c r="F93" s="362" t="s">
        <v>2141</v>
      </c>
      <c r="G93" s="132" t="s">
        <v>267</v>
      </c>
      <c r="H93" s="132" t="s">
        <v>1573</v>
      </c>
      <c r="I93" s="132" t="s">
        <v>2142</v>
      </c>
      <c r="J93" s="132"/>
      <c r="K93" s="362" t="s">
        <v>2143</v>
      </c>
      <c r="L93" s="132"/>
      <c r="M93" s="134"/>
      <c r="N93" s="134"/>
      <c r="O93" s="363"/>
      <c r="P93" s="135"/>
      <c r="Q93" s="362"/>
      <c r="R93" s="363"/>
      <c r="S93" s="363"/>
      <c r="T93" s="135"/>
      <c r="U93" s="364"/>
      <c r="V93" s="135"/>
      <c r="W93" s="135"/>
      <c r="X93" s="134"/>
      <c r="Y93" s="135" t="s">
        <v>104</v>
      </c>
      <c r="Z93" s="370">
        <v>0.1</v>
      </c>
      <c r="AA93" s="355" t="str">
        <f t="shared" si="1"/>
        <v/>
      </c>
      <c r="AB93" s="135"/>
      <c r="AC93" s="366">
        <f t="shared" si="2"/>
        <v>66</v>
      </c>
      <c r="AD93" s="362" t="s">
        <v>2144</v>
      </c>
      <c r="AE93" s="362" t="s">
        <v>2145</v>
      </c>
      <c r="AF93" s="362"/>
      <c r="AG93" s="367"/>
      <c r="AH93" s="367"/>
      <c r="AI93" s="134"/>
      <c r="AJ93" s="134"/>
      <c r="AK93" s="135"/>
    </row>
    <row r="94">
      <c r="A94" s="352"/>
      <c r="B94" s="353" t="s">
        <v>2146</v>
      </c>
      <c r="C94" s="112" t="s">
        <v>2146</v>
      </c>
      <c r="D94" s="112" t="s">
        <v>150</v>
      </c>
      <c r="E94" s="123">
        <v>46054.0</v>
      </c>
      <c r="F94" s="354" t="s">
        <v>2069</v>
      </c>
      <c r="G94" s="146" t="s">
        <v>274</v>
      </c>
      <c r="H94" s="112"/>
      <c r="I94" s="112" t="s">
        <v>1856</v>
      </c>
      <c r="J94" s="112"/>
      <c r="K94" s="112" t="s">
        <v>1796</v>
      </c>
      <c r="L94" s="112"/>
      <c r="M94" s="123"/>
      <c r="N94" s="123"/>
      <c r="O94" s="355"/>
      <c r="P94" s="114"/>
      <c r="Q94" s="354"/>
      <c r="R94" s="355"/>
      <c r="S94" s="355">
        <v>1500.0</v>
      </c>
      <c r="T94" s="114"/>
      <c r="U94" s="356"/>
      <c r="V94" s="114"/>
      <c r="W94" s="114"/>
      <c r="X94" s="123"/>
      <c r="Y94" s="114" t="s">
        <v>109</v>
      </c>
      <c r="Z94" s="357">
        <v>1.0</v>
      </c>
      <c r="AA94" s="355" t="str">
        <f t="shared" si="1"/>
        <v/>
      </c>
      <c r="AB94" s="114"/>
      <c r="AC94" s="358" t="str">
        <f t="shared" si="2"/>
        <v>-</v>
      </c>
      <c r="AD94" s="354"/>
      <c r="AE94" s="354" t="s">
        <v>2147</v>
      </c>
      <c r="AF94" s="354"/>
      <c r="AG94" s="359"/>
      <c r="AH94" s="359"/>
      <c r="AI94" s="123"/>
      <c r="AJ94" s="123"/>
      <c r="AK94" s="114"/>
    </row>
    <row r="95">
      <c r="A95" s="360"/>
      <c r="B95" s="361" t="s">
        <v>2148</v>
      </c>
      <c r="C95" s="132" t="s">
        <v>2148</v>
      </c>
      <c r="D95" s="132" t="s">
        <v>150</v>
      </c>
      <c r="E95" s="134">
        <v>46054.0</v>
      </c>
      <c r="F95" s="362" t="s">
        <v>2149</v>
      </c>
      <c r="G95" s="132" t="s">
        <v>267</v>
      </c>
      <c r="H95" s="132" t="s">
        <v>1508</v>
      </c>
      <c r="I95" s="132" t="s">
        <v>2032</v>
      </c>
      <c r="J95" s="132"/>
      <c r="K95" s="132" t="s">
        <v>2150</v>
      </c>
      <c r="L95" s="132"/>
      <c r="M95" s="134"/>
      <c r="N95" s="134"/>
      <c r="O95" s="363"/>
      <c r="P95" s="135"/>
      <c r="Q95" s="362"/>
      <c r="R95" s="363"/>
      <c r="S95" s="363"/>
      <c r="T95" s="135"/>
      <c r="U95" s="364"/>
      <c r="V95" s="135"/>
      <c r="W95" s="135"/>
      <c r="X95" s="134"/>
      <c r="Y95" s="135" t="s">
        <v>104</v>
      </c>
      <c r="Z95" s="365"/>
      <c r="AA95" s="355" t="str">
        <f t="shared" si="1"/>
        <v/>
      </c>
      <c r="AB95" s="135"/>
      <c r="AC95" s="366">
        <f t="shared" si="2"/>
        <v>66</v>
      </c>
      <c r="AD95" s="362" t="s">
        <v>2151</v>
      </c>
      <c r="AE95" s="362" t="s">
        <v>2152</v>
      </c>
      <c r="AF95" s="362"/>
      <c r="AG95" s="367"/>
      <c r="AH95" s="367"/>
      <c r="AI95" s="134"/>
      <c r="AJ95" s="134"/>
      <c r="AK95" s="135"/>
    </row>
    <row r="96">
      <c r="A96" s="352"/>
      <c r="B96" s="353" t="s">
        <v>2153</v>
      </c>
      <c r="C96" s="112" t="s">
        <v>2153</v>
      </c>
      <c r="D96" s="112" t="s">
        <v>150</v>
      </c>
      <c r="E96" s="123">
        <v>46054.0</v>
      </c>
      <c r="F96" s="354"/>
      <c r="G96" s="146" t="s">
        <v>375</v>
      </c>
      <c r="H96" s="112" t="s">
        <v>1508</v>
      </c>
      <c r="I96" s="112" t="s">
        <v>2154</v>
      </c>
      <c r="J96" s="112"/>
      <c r="K96" s="112"/>
      <c r="L96" s="112"/>
      <c r="M96" s="123"/>
      <c r="N96" s="123"/>
      <c r="O96" s="355"/>
      <c r="P96" s="114"/>
      <c r="Q96" s="354"/>
      <c r="R96" s="355"/>
      <c r="S96" s="355">
        <v>5000.0</v>
      </c>
      <c r="T96" s="114"/>
      <c r="U96" s="356"/>
      <c r="V96" s="114"/>
      <c r="W96" s="114"/>
      <c r="X96" s="123"/>
      <c r="Y96" s="114" t="s">
        <v>104</v>
      </c>
      <c r="Z96" s="357"/>
      <c r="AA96" s="355" t="str">
        <f t="shared" si="1"/>
        <v/>
      </c>
      <c r="AB96" s="114"/>
      <c r="AC96" s="358">
        <f t="shared" si="2"/>
        <v>66</v>
      </c>
      <c r="AD96" s="354"/>
      <c r="AE96" s="354"/>
      <c r="AF96" s="354"/>
      <c r="AG96" s="359"/>
      <c r="AH96" s="359"/>
      <c r="AI96" s="123"/>
      <c r="AJ96" s="123"/>
      <c r="AK96" s="114"/>
    </row>
    <row r="97">
      <c r="A97" s="360"/>
      <c r="B97" s="361" t="s">
        <v>2155</v>
      </c>
      <c r="C97" s="132" t="s">
        <v>2155</v>
      </c>
      <c r="D97" s="132" t="s">
        <v>150</v>
      </c>
      <c r="E97" s="134">
        <v>46054.0</v>
      </c>
      <c r="F97" s="362"/>
      <c r="G97" s="132" t="s">
        <v>267</v>
      </c>
      <c r="H97" s="132" t="s">
        <v>1508</v>
      </c>
      <c r="I97" s="132" t="s">
        <v>2032</v>
      </c>
      <c r="J97" s="132"/>
      <c r="K97" s="132"/>
      <c r="L97" s="132"/>
      <c r="M97" s="134"/>
      <c r="N97" s="134"/>
      <c r="O97" s="363"/>
      <c r="P97" s="135"/>
      <c r="Q97" s="362"/>
      <c r="R97" s="363"/>
      <c r="S97" s="363">
        <v>5000.0</v>
      </c>
      <c r="T97" s="135"/>
      <c r="U97" s="364"/>
      <c r="V97" s="135"/>
      <c r="W97" s="135"/>
      <c r="X97" s="134"/>
      <c r="Y97" s="150" t="s">
        <v>109</v>
      </c>
      <c r="Z97" s="371">
        <v>0.5</v>
      </c>
      <c r="AA97" s="355" t="str">
        <f t="shared" si="1"/>
        <v/>
      </c>
      <c r="AB97" s="135"/>
      <c r="AC97" s="366" t="str">
        <f t="shared" si="2"/>
        <v>-</v>
      </c>
      <c r="AD97" s="362"/>
      <c r="AE97" s="362"/>
      <c r="AF97" s="362"/>
      <c r="AG97" s="367"/>
      <c r="AH97" s="367"/>
      <c r="AI97" s="134"/>
      <c r="AJ97" s="134"/>
      <c r="AK97" s="135"/>
    </row>
    <row r="98">
      <c r="A98" s="352"/>
      <c r="B98" s="353"/>
      <c r="C98" s="112"/>
      <c r="D98" s="112"/>
      <c r="E98" s="123"/>
      <c r="F98" s="354"/>
      <c r="G98" s="112"/>
      <c r="H98" s="112"/>
      <c r="I98" s="112"/>
      <c r="J98" s="112"/>
      <c r="K98" s="112"/>
      <c r="L98" s="112"/>
      <c r="M98" s="123"/>
      <c r="N98" s="123"/>
      <c r="O98" s="355"/>
      <c r="P98" s="114"/>
      <c r="Q98" s="354"/>
      <c r="R98" s="355"/>
      <c r="S98" s="355"/>
      <c r="T98" s="114"/>
      <c r="U98" s="356"/>
      <c r="V98" s="114"/>
      <c r="W98" s="114"/>
      <c r="X98" s="123"/>
      <c r="Y98" s="114"/>
      <c r="Z98" s="357"/>
      <c r="AA98" s="355" t="str">
        <f t="shared" si="1"/>
        <v/>
      </c>
      <c r="AB98" s="114"/>
      <c r="AC98" s="358" t="str">
        <f t="shared" si="2"/>
        <v/>
      </c>
      <c r="AD98" s="354"/>
      <c r="AE98" s="354"/>
      <c r="AF98" s="354"/>
      <c r="AG98" s="359"/>
      <c r="AH98" s="359"/>
      <c r="AI98" s="123"/>
      <c r="AJ98" s="123"/>
      <c r="AK98" s="114"/>
    </row>
    <row r="99">
      <c r="A99" s="372"/>
      <c r="B99" s="373"/>
      <c r="C99" s="374" t="str">
        <f>IF(A99="","",IFERROR(IF(VLOOKUP(A99,'1. Inbound Leads'!A:G,7,FALSE)=0,"",VLOOKUP(A99,'1. Inbound Leads'!A:G,7,FALSE)),""))</f>
        <v/>
      </c>
      <c r="D99" s="374" t="str">
        <f>IF(A99="","",IFERROR(IF(VLOOKUP(A99,'1. Inbound Leads'!A:L,12,FALSE)=0,"",VLOOKUP(A99,'1. Inbound Leads'!A:L,12,FALSE)),""))</f>
        <v/>
      </c>
      <c r="E99" s="375"/>
      <c r="F99" s="376"/>
      <c r="G99" s="374"/>
      <c r="H99" s="374"/>
      <c r="I99" s="374"/>
      <c r="J99" s="374"/>
      <c r="K99" s="374"/>
      <c r="L99" s="374"/>
      <c r="M99" s="375"/>
      <c r="N99" s="375"/>
      <c r="O99" s="377"/>
      <c r="P99" s="378"/>
      <c r="Q99" s="376"/>
      <c r="R99" s="377"/>
      <c r="S99" s="377"/>
      <c r="T99" s="378"/>
      <c r="U99" s="379"/>
      <c r="V99" s="378"/>
      <c r="W99" s="378"/>
      <c r="X99" s="375"/>
      <c r="Y99" s="378"/>
      <c r="Z99" s="380"/>
      <c r="AA99" s="355" t="str">
        <f t="shared" si="1"/>
        <v/>
      </c>
      <c r="AB99" s="378"/>
      <c r="AC99" s="381" t="str">
        <f t="shared" si="2"/>
        <v/>
      </c>
      <c r="AD99" s="376"/>
      <c r="AE99" s="376"/>
      <c r="AF99" s="382"/>
      <c r="AG99" s="383" t="str">
        <f t="shared" ref="AG99:AG1996" si="3">IF(OR(M99="",AF99=""),"",M99*AF99)</f>
        <v/>
      </c>
      <c r="AH99" s="383" t="str">
        <f t="shared" ref="AH99:AH1996" si="4">IF(OR(M99="",AF99=""),"",M99*AF99/3)</f>
        <v/>
      </c>
      <c r="AI99" s="375"/>
      <c r="AJ99" s="375"/>
      <c r="AK99" s="384"/>
    </row>
    <row r="100">
      <c r="A100" s="385"/>
      <c r="B100" s="386"/>
      <c r="C100" s="387" t="str">
        <f>IF(A100="","",IFERROR(IF(VLOOKUP(A100,'1. Inbound Leads'!A:G,7,FALSE)=0,"",VLOOKUP(A100,'1. Inbound Leads'!A:G,7,FALSE)),""))</f>
        <v/>
      </c>
      <c r="D100" s="387" t="str">
        <f>IF(A100="","",IFERROR(IF(VLOOKUP(A100,'1. Inbound Leads'!A:L,12,FALSE)=0,"",VLOOKUP(A100,'1. Inbound Leads'!A:L,12,FALSE)),""))</f>
        <v/>
      </c>
      <c r="E100" s="388"/>
      <c r="F100" s="389"/>
      <c r="G100" s="387"/>
      <c r="H100" s="387"/>
      <c r="I100" s="387"/>
      <c r="J100" s="387"/>
      <c r="K100" s="387"/>
      <c r="L100" s="387"/>
      <c r="M100" s="388"/>
      <c r="N100" s="388"/>
      <c r="O100" s="390"/>
      <c r="P100" s="391"/>
      <c r="Q100" s="389"/>
      <c r="R100" s="390"/>
      <c r="S100" s="390"/>
      <c r="T100" s="391"/>
      <c r="U100" s="392"/>
      <c r="V100" s="391"/>
      <c r="W100" s="391"/>
      <c r="X100" s="388"/>
      <c r="Y100" s="391"/>
      <c r="Z100" s="393"/>
      <c r="AA100" s="355" t="str">
        <f t="shared" si="1"/>
        <v/>
      </c>
      <c r="AB100" s="391"/>
      <c r="AC100" s="394" t="str">
        <f t="shared" si="2"/>
        <v/>
      </c>
      <c r="AD100" s="389"/>
      <c r="AE100" s="389"/>
      <c r="AF100" s="395"/>
      <c r="AG100" s="396" t="str">
        <f t="shared" si="3"/>
        <v/>
      </c>
      <c r="AH100" s="396" t="str">
        <f t="shared" si="4"/>
        <v/>
      </c>
      <c r="AI100" s="388"/>
      <c r="AJ100" s="388"/>
      <c r="AK100" s="397"/>
    </row>
    <row r="101">
      <c r="A101" s="385"/>
      <c r="B101" s="386"/>
      <c r="C101" s="387" t="str">
        <f>IF(A101="","",IFERROR(IF(VLOOKUP(A101,'1. Inbound Leads'!A:G,7,FALSE)=0,"",VLOOKUP(A101,'1. Inbound Leads'!A:G,7,FALSE)),""))</f>
        <v/>
      </c>
      <c r="D101" s="387" t="str">
        <f>IF(A101="","",IFERROR(IF(VLOOKUP(A101,'1. Inbound Leads'!A:L,12,FALSE)=0,"",VLOOKUP(A101,'1. Inbound Leads'!A:L,12,FALSE)),""))</f>
        <v/>
      </c>
      <c r="E101" s="388"/>
      <c r="F101" s="389"/>
      <c r="G101" s="387"/>
      <c r="H101" s="387"/>
      <c r="I101" s="387"/>
      <c r="J101" s="387"/>
      <c r="K101" s="387"/>
      <c r="L101" s="387"/>
      <c r="M101" s="388"/>
      <c r="N101" s="388"/>
      <c r="O101" s="390"/>
      <c r="P101" s="391"/>
      <c r="Q101" s="389"/>
      <c r="R101" s="390"/>
      <c r="S101" s="390"/>
      <c r="T101" s="391"/>
      <c r="U101" s="392"/>
      <c r="V101" s="391"/>
      <c r="W101" s="391"/>
      <c r="X101" s="388"/>
      <c r="Y101" s="391"/>
      <c r="Z101" s="393"/>
      <c r="AA101" s="355" t="str">
        <f t="shared" si="1"/>
        <v/>
      </c>
      <c r="AB101" s="391"/>
      <c r="AC101" s="394" t="str">
        <f t="shared" si="2"/>
        <v/>
      </c>
      <c r="AD101" s="389"/>
      <c r="AE101" s="389"/>
      <c r="AF101" s="395"/>
      <c r="AG101" s="396" t="str">
        <f t="shared" si="3"/>
        <v/>
      </c>
      <c r="AH101" s="396" t="str">
        <f t="shared" si="4"/>
        <v/>
      </c>
      <c r="AI101" s="388"/>
      <c r="AJ101" s="388"/>
      <c r="AK101" s="397"/>
    </row>
    <row r="102">
      <c r="A102" s="385"/>
      <c r="B102" s="386"/>
      <c r="C102" s="387" t="str">
        <f>IF(A102="","",IFERROR(IF(VLOOKUP(A102,'1. Inbound Leads'!A:G,7,FALSE)=0,"",VLOOKUP(A102,'1. Inbound Leads'!A:G,7,FALSE)),""))</f>
        <v/>
      </c>
      <c r="D102" s="387" t="str">
        <f>IF(A102="","",IFERROR(IF(VLOOKUP(A102,'1. Inbound Leads'!A:L,12,FALSE)=0,"",VLOOKUP(A102,'1. Inbound Leads'!A:L,12,FALSE)),""))</f>
        <v/>
      </c>
      <c r="E102" s="388"/>
      <c r="F102" s="389"/>
      <c r="G102" s="387"/>
      <c r="H102" s="387"/>
      <c r="I102" s="387"/>
      <c r="J102" s="387"/>
      <c r="K102" s="387"/>
      <c r="L102" s="387"/>
      <c r="M102" s="388"/>
      <c r="N102" s="388"/>
      <c r="O102" s="390"/>
      <c r="P102" s="391"/>
      <c r="Q102" s="389"/>
      <c r="R102" s="390"/>
      <c r="S102" s="390"/>
      <c r="T102" s="391"/>
      <c r="U102" s="392"/>
      <c r="V102" s="391"/>
      <c r="W102" s="391"/>
      <c r="X102" s="388"/>
      <c r="Y102" s="391"/>
      <c r="Z102" s="393"/>
      <c r="AA102" s="355" t="str">
        <f t="shared" si="1"/>
        <v/>
      </c>
      <c r="AB102" s="391"/>
      <c r="AC102" s="394" t="str">
        <f t="shared" si="2"/>
        <v/>
      </c>
      <c r="AD102" s="389"/>
      <c r="AE102" s="389"/>
      <c r="AF102" s="395"/>
      <c r="AG102" s="396" t="str">
        <f t="shared" si="3"/>
        <v/>
      </c>
      <c r="AH102" s="396" t="str">
        <f t="shared" si="4"/>
        <v/>
      </c>
      <c r="AI102" s="388"/>
      <c r="AJ102" s="388"/>
      <c r="AK102" s="397"/>
    </row>
    <row r="103">
      <c r="A103" s="385"/>
      <c r="B103" s="386"/>
      <c r="C103" s="387" t="str">
        <f>IF(A103="","",IFERROR(IF(VLOOKUP(A103,'1. Inbound Leads'!A:G,7,FALSE)=0,"",VLOOKUP(A103,'1. Inbound Leads'!A:G,7,FALSE)),""))</f>
        <v/>
      </c>
      <c r="D103" s="387" t="str">
        <f>IF(A103="","",IFERROR(IF(VLOOKUP(A103,'1. Inbound Leads'!A:L,12,FALSE)=0,"",VLOOKUP(A103,'1. Inbound Leads'!A:L,12,FALSE)),""))</f>
        <v/>
      </c>
      <c r="E103" s="388"/>
      <c r="F103" s="389"/>
      <c r="G103" s="387"/>
      <c r="H103" s="387"/>
      <c r="I103" s="387"/>
      <c r="J103" s="387"/>
      <c r="K103" s="387"/>
      <c r="L103" s="387"/>
      <c r="M103" s="388"/>
      <c r="N103" s="388"/>
      <c r="O103" s="390"/>
      <c r="P103" s="391"/>
      <c r="Q103" s="389"/>
      <c r="R103" s="390"/>
      <c r="S103" s="390"/>
      <c r="T103" s="391"/>
      <c r="U103" s="392"/>
      <c r="V103" s="391"/>
      <c r="W103" s="391"/>
      <c r="X103" s="388"/>
      <c r="Y103" s="391"/>
      <c r="Z103" s="393"/>
      <c r="AA103" s="355" t="str">
        <f t="shared" si="1"/>
        <v/>
      </c>
      <c r="AB103" s="391"/>
      <c r="AC103" s="394" t="str">
        <f t="shared" si="2"/>
        <v/>
      </c>
      <c r="AD103" s="389"/>
      <c r="AE103" s="389"/>
      <c r="AF103" s="395"/>
      <c r="AG103" s="396" t="str">
        <f t="shared" si="3"/>
        <v/>
      </c>
      <c r="AH103" s="396" t="str">
        <f t="shared" si="4"/>
        <v/>
      </c>
      <c r="AI103" s="388"/>
      <c r="AJ103" s="388"/>
      <c r="AK103" s="397"/>
    </row>
    <row r="104">
      <c r="A104" s="385"/>
      <c r="B104" s="386"/>
      <c r="C104" s="387" t="str">
        <f>IF(A104="","",IFERROR(IF(VLOOKUP(A104,'1. Inbound Leads'!A:G,7,FALSE)=0,"",VLOOKUP(A104,'1. Inbound Leads'!A:G,7,FALSE)),""))</f>
        <v/>
      </c>
      <c r="D104" s="387" t="str">
        <f>IF(A104="","",IFERROR(IF(VLOOKUP(A104,'1. Inbound Leads'!A:L,12,FALSE)=0,"",VLOOKUP(A104,'1. Inbound Leads'!A:L,12,FALSE)),""))</f>
        <v/>
      </c>
      <c r="E104" s="388"/>
      <c r="F104" s="389"/>
      <c r="G104" s="387"/>
      <c r="H104" s="387"/>
      <c r="I104" s="387"/>
      <c r="J104" s="387"/>
      <c r="K104" s="387"/>
      <c r="L104" s="387"/>
      <c r="M104" s="388"/>
      <c r="N104" s="388"/>
      <c r="O104" s="390"/>
      <c r="P104" s="391"/>
      <c r="Q104" s="389"/>
      <c r="R104" s="390"/>
      <c r="S104" s="390"/>
      <c r="T104" s="391"/>
      <c r="U104" s="392"/>
      <c r="V104" s="391"/>
      <c r="W104" s="391"/>
      <c r="X104" s="388"/>
      <c r="Y104" s="391"/>
      <c r="Z104" s="393"/>
      <c r="AA104" s="355" t="str">
        <f t="shared" si="1"/>
        <v/>
      </c>
      <c r="AB104" s="391"/>
      <c r="AC104" s="394" t="str">
        <f t="shared" si="2"/>
        <v/>
      </c>
      <c r="AD104" s="389"/>
      <c r="AE104" s="389"/>
      <c r="AF104" s="395"/>
      <c r="AG104" s="396" t="str">
        <f t="shared" si="3"/>
        <v/>
      </c>
      <c r="AH104" s="396" t="str">
        <f t="shared" si="4"/>
        <v/>
      </c>
      <c r="AI104" s="388"/>
      <c r="AJ104" s="388"/>
      <c r="AK104" s="397"/>
    </row>
    <row r="105">
      <c r="A105" s="385"/>
      <c r="B105" s="386"/>
      <c r="C105" s="387" t="str">
        <f>IF(A105="","",IFERROR(IF(VLOOKUP(A105,'1. Inbound Leads'!A:G,7,FALSE)=0,"",VLOOKUP(A105,'1. Inbound Leads'!A:G,7,FALSE)),""))</f>
        <v/>
      </c>
      <c r="D105" s="387" t="str">
        <f>IF(A105="","",IFERROR(IF(VLOOKUP(A105,'1. Inbound Leads'!A:L,12,FALSE)=0,"",VLOOKUP(A105,'1. Inbound Leads'!A:L,12,FALSE)),""))</f>
        <v/>
      </c>
      <c r="E105" s="388"/>
      <c r="F105" s="389"/>
      <c r="G105" s="387"/>
      <c r="H105" s="387"/>
      <c r="I105" s="387"/>
      <c r="J105" s="387"/>
      <c r="K105" s="387"/>
      <c r="L105" s="387"/>
      <c r="M105" s="388"/>
      <c r="N105" s="388"/>
      <c r="O105" s="390"/>
      <c r="P105" s="391"/>
      <c r="Q105" s="389"/>
      <c r="R105" s="390"/>
      <c r="S105" s="390"/>
      <c r="T105" s="391"/>
      <c r="U105" s="392"/>
      <c r="V105" s="391"/>
      <c r="W105" s="391"/>
      <c r="X105" s="388"/>
      <c r="Y105" s="391"/>
      <c r="Z105" s="393"/>
      <c r="AA105" s="355" t="str">
        <f t="shared" si="1"/>
        <v/>
      </c>
      <c r="AB105" s="391"/>
      <c r="AC105" s="394" t="str">
        <f t="shared" si="2"/>
        <v/>
      </c>
      <c r="AD105" s="389"/>
      <c r="AE105" s="389"/>
      <c r="AF105" s="395"/>
      <c r="AG105" s="396" t="str">
        <f t="shared" si="3"/>
        <v/>
      </c>
      <c r="AH105" s="396" t="str">
        <f t="shared" si="4"/>
        <v/>
      </c>
      <c r="AI105" s="388"/>
      <c r="AJ105" s="388"/>
      <c r="AK105" s="397"/>
    </row>
    <row r="106">
      <c r="A106" s="385"/>
      <c r="B106" s="386"/>
      <c r="C106" s="387" t="str">
        <f>IF(A106="","",IFERROR(IF(VLOOKUP(A106,'1. Inbound Leads'!A:G,7,FALSE)=0,"",VLOOKUP(A106,'1. Inbound Leads'!A:G,7,FALSE)),""))</f>
        <v/>
      </c>
      <c r="D106" s="387" t="str">
        <f>IF(A106="","",IFERROR(IF(VLOOKUP(A106,'1. Inbound Leads'!A:L,12,FALSE)=0,"",VLOOKUP(A106,'1. Inbound Leads'!A:L,12,FALSE)),""))</f>
        <v/>
      </c>
      <c r="E106" s="388"/>
      <c r="F106" s="389"/>
      <c r="G106" s="387"/>
      <c r="H106" s="387"/>
      <c r="I106" s="387"/>
      <c r="J106" s="387"/>
      <c r="K106" s="387"/>
      <c r="L106" s="387"/>
      <c r="M106" s="388"/>
      <c r="N106" s="388"/>
      <c r="O106" s="390"/>
      <c r="P106" s="391"/>
      <c r="Q106" s="389"/>
      <c r="R106" s="390"/>
      <c r="S106" s="390"/>
      <c r="T106" s="391"/>
      <c r="U106" s="392"/>
      <c r="V106" s="391"/>
      <c r="W106" s="391"/>
      <c r="X106" s="388"/>
      <c r="Y106" s="391"/>
      <c r="Z106" s="393"/>
      <c r="AA106" s="355" t="str">
        <f t="shared" si="1"/>
        <v/>
      </c>
      <c r="AB106" s="391"/>
      <c r="AC106" s="394" t="str">
        <f t="shared" si="2"/>
        <v/>
      </c>
      <c r="AD106" s="389"/>
      <c r="AE106" s="389"/>
      <c r="AF106" s="395"/>
      <c r="AG106" s="396" t="str">
        <f t="shared" si="3"/>
        <v/>
      </c>
      <c r="AH106" s="396" t="str">
        <f t="shared" si="4"/>
        <v/>
      </c>
      <c r="AI106" s="388"/>
      <c r="AJ106" s="388"/>
      <c r="AK106" s="397"/>
    </row>
    <row r="107">
      <c r="A107" s="385"/>
      <c r="B107" s="386"/>
      <c r="C107" s="387" t="str">
        <f>IF(A107="","",IFERROR(IF(VLOOKUP(A107,'1. Inbound Leads'!A:G,7,FALSE)=0,"",VLOOKUP(A107,'1. Inbound Leads'!A:G,7,FALSE)),""))</f>
        <v/>
      </c>
      <c r="D107" s="387" t="str">
        <f>IF(A107="","",IFERROR(IF(VLOOKUP(A107,'1. Inbound Leads'!A:L,12,FALSE)=0,"",VLOOKUP(A107,'1. Inbound Leads'!A:L,12,FALSE)),""))</f>
        <v/>
      </c>
      <c r="E107" s="388"/>
      <c r="F107" s="389"/>
      <c r="G107" s="387"/>
      <c r="H107" s="387"/>
      <c r="I107" s="387"/>
      <c r="J107" s="387"/>
      <c r="K107" s="387"/>
      <c r="L107" s="387"/>
      <c r="M107" s="388"/>
      <c r="N107" s="388"/>
      <c r="O107" s="390"/>
      <c r="P107" s="391"/>
      <c r="Q107" s="389"/>
      <c r="R107" s="390"/>
      <c r="S107" s="390"/>
      <c r="T107" s="391"/>
      <c r="U107" s="392"/>
      <c r="V107" s="391"/>
      <c r="W107" s="391"/>
      <c r="X107" s="388"/>
      <c r="Y107" s="391"/>
      <c r="Z107" s="393"/>
      <c r="AA107" s="355" t="str">
        <f t="shared" si="1"/>
        <v/>
      </c>
      <c r="AB107" s="391"/>
      <c r="AC107" s="394" t="str">
        <f t="shared" si="2"/>
        <v/>
      </c>
      <c r="AD107" s="389"/>
      <c r="AE107" s="389"/>
      <c r="AF107" s="395"/>
      <c r="AG107" s="396" t="str">
        <f t="shared" si="3"/>
        <v/>
      </c>
      <c r="AH107" s="396" t="str">
        <f t="shared" si="4"/>
        <v/>
      </c>
      <c r="AI107" s="388"/>
      <c r="AJ107" s="388"/>
      <c r="AK107" s="397"/>
    </row>
    <row r="108">
      <c r="A108" s="385"/>
      <c r="B108" s="386"/>
      <c r="C108" s="387" t="str">
        <f>IF(A108="","",IFERROR(IF(VLOOKUP(A108,'1. Inbound Leads'!A:G,7,FALSE)=0,"",VLOOKUP(A108,'1. Inbound Leads'!A:G,7,FALSE)),""))</f>
        <v/>
      </c>
      <c r="D108" s="387" t="str">
        <f>IF(A108="","",IFERROR(IF(VLOOKUP(A108,'1. Inbound Leads'!A:L,12,FALSE)=0,"",VLOOKUP(A108,'1. Inbound Leads'!A:L,12,FALSE)),""))</f>
        <v/>
      </c>
      <c r="E108" s="388"/>
      <c r="F108" s="389"/>
      <c r="G108" s="387"/>
      <c r="H108" s="387"/>
      <c r="I108" s="387"/>
      <c r="J108" s="387"/>
      <c r="K108" s="387"/>
      <c r="L108" s="387"/>
      <c r="M108" s="388"/>
      <c r="N108" s="388"/>
      <c r="O108" s="390"/>
      <c r="P108" s="391"/>
      <c r="Q108" s="389"/>
      <c r="R108" s="390"/>
      <c r="S108" s="390"/>
      <c r="T108" s="391"/>
      <c r="U108" s="392"/>
      <c r="V108" s="391"/>
      <c r="W108" s="391"/>
      <c r="X108" s="388"/>
      <c r="Y108" s="391"/>
      <c r="Z108" s="393"/>
      <c r="AA108" s="355" t="str">
        <f t="shared" si="1"/>
        <v/>
      </c>
      <c r="AB108" s="391"/>
      <c r="AC108" s="394" t="str">
        <f t="shared" si="2"/>
        <v/>
      </c>
      <c r="AD108" s="389"/>
      <c r="AE108" s="389"/>
      <c r="AF108" s="395"/>
      <c r="AG108" s="396" t="str">
        <f t="shared" si="3"/>
        <v/>
      </c>
      <c r="AH108" s="396" t="str">
        <f t="shared" si="4"/>
        <v/>
      </c>
      <c r="AI108" s="388"/>
      <c r="AJ108" s="388"/>
      <c r="AK108" s="397"/>
    </row>
    <row r="109">
      <c r="A109" s="385"/>
      <c r="B109" s="386"/>
      <c r="C109" s="387" t="str">
        <f>IF(A109="","",IFERROR(IF(VLOOKUP(A109,'1. Inbound Leads'!A:G,7,FALSE)=0,"",VLOOKUP(A109,'1. Inbound Leads'!A:G,7,FALSE)),""))</f>
        <v/>
      </c>
      <c r="D109" s="387" t="str">
        <f>IF(A109="","",IFERROR(IF(VLOOKUP(A109,'1. Inbound Leads'!A:L,12,FALSE)=0,"",VLOOKUP(A109,'1. Inbound Leads'!A:L,12,FALSE)),""))</f>
        <v/>
      </c>
      <c r="E109" s="388"/>
      <c r="F109" s="389"/>
      <c r="G109" s="387"/>
      <c r="H109" s="387"/>
      <c r="I109" s="387"/>
      <c r="J109" s="387"/>
      <c r="K109" s="387"/>
      <c r="L109" s="387"/>
      <c r="M109" s="388"/>
      <c r="N109" s="388"/>
      <c r="O109" s="390"/>
      <c r="P109" s="391"/>
      <c r="Q109" s="389"/>
      <c r="R109" s="390"/>
      <c r="S109" s="390"/>
      <c r="T109" s="391"/>
      <c r="U109" s="392"/>
      <c r="V109" s="391"/>
      <c r="W109" s="391"/>
      <c r="X109" s="388"/>
      <c r="Y109" s="391"/>
      <c r="Z109" s="393"/>
      <c r="AA109" s="355" t="str">
        <f t="shared" si="1"/>
        <v/>
      </c>
      <c r="AB109" s="391"/>
      <c r="AC109" s="394" t="str">
        <f t="shared" si="2"/>
        <v/>
      </c>
      <c r="AD109" s="389"/>
      <c r="AE109" s="389"/>
      <c r="AF109" s="395"/>
      <c r="AG109" s="396" t="str">
        <f t="shared" si="3"/>
        <v/>
      </c>
      <c r="AH109" s="396" t="str">
        <f t="shared" si="4"/>
        <v/>
      </c>
      <c r="AI109" s="388"/>
      <c r="AJ109" s="388"/>
      <c r="AK109" s="397"/>
    </row>
    <row r="110">
      <c r="A110" s="385"/>
      <c r="B110" s="386"/>
      <c r="C110" s="387" t="str">
        <f>IF(A110="","",IFERROR(IF(VLOOKUP(A110,'1. Inbound Leads'!A:G,7,FALSE)=0,"",VLOOKUP(A110,'1. Inbound Leads'!A:G,7,FALSE)),""))</f>
        <v/>
      </c>
      <c r="D110" s="387" t="str">
        <f>IF(A110="","",IFERROR(IF(VLOOKUP(A110,'1. Inbound Leads'!A:L,12,FALSE)=0,"",VLOOKUP(A110,'1. Inbound Leads'!A:L,12,FALSE)),""))</f>
        <v/>
      </c>
      <c r="E110" s="388"/>
      <c r="F110" s="389"/>
      <c r="G110" s="387"/>
      <c r="H110" s="387"/>
      <c r="I110" s="387"/>
      <c r="J110" s="387"/>
      <c r="K110" s="387"/>
      <c r="L110" s="387"/>
      <c r="M110" s="388"/>
      <c r="N110" s="388"/>
      <c r="O110" s="390"/>
      <c r="P110" s="391"/>
      <c r="Q110" s="389"/>
      <c r="R110" s="390"/>
      <c r="S110" s="390"/>
      <c r="T110" s="391"/>
      <c r="U110" s="392"/>
      <c r="V110" s="391"/>
      <c r="W110" s="391"/>
      <c r="X110" s="388"/>
      <c r="Y110" s="391"/>
      <c r="Z110" s="393"/>
      <c r="AA110" s="355" t="str">
        <f t="shared" si="1"/>
        <v/>
      </c>
      <c r="AB110" s="391"/>
      <c r="AC110" s="394" t="str">
        <f t="shared" si="2"/>
        <v/>
      </c>
      <c r="AD110" s="389"/>
      <c r="AE110" s="389"/>
      <c r="AF110" s="395"/>
      <c r="AG110" s="396" t="str">
        <f t="shared" si="3"/>
        <v/>
      </c>
      <c r="AH110" s="396" t="str">
        <f t="shared" si="4"/>
        <v/>
      </c>
      <c r="AI110" s="388"/>
      <c r="AJ110" s="388"/>
      <c r="AK110" s="397"/>
    </row>
    <row r="111">
      <c r="A111" s="385"/>
      <c r="B111" s="386"/>
      <c r="C111" s="387" t="str">
        <f>IF(A111="","",IFERROR(IF(VLOOKUP(A111,'1. Inbound Leads'!A:G,7,FALSE)=0,"",VLOOKUP(A111,'1. Inbound Leads'!A:G,7,FALSE)),""))</f>
        <v/>
      </c>
      <c r="D111" s="387" t="str">
        <f>IF(A111="","",IFERROR(IF(VLOOKUP(A111,'1. Inbound Leads'!A:L,12,FALSE)=0,"",VLOOKUP(A111,'1. Inbound Leads'!A:L,12,FALSE)),""))</f>
        <v/>
      </c>
      <c r="E111" s="388"/>
      <c r="F111" s="389"/>
      <c r="G111" s="387"/>
      <c r="H111" s="387"/>
      <c r="I111" s="387"/>
      <c r="J111" s="387"/>
      <c r="K111" s="387"/>
      <c r="L111" s="387"/>
      <c r="M111" s="388"/>
      <c r="N111" s="388"/>
      <c r="O111" s="390"/>
      <c r="P111" s="391"/>
      <c r="Q111" s="389"/>
      <c r="R111" s="390"/>
      <c r="S111" s="390"/>
      <c r="T111" s="391"/>
      <c r="U111" s="392"/>
      <c r="V111" s="391"/>
      <c r="W111" s="391"/>
      <c r="X111" s="388"/>
      <c r="Y111" s="391"/>
      <c r="Z111" s="393"/>
      <c r="AA111" s="355" t="str">
        <f t="shared" si="1"/>
        <v/>
      </c>
      <c r="AB111" s="391"/>
      <c r="AC111" s="394" t="str">
        <f t="shared" si="2"/>
        <v/>
      </c>
      <c r="AD111" s="389"/>
      <c r="AE111" s="389"/>
      <c r="AF111" s="395"/>
      <c r="AG111" s="396" t="str">
        <f t="shared" si="3"/>
        <v/>
      </c>
      <c r="AH111" s="396" t="str">
        <f t="shared" si="4"/>
        <v/>
      </c>
      <c r="AI111" s="388"/>
      <c r="AJ111" s="388"/>
      <c r="AK111" s="397"/>
    </row>
    <row r="112">
      <c r="A112" s="385"/>
      <c r="B112" s="386"/>
      <c r="C112" s="387" t="str">
        <f>IF(A112="","",IFERROR(IF(VLOOKUP(A112,'1. Inbound Leads'!A:G,7,FALSE)=0,"",VLOOKUP(A112,'1. Inbound Leads'!A:G,7,FALSE)),""))</f>
        <v/>
      </c>
      <c r="D112" s="387" t="str">
        <f>IF(A112="","",IFERROR(IF(VLOOKUP(A112,'1. Inbound Leads'!A:L,12,FALSE)=0,"",VLOOKUP(A112,'1. Inbound Leads'!A:L,12,FALSE)),""))</f>
        <v/>
      </c>
      <c r="E112" s="388"/>
      <c r="F112" s="389"/>
      <c r="G112" s="387"/>
      <c r="H112" s="387"/>
      <c r="I112" s="387"/>
      <c r="J112" s="387"/>
      <c r="K112" s="387"/>
      <c r="L112" s="387"/>
      <c r="M112" s="388"/>
      <c r="N112" s="388"/>
      <c r="O112" s="390"/>
      <c r="P112" s="391"/>
      <c r="Q112" s="389"/>
      <c r="R112" s="390"/>
      <c r="S112" s="390"/>
      <c r="T112" s="391"/>
      <c r="U112" s="392"/>
      <c r="V112" s="391"/>
      <c r="W112" s="391"/>
      <c r="X112" s="388"/>
      <c r="Y112" s="391"/>
      <c r="Z112" s="393"/>
      <c r="AA112" s="355" t="str">
        <f t="shared" si="1"/>
        <v/>
      </c>
      <c r="AB112" s="391"/>
      <c r="AC112" s="394" t="str">
        <f t="shared" si="2"/>
        <v/>
      </c>
      <c r="AD112" s="389"/>
      <c r="AE112" s="389"/>
      <c r="AF112" s="395"/>
      <c r="AG112" s="396" t="str">
        <f t="shared" si="3"/>
        <v/>
      </c>
      <c r="AH112" s="396" t="str">
        <f t="shared" si="4"/>
        <v/>
      </c>
      <c r="AI112" s="388"/>
      <c r="AJ112" s="388"/>
      <c r="AK112" s="397"/>
    </row>
    <row r="113">
      <c r="A113" s="385"/>
      <c r="B113" s="386"/>
      <c r="C113" s="387" t="str">
        <f>IF(A113="","",IFERROR(IF(VLOOKUP(A113,'1. Inbound Leads'!A:G,7,FALSE)=0,"",VLOOKUP(A113,'1. Inbound Leads'!A:G,7,FALSE)),""))</f>
        <v/>
      </c>
      <c r="D113" s="387" t="str">
        <f>IF(A113="","",IFERROR(IF(VLOOKUP(A113,'1. Inbound Leads'!A:L,12,FALSE)=0,"",VLOOKUP(A113,'1. Inbound Leads'!A:L,12,FALSE)),""))</f>
        <v/>
      </c>
      <c r="E113" s="388"/>
      <c r="F113" s="389"/>
      <c r="G113" s="387"/>
      <c r="H113" s="387"/>
      <c r="I113" s="387"/>
      <c r="J113" s="387"/>
      <c r="K113" s="387"/>
      <c r="L113" s="387"/>
      <c r="M113" s="388"/>
      <c r="N113" s="388"/>
      <c r="O113" s="390"/>
      <c r="P113" s="391"/>
      <c r="Q113" s="389"/>
      <c r="R113" s="390"/>
      <c r="S113" s="390"/>
      <c r="T113" s="391"/>
      <c r="U113" s="392"/>
      <c r="V113" s="391"/>
      <c r="W113" s="391"/>
      <c r="X113" s="388"/>
      <c r="Y113" s="391"/>
      <c r="Z113" s="393"/>
      <c r="AA113" s="355" t="str">
        <f t="shared" si="1"/>
        <v/>
      </c>
      <c r="AB113" s="391"/>
      <c r="AC113" s="394" t="str">
        <f t="shared" si="2"/>
        <v/>
      </c>
      <c r="AD113" s="389"/>
      <c r="AE113" s="389"/>
      <c r="AF113" s="395"/>
      <c r="AG113" s="396" t="str">
        <f t="shared" si="3"/>
        <v/>
      </c>
      <c r="AH113" s="396" t="str">
        <f t="shared" si="4"/>
        <v/>
      </c>
      <c r="AI113" s="388"/>
      <c r="AJ113" s="388"/>
      <c r="AK113" s="397"/>
    </row>
    <row r="114">
      <c r="A114" s="385"/>
      <c r="B114" s="386"/>
      <c r="C114" s="387" t="str">
        <f>IF(A114="","",IFERROR(IF(VLOOKUP(A114,'1. Inbound Leads'!A:G,7,FALSE)=0,"",VLOOKUP(A114,'1. Inbound Leads'!A:G,7,FALSE)),""))</f>
        <v/>
      </c>
      <c r="D114" s="387" t="str">
        <f>IF(A114="","",IFERROR(IF(VLOOKUP(A114,'1. Inbound Leads'!A:L,12,FALSE)=0,"",VLOOKUP(A114,'1. Inbound Leads'!A:L,12,FALSE)),""))</f>
        <v/>
      </c>
      <c r="E114" s="388"/>
      <c r="F114" s="389"/>
      <c r="G114" s="387"/>
      <c r="H114" s="387"/>
      <c r="I114" s="387"/>
      <c r="J114" s="387"/>
      <c r="K114" s="387"/>
      <c r="L114" s="387"/>
      <c r="M114" s="388"/>
      <c r="N114" s="388"/>
      <c r="O114" s="390"/>
      <c r="P114" s="391"/>
      <c r="Q114" s="389"/>
      <c r="R114" s="390"/>
      <c r="S114" s="390"/>
      <c r="T114" s="391"/>
      <c r="U114" s="392"/>
      <c r="V114" s="391"/>
      <c r="W114" s="391"/>
      <c r="X114" s="388"/>
      <c r="Y114" s="391"/>
      <c r="Z114" s="393"/>
      <c r="AA114" s="355" t="str">
        <f t="shared" si="1"/>
        <v/>
      </c>
      <c r="AB114" s="391"/>
      <c r="AC114" s="394" t="str">
        <f t="shared" si="2"/>
        <v/>
      </c>
      <c r="AD114" s="389"/>
      <c r="AE114" s="389"/>
      <c r="AF114" s="395"/>
      <c r="AG114" s="396" t="str">
        <f t="shared" si="3"/>
        <v/>
      </c>
      <c r="AH114" s="396" t="str">
        <f t="shared" si="4"/>
        <v/>
      </c>
      <c r="AI114" s="388"/>
      <c r="AJ114" s="388"/>
      <c r="AK114" s="397"/>
    </row>
    <row r="115">
      <c r="A115" s="385"/>
      <c r="B115" s="386"/>
      <c r="C115" s="387" t="str">
        <f>IF(A115="","",IFERROR(IF(VLOOKUP(A115,'1. Inbound Leads'!A:G,7,FALSE)=0,"",VLOOKUP(A115,'1. Inbound Leads'!A:G,7,FALSE)),""))</f>
        <v/>
      </c>
      <c r="D115" s="387" t="str">
        <f>IF(A115="","",IFERROR(IF(VLOOKUP(A115,'1. Inbound Leads'!A:L,12,FALSE)=0,"",VLOOKUP(A115,'1. Inbound Leads'!A:L,12,FALSE)),""))</f>
        <v/>
      </c>
      <c r="E115" s="388"/>
      <c r="F115" s="389"/>
      <c r="G115" s="387"/>
      <c r="H115" s="387"/>
      <c r="I115" s="387"/>
      <c r="J115" s="387"/>
      <c r="K115" s="387"/>
      <c r="L115" s="387"/>
      <c r="M115" s="388"/>
      <c r="N115" s="388"/>
      <c r="O115" s="390"/>
      <c r="P115" s="391"/>
      <c r="Q115" s="389"/>
      <c r="R115" s="390"/>
      <c r="S115" s="390"/>
      <c r="T115" s="391"/>
      <c r="U115" s="392"/>
      <c r="V115" s="391"/>
      <c r="W115" s="391"/>
      <c r="X115" s="388"/>
      <c r="Y115" s="391"/>
      <c r="Z115" s="393"/>
      <c r="AA115" s="355" t="str">
        <f t="shared" si="1"/>
        <v/>
      </c>
      <c r="AB115" s="391"/>
      <c r="AC115" s="394" t="str">
        <f t="shared" si="2"/>
        <v/>
      </c>
      <c r="AD115" s="389"/>
      <c r="AE115" s="389"/>
      <c r="AF115" s="395"/>
      <c r="AG115" s="396" t="str">
        <f t="shared" si="3"/>
        <v/>
      </c>
      <c r="AH115" s="396" t="str">
        <f t="shared" si="4"/>
        <v/>
      </c>
      <c r="AI115" s="388"/>
      <c r="AJ115" s="388"/>
      <c r="AK115" s="397"/>
    </row>
    <row r="116">
      <c r="A116" s="385"/>
      <c r="B116" s="386"/>
      <c r="C116" s="387" t="str">
        <f>IF(A116="","",IFERROR(IF(VLOOKUP(A116,'1. Inbound Leads'!A:G,7,FALSE)=0,"",VLOOKUP(A116,'1. Inbound Leads'!A:G,7,FALSE)),""))</f>
        <v/>
      </c>
      <c r="D116" s="387" t="str">
        <f>IF(A116="","",IFERROR(IF(VLOOKUP(A116,'1. Inbound Leads'!A:L,12,FALSE)=0,"",VLOOKUP(A116,'1. Inbound Leads'!A:L,12,FALSE)),""))</f>
        <v/>
      </c>
      <c r="E116" s="388"/>
      <c r="F116" s="389"/>
      <c r="G116" s="387"/>
      <c r="H116" s="387"/>
      <c r="I116" s="387"/>
      <c r="J116" s="387"/>
      <c r="K116" s="387"/>
      <c r="L116" s="387"/>
      <c r="M116" s="388"/>
      <c r="N116" s="388"/>
      <c r="O116" s="390"/>
      <c r="P116" s="391"/>
      <c r="Q116" s="389"/>
      <c r="R116" s="390"/>
      <c r="S116" s="390"/>
      <c r="T116" s="391"/>
      <c r="U116" s="392"/>
      <c r="V116" s="391"/>
      <c r="W116" s="391"/>
      <c r="X116" s="388"/>
      <c r="Y116" s="391"/>
      <c r="Z116" s="393"/>
      <c r="AA116" s="355" t="str">
        <f t="shared" si="1"/>
        <v/>
      </c>
      <c r="AB116" s="391"/>
      <c r="AC116" s="394" t="str">
        <f t="shared" si="2"/>
        <v/>
      </c>
      <c r="AD116" s="389"/>
      <c r="AE116" s="389"/>
      <c r="AF116" s="395"/>
      <c r="AG116" s="396" t="str">
        <f t="shared" si="3"/>
        <v/>
      </c>
      <c r="AH116" s="396" t="str">
        <f t="shared" si="4"/>
        <v/>
      </c>
      <c r="AI116" s="388"/>
      <c r="AJ116" s="388"/>
      <c r="AK116" s="397"/>
    </row>
    <row r="117">
      <c r="A117" s="385"/>
      <c r="B117" s="386"/>
      <c r="C117" s="387" t="str">
        <f>IF(A117="","",IFERROR(IF(VLOOKUP(A117,'1. Inbound Leads'!A:G,7,FALSE)=0,"",VLOOKUP(A117,'1. Inbound Leads'!A:G,7,FALSE)),""))</f>
        <v/>
      </c>
      <c r="D117" s="387" t="str">
        <f>IF(A117="","",IFERROR(IF(VLOOKUP(A117,'1. Inbound Leads'!A:L,12,FALSE)=0,"",VLOOKUP(A117,'1. Inbound Leads'!A:L,12,FALSE)),""))</f>
        <v/>
      </c>
      <c r="E117" s="388"/>
      <c r="F117" s="389"/>
      <c r="G117" s="387"/>
      <c r="H117" s="387"/>
      <c r="I117" s="387"/>
      <c r="J117" s="387"/>
      <c r="K117" s="387"/>
      <c r="L117" s="387"/>
      <c r="M117" s="388"/>
      <c r="N117" s="388"/>
      <c r="O117" s="390"/>
      <c r="P117" s="391"/>
      <c r="Q117" s="389"/>
      <c r="R117" s="390"/>
      <c r="S117" s="390"/>
      <c r="T117" s="391"/>
      <c r="U117" s="392"/>
      <c r="V117" s="391"/>
      <c r="W117" s="391"/>
      <c r="X117" s="388"/>
      <c r="Y117" s="391"/>
      <c r="Z117" s="393"/>
      <c r="AA117" s="355" t="str">
        <f t="shared" si="1"/>
        <v/>
      </c>
      <c r="AB117" s="391"/>
      <c r="AC117" s="394" t="str">
        <f t="shared" si="2"/>
        <v/>
      </c>
      <c r="AD117" s="389"/>
      <c r="AE117" s="389"/>
      <c r="AF117" s="395"/>
      <c r="AG117" s="396" t="str">
        <f t="shared" si="3"/>
        <v/>
      </c>
      <c r="AH117" s="396" t="str">
        <f t="shared" si="4"/>
        <v/>
      </c>
      <c r="AI117" s="388"/>
      <c r="AJ117" s="388"/>
      <c r="AK117" s="397"/>
    </row>
    <row r="118">
      <c r="A118" s="385"/>
      <c r="B118" s="386"/>
      <c r="C118" s="387" t="str">
        <f>IF(A118="","",IFERROR(IF(VLOOKUP(A118,'1. Inbound Leads'!A:G,7,FALSE)=0,"",VLOOKUP(A118,'1. Inbound Leads'!A:G,7,FALSE)),""))</f>
        <v/>
      </c>
      <c r="D118" s="387" t="str">
        <f>IF(A118="","",IFERROR(IF(VLOOKUP(A118,'1. Inbound Leads'!A:L,12,FALSE)=0,"",VLOOKUP(A118,'1. Inbound Leads'!A:L,12,FALSE)),""))</f>
        <v/>
      </c>
      <c r="E118" s="388"/>
      <c r="F118" s="389"/>
      <c r="G118" s="387"/>
      <c r="H118" s="387"/>
      <c r="I118" s="387"/>
      <c r="J118" s="387"/>
      <c r="K118" s="387"/>
      <c r="L118" s="387"/>
      <c r="M118" s="388"/>
      <c r="N118" s="388"/>
      <c r="O118" s="390"/>
      <c r="P118" s="391"/>
      <c r="Q118" s="389"/>
      <c r="R118" s="390"/>
      <c r="S118" s="390"/>
      <c r="T118" s="391"/>
      <c r="U118" s="392"/>
      <c r="V118" s="391"/>
      <c r="W118" s="391"/>
      <c r="X118" s="388"/>
      <c r="Y118" s="391"/>
      <c r="Z118" s="393"/>
      <c r="AA118" s="355" t="str">
        <f t="shared" si="1"/>
        <v/>
      </c>
      <c r="AB118" s="391"/>
      <c r="AC118" s="394" t="str">
        <f t="shared" si="2"/>
        <v/>
      </c>
      <c r="AD118" s="389"/>
      <c r="AE118" s="389"/>
      <c r="AF118" s="395"/>
      <c r="AG118" s="396" t="str">
        <f t="shared" si="3"/>
        <v/>
      </c>
      <c r="AH118" s="396" t="str">
        <f t="shared" si="4"/>
        <v/>
      </c>
      <c r="AI118" s="388"/>
      <c r="AJ118" s="388"/>
      <c r="AK118" s="397"/>
    </row>
    <row r="119">
      <c r="A119" s="385"/>
      <c r="B119" s="386"/>
      <c r="C119" s="387" t="str">
        <f>IF(A119="","",IFERROR(IF(VLOOKUP(A119,'1. Inbound Leads'!A:G,7,FALSE)=0,"",VLOOKUP(A119,'1. Inbound Leads'!A:G,7,FALSE)),""))</f>
        <v/>
      </c>
      <c r="D119" s="387" t="str">
        <f>IF(A119="","",IFERROR(IF(VLOOKUP(A119,'1. Inbound Leads'!A:L,12,FALSE)=0,"",VLOOKUP(A119,'1. Inbound Leads'!A:L,12,FALSE)),""))</f>
        <v/>
      </c>
      <c r="E119" s="388"/>
      <c r="F119" s="389"/>
      <c r="G119" s="387"/>
      <c r="H119" s="387"/>
      <c r="I119" s="387"/>
      <c r="J119" s="387"/>
      <c r="K119" s="387"/>
      <c r="L119" s="387"/>
      <c r="M119" s="388"/>
      <c r="N119" s="388"/>
      <c r="O119" s="390"/>
      <c r="P119" s="391"/>
      <c r="Q119" s="389"/>
      <c r="R119" s="390"/>
      <c r="S119" s="390"/>
      <c r="T119" s="391"/>
      <c r="U119" s="392"/>
      <c r="V119" s="391"/>
      <c r="W119" s="391"/>
      <c r="X119" s="388"/>
      <c r="Y119" s="391"/>
      <c r="Z119" s="393"/>
      <c r="AA119" s="355" t="str">
        <f t="shared" si="1"/>
        <v/>
      </c>
      <c r="AB119" s="391"/>
      <c r="AC119" s="394" t="str">
        <f t="shared" si="2"/>
        <v/>
      </c>
      <c r="AD119" s="389"/>
      <c r="AE119" s="389"/>
      <c r="AF119" s="395"/>
      <c r="AG119" s="396" t="str">
        <f t="shared" si="3"/>
        <v/>
      </c>
      <c r="AH119" s="396" t="str">
        <f t="shared" si="4"/>
        <v/>
      </c>
      <c r="AI119" s="388"/>
      <c r="AJ119" s="388"/>
      <c r="AK119" s="397"/>
    </row>
    <row r="120">
      <c r="A120" s="385"/>
      <c r="B120" s="386"/>
      <c r="C120" s="387" t="str">
        <f>IF(A120="","",IFERROR(IF(VLOOKUP(A120,'1. Inbound Leads'!A:G,7,FALSE)=0,"",VLOOKUP(A120,'1. Inbound Leads'!A:G,7,FALSE)),""))</f>
        <v/>
      </c>
      <c r="D120" s="387" t="str">
        <f>IF(A120="","",IFERROR(IF(VLOOKUP(A120,'1. Inbound Leads'!A:L,12,FALSE)=0,"",VLOOKUP(A120,'1. Inbound Leads'!A:L,12,FALSE)),""))</f>
        <v/>
      </c>
      <c r="E120" s="388"/>
      <c r="F120" s="389"/>
      <c r="G120" s="387"/>
      <c r="H120" s="387"/>
      <c r="I120" s="387"/>
      <c r="J120" s="387"/>
      <c r="K120" s="387"/>
      <c r="L120" s="387"/>
      <c r="M120" s="388"/>
      <c r="N120" s="388"/>
      <c r="O120" s="390"/>
      <c r="P120" s="391"/>
      <c r="Q120" s="389"/>
      <c r="R120" s="390"/>
      <c r="S120" s="390"/>
      <c r="T120" s="391"/>
      <c r="U120" s="392"/>
      <c r="V120" s="391"/>
      <c r="W120" s="391"/>
      <c r="X120" s="388"/>
      <c r="Y120" s="391"/>
      <c r="Z120" s="393"/>
      <c r="AA120" s="355" t="str">
        <f t="shared" si="1"/>
        <v/>
      </c>
      <c r="AB120" s="391"/>
      <c r="AC120" s="394" t="str">
        <f t="shared" si="2"/>
        <v/>
      </c>
      <c r="AD120" s="389"/>
      <c r="AE120" s="389"/>
      <c r="AF120" s="395"/>
      <c r="AG120" s="396" t="str">
        <f t="shared" si="3"/>
        <v/>
      </c>
      <c r="AH120" s="396" t="str">
        <f t="shared" si="4"/>
        <v/>
      </c>
      <c r="AI120" s="388"/>
      <c r="AJ120" s="388"/>
      <c r="AK120" s="397"/>
    </row>
    <row r="121">
      <c r="A121" s="385"/>
      <c r="B121" s="386"/>
      <c r="C121" s="387" t="str">
        <f>IF(A121="","",IFERROR(IF(VLOOKUP(A121,'1. Inbound Leads'!A:G,7,FALSE)=0,"",VLOOKUP(A121,'1. Inbound Leads'!A:G,7,FALSE)),""))</f>
        <v/>
      </c>
      <c r="D121" s="387" t="str">
        <f>IF(A121="","",IFERROR(IF(VLOOKUP(A121,'1. Inbound Leads'!A:L,12,FALSE)=0,"",VLOOKUP(A121,'1. Inbound Leads'!A:L,12,FALSE)),""))</f>
        <v/>
      </c>
      <c r="E121" s="388"/>
      <c r="F121" s="389"/>
      <c r="G121" s="387"/>
      <c r="H121" s="387"/>
      <c r="I121" s="387"/>
      <c r="J121" s="387"/>
      <c r="K121" s="387"/>
      <c r="L121" s="387"/>
      <c r="M121" s="388"/>
      <c r="N121" s="388"/>
      <c r="O121" s="390"/>
      <c r="P121" s="391"/>
      <c r="Q121" s="389"/>
      <c r="R121" s="390"/>
      <c r="S121" s="390"/>
      <c r="T121" s="391"/>
      <c r="U121" s="392"/>
      <c r="V121" s="391"/>
      <c r="W121" s="391"/>
      <c r="X121" s="388"/>
      <c r="Y121" s="391"/>
      <c r="Z121" s="393"/>
      <c r="AA121" s="355" t="str">
        <f t="shared" si="1"/>
        <v/>
      </c>
      <c r="AB121" s="391"/>
      <c r="AC121" s="394" t="str">
        <f t="shared" si="2"/>
        <v/>
      </c>
      <c r="AD121" s="389"/>
      <c r="AE121" s="389"/>
      <c r="AF121" s="395"/>
      <c r="AG121" s="396" t="str">
        <f t="shared" si="3"/>
        <v/>
      </c>
      <c r="AH121" s="396" t="str">
        <f t="shared" si="4"/>
        <v/>
      </c>
      <c r="AI121" s="388"/>
      <c r="AJ121" s="388"/>
      <c r="AK121" s="397"/>
    </row>
    <row r="122">
      <c r="A122" s="385"/>
      <c r="B122" s="386"/>
      <c r="C122" s="387" t="str">
        <f>IF(A122="","",IFERROR(IF(VLOOKUP(A122,'1. Inbound Leads'!A:G,7,FALSE)=0,"",VLOOKUP(A122,'1. Inbound Leads'!A:G,7,FALSE)),""))</f>
        <v/>
      </c>
      <c r="D122" s="387" t="str">
        <f>IF(A122="","",IFERROR(IF(VLOOKUP(A122,'1. Inbound Leads'!A:L,12,FALSE)=0,"",VLOOKUP(A122,'1. Inbound Leads'!A:L,12,FALSE)),""))</f>
        <v/>
      </c>
      <c r="E122" s="388"/>
      <c r="F122" s="389"/>
      <c r="G122" s="387"/>
      <c r="H122" s="387"/>
      <c r="I122" s="387"/>
      <c r="J122" s="387"/>
      <c r="K122" s="387"/>
      <c r="L122" s="387"/>
      <c r="M122" s="388"/>
      <c r="N122" s="388"/>
      <c r="O122" s="390"/>
      <c r="P122" s="391"/>
      <c r="Q122" s="389"/>
      <c r="R122" s="390"/>
      <c r="S122" s="390"/>
      <c r="T122" s="391"/>
      <c r="U122" s="392"/>
      <c r="V122" s="391"/>
      <c r="W122" s="391"/>
      <c r="X122" s="388"/>
      <c r="Y122" s="391"/>
      <c r="Z122" s="393"/>
      <c r="AA122" s="355" t="str">
        <f t="shared" si="1"/>
        <v/>
      </c>
      <c r="AB122" s="391"/>
      <c r="AC122" s="394" t="str">
        <f t="shared" si="2"/>
        <v/>
      </c>
      <c r="AD122" s="389"/>
      <c r="AE122" s="389"/>
      <c r="AF122" s="395"/>
      <c r="AG122" s="396" t="str">
        <f t="shared" si="3"/>
        <v/>
      </c>
      <c r="AH122" s="396" t="str">
        <f t="shared" si="4"/>
        <v/>
      </c>
      <c r="AI122" s="388"/>
      <c r="AJ122" s="388"/>
      <c r="AK122" s="397"/>
    </row>
    <row r="123">
      <c r="A123" s="385"/>
      <c r="B123" s="386"/>
      <c r="C123" s="387" t="str">
        <f>IF(A123="","",IFERROR(IF(VLOOKUP(A123,'1. Inbound Leads'!A:G,7,FALSE)=0,"",VLOOKUP(A123,'1. Inbound Leads'!A:G,7,FALSE)),""))</f>
        <v/>
      </c>
      <c r="D123" s="387" t="str">
        <f>IF(A123="","",IFERROR(IF(VLOOKUP(A123,'1. Inbound Leads'!A:L,12,FALSE)=0,"",VLOOKUP(A123,'1. Inbound Leads'!A:L,12,FALSE)),""))</f>
        <v/>
      </c>
      <c r="E123" s="388"/>
      <c r="F123" s="389"/>
      <c r="G123" s="387"/>
      <c r="H123" s="387"/>
      <c r="I123" s="387"/>
      <c r="J123" s="387"/>
      <c r="K123" s="387"/>
      <c r="L123" s="387"/>
      <c r="M123" s="388"/>
      <c r="N123" s="388"/>
      <c r="O123" s="390"/>
      <c r="P123" s="391"/>
      <c r="Q123" s="389"/>
      <c r="R123" s="390"/>
      <c r="S123" s="390"/>
      <c r="T123" s="391"/>
      <c r="U123" s="392"/>
      <c r="V123" s="391"/>
      <c r="W123" s="391"/>
      <c r="X123" s="388"/>
      <c r="Y123" s="391"/>
      <c r="Z123" s="393"/>
      <c r="AA123" s="355" t="str">
        <f t="shared" si="1"/>
        <v/>
      </c>
      <c r="AB123" s="391"/>
      <c r="AC123" s="394" t="str">
        <f t="shared" si="2"/>
        <v/>
      </c>
      <c r="AD123" s="389"/>
      <c r="AE123" s="389"/>
      <c r="AF123" s="395"/>
      <c r="AG123" s="396" t="str">
        <f t="shared" si="3"/>
        <v/>
      </c>
      <c r="AH123" s="396" t="str">
        <f t="shared" si="4"/>
        <v/>
      </c>
      <c r="AI123" s="388"/>
      <c r="AJ123" s="388"/>
      <c r="AK123" s="397"/>
    </row>
    <row r="124">
      <c r="A124" s="385"/>
      <c r="B124" s="386"/>
      <c r="C124" s="387" t="str">
        <f>IF(A124="","",IFERROR(IF(VLOOKUP(A124,'1. Inbound Leads'!A:G,7,FALSE)=0,"",VLOOKUP(A124,'1. Inbound Leads'!A:G,7,FALSE)),""))</f>
        <v/>
      </c>
      <c r="D124" s="387" t="str">
        <f>IF(A124="","",IFERROR(IF(VLOOKUP(A124,'1. Inbound Leads'!A:L,12,FALSE)=0,"",VLOOKUP(A124,'1. Inbound Leads'!A:L,12,FALSE)),""))</f>
        <v/>
      </c>
      <c r="E124" s="388"/>
      <c r="F124" s="389"/>
      <c r="G124" s="387"/>
      <c r="H124" s="387"/>
      <c r="I124" s="387"/>
      <c r="J124" s="387"/>
      <c r="K124" s="387"/>
      <c r="L124" s="387"/>
      <c r="M124" s="388"/>
      <c r="N124" s="388"/>
      <c r="O124" s="390"/>
      <c r="P124" s="391"/>
      <c r="Q124" s="389"/>
      <c r="R124" s="390"/>
      <c r="S124" s="390"/>
      <c r="T124" s="391"/>
      <c r="U124" s="392"/>
      <c r="V124" s="391"/>
      <c r="W124" s="391"/>
      <c r="X124" s="388"/>
      <c r="Y124" s="391"/>
      <c r="Z124" s="393"/>
      <c r="AA124" s="355" t="str">
        <f t="shared" si="1"/>
        <v/>
      </c>
      <c r="AB124" s="391"/>
      <c r="AC124" s="394" t="str">
        <f t="shared" si="2"/>
        <v/>
      </c>
      <c r="AD124" s="389"/>
      <c r="AE124" s="389"/>
      <c r="AF124" s="395"/>
      <c r="AG124" s="396" t="str">
        <f t="shared" si="3"/>
        <v/>
      </c>
      <c r="AH124" s="396" t="str">
        <f t="shared" si="4"/>
        <v/>
      </c>
      <c r="AI124" s="388"/>
      <c r="AJ124" s="388"/>
      <c r="AK124" s="397"/>
    </row>
    <row r="125">
      <c r="A125" s="385"/>
      <c r="B125" s="386"/>
      <c r="C125" s="387" t="str">
        <f>IF(A125="","",IFERROR(IF(VLOOKUP(A125,'1. Inbound Leads'!A:G,7,FALSE)=0,"",VLOOKUP(A125,'1. Inbound Leads'!A:G,7,FALSE)),""))</f>
        <v/>
      </c>
      <c r="D125" s="387" t="str">
        <f>IF(A125="","",IFERROR(IF(VLOOKUP(A125,'1. Inbound Leads'!A:L,12,FALSE)=0,"",VLOOKUP(A125,'1. Inbound Leads'!A:L,12,FALSE)),""))</f>
        <v/>
      </c>
      <c r="E125" s="388"/>
      <c r="F125" s="389"/>
      <c r="G125" s="387"/>
      <c r="H125" s="387"/>
      <c r="I125" s="387"/>
      <c r="J125" s="387"/>
      <c r="K125" s="387"/>
      <c r="L125" s="387"/>
      <c r="M125" s="388"/>
      <c r="N125" s="388"/>
      <c r="O125" s="390"/>
      <c r="P125" s="391"/>
      <c r="Q125" s="389"/>
      <c r="R125" s="390"/>
      <c r="S125" s="390"/>
      <c r="T125" s="391"/>
      <c r="U125" s="392"/>
      <c r="V125" s="391"/>
      <c r="W125" s="391"/>
      <c r="X125" s="388"/>
      <c r="Y125" s="391"/>
      <c r="Z125" s="393"/>
      <c r="AA125" s="355" t="str">
        <f t="shared" si="1"/>
        <v/>
      </c>
      <c r="AB125" s="391"/>
      <c r="AC125" s="394" t="str">
        <f t="shared" si="2"/>
        <v/>
      </c>
      <c r="AD125" s="389"/>
      <c r="AE125" s="389"/>
      <c r="AF125" s="395"/>
      <c r="AG125" s="396" t="str">
        <f t="shared" si="3"/>
        <v/>
      </c>
      <c r="AH125" s="396" t="str">
        <f t="shared" si="4"/>
        <v/>
      </c>
      <c r="AI125" s="388"/>
      <c r="AJ125" s="388"/>
      <c r="AK125" s="397"/>
    </row>
    <row r="126">
      <c r="A126" s="385"/>
      <c r="B126" s="386"/>
      <c r="C126" s="387" t="str">
        <f>IF(A126="","",IFERROR(IF(VLOOKUP(A126,'1. Inbound Leads'!A:G,7,FALSE)=0,"",VLOOKUP(A126,'1. Inbound Leads'!A:G,7,FALSE)),""))</f>
        <v/>
      </c>
      <c r="D126" s="387" t="str">
        <f>IF(A126="","",IFERROR(IF(VLOOKUP(A126,'1. Inbound Leads'!A:L,12,FALSE)=0,"",VLOOKUP(A126,'1. Inbound Leads'!A:L,12,FALSE)),""))</f>
        <v/>
      </c>
      <c r="E126" s="388"/>
      <c r="F126" s="389"/>
      <c r="G126" s="387"/>
      <c r="H126" s="387"/>
      <c r="I126" s="387"/>
      <c r="J126" s="387"/>
      <c r="K126" s="387"/>
      <c r="L126" s="387"/>
      <c r="M126" s="388"/>
      <c r="N126" s="388"/>
      <c r="O126" s="390"/>
      <c r="P126" s="391"/>
      <c r="Q126" s="389"/>
      <c r="R126" s="390"/>
      <c r="S126" s="390"/>
      <c r="T126" s="391"/>
      <c r="U126" s="392"/>
      <c r="V126" s="391"/>
      <c r="W126" s="391"/>
      <c r="X126" s="388"/>
      <c r="Y126" s="391"/>
      <c r="Z126" s="393"/>
      <c r="AA126" s="355" t="str">
        <f t="shared" si="1"/>
        <v/>
      </c>
      <c r="AB126" s="391"/>
      <c r="AC126" s="394" t="str">
        <f t="shared" si="2"/>
        <v/>
      </c>
      <c r="AD126" s="389"/>
      <c r="AE126" s="389"/>
      <c r="AF126" s="395"/>
      <c r="AG126" s="396" t="str">
        <f t="shared" si="3"/>
        <v/>
      </c>
      <c r="AH126" s="396" t="str">
        <f t="shared" si="4"/>
        <v/>
      </c>
      <c r="AI126" s="388"/>
      <c r="AJ126" s="388"/>
      <c r="AK126" s="397"/>
    </row>
    <row r="127">
      <c r="A127" s="385"/>
      <c r="B127" s="386"/>
      <c r="C127" s="387" t="str">
        <f>IF(A127="","",IFERROR(IF(VLOOKUP(A127,'1. Inbound Leads'!A:G,7,FALSE)=0,"",VLOOKUP(A127,'1. Inbound Leads'!A:G,7,FALSE)),""))</f>
        <v/>
      </c>
      <c r="D127" s="387" t="str">
        <f>IF(A127="","",IFERROR(IF(VLOOKUP(A127,'1. Inbound Leads'!A:L,12,FALSE)=0,"",VLOOKUP(A127,'1. Inbound Leads'!A:L,12,FALSE)),""))</f>
        <v/>
      </c>
      <c r="E127" s="388"/>
      <c r="F127" s="389"/>
      <c r="G127" s="387"/>
      <c r="H127" s="387"/>
      <c r="I127" s="387"/>
      <c r="J127" s="387"/>
      <c r="K127" s="387"/>
      <c r="L127" s="387"/>
      <c r="M127" s="388"/>
      <c r="N127" s="388"/>
      <c r="O127" s="390"/>
      <c r="P127" s="391"/>
      <c r="Q127" s="389"/>
      <c r="R127" s="390"/>
      <c r="S127" s="390"/>
      <c r="T127" s="391"/>
      <c r="U127" s="392"/>
      <c r="V127" s="391"/>
      <c r="W127" s="391"/>
      <c r="X127" s="388"/>
      <c r="Y127" s="391"/>
      <c r="Z127" s="393"/>
      <c r="AA127" s="355" t="str">
        <f t="shared" si="1"/>
        <v/>
      </c>
      <c r="AB127" s="391"/>
      <c r="AC127" s="394" t="str">
        <f t="shared" si="2"/>
        <v/>
      </c>
      <c r="AD127" s="389"/>
      <c r="AE127" s="389"/>
      <c r="AF127" s="395"/>
      <c r="AG127" s="396" t="str">
        <f t="shared" si="3"/>
        <v/>
      </c>
      <c r="AH127" s="396" t="str">
        <f t="shared" si="4"/>
        <v/>
      </c>
      <c r="AI127" s="388"/>
      <c r="AJ127" s="388"/>
      <c r="AK127" s="397"/>
    </row>
    <row r="128">
      <c r="A128" s="385"/>
      <c r="B128" s="386"/>
      <c r="C128" s="387" t="str">
        <f>IF(A128="","",IFERROR(IF(VLOOKUP(A128,'1. Inbound Leads'!A:G,7,FALSE)=0,"",VLOOKUP(A128,'1. Inbound Leads'!A:G,7,FALSE)),""))</f>
        <v/>
      </c>
      <c r="D128" s="387" t="str">
        <f>IF(A128="","",IFERROR(IF(VLOOKUP(A128,'1. Inbound Leads'!A:L,12,FALSE)=0,"",VLOOKUP(A128,'1. Inbound Leads'!A:L,12,FALSE)),""))</f>
        <v/>
      </c>
      <c r="E128" s="388"/>
      <c r="F128" s="389"/>
      <c r="G128" s="387"/>
      <c r="H128" s="387"/>
      <c r="I128" s="387"/>
      <c r="J128" s="387"/>
      <c r="K128" s="387"/>
      <c r="L128" s="387"/>
      <c r="M128" s="388"/>
      <c r="N128" s="388"/>
      <c r="O128" s="390"/>
      <c r="P128" s="391"/>
      <c r="Q128" s="389"/>
      <c r="R128" s="390"/>
      <c r="S128" s="390"/>
      <c r="T128" s="391"/>
      <c r="U128" s="392"/>
      <c r="V128" s="391"/>
      <c r="W128" s="391"/>
      <c r="X128" s="388"/>
      <c r="Y128" s="391"/>
      <c r="Z128" s="393"/>
      <c r="AA128" s="355" t="str">
        <f t="shared" si="1"/>
        <v/>
      </c>
      <c r="AB128" s="391"/>
      <c r="AC128" s="394" t="str">
        <f t="shared" si="2"/>
        <v/>
      </c>
      <c r="AD128" s="389"/>
      <c r="AE128" s="389"/>
      <c r="AF128" s="395"/>
      <c r="AG128" s="396" t="str">
        <f t="shared" si="3"/>
        <v/>
      </c>
      <c r="AH128" s="396" t="str">
        <f t="shared" si="4"/>
        <v/>
      </c>
      <c r="AI128" s="388"/>
      <c r="AJ128" s="388"/>
      <c r="AK128" s="397"/>
    </row>
    <row r="129">
      <c r="A129" s="385"/>
      <c r="B129" s="386"/>
      <c r="C129" s="387" t="str">
        <f>IF(A129="","",IFERROR(IF(VLOOKUP(A129,'1. Inbound Leads'!A:G,7,FALSE)=0,"",VLOOKUP(A129,'1. Inbound Leads'!A:G,7,FALSE)),""))</f>
        <v/>
      </c>
      <c r="D129" s="387" t="str">
        <f>IF(A129="","",IFERROR(IF(VLOOKUP(A129,'1. Inbound Leads'!A:L,12,FALSE)=0,"",VLOOKUP(A129,'1. Inbound Leads'!A:L,12,FALSE)),""))</f>
        <v/>
      </c>
      <c r="E129" s="388"/>
      <c r="F129" s="389"/>
      <c r="G129" s="387"/>
      <c r="H129" s="387"/>
      <c r="I129" s="387"/>
      <c r="J129" s="387"/>
      <c r="K129" s="387"/>
      <c r="L129" s="387"/>
      <c r="M129" s="388"/>
      <c r="N129" s="388"/>
      <c r="O129" s="390"/>
      <c r="P129" s="391"/>
      <c r="Q129" s="389"/>
      <c r="R129" s="390"/>
      <c r="S129" s="390"/>
      <c r="T129" s="391"/>
      <c r="U129" s="392"/>
      <c r="V129" s="391"/>
      <c r="W129" s="391"/>
      <c r="X129" s="388"/>
      <c r="Y129" s="391"/>
      <c r="Z129" s="393"/>
      <c r="AA129" s="355" t="str">
        <f t="shared" si="1"/>
        <v/>
      </c>
      <c r="AB129" s="391"/>
      <c r="AC129" s="394" t="str">
        <f t="shared" si="2"/>
        <v/>
      </c>
      <c r="AD129" s="389"/>
      <c r="AE129" s="389"/>
      <c r="AF129" s="395"/>
      <c r="AG129" s="396" t="str">
        <f t="shared" si="3"/>
        <v/>
      </c>
      <c r="AH129" s="396" t="str">
        <f t="shared" si="4"/>
        <v/>
      </c>
      <c r="AI129" s="388"/>
      <c r="AJ129" s="388"/>
      <c r="AK129" s="397"/>
    </row>
    <row r="130">
      <c r="A130" s="385"/>
      <c r="B130" s="386"/>
      <c r="C130" s="387" t="str">
        <f>IF(A130="","",IFERROR(IF(VLOOKUP(A130,'1. Inbound Leads'!A:G,7,FALSE)=0,"",VLOOKUP(A130,'1. Inbound Leads'!A:G,7,FALSE)),""))</f>
        <v/>
      </c>
      <c r="D130" s="387" t="str">
        <f>IF(A130="","",IFERROR(IF(VLOOKUP(A130,'1. Inbound Leads'!A:L,12,FALSE)=0,"",VLOOKUP(A130,'1. Inbound Leads'!A:L,12,FALSE)),""))</f>
        <v/>
      </c>
      <c r="E130" s="388"/>
      <c r="F130" s="389"/>
      <c r="G130" s="387"/>
      <c r="H130" s="387"/>
      <c r="I130" s="387"/>
      <c r="J130" s="387"/>
      <c r="K130" s="387"/>
      <c r="L130" s="387"/>
      <c r="M130" s="388"/>
      <c r="N130" s="388"/>
      <c r="O130" s="390"/>
      <c r="P130" s="391"/>
      <c r="Q130" s="389"/>
      <c r="R130" s="390"/>
      <c r="S130" s="390"/>
      <c r="T130" s="391"/>
      <c r="U130" s="392"/>
      <c r="V130" s="391"/>
      <c r="W130" s="391"/>
      <c r="X130" s="388"/>
      <c r="Y130" s="391"/>
      <c r="Z130" s="393"/>
      <c r="AA130" s="355" t="str">
        <f t="shared" si="1"/>
        <v/>
      </c>
      <c r="AB130" s="391"/>
      <c r="AC130" s="394" t="str">
        <f t="shared" si="2"/>
        <v/>
      </c>
      <c r="AD130" s="389"/>
      <c r="AE130" s="389"/>
      <c r="AF130" s="395"/>
      <c r="AG130" s="396" t="str">
        <f t="shared" si="3"/>
        <v/>
      </c>
      <c r="AH130" s="396" t="str">
        <f t="shared" si="4"/>
        <v/>
      </c>
      <c r="AI130" s="388"/>
      <c r="AJ130" s="388"/>
      <c r="AK130" s="397"/>
    </row>
    <row r="131">
      <c r="A131" s="385"/>
      <c r="B131" s="386"/>
      <c r="C131" s="387" t="str">
        <f>IF(A131="","",IFERROR(IF(VLOOKUP(A131,'1. Inbound Leads'!A:G,7,FALSE)=0,"",VLOOKUP(A131,'1. Inbound Leads'!A:G,7,FALSE)),""))</f>
        <v/>
      </c>
      <c r="D131" s="387" t="str">
        <f>IF(A131="","",IFERROR(IF(VLOOKUP(A131,'1. Inbound Leads'!A:L,12,FALSE)=0,"",VLOOKUP(A131,'1. Inbound Leads'!A:L,12,FALSE)),""))</f>
        <v/>
      </c>
      <c r="E131" s="388"/>
      <c r="F131" s="389"/>
      <c r="G131" s="387"/>
      <c r="H131" s="387"/>
      <c r="I131" s="387"/>
      <c r="J131" s="387"/>
      <c r="K131" s="387"/>
      <c r="L131" s="387"/>
      <c r="M131" s="388"/>
      <c r="N131" s="388"/>
      <c r="O131" s="390"/>
      <c r="P131" s="391"/>
      <c r="Q131" s="389"/>
      <c r="R131" s="390"/>
      <c r="S131" s="390"/>
      <c r="T131" s="391"/>
      <c r="U131" s="392"/>
      <c r="V131" s="391"/>
      <c r="W131" s="391"/>
      <c r="X131" s="388"/>
      <c r="Y131" s="391"/>
      <c r="Z131" s="393"/>
      <c r="AA131" s="355" t="str">
        <f t="shared" si="1"/>
        <v/>
      </c>
      <c r="AB131" s="391"/>
      <c r="AC131" s="394" t="str">
        <f t="shared" si="2"/>
        <v/>
      </c>
      <c r="AD131" s="389"/>
      <c r="AE131" s="389"/>
      <c r="AF131" s="395"/>
      <c r="AG131" s="396" t="str">
        <f t="shared" si="3"/>
        <v/>
      </c>
      <c r="AH131" s="396" t="str">
        <f t="shared" si="4"/>
        <v/>
      </c>
      <c r="AI131" s="388"/>
      <c r="AJ131" s="388"/>
      <c r="AK131" s="397"/>
    </row>
    <row r="132">
      <c r="A132" s="385"/>
      <c r="B132" s="386"/>
      <c r="C132" s="387" t="str">
        <f>IF(A132="","",IFERROR(IF(VLOOKUP(A132,'1. Inbound Leads'!A:G,7,FALSE)=0,"",VLOOKUP(A132,'1. Inbound Leads'!A:G,7,FALSE)),""))</f>
        <v/>
      </c>
      <c r="D132" s="387" t="str">
        <f>IF(A132="","",IFERROR(IF(VLOOKUP(A132,'1. Inbound Leads'!A:L,12,FALSE)=0,"",VLOOKUP(A132,'1. Inbound Leads'!A:L,12,FALSE)),""))</f>
        <v/>
      </c>
      <c r="E132" s="388"/>
      <c r="F132" s="389"/>
      <c r="G132" s="387"/>
      <c r="H132" s="387"/>
      <c r="I132" s="387"/>
      <c r="J132" s="387"/>
      <c r="K132" s="387"/>
      <c r="L132" s="387"/>
      <c r="M132" s="388"/>
      <c r="N132" s="388"/>
      <c r="O132" s="390"/>
      <c r="P132" s="391"/>
      <c r="Q132" s="389"/>
      <c r="R132" s="390"/>
      <c r="S132" s="390"/>
      <c r="T132" s="391"/>
      <c r="U132" s="392"/>
      <c r="V132" s="391"/>
      <c r="W132" s="391"/>
      <c r="X132" s="388"/>
      <c r="Y132" s="391"/>
      <c r="Z132" s="393"/>
      <c r="AA132" s="355" t="str">
        <f t="shared" si="1"/>
        <v/>
      </c>
      <c r="AB132" s="391"/>
      <c r="AC132" s="394" t="str">
        <f t="shared" si="2"/>
        <v/>
      </c>
      <c r="AD132" s="389"/>
      <c r="AE132" s="389"/>
      <c r="AF132" s="395"/>
      <c r="AG132" s="396" t="str">
        <f t="shared" si="3"/>
        <v/>
      </c>
      <c r="AH132" s="396" t="str">
        <f t="shared" si="4"/>
        <v/>
      </c>
      <c r="AI132" s="388"/>
      <c r="AJ132" s="388"/>
      <c r="AK132" s="397"/>
    </row>
    <row r="133">
      <c r="A133" s="385"/>
      <c r="B133" s="386"/>
      <c r="C133" s="387" t="str">
        <f>IF(A133="","",IFERROR(IF(VLOOKUP(A133,'1. Inbound Leads'!A:G,7,FALSE)=0,"",VLOOKUP(A133,'1. Inbound Leads'!A:G,7,FALSE)),""))</f>
        <v/>
      </c>
      <c r="D133" s="387" t="str">
        <f>IF(A133="","",IFERROR(IF(VLOOKUP(A133,'1. Inbound Leads'!A:L,12,FALSE)=0,"",VLOOKUP(A133,'1. Inbound Leads'!A:L,12,FALSE)),""))</f>
        <v/>
      </c>
      <c r="E133" s="388"/>
      <c r="F133" s="389"/>
      <c r="G133" s="387"/>
      <c r="H133" s="387"/>
      <c r="I133" s="387"/>
      <c r="J133" s="387"/>
      <c r="K133" s="387"/>
      <c r="L133" s="387"/>
      <c r="M133" s="388"/>
      <c r="N133" s="388"/>
      <c r="O133" s="390"/>
      <c r="P133" s="391"/>
      <c r="Q133" s="389"/>
      <c r="R133" s="390"/>
      <c r="S133" s="390"/>
      <c r="T133" s="391"/>
      <c r="U133" s="392"/>
      <c r="V133" s="391"/>
      <c r="W133" s="391"/>
      <c r="X133" s="388"/>
      <c r="Y133" s="391"/>
      <c r="Z133" s="393"/>
      <c r="AA133" s="355" t="str">
        <f t="shared" si="1"/>
        <v/>
      </c>
      <c r="AB133" s="391"/>
      <c r="AC133" s="394" t="str">
        <f t="shared" si="2"/>
        <v/>
      </c>
      <c r="AD133" s="389"/>
      <c r="AE133" s="389"/>
      <c r="AF133" s="395"/>
      <c r="AG133" s="396" t="str">
        <f t="shared" si="3"/>
        <v/>
      </c>
      <c r="AH133" s="396" t="str">
        <f t="shared" si="4"/>
        <v/>
      </c>
      <c r="AI133" s="388"/>
      <c r="AJ133" s="388"/>
      <c r="AK133" s="397"/>
    </row>
    <row r="134">
      <c r="A134" s="385"/>
      <c r="B134" s="386"/>
      <c r="C134" s="387" t="str">
        <f>IF(A134="","",IFERROR(IF(VLOOKUP(A134,'1. Inbound Leads'!A:G,7,FALSE)=0,"",VLOOKUP(A134,'1. Inbound Leads'!A:G,7,FALSE)),""))</f>
        <v/>
      </c>
      <c r="D134" s="387" t="str">
        <f>IF(A134="","",IFERROR(IF(VLOOKUP(A134,'1. Inbound Leads'!A:L,12,FALSE)=0,"",VLOOKUP(A134,'1. Inbound Leads'!A:L,12,FALSE)),""))</f>
        <v/>
      </c>
      <c r="E134" s="388"/>
      <c r="F134" s="389"/>
      <c r="G134" s="387"/>
      <c r="H134" s="387"/>
      <c r="I134" s="387"/>
      <c r="J134" s="387"/>
      <c r="K134" s="387"/>
      <c r="L134" s="387"/>
      <c r="M134" s="388"/>
      <c r="N134" s="388"/>
      <c r="O134" s="390"/>
      <c r="P134" s="391"/>
      <c r="Q134" s="389"/>
      <c r="R134" s="390"/>
      <c r="S134" s="390"/>
      <c r="T134" s="391"/>
      <c r="U134" s="392"/>
      <c r="V134" s="391"/>
      <c r="W134" s="391"/>
      <c r="X134" s="388"/>
      <c r="Y134" s="391"/>
      <c r="Z134" s="393"/>
      <c r="AA134" s="355" t="str">
        <f t="shared" si="1"/>
        <v/>
      </c>
      <c r="AB134" s="391"/>
      <c r="AC134" s="394" t="str">
        <f t="shared" si="2"/>
        <v/>
      </c>
      <c r="AD134" s="389"/>
      <c r="AE134" s="389"/>
      <c r="AF134" s="395"/>
      <c r="AG134" s="396" t="str">
        <f t="shared" si="3"/>
        <v/>
      </c>
      <c r="AH134" s="396" t="str">
        <f t="shared" si="4"/>
        <v/>
      </c>
      <c r="AI134" s="388"/>
      <c r="AJ134" s="388"/>
      <c r="AK134" s="397"/>
    </row>
    <row r="135">
      <c r="A135" s="385"/>
      <c r="B135" s="386"/>
      <c r="C135" s="387" t="str">
        <f>IF(A135="","",IFERROR(IF(VLOOKUP(A135,'1. Inbound Leads'!A:G,7,FALSE)=0,"",VLOOKUP(A135,'1. Inbound Leads'!A:G,7,FALSE)),""))</f>
        <v/>
      </c>
      <c r="D135" s="387" t="str">
        <f>IF(A135="","",IFERROR(IF(VLOOKUP(A135,'1. Inbound Leads'!A:L,12,FALSE)=0,"",VLOOKUP(A135,'1. Inbound Leads'!A:L,12,FALSE)),""))</f>
        <v/>
      </c>
      <c r="E135" s="388"/>
      <c r="F135" s="389"/>
      <c r="G135" s="387"/>
      <c r="H135" s="387"/>
      <c r="I135" s="387"/>
      <c r="J135" s="387"/>
      <c r="K135" s="387"/>
      <c r="L135" s="387"/>
      <c r="M135" s="388"/>
      <c r="N135" s="388"/>
      <c r="O135" s="390"/>
      <c r="P135" s="391"/>
      <c r="Q135" s="389"/>
      <c r="R135" s="390"/>
      <c r="S135" s="390"/>
      <c r="T135" s="391"/>
      <c r="U135" s="392"/>
      <c r="V135" s="391"/>
      <c r="W135" s="391"/>
      <c r="X135" s="388"/>
      <c r="Y135" s="391"/>
      <c r="Z135" s="393"/>
      <c r="AA135" s="355" t="str">
        <f t="shared" si="1"/>
        <v/>
      </c>
      <c r="AB135" s="391"/>
      <c r="AC135" s="394" t="str">
        <f t="shared" si="2"/>
        <v/>
      </c>
      <c r="AD135" s="389"/>
      <c r="AE135" s="389"/>
      <c r="AF135" s="395"/>
      <c r="AG135" s="396" t="str">
        <f t="shared" si="3"/>
        <v/>
      </c>
      <c r="AH135" s="396" t="str">
        <f t="shared" si="4"/>
        <v/>
      </c>
      <c r="AI135" s="388"/>
      <c r="AJ135" s="388"/>
      <c r="AK135" s="397"/>
    </row>
    <row r="136">
      <c r="A136" s="385"/>
      <c r="B136" s="386"/>
      <c r="C136" s="387" t="str">
        <f>IF(A136="","",IFERROR(IF(VLOOKUP(A136,'1. Inbound Leads'!A:G,7,FALSE)=0,"",VLOOKUP(A136,'1. Inbound Leads'!A:G,7,FALSE)),""))</f>
        <v/>
      </c>
      <c r="D136" s="387" t="str">
        <f>IF(A136="","",IFERROR(IF(VLOOKUP(A136,'1. Inbound Leads'!A:L,12,FALSE)=0,"",VLOOKUP(A136,'1. Inbound Leads'!A:L,12,FALSE)),""))</f>
        <v/>
      </c>
      <c r="E136" s="388"/>
      <c r="F136" s="389"/>
      <c r="G136" s="387"/>
      <c r="H136" s="387"/>
      <c r="I136" s="387"/>
      <c r="J136" s="387"/>
      <c r="K136" s="387"/>
      <c r="L136" s="387"/>
      <c r="M136" s="388"/>
      <c r="N136" s="388"/>
      <c r="O136" s="390"/>
      <c r="P136" s="391"/>
      <c r="Q136" s="389"/>
      <c r="R136" s="390"/>
      <c r="S136" s="390"/>
      <c r="T136" s="391"/>
      <c r="U136" s="392"/>
      <c r="V136" s="391"/>
      <c r="W136" s="391"/>
      <c r="X136" s="388"/>
      <c r="Y136" s="391"/>
      <c r="Z136" s="393"/>
      <c r="AA136" s="355" t="str">
        <f t="shared" si="1"/>
        <v/>
      </c>
      <c r="AB136" s="391"/>
      <c r="AC136" s="394" t="str">
        <f t="shared" si="2"/>
        <v/>
      </c>
      <c r="AD136" s="389"/>
      <c r="AE136" s="389"/>
      <c r="AF136" s="395"/>
      <c r="AG136" s="396" t="str">
        <f t="shared" si="3"/>
        <v/>
      </c>
      <c r="AH136" s="396" t="str">
        <f t="shared" si="4"/>
        <v/>
      </c>
      <c r="AI136" s="388"/>
      <c r="AJ136" s="388"/>
      <c r="AK136" s="397"/>
    </row>
    <row r="137">
      <c r="A137" s="385"/>
      <c r="B137" s="386"/>
      <c r="C137" s="387" t="str">
        <f>IF(A137="","",IFERROR(IF(VLOOKUP(A137,'1. Inbound Leads'!A:G,7,FALSE)=0,"",VLOOKUP(A137,'1. Inbound Leads'!A:G,7,FALSE)),""))</f>
        <v/>
      </c>
      <c r="D137" s="387" t="str">
        <f>IF(A137="","",IFERROR(IF(VLOOKUP(A137,'1. Inbound Leads'!A:L,12,FALSE)=0,"",VLOOKUP(A137,'1. Inbound Leads'!A:L,12,FALSE)),""))</f>
        <v/>
      </c>
      <c r="E137" s="388"/>
      <c r="F137" s="389"/>
      <c r="G137" s="387"/>
      <c r="H137" s="387"/>
      <c r="I137" s="387"/>
      <c r="J137" s="387"/>
      <c r="K137" s="387"/>
      <c r="L137" s="387"/>
      <c r="M137" s="388"/>
      <c r="N137" s="388"/>
      <c r="O137" s="390"/>
      <c r="P137" s="391"/>
      <c r="Q137" s="389"/>
      <c r="R137" s="390"/>
      <c r="S137" s="390"/>
      <c r="T137" s="391"/>
      <c r="U137" s="392"/>
      <c r="V137" s="391"/>
      <c r="W137" s="391"/>
      <c r="X137" s="388"/>
      <c r="Y137" s="391"/>
      <c r="Z137" s="393"/>
      <c r="AA137" s="355" t="str">
        <f t="shared" si="1"/>
        <v/>
      </c>
      <c r="AB137" s="391"/>
      <c r="AC137" s="394" t="str">
        <f t="shared" si="2"/>
        <v/>
      </c>
      <c r="AD137" s="389"/>
      <c r="AE137" s="389"/>
      <c r="AF137" s="395"/>
      <c r="AG137" s="396" t="str">
        <f t="shared" si="3"/>
        <v/>
      </c>
      <c r="AH137" s="396" t="str">
        <f t="shared" si="4"/>
        <v/>
      </c>
      <c r="AI137" s="388"/>
      <c r="AJ137" s="388"/>
      <c r="AK137" s="397"/>
    </row>
    <row r="138">
      <c r="A138" s="385"/>
      <c r="B138" s="386"/>
      <c r="C138" s="387" t="str">
        <f>IF(A138="","",IFERROR(IF(VLOOKUP(A138,'1. Inbound Leads'!A:G,7,FALSE)=0,"",VLOOKUP(A138,'1. Inbound Leads'!A:G,7,FALSE)),""))</f>
        <v/>
      </c>
      <c r="D138" s="387" t="str">
        <f>IF(A138="","",IFERROR(IF(VLOOKUP(A138,'1. Inbound Leads'!A:L,12,FALSE)=0,"",VLOOKUP(A138,'1. Inbound Leads'!A:L,12,FALSE)),""))</f>
        <v/>
      </c>
      <c r="E138" s="388"/>
      <c r="F138" s="389"/>
      <c r="G138" s="387"/>
      <c r="H138" s="387"/>
      <c r="I138" s="387"/>
      <c r="J138" s="387"/>
      <c r="K138" s="387"/>
      <c r="L138" s="387"/>
      <c r="M138" s="388"/>
      <c r="N138" s="388"/>
      <c r="O138" s="390"/>
      <c r="P138" s="391"/>
      <c r="Q138" s="389"/>
      <c r="R138" s="390"/>
      <c r="S138" s="390"/>
      <c r="T138" s="391"/>
      <c r="U138" s="392"/>
      <c r="V138" s="391"/>
      <c r="W138" s="391"/>
      <c r="X138" s="388"/>
      <c r="Y138" s="391"/>
      <c r="Z138" s="393"/>
      <c r="AA138" s="355" t="str">
        <f t="shared" si="1"/>
        <v/>
      </c>
      <c r="AB138" s="391"/>
      <c r="AC138" s="394" t="str">
        <f t="shared" si="2"/>
        <v/>
      </c>
      <c r="AD138" s="389"/>
      <c r="AE138" s="389"/>
      <c r="AF138" s="395"/>
      <c r="AG138" s="396" t="str">
        <f t="shared" si="3"/>
        <v/>
      </c>
      <c r="AH138" s="396" t="str">
        <f t="shared" si="4"/>
        <v/>
      </c>
      <c r="AI138" s="388"/>
      <c r="AJ138" s="388"/>
      <c r="AK138" s="397"/>
    </row>
    <row r="139">
      <c r="A139" s="385"/>
      <c r="B139" s="386"/>
      <c r="C139" s="387" t="str">
        <f>IF(A139="","",IFERROR(IF(VLOOKUP(A139,'1. Inbound Leads'!A:G,7,FALSE)=0,"",VLOOKUP(A139,'1. Inbound Leads'!A:G,7,FALSE)),""))</f>
        <v/>
      </c>
      <c r="D139" s="387" t="str">
        <f>IF(A139="","",IFERROR(IF(VLOOKUP(A139,'1. Inbound Leads'!A:L,12,FALSE)=0,"",VLOOKUP(A139,'1. Inbound Leads'!A:L,12,FALSE)),""))</f>
        <v/>
      </c>
      <c r="E139" s="388"/>
      <c r="F139" s="389"/>
      <c r="G139" s="387"/>
      <c r="H139" s="387"/>
      <c r="I139" s="387"/>
      <c r="J139" s="387"/>
      <c r="K139" s="387"/>
      <c r="L139" s="387"/>
      <c r="M139" s="388"/>
      <c r="N139" s="388"/>
      <c r="O139" s="390"/>
      <c r="P139" s="391"/>
      <c r="Q139" s="389"/>
      <c r="R139" s="390"/>
      <c r="S139" s="390"/>
      <c r="T139" s="391"/>
      <c r="U139" s="392"/>
      <c r="V139" s="391"/>
      <c r="W139" s="391"/>
      <c r="X139" s="388"/>
      <c r="Y139" s="391"/>
      <c r="Z139" s="393"/>
      <c r="AA139" s="355" t="str">
        <f t="shared" si="1"/>
        <v/>
      </c>
      <c r="AB139" s="391"/>
      <c r="AC139" s="394" t="str">
        <f t="shared" si="2"/>
        <v/>
      </c>
      <c r="AD139" s="389"/>
      <c r="AE139" s="389"/>
      <c r="AF139" s="395"/>
      <c r="AG139" s="396" t="str">
        <f t="shared" si="3"/>
        <v/>
      </c>
      <c r="AH139" s="396" t="str">
        <f t="shared" si="4"/>
        <v/>
      </c>
      <c r="AI139" s="388"/>
      <c r="AJ139" s="388"/>
      <c r="AK139" s="397"/>
    </row>
    <row r="140">
      <c r="A140" s="385"/>
      <c r="B140" s="386"/>
      <c r="C140" s="387" t="str">
        <f>IF(A140="","",IFERROR(IF(VLOOKUP(A140,'1. Inbound Leads'!A:G,7,FALSE)=0,"",VLOOKUP(A140,'1. Inbound Leads'!A:G,7,FALSE)),""))</f>
        <v/>
      </c>
      <c r="D140" s="387" t="str">
        <f>IF(A140="","",IFERROR(IF(VLOOKUP(A140,'1. Inbound Leads'!A:L,12,FALSE)=0,"",VLOOKUP(A140,'1. Inbound Leads'!A:L,12,FALSE)),""))</f>
        <v/>
      </c>
      <c r="E140" s="388"/>
      <c r="F140" s="389"/>
      <c r="G140" s="387"/>
      <c r="H140" s="387"/>
      <c r="I140" s="387"/>
      <c r="J140" s="387"/>
      <c r="K140" s="387"/>
      <c r="L140" s="387"/>
      <c r="M140" s="388"/>
      <c r="N140" s="388"/>
      <c r="O140" s="390"/>
      <c r="P140" s="391"/>
      <c r="Q140" s="389"/>
      <c r="R140" s="390"/>
      <c r="S140" s="390"/>
      <c r="T140" s="391"/>
      <c r="U140" s="392"/>
      <c r="V140" s="391"/>
      <c r="W140" s="391"/>
      <c r="X140" s="388"/>
      <c r="Y140" s="391"/>
      <c r="Z140" s="393"/>
      <c r="AA140" s="355" t="str">
        <f t="shared" si="1"/>
        <v/>
      </c>
      <c r="AB140" s="391"/>
      <c r="AC140" s="394" t="str">
        <f t="shared" si="2"/>
        <v/>
      </c>
      <c r="AD140" s="389"/>
      <c r="AE140" s="389"/>
      <c r="AF140" s="395"/>
      <c r="AG140" s="396" t="str">
        <f t="shared" si="3"/>
        <v/>
      </c>
      <c r="AH140" s="396" t="str">
        <f t="shared" si="4"/>
        <v/>
      </c>
      <c r="AI140" s="388"/>
      <c r="AJ140" s="388"/>
      <c r="AK140" s="397"/>
    </row>
    <row r="141">
      <c r="A141" s="385"/>
      <c r="B141" s="386"/>
      <c r="C141" s="387" t="str">
        <f>IF(A141="","",IFERROR(IF(VLOOKUP(A141,'1. Inbound Leads'!A:G,7,FALSE)=0,"",VLOOKUP(A141,'1. Inbound Leads'!A:G,7,FALSE)),""))</f>
        <v/>
      </c>
      <c r="D141" s="387" t="str">
        <f>IF(A141="","",IFERROR(IF(VLOOKUP(A141,'1. Inbound Leads'!A:L,12,FALSE)=0,"",VLOOKUP(A141,'1. Inbound Leads'!A:L,12,FALSE)),""))</f>
        <v/>
      </c>
      <c r="E141" s="388"/>
      <c r="F141" s="389"/>
      <c r="G141" s="387"/>
      <c r="H141" s="387"/>
      <c r="I141" s="387"/>
      <c r="J141" s="387"/>
      <c r="K141" s="387"/>
      <c r="L141" s="387"/>
      <c r="M141" s="388"/>
      <c r="N141" s="388"/>
      <c r="O141" s="390"/>
      <c r="P141" s="391"/>
      <c r="Q141" s="389"/>
      <c r="R141" s="390"/>
      <c r="S141" s="390"/>
      <c r="T141" s="391"/>
      <c r="U141" s="392"/>
      <c r="V141" s="391"/>
      <c r="W141" s="391"/>
      <c r="X141" s="388"/>
      <c r="Y141" s="391"/>
      <c r="Z141" s="393"/>
      <c r="AA141" s="355" t="str">
        <f t="shared" si="1"/>
        <v/>
      </c>
      <c r="AB141" s="391"/>
      <c r="AC141" s="394" t="str">
        <f t="shared" si="2"/>
        <v/>
      </c>
      <c r="AD141" s="389"/>
      <c r="AE141" s="389"/>
      <c r="AF141" s="395"/>
      <c r="AG141" s="396" t="str">
        <f t="shared" si="3"/>
        <v/>
      </c>
      <c r="AH141" s="396" t="str">
        <f t="shared" si="4"/>
        <v/>
      </c>
      <c r="AI141" s="388"/>
      <c r="AJ141" s="388"/>
      <c r="AK141" s="397"/>
    </row>
    <row r="142">
      <c r="A142" s="385"/>
      <c r="B142" s="386"/>
      <c r="C142" s="387" t="str">
        <f>IF(A142="","",IFERROR(IF(VLOOKUP(A142,'1. Inbound Leads'!A:G,7,FALSE)=0,"",VLOOKUP(A142,'1. Inbound Leads'!A:G,7,FALSE)),""))</f>
        <v/>
      </c>
      <c r="D142" s="387" t="str">
        <f>IF(A142="","",IFERROR(IF(VLOOKUP(A142,'1. Inbound Leads'!A:L,12,FALSE)=0,"",VLOOKUP(A142,'1. Inbound Leads'!A:L,12,FALSE)),""))</f>
        <v/>
      </c>
      <c r="E142" s="388"/>
      <c r="F142" s="389"/>
      <c r="G142" s="387"/>
      <c r="H142" s="387"/>
      <c r="I142" s="387"/>
      <c r="J142" s="387"/>
      <c r="K142" s="387"/>
      <c r="L142" s="387"/>
      <c r="M142" s="388"/>
      <c r="N142" s="388"/>
      <c r="O142" s="390"/>
      <c r="P142" s="391"/>
      <c r="Q142" s="389"/>
      <c r="R142" s="390"/>
      <c r="S142" s="390"/>
      <c r="T142" s="391"/>
      <c r="U142" s="392"/>
      <c r="V142" s="391"/>
      <c r="W142" s="391"/>
      <c r="X142" s="388"/>
      <c r="Y142" s="391"/>
      <c r="Z142" s="393"/>
      <c r="AA142" s="355" t="str">
        <f t="shared" si="1"/>
        <v/>
      </c>
      <c r="AB142" s="391"/>
      <c r="AC142" s="394" t="str">
        <f t="shared" si="2"/>
        <v/>
      </c>
      <c r="AD142" s="389"/>
      <c r="AE142" s="389"/>
      <c r="AF142" s="395"/>
      <c r="AG142" s="396" t="str">
        <f t="shared" si="3"/>
        <v/>
      </c>
      <c r="AH142" s="396" t="str">
        <f t="shared" si="4"/>
        <v/>
      </c>
      <c r="AI142" s="388"/>
      <c r="AJ142" s="388"/>
      <c r="AK142" s="397"/>
    </row>
    <row r="143">
      <c r="A143" s="385"/>
      <c r="B143" s="386"/>
      <c r="C143" s="387" t="str">
        <f>IF(A143="","",IFERROR(IF(VLOOKUP(A143,'1. Inbound Leads'!A:G,7,FALSE)=0,"",VLOOKUP(A143,'1. Inbound Leads'!A:G,7,FALSE)),""))</f>
        <v/>
      </c>
      <c r="D143" s="387" t="str">
        <f>IF(A143="","",IFERROR(IF(VLOOKUP(A143,'1. Inbound Leads'!A:L,12,FALSE)=0,"",VLOOKUP(A143,'1. Inbound Leads'!A:L,12,FALSE)),""))</f>
        <v/>
      </c>
      <c r="E143" s="388"/>
      <c r="F143" s="389"/>
      <c r="G143" s="387"/>
      <c r="H143" s="387"/>
      <c r="I143" s="387"/>
      <c r="J143" s="387"/>
      <c r="K143" s="387"/>
      <c r="L143" s="387"/>
      <c r="M143" s="388"/>
      <c r="N143" s="388"/>
      <c r="O143" s="390"/>
      <c r="P143" s="391"/>
      <c r="Q143" s="389"/>
      <c r="R143" s="390"/>
      <c r="S143" s="390"/>
      <c r="T143" s="391"/>
      <c r="U143" s="392"/>
      <c r="V143" s="391"/>
      <c r="W143" s="391"/>
      <c r="X143" s="388"/>
      <c r="Y143" s="391"/>
      <c r="Z143" s="393"/>
      <c r="AA143" s="355" t="str">
        <f t="shared" si="1"/>
        <v/>
      </c>
      <c r="AB143" s="391"/>
      <c r="AC143" s="394" t="str">
        <f t="shared" si="2"/>
        <v/>
      </c>
      <c r="AD143" s="389"/>
      <c r="AE143" s="389"/>
      <c r="AF143" s="395"/>
      <c r="AG143" s="396" t="str">
        <f t="shared" si="3"/>
        <v/>
      </c>
      <c r="AH143" s="396" t="str">
        <f t="shared" si="4"/>
        <v/>
      </c>
      <c r="AI143" s="388"/>
      <c r="AJ143" s="388"/>
      <c r="AK143" s="397"/>
    </row>
    <row r="144">
      <c r="A144" s="385"/>
      <c r="B144" s="386"/>
      <c r="C144" s="387" t="str">
        <f>IF(A144="","",IFERROR(IF(VLOOKUP(A144,'1. Inbound Leads'!A:G,7,FALSE)=0,"",VLOOKUP(A144,'1. Inbound Leads'!A:G,7,FALSE)),""))</f>
        <v/>
      </c>
      <c r="D144" s="387" t="str">
        <f>IF(A144="","",IFERROR(IF(VLOOKUP(A144,'1. Inbound Leads'!A:L,12,FALSE)=0,"",VLOOKUP(A144,'1. Inbound Leads'!A:L,12,FALSE)),""))</f>
        <v/>
      </c>
      <c r="E144" s="388"/>
      <c r="F144" s="389"/>
      <c r="G144" s="387"/>
      <c r="H144" s="387"/>
      <c r="I144" s="387"/>
      <c r="J144" s="387"/>
      <c r="K144" s="387"/>
      <c r="L144" s="387"/>
      <c r="M144" s="388"/>
      <c r="N144" s="388"/>
      <c r="O144" s="390"/>
      <c r="P144" s="391"/>
      <c r="Q144" s="389"/>
      <c r="R144" s="390"/>
      <c r="S144" s="390"/>
      <c r="T144" s="391"/>
      <c r="U144" s="392"/>
      <c r="V144" s="391"/>
      <c r="W144" s="391"/>
      <c r="X144" s="388"/>
      <c r="Y144" s="391"/>
      <c r="Z144" s="393"/>
      <c r="AA144" s="355" t="str">
        <f t="shared" si="1"/>
        <v/>
      </c>
      <c r="AB144" s="391"/>
      <c r="AC144" s="394" t="str">
        <f t="shared" si="2"/>
        <v/>
      </c>
      <c r="AD144" s="389"/>
      <c r="AE144" s="389"/>
      <c r="AF144" s="395"/>
      <c r="AG144" s="396" t="str">
        <f t="shared" si="3"/>
        <v/>
      </c>
      <c r="AH144" s="396" t="str">
        <f t="shared" si="4"/>
        <v/>
      </c>
      <c r="AI144" s="388"/>
      <c r="AJ144" s="388"/>
      <c r="AK144" s="397"/>
    </row>
    <row r="145">
      <c r="A145" s="385"/>
      <c r="B145" s="386"/>
      <c r="C145" s="387" t="str">
        <f>IF(A145="","",IFERROR(IF(VLOOKUP(A145,'1. Inbound Leads'!A:G,7,FALSE)=0,"",VLOOKUP(A145,'1. Inbound Leads'!A:G,7,FALSE)),""))</f>
        <v/>
      </c>
      <c r="D145" s="387" t="str">
        <f>IF(A145="","",IFERROR(IF(VLOOKUP(A145,'1. Inbound Leads'!A:L,12,FALSE)=0,"",VLOOKUP(A145,'1. Inbound Leads'!A:L,12,FALSE)),""))</f>
        <v/>
      </c>
      <c r="E145" s="388"/>
      <c r="F145" s="389"/>
      <c r="G145" s="387"/>
      <c r="H145" s="387"/>
      <c r="I145" s="387"/>
      <c r="J145" s="387"/>
      <c r="K145" s="387"/>
      <c r="L145" s="387"/>
      <c r="M145" s="388"/>
      <c r="N145" s="388"/>
      <c r="O145" s="390"/>
      <c r="P145" s="391"/>
      <c r="Q145" s="389"/>
      <c r="R145" s="390"/>
      <c r="S145" s="390"/>
      <c r="T145" s="391"/>
      <c r="U145" s="392"/>
      <c r="V145" s="391"/>
      <c r="W145" s="391"/>
      <c r="X145" s="388"/>
      <c r="Y145" s="391"/>
      <c r="Z145" s="393"/>
      <c r="AA145" s="355" t="str">
        <f t="shared" si="1"/>
        <v/>
      </c>
      <c r="AB145" s="391"/>
      <c r="AC145" s="394" t="str">
        <f t="shared" si="2"/>
        <v/>
      </c>
      <c r="AD145" s="389"/>
      <c r="AE145" s="389"/>
      <c r="AF145" s="395"/>
      <c r="AG145" s="396" t="str">
        <f t="shared" si="3"/>
        <v/>
      </c>
      <c r="AH145" s="396" t="str">
        <f t="shared" si="4"/>
        <v/>
      </c>
      <c r="AI145" s="388"/>
      <c r="AJ145" s="388"/>
      <c r="AK145" s="397"/>
    </row>
    <row r="146">
      <c r="A146" s="385"/>
      <c r="B146" s="386"/>
      <c r="C146" s="387" t="str">
        <f>IF(A146="","",IFERROR(IF(VLOOKUP(A146,'1. Inbound Leads'!A:G,7,FALSE)=0,"",VLOOKUP(A146,'1. Inbound Leads'!A:G,7,FALSE)),""))</f>
        <v/>
      </c>
      <c r="D146" s="387" t="str">
        <f>IF(A146="","",IFERROR(IF(VLOOKUP(A146,'1. Inbound Leads'!A:L,12,FALSE)=0,"",VLOOKUP(A146,'1. Inbound Leads'!A:L,12,FALSE)),""))</f>
        <v/>
      </c>
      <c r="E146" s="388"/>
      <c r="F146" s="389"/>
      <c r="G146" s="387"/>
      <c r="H146" s="387"/>
      <c r="I146" s="387"/>
      <c r="J146" s="387"/>
      <c r="K146" s="387"/>
      <c r="L146" s="387"/>
      <c r="M146" s="388"/>
      <c r="N146" s="388"/>
      <c r="O146" s="390"/>
      <c r="P146" s="391"/>
      <c r="Q146" s="389"/>
      <c r="R146" s="390"/>
      <c r="S146" s="390"/>
      <c r="T146" s="391"/>
      <c r="U146" s="392"/>
      <c r="V146" s="391"/>
      <c r="W146" s="391"/>
      <c r="X146" s="388"/>
      <c r="Y146" s="391"/>
      <c r="Z146" s="393"/>
      <c r="AA146" s="355" t="str">
        <f t="shared" si="1"/>
        <v/>
      </c>
      <c r="AB146" s="391"/>
      <c r="AC146" s="394" t="str">
        <f t="shared" si="2"/>
        <v/>
      </c>
      <c r="AD146" s="389"/>
      <c r="AE146" s="389"/>
      <c r="AF146" s="395"/>
      <c r="AG146" s="396" t="str">
        <f t="shared" si="3"/>
        <v/>
      </c>
      <c r="AH146" s="396" t="str">
        <f t="shared" si="4"/>
        <v/>
      </c>
      <c r="AI146" s="388"/>
      <c r="AJ146" s="388"/>
      <c r="AK146" s="397"/>
    </row>
    <row r="147">
      <c r="A147" s="385"/>
      <c r="B147" s="386"/>
      <c r="C147" s="387" t="str">
        <f>IF(A147="","",IFERROR(IF(VLOOKUP(A147,'1. Inbound Leads'!A:G,7,FALSE)=0,"",VLOOKUP(A147,'1. Inbound Leads'!A:G,7,FALSE)),""))</f>
        <v/>
      </c>
      <c r="D147" s="387" t="str">
        <f>IF(A147="","",IFERROR(IF(VLOOKUP(A147,'1. Inbound Leads'!A:L,12,FALSE)=0,"",VLOOKUP(A147,'1. Inbound Leads'!A:L,12,FALSE)),""))</f>
        <v/>
      </c>
      <c r="E147" s="388"/>
      <c r="F147" s="389"/>
      <c r="G147" s="387"/>
      <c r="H147" s="387"/>
      <c r="I147" s="387"/>
      <c r="J147" s="387"/>
      <c r="K147" s="387"/>
      <c r="L147" s="387"/>
      <c r="M147" s="388"/>
      <c r="N147" s="388"/>
      <c r="O147" s="390"/>
      <c r="P147" s="391"/>
      <c r="Q147" s="389"/>
      <c r="R147" s="390"/>
      <c r="S147" s="390"/>
      <c r="T147" s="391"/>
      <c r="U147" s="392"/>
      <c r="V147" s="391"/>
      <c r="W147" s="391"/>
      <c r="X147" s="388"/>
      <c r="Y147" s="391"/>
      <c r="Z147" s="393"/>
      <c r="AA147" s="355" t="str">
        <f t="shared" si="1"/>
        <v/>
      </c>
      <c r="AB147" s="391"/>
      <c r="AC147" s="394" t="str">
        <f t="shared" si="2"/>
        <v/>
      </c>
      <c r="AD147" s="389"/>
      <c r="AE147" s="389"/>
      <c r="AF147" s="395"/>
      <c r="AG147" s="396" t="str">
        <f t="shared" si="3"/>
        <v/>
      </c>
      <c r="AH147" s="396" t="str">
        <f t="shared" si="4"/>
        <v/>
      </c>
      <c r="AI147" s="388"/>
      <c r="AJ147" s="388"/>
      <c r="AK147" s="397"/>
    </row>
    <row r="148">
      <c r="A148" s="385"/>
      <c r="B148" s="386"/>
      <c r="C148" s="387" t="str">
        <f>IF(A148="","",IFERROR(IF(VLOOKUP(A148,'1. Inbound Leads'!A:G,7,FALSE)=0,"",VLOOKUP(A148,'1. Inbound Leads'!A:G,7,FALSE)),""))</f>
        <v/>
      </c>
      <c r="D148" s="387" t="str">
        <f>IF(A148="","",IFERROR(IF(VLOOKUP(A148,'1. Inbound Leads'!A:L,12,FALSE)=0,"",VLOOKUP(A148,'1. Inbound Leads'!A:L,12,FALSE)),""))</f>
        <v/>
      </c>
      <c r="E148" s="388"/>
      <c r="F148" s="389"/>
      <c r="G148" s="387"/>
      <c r="H148" s="387"/>
      <c r="I148" s="387"/>
      <c r="J148" s="387"/>
      <c r="K148" s="387"/>
      <c r="L148" s="387"/>
      <c r="M148" s="388"/>
      <c r="N148" s="388"/>
      <c r="O148" s="390"/>
      <c r="P148" s="391"/>
      <c r="Q148" s="389"/>
      <c r="R148" s="390"/>
      <c r="S148" s="390"/>
      <c r="T148" s="391"/>
      <c r="U148" s="392"/>
      <c r="V148" s="391"/>
      <c r="W148" s="391"/>
      <c r="X148" s="388"/>
      <c r="Y148" s="391"/>
      <c r="Z148" s="393"/>
      <c r="AA148" s="355" t="str">
        <f t="shared" si="1"/>
        <v/>
      </c>
      <c r="AB148" s="391"/>
      <c r="AC148" s="394" t="str">
        <f t="shared" si="2"/>
        <v/>
      </c>
      <c r="AD148" s="389"/>
      <c r="AE148" s="389"/>
      <c r="AF148" s="395"/>
      <c r="AG148" s="396" t="str">
        <f t="shared" si="3"/>
        <v/>
      </c>
      <c r="AH148" s="396" t="str">
        <f t="shared" si="4"/>
        <v/>
      </c>
      <c r="AI148" s="388"/>
      <c r="AJ148" s="388"/>
      <c r="AK148" s="397"/>
    </row>
    <row r="149">
      <c r="A149" s="385"/>
      <c r="B149" s="386"/>
      <c r="C149" s="387" t="str">
        <f>IF(A149="","",IFERROR(IF(VLOOKUP(A149,'1. Inbound Leads'!A:G,7,FALSE)=0,"",VLOOKUP(A149,'1. Inbound Leads'!A:G,7,FALSE)),""))</f>
        <v/>
      </c>
      <c r="D149" s="387" t="str">
        <f>IF(A149="","",IFERROR(IF(VLOOKUP(A149,'1. Inbound Leads'!A:L,12,FALSE)=0,"",VLOOKUP(A149,'1. Inbound Leads'!A:L,12,FALSE)),""))</f>
        <v/>
      </c>
      <c r="E149" s="388"/>
      <c r="F149" s="389"/>
      <c r="G149" s="387"/>
      <c r="H149" s="387"/>
      <c r="I149" s="387"/>
      <c r="J149" s="387"/>
      <c r="K149" s="387"/>
      <c r="L149" s="387"/>
      <c r="M149" s="388"/>
      <c r="N149" s="388"/>
      <c r="O149" s="390"/>
      <c r="P149" s="391"/>
      <c r="Q149" s="389"/>
      <c r="R149" s="390"/>
      <c r="S149" s="390"/>
      <c r="T149" s="391"/>
      <c r="U149" s="392"/>
      <c r="V149" s="391"/>
      <c r="W149" s="391"/>
      <c r="X149" s="388"/>
      <c r="Y149" s="391"/>
      <c r="Z149" s="393"/>
      <c r="AA149" s="355" t="str">
        <f t="shared" si="1"/>
        <v/>
      </c>
      <c r="AB149" s="391"/>
      <c r="AC149" s="394" t="str">
        <f t="shared" si="2"/>
        <v/>
      </c>
      <c r="AD149" s="389"/>
      <c r="AE149" s="389"/>
      <c r="AF149" s="395"/>
      <c r="AG149" s="396" t="str">
        <f t="shared" si="3"/>
        <v/>
      </c>
      <c r="AH149" s="396" t="str">
        <f t="shared" si="4"/>
        <v/>
      </c>
      <c r="AI149" s="388"/>
      <c r="AJ149" s="388"/>
      <c r="AK149" s="397"/>
    </row>
    <row r="150">
      <c r="A150" s="385"/>
      <c r="B150" s="386"/>
      <c r="C150" s="387" t="str">
        <f>IF(A150="","",IFERROR(IF(VLOOKUP(A150,'1. Inbound Leads'!A:G,7,FALSE)=0,"",VLOOKUP(A150,'1. Inbound Leads'!A:G,7,FALSE)),""))</f>
        <v/>
      </c>
      <c r="D150" s="387" t="str">
        <f>IF(A150="","",IFERROR(IF(VLOOKUP(A150,'1. Inbound Leads'!A:L,12,FALSE)=0,"",VLOOKUP(A150,'1. Inbound Leads'!A:L,12,FALSE)),""))</f>
        <v/>
      </c>
      <c r="E150" s="388"/>
      <c r="F150" s="389"/>
      <c r="G150" s="387"/>
      <c r="H150" s="387"/>
      <c r="I150" s="387"/>
      <c r="J150" s="387"/>
      <c r="K150" s="387"/>
      <c r="L150" s="387"/>
      <c r="M150" s="388"/>
      <c r="N150" s="388"/>
      <c r="O150" s="390"/>
      <c r="P150" s="391"/>
      <c r="Q150" s="389"/>
      <c r="R150" s="390"/>
      <c r="S150" s="390"/>
      <c r="T150" s="391"/>
      <c r="U150" s="392"/>
      <c r="V150" s="391"/>
      <c r="W150" s="391"/>
      <c r="X150" s="388"/>
      <c r="Y150" s="391"/>
      <c r="Z150" s="393"/>
      <c r="AA150" s="355" t="str">
        <f t="shared" si="1"/>
        <v/>
      </c>
      <c r="AB150" s="391"/>
      <c r="AC150" s="394" t="str">
        <f t="shared" si="2"/>
        <v/>
      </c>
      <c r="AD150" s="389"/>
      <c r="AE150" s="389"/>
      <c r="AF150" s="395"/>
      <c r="AG150" s="396" t="str">
        <f t="shared" si="3"/>
        <v/>
      </c>
      <c r="AH150" s="396" t="str">
        <f t="shared" si="4"/>
        <v/>
      </c>
      <c r="AI150" s="388"/>
      <c r="AJ150" s="388"/>
      <c r="AK150" s="397"/>
    </row>
    <row r="151">
      <c r="A151" s="385"/>
      <c r="B151" s="386"/>
      <c r="C151" s="387" t="str">
        <f>IF(A151="","",IFERROR(IF(VLOOKUP(A151,'1. Inbound Leads'!A:G,7,FALSE)=0,"",VLOOKUP(A151,'1. Inbound Leads'!A:G,7,FALSE)),""))</f>
        <v/>
      </c>
      <c r="D151" s="387" t="str">
        <f>IF(A151="","",IFERROR(IF(VLOOKUP(A151,'1. Inbound Leads'!A:L,12,FALSE)=0,"",VLOOKUP(A151,'1. Inbound Leads'!A:L,12,FALSE)),""))</f>
        <v/>
      </c>
      <c r="E151" s="388"/>
      <c r="F151" s="389"/>
      <c r="G151" s="387"/>
      <c r="H151" s="387"/>
      <c r="I151" s="387"/>
      <c r="J151" s="387"/>
      <c r="K151" s="387"/>
      <c r="L151" s="387"/>
      <c r="M151" s="388"/>
      <c r="N151" s="388"/>
      <c r="O151" s="390"/>
      <c r="P151" s="391"/>
      <c r="Q151" s="389"/>
      <c r="R151" s="390"/>
      <c r="S151" s="390"/>
      <c r="T151" s="391"/>
      <c r="U151" s="392"/>
      <c r="V151" s="391"/>
      <c r="W151" s="391"/>
      <c r="X151" s="388"/>
      <c r="Y151" s="391"/>
      <c r="Z151" s="393"/>
      <c r="AA151" s="355" t="str">
        <f t="shared" si="1"/>
        <v/>
      </c>
      <c r="AB151" s="391"/>
      <c r="AC151" s="394" t="str">
        <f t="shared" si="2"/>
        <v/>
      </c>
      <c r="AD151" s="389"/>
      <c r="AE151" s="389"/>
      <c r="AF151" s="395"/>
      <c r="AG151" s="396" t="str">
        <f t="shared" si="3"/>
        <v/>
      </c>
      <c r="AH151" s="396" t="str">
        <f t="shared" si="4"/>
        <v/>
      </c>
      <c r="AI151" s="388"/>
      <c r="AJ151" s="388"/>
      <c r="AK151" s="397"/>
    </row>
    <row r="152">
      <c r="A152" s="385"/>
      <c r="B152" s="386"/>
      <c r="C152" s="387" t="str">
        <f>IF(A152="","",IFERROR(IF(VLOOKUP(A152,'1. Inbound Leads'!A:G,7,FALSE)=0,"",VLOOKUP(A152,'1. Inbound Leads'!A:G,7,FALSE)),""))</f>
        <v/>
      </c>
      <c r="D152" s="387" t="str">
        <f>IF(A152="","",IFERROR(IF(VLOOKUP(A152,'1. Inbound Leads'!A:L,12,FALSE)=0,"",VLOOKUP(A152,'1. Inbound Leads'!A:L,12,FALSE)),""))</f>
        <v/>
      </c>
      <c r="E152" s="388"/>
      <c r="F152" s="389"/>
      <c r="G152" s="387"/>
      <c r="H152" s="387"/>
      <c r="I152" s="387"/>
      <c r="J152" s="387"/>
      <c r="K152" s="387"/>
      <c r="L152" s="387"/>
      <c r="M152" s="388"/>
      <c r="N152" s="388"/>
      <c r="O152" s="390"/>
      <c r="P152" s="391"/>
      <c r="Q152" s="389"/>
      <c r="R152" s="390"/>
      <c r="S152" s="390"/>
      <c r="T152" s="391"/>
      <c r="U152" s="392"/>
      <c r="V152" s="391"/>
      <c r="W152" s="391"/>
      <c r="X152" s="388"/>
      <c r="Y152" s="391"/>
      <c r="Z152" s="393"/>
      <c r="AA152" s="355" t="str">
        <f t="shared" si="1"/>
        <v/>
      </c>
      <c r="AB152" s="391"/>
      <c r="AC152" s="394" t="str">
        <f t="shared" si="2"/>
        <v/>
      </c>
      <c r="AD152" s="389"/>
      <c r="AE152" s="389"/>
      <c r="AF152" s="395"/>
      <c r="AG152" s="396" t="str">
        <f t="shared" si="3"/>
        <v/>
      </c>
      <c r="AH152" s="396" t="str">
        <f t="shared" si="4"/>
        <v/>
      </c>
      <c r="AI152" s="388"/>
      <c r="AJ152" s="388"/>
      <c r="AK152" s="397"/>
    </row>
    <row r="153">
      <c r="A153" s="385"/>
      <c r="B153" s="386"/>
      <c r="C153" s="387" t="str">
        <f>IF(A153="","",IFERROR(IF(VLOOKUP(A153,'1. Inbound Leads'!A:G,7,FALSE)=0,"",VLOOKUP(A153,'1. Inbound Leads'!A:G,7,FALSE)),""))</f>
        <v/>
      </c>
      <c r="D153" s="387" t="str">
        <f>IF(A153="","",IFERROR(IF(VLOOKUP(A153,'1. Inbound Leads'!A:L,12,FALSE)=0,"",VLOOKUP(A153,'1. Inbound Leads'!A:L,12,FALSE)),""))</f>
        <v/>
      </c>
      <c r="E153" s="388"/>
      <c r="F153" s="389"/>
      <c r="G153" s="387"/>
      <c r="H153" s="387"/>
      <c r="I153" s="387"/>
      <c r="J153" s="387"/>
      <c r="K153" s="387"/>
      <c r="L153" s="387"/>
      <c r="M153" s="388"/>
      <c r="N153" s="388"/>
      <c r="O153" s="390"/>
      <c r="P153" s="391"/>
      <c r="Q153" s="389"/>
      <c r="R153" s="390"/>
      <c r="S153" s="390"/>
      <c r="T153" s="391"/>
      <c r="U153" s="392"/>
      <c r="V153" s="391"/>
      <c r="W153" s="391"/>
      <c r="X153" s="388"/>
      <c r="Y153" s="391"/>
      <c r="Z153" s="393"/>
      <c r="AA153" s="355" t="str">
        <f t="shared" si="1"/>
        <v/>
      </c>
      <c r="AB153" s="391"/>
      <c r="AC153" s="394" t="str">
        <f t="shared" si="2"/>
        <v/>
      </c>
      <c r="AD153" s="389"/>
      <c r="AE153" s="389"/>
      <c r="AF153" s="395"/>
      <c r="AG153" s="396" t="str">
        <f t="shared" si="3"/>
        <v/>
      </c>
      <c r="AH153" s="396" t="str">
        <f t="shared" si="4"/>
        <v/>
      </c>
      <c r="AI153" s="388"/>
      <c r="AJ153" s="388"/>
      <c r="AK153" s="397"/>
    </row>
    <row r="154">
      <c r="A154" s="385"/>
      <c r="B154" s="386"/>
      <c r="C154" s="387" t="str">
        <f>IF(A154="","",IFERROR(IF(VLOOKUP(A154,'1. Inbound Leads'!A:G,7,FALSE)=0,"",VLOOKUP(A154,'1. Inbound Leads'!A:G,7,FALSE)),""))</f>
        <v/>
      </c>
      <c r="D154" s="387" t="str">
        <f>IF(A154="","",IFERROR(IF(VLOOKUP(A154,'1. Inbound Leads'!A:L,12,FALSE)=0,"",VLOOKUP(A154,'1. Inbound Leads'!A:L,12,FALSE)),""))</f>
        <v/>
      </c>
      <c r="E154" s="388"/>
      <c r="F154" s="389"/>
      <c r="G154" s="387"/>
      <c r="H154" s="387"/>
      <c r="I154" s="387"/>
      <c r="J154" s="387"/>
      <c r="K154" s="387"/>
      <c r="L154" s="387"/>
      <c r="M154" s="388"/>
      <c r="N154" s="388"/>
      <c r="O154" s="390"/>
      <c r="P154" s="391"/>
      <c r="Q154" s="389"/>
      <c r="R154" s="390"/>
      <c r="S154" s="390"/>
      <c r="T154" s="391"/>
      <c r="U154" s="392"/>
      <c r="V154" s="391"/>
      <c r="W154" s="391"/>
      <c r="X154" s="388"/>
      <c r="Y154" s="391"/>
      <c r="Z154" s="393"/>
      <c r="AA154" s="355" t="str">
        <f t="shared" si="1"/>
        <v/>
      </c>
      <c r="AB154" s="391"/>
      <c r="AC154" s="394" t="str">
        <f t="shared" si="2"/>
        <v/>
      </c>
      <c r="AD154" s="389"/>
      <c r="AE154" s="389"/>
      <c r="AF154" s="395"/>
      <c r="AG154" s="396" t="str">
        <f t="shared" si="3"/>
        <v/>
      </c>
      <c r="AH154" s="396" t="str">
        <f t="shared" si="4"/>
        <v/>
      </c>
      <c r="AI154" s="388"/>
      <c r="AJ154" s="388"/>
      <c r="AK154" s="397"/>
    </row>
    <row r="155">
      <c r="A155" s="385"/>
      <c r="B155" s="386"/>
      <c r="C155" s="387" t="str">
        <f>IF(A155="","",IFERROR(IF(VLOOKUP(A155,'1. Inbound Leads'!A:G,7,FALSE)=0,"",VLOOKUP(A155,'1. Inbound Leads'!A:G,7,FALSE)),""))</f>
        <v/>
      </c>
      <c r="D155" s="387" t="str">
        <f>IF(A155="","",IFERROR(IF(VLOOKUP(A155,'1. Inbound Leads'!A:L,12,FALSE)=0,"",VLOOKUP(A155,'1. Inbound Leads'!A:L,12,FALSE)),""))</f>
        <v/>
      </c>
      <c r="E155" s="388"/>
      <c r="F155" s="389"/>
      <c r="G155" s="387"/>
      <c r="H155" s="387"/>
      <c r="I155" s="387"/>
      <c r="J155" s="387"/>
      <c r="K155" s="387"/>
      <c r="L155" s="387"/>
      <c r="M155" s="388"/>
      <c r="N155" s="388"/>
      <c r="O155" s="390"/>
      <c r="P155" s="391"/>
      <c r="Q155" s="389"/>
      <c r="R155" s="390"/>
      <c r="S155" s="390"/>
      <c r="T155" s="391"/>
      <c r="U155" s="392"/>
      <c r="V155" s="391"/>
      <c r="W155" s="391"/>
      <c r="X155" s="388"/>
      <c r="Y155" s="391"/>
      <c r="Z155" s="393"/>
      <c r="AA155" s="355" t="str">
        <f t="shared" si="1"/>
        <v/>
      </c>
      <c r="AB155" s="391"/>
      <c r="AC155" s="394" t="str">
        <f t="shared" si="2"/>
        <v/>
      </c>
      <c r="AD155" s="389"/>
      <c r="AE155" s="389"/>
      <c r="AF155" s="395"/>
      <c r="AG155" s="396" t="str">
        <f t="shared" si="3"/>
        <v/>
      </c>
      <c r="AH155" s="396" t="str">
        <f t="shared" si="4"/>
        <v/>
      </c>
      <c r="AI155" s="388"/>
      <c r="AJ155" s="388"/>
      <c r="AK155" s="397"/>
    </row>
    <row r="156">
      <c r="A156" s="385"/>
      <c r="B156" s="386"/>
      <c r="C156" s="387" t="str">
        <f>IF(A156="","",IFERROR(IF(VLOOKUP(A156,'1. Inbound Leads'!A:G,7,FALSE)=0,"",VLOOKUP(A156,'1. Inbound Leads'!A:G,7,FALSE)),""))</f>
        <v/>
      </c>
      <c r="D156" s="387" t="str">
        <f>IF(A156="","",IFERROR(IF(VLOOKUP(A156,'1. Inbound Leads'!A:L,12,FALSE)=0,"",VLOOKUP(A156,'1. Inbound Leads'!A:L,12,FALSE)),""))</f>
        <v/>
      </c>
      <c r="E156" s="388"/>
      <c r="F156" s="389"/>
      <c r="G156" s="387"/>
      <c r="H156" s="387"/>
      <c r="I156" s="387"/>
      <c r="J156" s="387"/>
      <c r="K156" s="387"/>
      <c r="L156" s="387"/>
      <c r="M156" s="388"/>
      <c r="N156" s="388"/>
      <c r="O156" s="390"/>
      <c r="P156" s="391"/>
      <c r="Q156" s="389"/>
      <c r="R156" s="390"/>
      <c r="S156" s="390"/>
      <c r="T156" s="391"/>
      <c r="U156" s="392"/>
      <c r="V156" s="391"/>
      <c r="W156" s="391"/>
      <c r="X156" s="388"/>
      <c r="Y156" s="391"/>
      <c r="Z156" s="393"/>
      <c r="AA156" s="355" t="str">
        <f t="shared" si="1"/>
        <v/>
      </c>
      <c r="AB156" s="391"/>
      <c r="AC156" s="394" t="str">
        <f t="shared" si="2"/>
        <v/>
      </c>
      <c r="AD156" s="389"/>
      <c r="AE156" s="389"/>
      <c r="AF156" s="395"/>
      <c r="AG156" s="396" t="str">
        <f t="shared" si="3"/>
        <v/>
      </c>
      <c r="AH156" s="396" t="str">
        <f t="shared" si="4"/>
        <v/>
      </c>
      <c r="AI156" s="388"/>
      <c r="AJ156" s="388"/>
      <c r="AK156" s="397"/>
    </row>
    <row r="157">
      <c r="A157" s="385"/>
      <c r="B157" s="386"/>
      <c r="C157" s="387" t="str">
        <f>IF(A157="","",IFERROR(IF(VLOOKUP(A157,'1. Inbound Leads'!A:G,7,FALSE)=0,"",VLOOKUP(A157,'1. Inbound Leads'!A:G,7,FALSE)),""))</f>
        <v/>
      </c>
      <c r="D157" s="387" t="str">
        <f>IF(A157="","",IFERROR(IF(VLOOKUP(A157,'1. Inbound Leads'!A:L,12,FALSE)=0,"",VLOOKUP(A157,'1. Inbound Leads'!A:L,12,FALSE)),""))</f>
        <v/>
      </c>
      <c r="E157" s="388"/>
      <c r="F157" s="389"/>
      <c r="G157" s="387"/>
      <c r="H157" s="387"/>
      <c r="I157" s="387"/>
      <c r="J157" s="387"/>
      <c r="K157" s="387"/>
      <c r="L157" s="387"/>
      <c r="M157" s="388"/>
      <c r="N157" s="388"/>
      <c r="O157" s="390"/>
      <c r="P157" s="391"/>
      <c r="Q157" s="389"/>
      <c r="R157" s="390"/>
      <c r="S157" s="390"/>
      <c r="T157" s="391"/>
      <c r="U157" s="392"/>
      <c r="V157" s="391"/>
      <c r="W157" s="391"/>
      <c r="X157" s="388"/>
      <c r="Y157" s="391"/>
      <c r="Z157" s="393"/>
      <c r="AA157" s="355" t="str">
        <f t="shared" si="1"/>
        <v/>
      </c>
      <c r="AB157" s="391"/>
      <c r="AC157" s="394" t="str">
        <f t="shared" si="2"/>
        <v/>
      </c>
      <c r="AD157" s="389"/>
      <c r="AE157" s="389"/>
      <c r="AF157" s="395"/>
      <c r="AG157" s="396" t="str">
        <f t="shared" si="3"/>
        <v/>
      </c>
      <c r="AH157" s="396" t="str">
        <f t="shared" si="4"/>
        <v/>
      </c>
      <c r="AI157" s="388"/>
      <c r="AJ157" s="388"/>
      <c r="AK157" s="397"/>
    </row>
    <row r="158">
      <c r="A158" s="385"/>
      <c r="B158" s="386"/>
      <c r="C158" s="387" t="str">
        <f>IF(A158="","",IFERROR(IF(VLOOKUP(A158,'1. Inbound Leads'!A:G,7,FALSE)=0,"",VLOOKUP(A158,'1. Inbound Leads'!A:G,7,FALSE)),""))</f>
        <v/>
      </c>
      <c r="D158" s="387" t="str">
        <f>IF(A158="","",IFERROR(IF(VLOOKUP(A158,'1. Inbound Leads'!A:L,12,FALSE)=0,"",VLOOKUP(A158,'1. Inbound Leads'!A:L,12,FALSE)),""))</f>
        <v/>
      </c>
      <c r="E158" s="388"/>
      <c r="F158" s="389"/>
      <c r="G158" s="387"/>
      <c r="H158" s="387"/>
      <c r="I158" s="387"/>
      <c r="J158" s="387"/>
      <c r="K158" s="387"/>
      <c r="L158" s="387"/>
      <c r="M158" s="388"/>
      <c r="N158" s="388"/>
      <c r="O158" s="390"/>
      <c r="P158" s="391"/>
      <c r="Q158" s="389"/>
      <c r="R158" s="390"/>
      <c r="S158" s="390"/>
      <c r="T158" s="391"/>
      <c r="U158" s="392"/>
      <c r="V158" s="391"/>
      <c r="W158" s="391"/>
      <c r="X158" s="388"/>
      <c r="Y158" s="391"/>
      <c r="Z158" s="393"/>
      <c r="AA158" s="355" t="str">
        <f t="shared" si="1"/>
        <v/>
      </c>
      <c r="AB158" s="391"/>
      <c r="AC158" s="394" t="str">
        <f t="shared" si="2"/>
        <v/>
      </c>
      <c r="AD158" s="389"/>
      <c r="AE158" s="389"/>
      <c r="AF158" s="395"/>
      <c r="AG158" s="396" t="str">
        <f t="shared" si="3"/>
        <v/>
      </c>
      <c r="AH158" s="396" t="str">
        <f t="shared" si="4"/>
        <v/>
      </c>
      <c r="AI158" s="388"/>
      <c r="AJ158" s="388"/>
      <c r="AK158" s="397"/>
    </row>
    <row r="159">
      <c r="A159" s="385"/>
      <c r="B159" s="386"/>
      <c r="C159" s="387" t="str">
        <f>IF(A159="","",IFERROR(IF(VLOOKUP(A159,'1. Inbound Leads'!A:G,7,FALSE)=0,"",VLOOKUP(A159,'1. Inbound Leads'!A:G,7,FALSE)),""))</f>
        <v/>
      </c>
      <c r="D159" s="387" t="str">
        <f>IF(A159="","",IFERROR(IF(VLOOKUP(A159,'1. Inbound Leads'!A:L,12,FALSE)=0,"",VLOOKUP(A159,'1. Inbound Leads'!A:L,12,FALSE)),""))</f>
        <v/>
      </c>
      <c r="E159" s="388"/>
      <c r="F159" s="389"/>
      <c r="G159" s="387"/>
      <c r="H159" s="387"/>
      <c r="I159" s="387"/>
      <c r="J159" s="387"/>
      <c r="K159" s="387"/>
      <c r="L159" s="387"/>
      <c r="M159" s="388"/>
      <c r="N159" s="388"/>
      <c r="O159" s="390"/>
      <c r="P159" s="391"/>
      <c r="Q159" s="389"/>
      <c r="R159" s="390"/>
      <c r="S159" s="390"/>
      <c r="T159" s="391"/>
      <c r="U159" s="392"/>
      <c r="V159" s="391"/>
      <c r="W159" s="391"/>
      <c r="X159" s="388"/>
      <c r="Y159" s="391"/>
      <c r="Z159" s="393"/>
      <c r="AA159" s="355" t="str">
        <f t="shared" si="1"/>
        <v/>
      </c>
      <c r="AB159" s="391"/>
      <c r="AC159" s="394" t="str">
        <f t="shared" si="2"/>
        <v/>
      </c>
      <c r="AD159" s="389"/>
      <c r="AE159" s="389"/>
      <c r="AF159" s="395"/>
      <c r="AG159" s="396" t="str">
        <f t="shared" si="3"/>
        <v/>
      </c>
      <c r="AH159" s="396" t="str">
        <f t="shared" si="4"/>
        <v/>
      </c>
      <c r="AI159" s="388"/>
      <c r="AJ159" s="388"/>
      <c r="AK159" s="397"/>
    </row>
    <row r="160">
      <c r="A160" s="385"/>
      <c r="B160" s="386"/>
      <c r="C160" s="387" t="str">
        <f>IF(A160="","",IFERROR(IF(VLOOKUP(A160,'1. Inbound Leads'!A:G,7,FALSE)=0,"",VLOOKUP(A160,'1. Inbound Leads'!A:G,7,FALSE)),""))</f>
        <v/>
      </c>
      <c r="D160" s="387" t="str">
        <f>IF(A160="","",IFERROR(IF(VLOOKUP(A160,'1. Inbound Leads'!A:L,12,FALSE)=0,"",VLOOKUP(A160,'1. Inbound Leads'!A:L,12,FALSE)),""))</f>
        <v/>
      </c>
      <c r="E160" s="388"/>
      <c r="F160" s="389"/>
      <c r="G160" s="387"/>
      <c r="H160" s="387"/>
      <c r="I160" s="387"/>
      <c r="J160" s="387"/>
      <c r="K160" s="387"/>
      <c r="L160" s="387"/>
      <c r="M160" s="388"/>
      <c r="N160" s="388"/>
      <c r="O160" s="390"/>
      <c r="P160" s="391"/>
      <c r="Q160" s="389"/>
      <c r="R160" s="390"/>
      <c r="S160" s="390"/>
      <c r="T160" s="391"/>
      <c r="U160" s="392"/>
      <c r="V160" s="391"/>
      <c r="W160" s="391"/>
      <c r="X160" s="388"/>
      <c r="Y160" s="391"/>
      <c r="Z160" s="393"/>
      <c r="AA160" s="355" t="str">
        <f t="shared" si="1"/>
        <v/>
      </c>
      <c r="AB160" s="391"/>
      <c r="AC160" s="394" t="str">
        <f t="shared" si="2"/>
        <v/>
      </c>
      <c r="AD160" s="389"/>
      <c r="AE160" s="389"/>
      <c r="AF160" s="395"/>
      <c r="AG160" s="396" t="str">
        <f t="shared" si="3"/>
        <v/>
      </c>
      <c r="AH160" s="396" t="str">
        <f t="shared" si="4"/>
        <v/>
      </c>
      <c r="AI160" s="388"/>
      <c r="AJ160" s="388"/>
      <c r="AK160" s="397"/>
    </row>
    <row r="161">
      <c r="A161" s="385"/>
      <c r="B161" s="386"/>
      <c r="C161" s="387" t="str">
        <f>IF(A161="","",IFERROR(IF(VLOOKUP(A161,'1. Inbound Leads'!A:G,7,FALSE)=0,"",VLOOKUP(A161,'1. Inbound Leads'!A:G,7,FALSE)),""))</f>
        <v/>
      </c>
      <c r="D161" s="387" t="str">
        <f>IF(A161="","",IFERROR(IF(VLOOKUP(A161,'1. Inbound Leads'!A:L,12,FALSE)=0,"",VLOOKUP(A161,'1. Inbound Leads'!A:L,12,FALSE)),""))</f>
        <v/>
      </c>
      <c r="E161" s="388"/>
      <c r="F161" s="389"/>
      <c r="G161" s="387"/>
      <c r="H161" s="387"/>
      <c r="I161" s="387"/>
      <c r="J161" s="387"/>
      <c r="K161" s="387"/>
      <c r="L161" s="387"/>
      <c r="M161" s="388"/>
      <c r="N161" s="388"/>
      <c r="O161" s="390"/>
      <c r="P161" s="391"/>
      <c r="Q161" s="389"/>
      <c r="R161" s="390"/>
      <c r="S161" s="390"/>
      <c r="T161" s="391"/>
      <c r="U161" s="392"/>
      <c r="V161" s="391"/>
      <c r="W161" s="391"/>
      <c r="X161" s="388"/>
      <c r="Y161" s="391"/>
      <c r="Z161" s="393"/>
      <c r="AA161" s="355" t="str">
        <f t="shared" si="1"/>
        <v/>
      </c>
      <c r="AB161" s="391"/>
      <c r="AC161" s="394" t="str">
        <f t="shared" si="2"/>
        <v/>
      </c>
      <c r="AD161" s="389"/>
      <c r="AE161" s="389"/>
      <c r="AF161" s="395"/>
      <c r="AG161" s="396" t="str">
        <f t="shared" si="3"/>
        <v/>
      </c>
      <c r="AH161" s="396" t="str">
        <f t="shared" si="4"/>
        <v/>
      </c>
      <c r="AI161" s="388"/>
      <c r="AJ161" s="388"/>
      <c r="AK161" s="397"/>
    </row>
    <row r="162">
      <c r="A162" s="385"/>
      <c r="B162" s="386"/>
      <c r="C162" s="387" t="str">
        <f>IF(A162="","",IFERROR(IF(VLOOKUP(A162,'1. Inbound Leads'!A:G,7,FALSE)=0,"",VLOOKUP(A162,'1. Inbound Leads'!A:G,7,FALSE)),""))</f>
        <v/>
      </c>
      <c r="D162" s="387" t="str">
        <f>IF(A162="","",IFERROR(IF(VLOOKUP(A162,'1. Inbound Leads'!A:L,12,FALSE)=0,"",VLOOKUP(A162,'1. Inbound Leads'!A:L,12,FALSE)),""))</f>
        <v/>
      </c>
      <c r="E162" s="388"/>
      <c r="F162" s="389"/>
      <c r="G162" s="387"/>
      <c r="H162" s="387"/>
      <c r="I162" s="387"/>
      <c r="J162" s="387"/>
      <c r="K162" s="387"/>
      <c r="L162" s="387"/>
      <c r="M162" s="388"/>
      <c r="N162" s="388"/>
      <c r="O162" s="390"/>
      <c r="P162" s="391"/>
      <c r="Q162" s="389"/>
      <c r="R162" s="390"/>
      <c r="S162" s="390"/>
      <c r="T162" s="391"/>
      <c r="U162" s="392"/>
      <c r="V162" s="391"/>
      <c r="W162" s="391"/>
      <c r="X162" s="388"/>
      <c r="Y162" s="391"/>
      <c r="Z162" s="393"/>
      <c r="AA162" s="355" t="str">
        <f t="shared" si="1"/>
        <v/>
      </c>
      <c r="AB162" s="391"/>
      <c r="AC162" s="394" t="str">
        <f t="shared" si="2"/>
        <v/>
      </c>
      <c r="AD162" s="389"/>
      <c r="AE162" s="389"/>
      <c r="AF162" s="395"/>
      <c r="AG162" s="396" t="str">
        <f t="shared" si="3"/>
        <v/>
      </c>
      <c r="AH162" s="396" t="str">
        <f t="shared" si="4"/>
        <v/>
      </c>
      <c r="AI162" s="388"/>
      <c r="AJ162" s="388"/>
      <c r="AK162" s="397"/>
    </row>
    <row r="163">
      <c r="A163" s="385"/>
      <c r="B163" s="386"/>
      <c r="C163" s="387" t="str">
        <f>IF(A163="","",IFERROR(IF(VLOOKUP(A163,'1. Inbound Leads'!A:G,7,FALSE)=0,"",VLOOKUP(A163,'1. Inbound Leads'!A:G,7,FALSE)),""))</f>
        <v/>
      </c>
      <c r="D163" s="387" t="str">
        <f>IF(A163="","",IFERROR(IF(VLOOKUP(A163,'1. Inbound Leads'!A:L,12,FALSE)=0,"",VLOOKUP(A163,'1. Inbound Leads'!A:L,12,FALSE)),""))</f>
        <v/>
      </c>
      <c r="E163" s="388"/>
      <c r="F163" s="389"/>
      <c r="G163" s="387"/>
      <c r="H163" s="387"/>
      <c r="I163" s="387"/>
      <c r="J163" s="387"/>
      <c r="K163" s="387"/>
      <c r="L163" s="387"/>
      <c r="M163" s="388"/>
      <c r="N163" s="388"/>
      <c r="O163" s="390"/>
      <c r="P163" s="391"/>
      <c r="Q163" s="389"/>
      <c r="R163" s="390"/>
      <c r="S163" s="390"/>
      <c r="T163" s="391"/>
      <c r="U163" s="392"/>
      <c r="V163" s="391"/>
      <c r="W163" s="391"/>
      <c r="X163" s="388"/>
      <c r="Y163" s="391"/>
      <c r="Z163" s="393"/>
      <c r="AA163" s="355" t="str">
        <f t="shared" si="1"/>
        <v/>
      </c>
      <c r="AB163" s="391"/>
      <c r="AC163" s="394" t="str">
        <f t="shared" si="2"/>
        <v/>
      </c>
      <c r="AD163" s="389"/>
      <c r="AE163" s="389"/>
      <c r="AF163" s="395"/>
      <c r="AG163" s="396" t="str">
        <f t="shared" si="3"/>
        <v/>
      </c>
      <c r="AH163" s="396" t="str">
        <f t="shared" si="4"/>
        <v/>
      </c>
      <c r="AI163" s="388"/>
      <c r="AJ163" s="388"/>
      <c r="AK163" s="397"/>
    </row>
    <row r="164">
      <c r="A164" s="385"/>
      <c r="B164" s="386"/>
      <c r="C164" s="387" t="str">
        <f>IF(A164="","",IFERROR(IF(VLOOKUP(A164,'1. Inbound Leads'!A:G,7,FALSE)=0,"",VLOOKUP(A164,'1. Inbound Leads'!A:G,7,FALSE)),""))</f>
        <v/>
      </c>
      <c r="D164" s="387" t="str">
        <f>IF(A164="","",IFERROR(IF(VLOOKUP(A164,'1. Inbound Leads'!A:L,12,FALSE)=0,"",VLOOKUP(A164,'1. Inbound Leads'!A:L,12,FALSE)),""))</f>
        <v/>
      </c>
      <c r="E164" s="388"/>
      <c r="F164" s="389"/>
      <c r="G164" s="387"/>
      <c r="H164" s="387"/>
      <c r="I164" s="387"/>
      <c r="J164" s="387"/>
      <c r="K164" s="387"/>
      <c r="L164" s="387"/>
      <c r="M164" s="388"/>
      <c r="N164" s="388"/>
      <c r="O164" s="390"/>
      <c r="P164" s="391"/>
      <c r="Q164" s="389"/>
      <c r="R164" s="390"/>
      <c r="S164" s="390"/>
      <c r="T164" s="391"/>
      <c r="U164" s="392"/>
      <c r="V164" s="391"/>
      <c r="W164" s="391"/>
      <c r="X164" s="388"/>
      <c r="Y164" s="391"/>
      <c r="Z164" s="393"/>
      <c r="AA164" s="355" t="str">
        <f t="shared" si="1"/>
        <v/>
      </c>
      <c r="AB164" s="391"/>
      <c r="AC164" s="394" t="str">
        <f t="shared" si="2"/>
        <v/>
      </c>
      <c r="AD164" s="389"/>
      <c r="AE164" s="389"/>
      <c r="AF164" s="395"/>
      <c r="AG164" s="396" t="str">
        <f t="shared" si="3"/>
        <v/>
      </c>
      <c r="AH164" s="396" t="str">
        <f t="shared" si="4"/>
        <v/>
      </c>
      <c r="AI164" s="388"/>
      <c r="AJ164" s="388"/>
      <c r="AK164" s="397"/>
    </row>
    <row r="165">
      <c r="A165" s="385"/>
      <c r="B165" s="386"/>
      <c r="C165" s="387" t="str">
        <f>IF(A165="","",IFERROR(IF(VLOOKUP(A165,'1. Inbound Leads'!A:G,7,FALSE)=0,"",VLOOKUP(A165,'1. Inbound Leads'!A:G,7,FALSE)),""))</f>
        <v/>
      </c>
      <c r="D165" s="387" t="str">
        <f>IF(A165="","",IFERROR(IF(VLOOKUP(A165,'1. Inbound Leads'!A:L,12,FALSE)=0,"",VLOOKUP(A165,'1. Inbound Leads'!A:L,12,FALSE)),""))</f>
        <v/>
      </c>
      <c r="E165" s="388"/>
      <c r="F165" s="389"/>
      <c r="G165" s="387"/>
      <c r="H165" s="387"/>
      <c r="I165" s="387"/>
      <c r="J165" s="387"/>
      <c r="K165" s="387"/>
      <c r="L165" s="387"/>
      <c r="M165" s="388"/>
      <c r="N165" s="388"/>
      <c r="O165" s="390"/>
      <c r="P165" s="391"/>
      <c r="Q165" s="389"/>
      <c r="R165" s="390"/>
      <c r="S165" s="390"/>
      <c r="T165" s="391"/>
      <c r="U165" s="392"/>
      <c r="V165" s="391"/>
      <c r="W165" s="391"/>
      <c r="X165" s="388"/>
      <c r="Y165" s="391"/>
      <c r="Z165" s="393"/>
      <c r="AA165" s="355" t="str">
        <f t="shared" si="1"/>
        <v/>
      </c>
      <c r="AB165" s="391"/>
      <c r="AC165" s="394" t="str">
        <f t="shared" si="2"/>
        <v/>
      </c>
      <c r="AD165" s="389"/>
      <c r="AE165" s="389"/>
      <c r="AF165" s="395"/>
      <c r="AG165" s="396" t="str">
        <f t="shared" si="3"/>
        <v/>
      </c>
      <c r="AH165" s="396" t="str">
        <f t="shared" si="4"/>
        <v/>
      </c>
      <c r="AI165" s="388"/>
      <c r="AJ165" s="388"/>
      <c r="AK165" s="397"/>
    </row>
    <row r="166">
      <c r="A166" s="385"/>
      <c r="B166" s="386"/>
      <c r="C166" s="387" t="str">
        <f>IF(A166="","",IFERROR(IF(VLOOKUP(A166,'1. Inbound Leads'!A:G,7,FALSE)=0,"",VLOOKUP(A166,'1. Inbound Leads'!A:G,7,FALSE)),""))</f>
        <v/>
      </c>
      <c r="D166" s="387" t="str">
        <f>IF(A166="","",IFERROR(IF(VLOOKUP(A166,'1. Inbound Leads'!A:L,12,FALSE)=0,"",VLOOKUP(A166,'1. Inbound Leads'!A:L,12,FALSE)),""))</f>
        <v/>
      </c>
      <c r="E166" s="388"/>
      <c r="F166" s="389"/>
      <c r="G166" s="387"/>
      <c r="H166" s="387"/>
      <c r="I166" s="387"/>
      <c r="J166" s="387"/>
      <c r="K166" s="387"/>
      <c r="L166" s="387"/>
      <c r="M166" s="388"/>
      <c r="N166" s="388"/>
      <c r="O166" s="390"/>
      <c r="P166" s="391"/>
      <c r="Q166" s="389"/>
      <c r="R166" s="390"/>
      <c r="S166" s="390"/>
      <c r="T166" s="391"/>
      <c r="U166" s="392"/>
      <c r="V166" s="391"/>
      <c r="W166" s="391"/>
      <c r="X166" s="388"/>
      <c r="Y166" s="391"/>
      <c r="Z166" s="393"/>
      <c r="AA166" s="355" t="str">
        <f t="shared" si="1"/>
        <v/>
      </c>
      <c r="AB166" s="391"/>
      <c r="AC166" s="394" t="str">
        <f t="shared" si="2"/>
        <v/>
      </c>
      <c r="AD166" s="389"/>
      <c r="AE166" s="389"/>
      <c r="AF166" s="395"/>
      <c r="AG166" s="396" t="str">
        <f t="shared" si="3"/>
        <v/>
      </c>
      <c r="AH166" s="396" t="str">
        <f t="shared" si="4"/>
        <v/>
      </c>
      <c r="AI166" s="388"/>
      <c r="AJ166" s="388"/>
      <c r="AK166" s="397"/>
    </row>
    <row r="167">
      <c r="A167" s="385"/>
      <c r="B167" s="386"/>
      <c r="C167" s="387" t="str">
        <f>IF(A167="","",IFERROR(IF(VLOOKUP(A167,'1. Inbound Leads'!A:G,7,FALSE)=0,"",VLOOKUP(A167,'1. Inbound Leads'!A:G,7,FALSE)),""))</f>
        <v/>
      </c>
      <c r="D167" s="387" t="str">
        <f>IF(A167="","",IFERROR(IF(VLOOKUP(A167,'1. Inbound Leads'!A:L,12,FALSE)=0,"",VLOOKUP(A167,'1. Inbound Leads'!A:L,12,FALSE)),""))</f>
        <v/>
      </c>
      <c r="E167" s="388"/>
      <c r="F167" s="389"/>
      <c r="G167" s="387"/>
      <c r="H167" s="387"/>
      <c r="I167" s="387"/>
      <c r="J167" s="387"/>
      <c r="K167" s="387"/>
      <c r="L167" s="387"/>
      <c r="M167" s="388"/>
      <c r="N167" s="388"/>
      <c r="O167" s="390"/>
      <c r="P167" s="391"/>
      <c r="Q167" s="389"/>
      <c r="R167" s="390"/>
      <c r="S167" s="390"/>
      <c r="T167" s="391"/>
      <c r="U167" s="392"/>
      <c r="V167" s="391"/>
      <c r="W167" s="391"/>
      <c r="X167" s="388"/>
      <c r="Y167" s="391"/>
      <c r="Z167" s="393"/>
      <c r="AA167" s="355" t="str">
        <f t="shared" si="1"/>
        <v/>
      </c>
      <c r="AB167" s="391"/>
      <c r="AC167" s="394" t="str">
        <f t="shared" si="2"/>
        <v/>
      </c>
      <c r="AD167" s="389"/>
      <c r="AE167" s="389"/>
      <c r="AF167" s="395"/>
      <c r="AG167" s="396" t="str">
        <f t="shared" si="3"/>
        <v/>
      </c>
      <c r="AH167" s="396" t="str">
        <f t="shared" si="4"/>
        <v/>
      </c>
      <c r="AI167" s="388"/>
      <c r="AJ167" s="388"/>
      <c r="AK167" s="397"/>
    </row>
    <row r="168">
      <c r="A168" s="385"/>
      <c r="B168" s="386"/>
      <c r="C168" s="387" t="str">
        <f>IF(A168="","",IFERROR(IF(VLOOKUP(A168,'1. Inbound Leads'!A:G,7,FALSE)=0,"",VLOOKUP(A168,'1. Inbound Leads'!A:G,7,FALSE)),""))</f>
        <v/>
      </c>
      <c r="D168" s="387" t="str">
        <f>IF(A168="","",IFERROR(IF(VLOOKUP(A168,'1. Inbound Leads'!A:L,12,FALSE)=0,"",VLOOKUP(A168,'1. Inbound Leads'!A:L,12,FALSE)),""))</f>
        <v/>
      </c>
      <c r="E168" s="388"/>
      <c r="F168" s="389"/>
      <c r="G168" s="387"/>
      <c r="H168" s="387"/>
      <c r="I168" s="387"/>
      <c r="J168" s="387"/>
      <c r="K168" s="387"/>
      <c r="L168" s="387"/>
      <c r="M168" s="388"/>
      <c r="N168" s="388"/>
      <c r="O168" s="390"/>
      <c r="P168" s="391"/>
      <c r="Q168" s="389"/>
      <c r="R168" s="390"/>
      <c r="S168" s="390"/>
      <c r="T168" s="391"/>
      <c r="U168" s="392"/>
      <c r="V168" s="391"/>
      <c r="W168" s="391"/>
      <c r="X168" s="388"/>
      <c r="Y168" s="391"/>
      <c r="Z168" s="393"/>
      <c r="AA168" s="355" t="str">
        <f t="shared" si="1"/>
        <v/>
      </c>
      <c r="AB168" s="391"/>
      <c r="AC168" s="394" t="str">
        <f t="shared" si="2"/>
        <v/>
      </c>
      <c r="AD168" s="389"/>
      <c r="AE168" s="389"/>
      <c r="AF168" s="395"/>
      <c r="AG168" s="396" t="str">
        <f t="shared" si="3"/>
        <v/>
      </c>
      <c r="AH168" s="396" t="str">
        <f t="shared" si="4"/>
        <v/>
      </c>
      <c r="AI168" s="388"/>
      <c r="AJ168" s="388"/>
      <c r="AK168" s="397"/>
    </row>
    <row r="169">
      <c r="A169" s="385"/>
      <c r="B169" s="386"/>
      <c r="C169" s="387" t="str">
        <f>IF(A169="","",IFERROR(IF(VLOOKUP(A169,'1. Inbound Leads'!A:G,7,FALSE)=0,"",VLOOKUP(A169,'1. Inbound Leads'!A:G,7,FALSE)),""))</f>
        <v/>
      </c>
      <c r="D169" s="387" t="str">
        <f>IF(A169="","",IFERROR(IF(VLOOKUP(A169,'1. Inbound Leads'!A:L,12,FALSE)=0,"",VLOOKUP(A169,'1. Inbound Leads'!A:L,12,FALSE)),""))</f>
        <v/>
      </c>
      <c r="E169" s="388"/>
      <c r="F169" s="389"/>
      <c r="G169" s="387"/>
      <c r="H169" s="387"/>
      <c r="I169" s="387"/>
      <c r="J169" s="387"/>
      <c r="K169" s="387"/>
      <c r="L169" s="387"/>
      <c r="M169" s="388"/>
      <c r="N169" s="388"/>
      <c r="O169" s="390"/>
      <c r="P169" s="391"/>
      <c r="Q169" s="389"/>
      <c r="R169" s="390"/>
      <c r="S169" s="390"/>
      <c r="T169" s="391"/>
      <c r="U169" s="392"/>
      <c r="V169" s="391"/>
      <c r="W169" s="391"/>
      <c r="X169" s="388"/>
      <c r="Y169" s="391"/>
      <c r="Z169" s="393"/>
      <c r="AA169" s="355" t="str">
        <f t="shared" si="1"/>
        <v/>
      </c>
      <c r="AB169" s="391"/>
      <c r="AC169" s="394" t="str">
        <f t="shared" si="2"/>
        <v/>
      </c>
      <c r="AD169" s="389"/>
      <c r="AE169" s="389"/>
      <c r="AF169" s="395"/>
      <c r="AG169" s="396" t="str">
        <f t="shared" si="3"/>
        <v/>
      </c>
      <c r="AH169" s="396" t="str">
        <f t="shared" si="4"/>
        <v/>
      </c>
      <c r="AI169" s="388"/>
      <c r="AJ169" s="388"/>
      <c r="AK169" s="397"/>
    </row>
    <row r="170">
      <c r="A170" s="385"/>
      <c r="B170" s="386"/>
      <c r="C170" s="387" t="str">
        <f>IF(A170="","",IFERROR(IF(VLOOKUP(A170,'1. Inbound Leads'!A:G,7,FALSE)=0,"",VLOOKUP(A170,'1. Inbound Leads'!A:G,7,FALSE)),""))</f>
        <v/>
      </c>
      <c r="D170" s="387" t="str">
        <f>IF(A170="","",IFERROR(IF(VLOOKUP(A170,'1. Inbound Leads'!A:L,12,FALSE)=0,"",VLOOKUP(A170,'1. Inbound Leads'!A:L,12,FALSE)),""))</f>
        <v/>
      </c>
      <c r="E170" s="388"/>
      <c r="F170" s="389"/>
      <c r="G170" s="387"/>
      <c r="H170" s="387"/>
      <c r="I170" s="387"/>
      <c r="J170" s="387"/>
      <c r="K170" s="387"/>
      <c r="L170" s="387"/>
      <c r="M170" s="388"/>
      <c r="N170" s="388"/>
      <c r="O170" s="390"/>
      <c r="P170" s="391"/>
      <c r="Q170" s="389"/>
      <c r="R170" s="390"/>
      <c r="S170" s="390"/>
      <c r="T170" s="391"/>
      <c r="U170" s="392"/>
      <c r="V170" s="391"/>
      <c r="W170" s="391"/>
      <c r="X170" s="388"/>
      <c r="Y170" s="391"/>
      <c r="Z170" s="393"/>
      <c r="AA170" s="355" t="str">
        <f t="shared" si="1"/>
        <v/>
      </c>
      <c r="AB170" s="391"/>
      <c r="AC170" s="394" t="str">
        <f t="shared" si="2"/>
        <v/>
      </c>
      <c r="AD170" s="389"/>
      <c r="AE170" s="389"/>
      <c r="AF170" s="395"/>
      <c r="AG170" s="396" t="str">
        <f t="shared" si="3"/>
        <v/>
      </c>
      <c r="AH170" s="396" t="str">
        <f t="shared" si="4"/>
        <v/>
      </c>
      <c r="AI170" s="388"/>
      <c r="AJ170" s="388"/>
      <c r="AK170" s="397"/>
    </row>
    <row r="171">
      <c r="A171" s="385"/>
      <c r="B171" s="386"/>
      <c r="C171" s="387" t="str">
        <f>IF(A171="","",IFERROR(IF(VLOOKUP(A171,'1. Inbound Leads'!A:G,7,FALSE)=0,"",VLOOKUP(A171,'1. Inbound Leads'!A:G,7,FALSE)),""))</f>
        <v/>
      </c>
      <c r="D171" s="387" t="str">
        <f>IF(A171="","",IFERROR(IF(VLOOKUP(A171,'1. Inbound Leads'!A:L,12,FALSE)=0,"",VLOOKUP(A171,'1. Inbound Leads'!A:L,12,FALSE)),""))</f>
        <v/>
      </c>
      <c r="E171" s="388"/>
      <c r="F171" s="389"/>
      <c r="G171" s="387"/>
      <c r="H171" s="387"/>
      <c r="I171" s="387"/>
      <c r="J171" s="387"/>
      <c r="K171" s="387"/>
      <c r="L171" s="387"/>
      <c r="M171" s="388"/>
      <c r="N171" s="388"/>
      <c r="O171" s="390"/>
      <c r="P171" s="391"/>
      <c r="Q171" s="389"/>
      <c r="R171" s="390"/>
      <c r="S171" s="390"/>
      <c r="T171" s="391"/>
      <c r="U171" s="392"/>
      <c r="V171" s="391"/>
      <c r="W171" s="391"/>
      <c r="X171" s="388"/>
      <c r="Y171" s="391"/>
      <c r="Z171" s="393"/>
      <c r="AA171" s="355" t="str">
        <f t="shared" si="1"/>
        <v/>
      </c>
      <c r="AB171" s="391"/>
      <c r="AC171" s="394" t="str">
        <f t="shared" si="2"/>
        <v/>
      </c>
      <c r="AD171" s="389"/>
      <c r="AE171" s="389"/>
      <c r="AF171" s="395"/>
      <c r="AG171" s="396" t="str">
        <f t="shared" si="3"/>
        <v/>
      </c>
      <c r="AH171" s="396" t="str">
        <f t="shared" si="4"/>
        <v/>
      </c>
      <c r="AI171" s="388"/>
      <c r="AJ171" s="388"/>
      <c r="AK171" s="397"/>
    </row>
    <row r="172">
      <c r="A172" s="385"/>
      <c r="B172" s="386"/>
      <c r="C172" s="387" t="str">
        <f>IF(A172="","",IFERROR(IF(VLOOKUP(A172,'1. Inbound Leads'!A:G,7,FALSE)=0,"",VLOOKUP(A172,'1. Inbound Leads'!A:G,7,FALSE)),""))</f>
        <v/>
      </c>
      <c r="D172" s="387" t="str">
        <f>IF(A172="","",IFERROR(IF(VLOOKUP(A172,'1. Inbound Leads'!A:L,12,FALSE)=0,"",VLOOKUP(A172,'1. Inbound Leads'!A:L,12,FALSE)),""))</f>
        <v/>
      </c>
      <c r="E172" s="388"/>
      <c r="F172" s="389"/>
      <c r="G172" s="387"/>
      <c r="H172" s="387"/>
      <c r="I172" s="387"/>
      <c r="J172" s="387"/>
      <c r="K172" s="387"/>
      <c r="L172" s="387"/>
      <c r="M172" s="388"/>
      <c r="N172" s="388"/>
      <c r="O172" s="390"/>
      <c r="P172" s="391"/>
      <c r="Q172" s="389"/>
      <c r="R172" s="390"/>
      <c r="S172" s="390"/>
      <c r="T172" s="391"/>
      <c r="U172" s="392"/>
      <c r="V172" s="391"/>
      <c r="W172" s="391"/>
      <c r="X172" s="388"/>
      <c r="Y172" s="391"/>
      <c r="Z172" s="393"/>
      <c r="AA172" s="355" t="str">
        <f t="shared" si="1"/>
        <v/>
      </c>
      <c r="AB172" s="391"/>
      <c r="AC172" s="394" t="str">
        <f t="shared" si="2"/>
        <v/>
      </c>
      <c r="AD172" s="389"/>
      <c r="AE172" s="389"/>
      <c r="AF172" s="395"/>
      <c r="AG172" s="396" t="str">
        <f t="shared" si="3"/>
        <v/>
      </c>
      <c r="AH172" s="396" t="str">
        <f t="shared" si="4"/>
        <v/>
      </c>
      <c r="AI172" s="388"/>
      <c r="AJ172" s="388"/>
      <c r="AK172" s="397"/>
    </row>
    <row r="173">
      <c r="A173" s="385"/>
      <c r="B173" s="386"/>
      <c r="C173" s="387" t="str">
        <f>IF(A173="","",IFERROR(IF(VLOOKUP(A173,'1. Inbound Leads'!A:G,7,FALSE)=0,"",VLOOKUP(A173,'1. Inbound Leads'!A:G,7,FALSE)),""))</f>
        <v/>
      </c>
      <c r="D173" s="387" t="str">
        <f>IF(A173="","",IFERROR(IF(VLOOKUP(A173,'1. Inbound Leads'!A:L,12,FALSE)=0,"",VLOOKUP(A173,'1. Inbound Leads'!A:L,12,FALSE)),""))</f>
        <v/>
      </c>
      <c r="E173" s="388"/>
      <c r="F173" s="389"/>
      <c r="G173" s="387"/>
      <c r="H173" s="387"/>
      <c r="I173" s="387"/>
      <c r="J173" s="387"/>
      <c r="K173" s="387"/>
      <c r="L173" s="387"/>
      <c r="M173" s="388"/>
      <c r="N173" s="388"/>
      <c r="O173" s="390"/>
      <c r="P173" s="391"/>
      <c r="Q173" s="389"/>
      <c r="R173" s="390"/>
      <c r="S173" s="390"/>
      <c r="T173" s="391"/>
      <c r="U173" s="392"/>
      <c r="V173" s="391"/>
      <c r="W173" s="391"/>
      <c r="X173" s="388"/>
      <c r="Y173" s="391"/>
      <c r="Z173" s="393"/>
      <c r="AA173" s="355" t="str">
        <f t="shared" si="1"/>
        <v/>
      </c>
      <c r="AB173" s="391"/>
      <c r="AC173" s="394" t="str">
        <f t="shared" si="2"/>
        <v/>
      </c>
      <c r="AD173" s="389"/>
      <c r="AE173" s="389"/>
      <c r="AF173" s="395"/>
      <c r="AG173" s="396" t="str">
        <f t="shared" si="3"/>
        <v/>
      </c>
      <c r="AH173" s="396" t="str">
        <f t="shared" si="4"/>
        <v/>
      </c>
      <c r="AI173" s="388"/>
      <c r="AJ173" s="388"/>
      <c r="AK173" s="397"/>
    </row>
    <row r="174">
      <c r="A174" s="385"/>
      <c r="B174" s="386"/>
      <c r="C174" s="387" t="str">
        <f>IF(A174="","",IFERROR(IF(VLOOKUP(A174,'1. Inbound Leads'!A:G,7,FALSE)=0,"",VLOOKUP(A174,'1. Inbound Leads'!A:G,7,FALSE)),""))</f>
        <v/>
      </c>
      <c r="D174" s="387" t="str">
        <f>IF(A174="","",IFERROR(IF(VLOOKUP(A174,'1. Inbound Leads'!A:L,12,FALSE)=0,"",VLOOKUP(A174,'1. Inbound Leads'!A:L,12,FALSE)),""))</f>
        <v/>
      </c>
      <c r="E174" s="388"/>
      <c r="F174" s="389"/>
      <c r="G174" s="387"/>
      <c r="H174" s="387"/>
      <c r="I174" s="387"/>
      <c r="J174" s="387"/>
      <c r="K174" s="387"/>
      <c r="L174" s="387"/>
      <c r="M174" s="388"/>
      <c r="N174" s="388"/>
      <c r="O174" s="390"/>
      <c r="P174" s="391"/>
      <c r="Q174" s="389"/>
      <c r="R174" s="390"/>
      <c r="S174" s="390"/>
      <c r="T174" s="391"/>
      <c r="U174" s="392"/>
      <c r="V174" s="391"/>
      <c r="W174" s="391"/>
      <c r="X174" s="388"/>
      <c r="Y174" s="391"/>
      <c r="Z174" s="393"/>
      <c r="AA174" s="355" t="str">
        <f t="shared" si="1"/>
        <v/>
      </c>
      <c r="AB174" s="391"/>
      <c r="AC174" s="394" t="str">
        <f t="shared" si="2"/>
        <v/>
      </c>
      <c r="AD174" s="389"/>
      <c r="AE174" s="389"/>
      <c r="AF174" s="395"/>
      <c r="AG174" s="396" t="str">
        <f t="shared" si="3"/>
        <v/>
      </c>
      <c r="AH174" s="396" t="str">
        <f t="shared" si="4"/>
        <v/>
      </c>
      <c r="AI174" s="388"/>
      <c r="AJ174" s="388"/>
      <c r="AK174" s="397"/>
    </row>
    <row r="175">
      <c r="A175" s="385"/>
      <c r="B175" s="386"/>
      <c r="C175" s="387" t="str">
        <f>IF(A175="","",IFERROR(IF(VLOOKUP(A175,'1. Inbound Leads'!A:G,7,FALSE)=0,"",VLOOKUP(A175,'1. Inbound Leads'!A:G,7,FALSE)),""))</f>
        <v/>
      </c>
      <c r="D175" s="387" t="str">
        <f>IF(A175="","",IFERROR(IF(VLOOKUP(A175,'1. Inbound Leads'!A:L,12,FALSE)=0,"",VLOOKUP(A175,'1. Inbound Leads'!A:L,12,FALSE)),""))</f>
        <v/>
      </c>
      <c r="E175" s="388"/>
      <c r="F175" s="389"/>
      <c r="G175" s="387"/>
      <c r="H175" s="387"/>
      <c r="I175" s="387"/>
      <c r="J175" s="387"/>
      <c r="K175" s="387"/>
      <c r="L175" s="387"/>
      <c r="M175" s="388"/>
      <c r="N175" s="388"/>
      <c r="O175" s="390"/>
      <c r="P175" s="391"/>
      <c r="Q175" s="389"/>
      <c r="R175" s="390"/>
      <c r="S175" s="390"/>
      <c r="T175" s="391"/>
      <c r="U175" s="392"/>
      <c r="V175" s="391"/>
      <c r="W175" s="391"/>
      <c r="X175" s="388"/>
      <c r="Y175" s="391"/>
      <c r="Z175" s="393"/>
      <c r="AA175" s="355" t="str">
        <f t="shared" si="1"/>
        <v/>
      </c>
      <c r="AB175" s="391"/>
      <c r="AC175" s="394" t="str">
        <f t="shared" si="2"/>
        <v/>
      </c>
      <c r="AD175" s="389"/>
      <c r="AE175" s="389"/>
      <c r="AF175" s="395"/>
      <c r="AG175" s="396" t="str">
        <f t="shared" si="3"/>
        <v/>
      </c>
      <c r="AH175" s="396" t="str">
        <f t="shared" si="4"/>
        <v/>
      </c>
      <c r="AI175" s="388"/>
      <c r="AJ175" s="388"/>
      <c r="AK175" s="397"/>
    </row>
    <row r="176">
      <c r="A176" s="385"/>
      <c r="B176" s="386"/>
      <c r="C176" s="387" t="str">
        <f>IF(A176="","",IFERROR(IF(VLOOKUP(A176,'1. Inbound Leads'!A:G,7,FALSE)=0,"",VLOOKUP(A176,'1. Inbound Leads'!A:G,7,FALSE)),""))</f>
        <v/>
      </c>
      <c r="D176" s="387" t="str">
        <f>IF(A176="","",IFERROR(IF(VLOOKUP(A176,'1. Inbound Leads'!A:L,12,FALSE)=0,"",VLOOKUP(A176,'1. Inbound Leads'!A:L,12,FALSE)),""))</f>
        <v/>
      </c>
      <c r="E176" s="388"/>
      <c r="F176" s="389"/>
      <c r="G176" s="387"/>
      <c r="H176" s="387"/>
      <c r="I176" s="387"/>
      <c r="J176" s="387"/>
      <c r="K176" s="387"/>
      <c r="L176" s="387"/>
      <c r="M176" s="388"/>
      <c r="N176" s="388"/>
      <c r="O176" s="390"/>
      <c r="P176" s="391"/>
      <c r="Q176" s="389"/>
      <c r="R176" s="390"/>
      <c r="S176" s="390"/>
      <c r="T176" s="391"/>
      <c r="U176" s="392"/>
      <c r="V176" s="391"/>
      <c r="W176" s="391"/>
      <c r="X176" s="388"/>
      <c r="Y176" s="391"/>
      <c r="Z176" s="393"/>
      <c r="AA176" s="355" t="str">
        <f t="shared" si="1"/>
        <v/>
      </c>
      <c r="AB176" s="391"/>
      <c r="AC176" s="394" t="str">
        <f t="shared" si="2"/>
        <v/>
      </c>
      <c r="AD176" s="389"/>
      <c r="AE176" s="389"/>
      <c r="AF176" s="395"/>
      <c r="AG176" s="396" t="str">
        <f t="shared" si="3"/>
        <v/>
      </c>
      <c r="AH176" s="396" t="str">
        <f t="shared" si="4"/>
        <v/>
      </c>
      <c r="AI176" s="388"/>
      <c r="AJ176" s="388"/>
      <c r="AK176" s="397"/>
    </row>
    <row r="177">
      <c r="A177" s="385"/>
      <c r="B177" s="386"/>
      <c r="C177" s="387" t="str">
        <f>IF(A177="","",IFERROR(IF(VLOOKUP(A177,'1. Inbound Leads'!A:G,7,FALSE)=0,"",VLOOKUP(A177,'1. Inbound Leads'!A:G,7,FALSE)),""))</f>
        <v/>
      </c>
      <c r="D177" s="387" t="str">
        <f>IF(A177="","",IFERROR(IF(VLOOKUP(A177,'1. Inbound Leads'!A:L,12,FALSE)=0,"",VLOOKUP(A177,'1. Inbound Leads'!A:L,12,FALSE)),""))</f>
        <v/>
      </c>
      <c r="E177" s="388"/>
      <c r="F177" s="389"/>
      <c r="G177" s="387"/>
      <c r="H177" s="387"/>
      <c r="I177" s="387"/>
      <c r="J177" s="387"/>
      <c r="K177" s="387"/>
      <c r="L177" s="387"/>
      <c r="M177" s="388"/>
      <c r="N177" s="388"/>
      <c r="O177" s="390"/>
      <c r="P177" s="391"/>
      <c r="Q177" s="389"/>
      <c r="R177" s="390"/>
      <c r="S177" s="390"/>
      <c r="T177" s="391"/>
      <c r="U177" s="392"/>
      <c r="V177" s="391"/>
      <c r="W177" s="391"/>
      <c r="X177" s="388"/>
      <c r="Y177" s="391"/>
      <c r="Z177" s="393"/>
      <c r="AA177" s="355" t="str">
        <f t="shared" si="1"/>
        <v/>
      </c>
      <c r="AB177" s="391"/>
      <c r="AC177" s="394" t="str">
        <f t="shared" si="2"/>
        <v/>
      </c>
      <c r="AD177" s="389"/>
      <c r="AE177" s="389"/>
      <c r="AF177" s="395"/>
      <c r="AG177" s="396" t="str">
        <f t="shared" si="3"/>
        <v/>
      </c>
      <c r="AH177" s="396" t="str">
        <f t="shared" si="4"/>
        <v/>
      </c>
      <c r="AI177" s="388"/>
      <c r="AJ177" s="388"/>
      <c r="AK177" s="397"/>
    </row>
    <row r="178">
      <c r="A178" s="385"/>
      <c r="B178" s="386"/>
      <c r="C178" s="387" t="str">
        <f>IF(A178="","",IFERROR(IF(VLOOKUP(A178,'1. Inbound Leads'!A:G,7,FALSE)=0,"",VLOOKUP(A178,'1. Inbound Leads'!A:G,7,FALSE)),""))</f>
        <v/>
      </c>
      <c r="D178" s="387" t="str">
        <f>IF(A178="","",IFERROR(IF(VLOOKUP(A178,'1. Inbound Leads'!A:L,12,FALSE)=0,"",VLOOKUP(A178,'1. Inbound Leads'!A:L,12,FALSE)),""))</f>
        <v/>
      </c>
      <c r="E178" s="388"/>
      <c r="F178" s="389"/>
      <c r="G178" s="387"/>
      <c r="H178" s="387"/>
      <c r="I178" s="387"/>
      <c r="J178" s="387"/>
      <c r="K178" s="387"/>
      <c r="L178" s="387"/>
      <c r="M178" s="388"/>
      <c r="N178" s="388"/>
      <c r="O178" s="390"/>
      <c r="P178" s="391"/>
      <c r="Q178" s="389"/>
      <c r="R178" s="390"/>
      <c r="S178" s="390"/>
      <c r="T178" s="391"/>
      <c r="U178" s="392"/>
      <c r="V178" s="391"/>
      <c r="W178" s="391"/>
      <c r="X178" s="388"/>
      <c r="Y178" s="391"/>
      <c r="Z178" s="393"/>
      <c r="AA178" s="355" t="str">
        <f t="shared" si="1"/>
        <v/>
      </c>
      <c r="AB178" s="391"/>
      <c r="AC178" s="394" t="str">
        <f t="shared" si="2"/>
        <v/>
      </c>
      <c r="AD178" s="389"/>
      <c r="AE178" s="389"/>
      <c r="AF178" s="395"/>
      <c r="AG178" s="396" t="str">
        <f t="shared" si="3"/>
        <v/>
      </c>
      <c r="AH178" s="396" t="str">
        <f t="shared" si="4"/>
        <v/>
      </c>
      <c r="AI178" s="388"/>
      <c r="AJ178" s="388"/>
      <c r="AK178" s="397"/>
    </row>
    <row r="179">
      <c r="A179" s="385"/>
      <c r="B179" s="386"/>
      <c r="C179" s="387" t="str">
        <f>IF(A179="","",IFERROR(IF(VLOOKUP(A179,'1. Inbound Leads'!A:G,7,FALSE)=0,"",VLOOKUP(A179,'1. Inbound Leads'!A:G,7,FALSE)),""))</f>
        <v/>
      </c>
      <c r="D179" s="387" t="str">
        <f>IF(A179="","",IFERROR(IF(VLOOKUP(A179,'1. Inbound Leads'!A:L,12,FALSE)=0,"",VLOOKUP(A179,'1. Inbound Leads'!A:L,12,FALSE)),""))</f>
        <v/>
      </c>
      <c r="E179" s="388"/>
      <c r="F179" s="389"/>
      <c r="G179" s="387"/>
      <c r="H179" s="387"/>
      <c r="I179" s="387"/>
      <c r="J179" s="387"/>
      <c r="K179" s="387"/>
      <c r="L179" s="387"/>
      <c r="M179" s="388"/>
      <c r="N179" s="388"/>
      <c r="O179" s="390"/>
      <c r="P179" s="391"/>
      <c r="Q179" s="389"/>
      <c r="R179" s="390"/>
      <c r="S179" s="390"/>
      <c r="T179" s="391"/>
      <c r="U179" s="392"/>
      <c r="V179" s="391"/>
      <c r="W179" s="391"/>
      <c r="X179" s="388"/>
      <c r="Y179" s="391"/>
      <c r="Z179" s="393"/>
      <c r="AA179" s="355" t="str">
        <f t="shared" si="1"/>
        <v/>
      </c>
      <c r="AB179" s="391"/>
      <c r="AC179" s="394" t="str">
        <f t="shared" si="2"/>
        <v/>
      </c>
      <c r="AD179" s="389"/>
      <c r="AE179" s="389"/>
      <c r="AF179" s="395"/>
      <c r="AG179" s="396" t="str">
        <f t="shared" si="3"/>
        <v/>
      </c>
      <c r="AH179" s="396" t="str">
        <f t="shared" si="4"/>
        <v/>
      </c>
      <c r="AI179" s="388"/>
      <c r="AJ179" s="388"/>
      <c r="AK179" s="397"/>
    </row>
    <row r="180">
      <c r="A180" s="385"/>
      <c r="B180" s="386"/>
      <c r="C180" s="387" t="str">
        <f>IF(A180="","",IFERROR(IF(VLOOKUP(A180,'1. Inbound Leads'!A:G,7,FALSE)=0,"",VLOOKUP(A180,'1. Inbound Leads'!A:G,7,FALSE)),""))</f>
        <v/>
      </c>
      <c r="D180" s="387" t="str">
        <f>IF(A180="","",IFERROR(IF(VLOOKUP(A180,'1. Inbound Leads'!A:L,12,FALSE)=0,"",VLOOKUP(A180,'1. Inbound Leads'!A:L,12,FALSE)),""))</f>
        <v/>
      </c>
      <c r="E180" s="388"/>
      <c r="F180" s="389"/>
      <c r="G180" s="387"/>
      <c r="H180" s="387"/>
      <c r="I180" s="387"/>
      <c r="J180" s="387"/>
      <c r="K180" s="387"/>
      <c r="L180" s="387"/>
      <c r="M180" s="388"/>
      <c r="N180" s="388"/>
      <c r="O180" s="390"/>
      <c r="P180" s="391"/>
      <c r="Q180" s="389"/>
      <c r="R180" s="390"/>
      <c r="S180" s="390"/>
      <c r="T180" s="391"/>
      <c r="U180" s="392"/>
      <c r="V180" s="391"/>
      <c r="W180" s="391"/>
      <c r="X180" s="388"/>
      <c r="Y180" s="391"/>
      <c r="Z180" s="393"/>
      <c r="AA180" s="355" t="str">
        <f t="shared" si="1"/>
        <v/>
      </c>
      <c r="AB180" s="391"/>
      <c r="AC180" s="394" t="str">
        <f t="shared" si="2"/>
        <v/>
      </c>
      <c r="AD180" s="389"/>
      <c r="AE180" s="389"/>
      <c r="AF180" s="395"/>
      <c r="AG180" s="396" t="str">
        <f t="shared" si="3"/>
        <v/>
      </c>
      <c r="AH180" s="396" t="str">
        <f t="shared" si="4"/>
        <v/>
      </c>
      <c r="AI180" s="388"/>
      <c r="AJ180" s="388"/>
      <c r="AK180" s="397"/>
    </row>
    <row r="181">
      <c r="A181" s="385"/>
      <c r="B181" s="386"/>
      <c r="C181" s="387" t="str">
        <f>IF(A181="","",IFERROR(IF(VLOOKUP(A181,'1. Inbound Leads'!A:G,7,FALSE)=0,"",VLOOKUP(A181,'1. Inbound Leads'!A:G,7,FALSE)),""))</f>
        <v/>
      </c>
      <c r="D181" s="387" t="str">
        <f>IF(A181="","",IFERROR(IF(VLOOKUP(A181,'1. Inbound Leads'!A:L,12,FALSE)=0,"",VLOOKUP(A181,'1. Inbound Leads'!A:L,12,FALSE)),""))</f>
        <v/>
      </c>
      <c r="E181" s="388"/>
      <c r="F181" s="389"/>
      <c r="G181" s="387"/>
      <c r="H181" s="387"/>
      <c r="I181" s="387"/>
      <c r="J181" s="387"/>
      <c r="K181" s="387"/>
      <c r="L181" s="387"/>
      <c r="M181" s="388"/>
      <c r="N181" s="388"/>
      <c r="O181" s="390"/>
      <c r="P181" s="391"/>
      <c r="Q181" s="389"/>
      <c r="R181" s="390"/>
      <c r="S181" s="390"/>
      <c r="T181" s="391"/>
      <c r="U181" s="392"/>
      <c r="V181" s="391"/>
      <c r="W181" s="391"/>
      <c r="X181" s="388"/>
      <c r="Y181" s="391"/>
      <c r="Z181" s="393"/>
      <c r="AA181" s="355" t="str">
        <f t="shared" si="1"/>
        <v/>
      </c>
      <c r="AB181" s="391"/>
      <c r="AC181" s="394" t="str">
        <f t="shared" si="2"/>
        <v/>
      </c>
      <c r="AD181" s="389"/>
      <c r="AE181" s="389"/>
      <c r="AF181" s="395"/>
      <c r="AG181" s="396" t="str">
        <f t="shared" si="3"/>
        <v/>
      </c>
      <c r="AH181" s="396" t="str">
        <f t="shared" si="4"/>
        <v/>
      </c>
      <c r="AI181" s="388"/>
      <c r="AJ181" s="388"/>
      <c r="AK181" s="397"/>
    </row>
    <row r="182">
      <c r="A182" s="385"/>
      <c r="B182" s="386"/>
      <c r="C182" s="387" t="str">
        <f>IF(A182="","",IFERROR(IF(VLOOKUP(A182,'1. Inbound Leads'!A:G,7,FALSE)=0,"",VLOOKUP(A182,'1. Inbound Leads'!A:G,7,FALSE)),""))</f>
        <v/>
      </c>
      <c r="D182" s="387" t="str">
        <f>IF(A182="","",IFERROR(IF(VLOOKUP(A182,'1. Inbound Leads'!A:L,12,FALSE)=0,"",VLOOKUP(A182,'1. Inbound Leads'!A:L,12,FALSE)),""))</f>
        <v/>
      </c>
      <c r="E182" s="388"/>
      <c r="F182" s="389"/>
      <c r="G182" s="387"/>
      <c r="H182" s="387"/>
      <c r="I182" s="387"/>
      <c r="J182" s="387"/>
      <c r="K182" s="387"/>
      <c r="L182" s="387"/>
      <c r="M182" s="388"/>
      <c r="N182" s="388"/>
      <c r="O182" s="390"/>
      <c r="P182" s="391"/>
      <c r="Q182" s="389"/>
      <c r="R182" s="390"/>
      <c r="S182" s="390"/>
      <c r="T182" s="391"/>
      <c r="U182" s="392"/>
      <c r="V182" s="391"/>
      <c r="W182" s="391"/>
      <c r="X182" s="388"/>
      <c r="Y182" s="391"/>
      <c r="Z182" s="393"/>
      <c r="AA182" s="355" t="str">
        <f t="shared" si="1"/>
        <v/>
      </c>
      <c r="AB182" s="391"/>
      <c r="AC182" s="394" t="str">
        <f t="shared" si="2"/>
        <v/>
      </c>
      <c r="AD182" s="389"/>
      <c r="AE182" s="389"/>
      <c r="AF182" s="395"/>
      <c r="AG182" s="396" t="str">
        <f t="shared" si="3"/>
        <v/>
      </c>
      <c r="AH182" s="396" t="str">
        <f t="shared" si="4"/>
        <v/>
      </c>
      <c r="AI182" s="388"/>
      <c r="AJ182" s="388"/>
      <c r="AK182" s="397"/>
    </row>
    <row r="183">
      <c r="A183" s="385"/>
      <c r="B183" s="386"/>
      <c r="C183" s="387" t="str">
        <f>IF(A183="","",IFERROR(IF(VLOOKUP(A183,'1. Inbound Leads'!A:G,7,FALSE)=0,"",VLOOKUP(A183,'1. Inbound Leads'!A:G,7,FALSE)),""))</f>
        <v/>
      </c>
      <c r="D183" s="387" t="str">
        <f>IF(A183="","",IFERROR(IF(VLOOKUP(A183,'1. Inbound Leads'!A:L,12,FALSE)=0,"",VLOOKUP(A183,'1. Inbound Leads'!A:L,12,FALSE)),""))</f>
        <v/>
      </c>
      <c r="E183" s="388"/>
      <c r="F183" s="389"/>
      <c r="G183" s="387"/>
      <c r="H183" s="387"/>
      <c r="I183" s="387"/>
      <c r="J183" s="387"/>
      <c r="K183" s="387"/>
      <c r="L183" s="387"/>
      <c r="M183" s="388"/>
      <c r="N183" s="388"/>
      <c r="O183" s="390"/>
      <c r="P183" s="391"/>
      <c r="Q183" s="389"/>
      <c r="R183" s="390"/>
      <c r="S183" s="390"/>
      <c r="T183" s="391"/>
      <c r="U183" s="392"/>
      <c r="V183" s="391"/>
      <c r="W183" s="391"/>
      <c r="X183" s="388"/>
      <c r="Y183" s="391"/>
      <c r="Z183" s="393"/>
      <c r="AA183" s="355" t="str">
        <f t="shared" si="1"/>
        <v/>
      </c>
      <c r="AB183" s="391"/>
      <c r="AC183" s="394" t="str">
        <f t="shared" si="2"/>
        <v/>
      </c>
      <c r="AD183" s="389"/>
      <c r="AE183" s="389"/>
      <c r="AF183" s="395"/>
      <c r="AG183" s="396" t="str">
        <f t="shared" si="3"/>
        <v/>
      </c>
      <c r="AH183" s="396" t="str">
        <f t="shared" si="4"/>
        <v/>
      </c>
      <c r="AI183" s="388"/>
      <c r="AJ183" s="388"/>
      <c r="AK183" s="397"/>
    </row>
    <row r="184">
      <c r="A184" s="398"/>
      <c r="B184" s="386"/>
      <c r="C184" s="387" t="str">
        <f>IF(A184="","",IFERROR(IF(VLOOKUP(A184,'1. Inbound Leads'!A:G,7,FALSE)=0,"",VLOOKUP(A184,'1. Inbound Leads'!A:G,7,FALSE)),""))</f>
        <v/>
      </c>
      <c r="D184" s="387" t="str">
        <f>IF(A184="","",IFERROR(IF(VLOOKUP(A184,'1. Inbound Leads'!A:L,12,FALSE)=0,"",VLOOKUP(A184,'1. Inbound Leads'!A:L,12,FALSE)),""))</f>
        <v/>
      </c>
      <c r="E184" s="388"/>
      <c r="F184" s="389"/>
      <c r="G184" s="387"/>
      <c r="H184" s="387"/>
      <c r="I184" s="387"/>
      <c r="J184" s="387"/>
      <c r="K184" s="387"/>
      <c r="L184" s="387"/>
      <c r="M184" s="388"/>
      <c r="N184" s="388"/>
      <c r="O184" s="390"/>
      <c r="P184" s="391"/>
      <c r="Q184" s="389"/>
      <c r="R184" s="390"/>
      <c r="S184" s="390"/>
      <c r="T184" s="391"/>
      <c r="U184" s="392"/>
      <c r="V184" s="391"/>
      <c r="W184" s="391"/>
      <c r="X184" s="388"/>
      <c r="Y184" s="391"/>
      <c r="Z184" s="393"/>
      <c r="AA184" s="355" t="str">
        <f t="shared" si="1"/>
        <v/>
      </c>
      <c r="AB184" s="391"/>
      <c r="AC184" s="394" t="str">
        <f t="shared" si="2"/>
        <v/>
      </c>
      <c r="AD184" s="389"/>
      <c r="AE184" s="399"/>
      <c r="AF184" s="395"/>
      <c r="AG184" s="396" t="str">
        <f t="shared" si="3"/>
        <v/>
      </c>
      <c r="AH184" s="396" t="str">
        <f t="shared" si="4"/>
        <v/>
      </c>
      <c r="AI184" s="388"/>
      <c r="AJ184" s="388"/>
      <c r="AK184" s="397"/>
    </row>
    <row r="185">
      <c r="A185" s="398"/>
      <c r="B185" s="386"/>
      <c r="C185" s="387" t="str">
        <f>IF(A185="","",IFERROR(IF(VLOOKUP(A185,'1. Inbound Leads'!A:G,7,FALSE)=0,"",VLOOKUP(A185,'1. Inbound Leads'!A:G,7,FALSE)),""))</f>
        <v/>
      </c>
      <c r="D185" s="387" t="str">
        <f>IF(A185="","",IFERROR(IF(VLOOKUP(A185,'1. Inbound Leads'!A:L,12,FALSE)=0,"",VLOOKUP(A185,'1. Inbound Leads'!A:L,12,FALSE)),""))</f>
        <v/>
      </c>
      <c r="E185" s="388"/>
      <c r="F185" s="389"/>
      <c r="G185" s="387"/>
      <c r="H185" s="387"/>
      <c r="I185" s="387"/>
      <c r="J185" s="387"/>
      <c r="K185" s="387"/>
      <c r="L185" s="387"/>
      <c r="M185" s="388"/>
      <c r="N185" s="388"/>
      <c r="O185" s="390"/>
      <c r="P185" s="391"/>
      <c r="Q185" s="389"/>
      <c r="R185" s="390"/>
      <c r="S185" s="390"/>
      <c r="T185" s="391"/>
      <c r="U185" s="392"/>
      <c r="V185" s="391"/>
      <c r="W185" s="391"/>
      <c r="X185" s="388"/>
      <c r="Y185" s="391"/>
      <c r="Z185" s="393"/>
      <c r="AA185" s="355" t="str">
        <f t="shared" si="1"/>
        <v/>
      </c>
      <c r="AB185" s="391"/>
      <c r="AC185" s="394" t="str">
        <f t="shared" si="2"/>
        <v/>
      </c>
      <c r="AD185" s="389"/>
      <c r="AE185" s="399"/>
      <c r="AF185" s="395"/>
      <c r="AG185" s="396" t="str">
        <f t="shared" si="3"/>
        <v/>
      </c>
      <c r="AH185" s="396" t="str">
        <f t="shared" si="4"/>
        <v/>
      </c>
      <c r="AI185" s="388"/>
      <c r="AJ185" s="388"/>
      <c r="AK185" s="397"/>
    </row>
    <row r="186">
      <c r="A186" s="398"/>
      <c r="B186" s="386"/>
      <c r="C186" s="387" t="str">
        <f>IF(A186="","",IFERROR(IF(VLOOKUP(A186,'1. Inbound Leads'!A:G,7,FALSE)=0,"",VLOOKUP(A186,'1. Inbound Leads'!A:G,7,FALSE)),""))</f>
        <v/>
      </c>
      <c r="D186" s="387" t="str">
        <f>IF(A186="","",IFERROR(IF(VLOOKUP(A186,'1. Inbound Leads'!A:L,12,FALSE)=0,"",VLOOKUP(A186,'1. Inbound Leads'!A:L,12,FALSE)),""))</f>
        <v/>
      </c>
      <c r="E186" s="388"/>
      <c r="F186" s="389"/>
      <c r="G186" s="387"/>
      <c r="H186" s="387"/>
      <c r="I186" s="387"/>
      <c r="J186" s="387"/>
      <c r="K186" s="387"/>
      <c r="L186" s="387"/>
      <c r="M186" s="388"/>
      <c r="N186" s="388"/>
      <c r="O186" s="390"/>
      <c r="P186" s="391"/>
      <c r="Q186" s="389"/>
      <c r="R186" s="390"/>
      <c r="S186" s="390"/>
      <c r="T186" s="391"/>
      <c r="U186" s="392"/>
      <c r="V186" s="391"/>
      <c r="W186" s="391"/>
      <c r="X186" s="388"/>
      <c r="Y186" s="391"/>
      <c r="Z186" s="393"/>
      <c r="AA186" s="355" t="str">
        <f t="shared" si="1"/>
        <v/>
      </c>
      <c r="AB186" s="391"/>
      <c r="AC186" s="394" t="str">
        <f t="shared" si="2"/>
        <v/>
      </c>
      <c r="AD186" s="389"/>
      <c r="AE186" s="399"/>
      <c r="AF186" s="395"/>
      <c r="AG186" s="396" t="str">
        <f t="shared" si="3"/>
        <v/>
      </c>
      <c r="AH186" s="396" t="str">
        <f t="shared" si="4"/>
        <v/>
      </c>
      <c r="AI186" s="388"/>
      <c r="AJ186" s="388"/>
      <c r="AK186" s="397"/>
    </row>
    <row r="187">
      <c r="A187" s="398"/>
      <c r="B187" s="386"/>
      <c r="C187" s="387" t="str">
        <f>IF(A187="","",IFERROR(IF(VLOOKUP(A187,'1. Inbound Leads'!A:G,7,FALSE)=0,"",VLOOKUP(A187,'1. Inbound Leads'!A:G,7,FALSE)),""))</f>
        <v/>
      </c>
      <c r="D187" s="387" t="str">
        <f>IF(A187="","",IFERROR(IF(VLOOKUP(A187,'1. Inbound Leads'!A:L,12,FALSE)=0,"",VLOOKUP(A187,'1. Inbound Leads'!A:L,12,FALSE)),""))</f>
        <v/>
      </c>
      <c r="E187" s="388"/>
      <c r="F187" s="389"/>
      <c r="G187" s="387"/>
      <c r="H187" s="387"/>
      <c r="I187" s="387"/>
      <c r="J187" s="387"/>
      <c r="K187" s="387"/>
      <c r="L187" s="387"/>
      <c r="M187" s="388"/>
      <c r="N187" s="388"/>
      <c r="O187" s="390"/>
      <c r="P187" s="391"/>
      <c r="Q187" s="389"/>
      <c r="R187" s="390"/>
      <c r="S187" s="390"/>
      <c r="T187" s="391"/>
      <c r="U187" s="392"/>
      <c r="V187" s="391"/>
      <c r="W187" s="391"/>
      <c r="X187" s="388"/>
      <c r="Y187" s="391"/>
      <c r="Z187" s="393"/>
      <c r="AA187" s="355" t="str">
        <f t="shared" si="1"/>
        <v/>
      </c>
      <c r="AB187" s="391"/>
      <c r="AC187" s="394" t="str">
        <f t="shared" si="2"/>
        <v/>
      </c>
      <c r="AD187" s="389"/>
      <c r="AE187" s="399"/>
      <c r="AF187" s="395"/>
      <c r="AG187" s="396" t="str">
        <f t="shared" si="3"/>
        <v/>
      </c>
      <c r="AH187" s="396" t="str">
        <f t="shared" si="4"/>
        <v/>
      </c>
      <c r="AI187" s="388"/>
      <c r="AJ187" s="388"/>
      <c r="AK187" s="397"/>
    </row>
    <row r="188">
      <c r="A188" s="398"/>
      <c r="B188" s="386"/>
      <c r="C188" s="387" t="str">
        <f>IF(A188="","",IFERROR(IF(VLOOKUP(A188,'1. Inbound Leads'!A:G,7,FALSE)=0,"",VLOOKUP(A188,'1. Inbound Leads'!A:G,7,FALSE)),""))</f>
        <v/>
      </c>
      <c r="D188" s="387" t="str">
        <f>IF(A188="","",IFERROR(IF(VLOOKUP(A188,'1. Inbound Leads'!A:L,12,FALSE)=0,"",VLOOKUP(A188,'1. Inbound Leads'!A:L,12,FALSE)),""))</f>
        <v/>
      </c>
      <c r="E188" s="388"/>
      <c r="F188" s="389"/>
      <c r="G188" s="387"/>
      <c r="H188" s="387"/>
      <c r="I188" s="387"/>
      <c r="J188" s="387"/>
      <c r="K188" s="387"/>
      <c r="L188" s="387"/>
      <c r="M188" s="388"/>
      <c r="N188" s="388"/>
      <c r="O188" s="390"/>
      <c r="P188" s="391"/>
      <c r="Q188" s="389"/>
      <c r="R188" s="390"/>
      <c r="S188" s="390"/>
      <c r="T188" s="391"/>
      <c r="U188" s="392"/>
      <c r="V188" s="391"/>
      <c r="W188" s="391"/>
      <c r="X188" s="388"/>
      <c r="Y188" s="391"/>
      <c r="Z188" s="393"/>
      <c r="AA188" s="355" t="str">
        <f t="shared" si="1"/>
        <v/>
      </c>
      <c r="AB188" s="391"/>
      <c r="AC188" s="394" t="str">
        <f t="shared" si="2"/>
        <v/>
      </c>
      <c r="AD188" s="389"/>
      <c r="AE188" s="399"/>
      <c r="AF188" s="395"/>
      <c r="AG188" s="396" t="str">
        <f t="shared" si="3"/>
        <v/>
      </c>
      <c r="AH188" s="396" t="str">
        <f t="shared" si="4"/>
        <v/>
      </c>
      <c r="AI188" s="388"/>
      <c r="AJ188" s="388"/>
      <c r="AK188" s="397"/>
    </row>
    <row r="189">
      <c r="A189" s="398"/>
      <c r="B189" s="386"/>
      <c r="C189" s="387" t="str">
        <f>IF(A189="","",IFERROR(IF(VLOOKUP(A189,'1. Inbound Leads'!A:G,7,FALSE)=0,"",VLOOKUP(A189,'1. Inbound Leads'!A:G,7,FALSE)),""))</f>
        <v/>
      </c>
      <c r="D189" s="387" t="str">
        <f>IF(A189="","",IFERROR(IF(VLOOKUP(A189,'1. Inbound Leads'!A:L,12,FALSE)=0,"",VLOOKUP(A189,'1. Inbound Leads'!A:L,12,FALSE)),""))</f>
        <v/>
      </c>
      <c r="E189" s="388"/>
      <c r="F189" s="389"/>
      <c r="G189" s="387"/>
      <c r="H189" s="387"/>
      <c r="I189" s="387"/>
      <c r="J189" s="387"/>
      <c r="K189" s="387"/>
      <c r="L189" s="387"/>
      <c r="M189" s="388"/>
      <c r="N189" s="388"/>
      <c r="O189" s="390"/>
      <c r="P189" s="391"/>
      <c r="Q189" s="389"/>
      <c r="R189" s="390"/>
      <c r="S189" s="390"/>
      <c r="T189" s="391"/>
      <c r="U189" s="392"/>
      <c r="V189" s="391"/>
      <c r="W189" s="391"/>
      <c r="X189" s="388"/>
      <c r="Y189" s="391"/>
      <c r="Z189" s="393"/>
      <c r="AA189" s="355" t="str">
        <f t="shared" si="1"/>
        <v/>
      </c>
      <c r="AB189" s="391"/>
      <c r="AC189" s="394" t="str">
        <f t="shared" si="2"/>
        <v/>
      </c>
      <c r="AD189" s="389"/>
      <c r="AE189" s="399"/>
      <c r="AF189" s="395"/>
      <c r="AG189" s="396" t="str">
        <f t="shared" si="3"/>
        <v/>
      </c>
      <c r="AH189" s="396" t="str">
        <f t="shared" si="4"/>
        <v/>
      </c>
      <c r="AI189" s="388"/>
      <c r="AJ189" s="388"/>
      <c r="AK189" s="397"/>
    </row>
    <row r="190">
      <c r="A190" s="398"/>
      <c r="B190" s="386"/>
      <c r="C190" s="387" t="str">
        <f>IF(A190="","",IFERROR(IF(VLOOKUP(A190,'1. Inbound Leads'!A:G,7,FALSE)=0,"",VLOOKUP(A190,'1. Inbound Leads'!A:G,7,FALSE)),""))</f>
        <v/>
      </c>
      <c r="D190" s="387" t="str">
        <f>IF(A190="","",IFERROR(IF(VLOOKUP(A190,'1. Inbound Leads'!A:L,12,FALSE)=0,"",VLOOKUP(A190,'1. Inbound Leads'!A:L,12,FALSE)),""))</f>
        <v/>
      </c>
      <c r="E190" s="388"/>
      <c r="F190" s="389"/>
      <c r="G190" s="387"/>
      <c r="H190" s="387"/>
      <c r="I190" s="387"/>
      <c r="J190" s="387"/>
      <c r="K190" s="387"/>
      <c r="L190" s="387"/>
      <c r="M190" s="388"/>
      <c r="N190" s="388"/>
      <c r="O190" s="390"/>
      <c r="P190" s="391"/>
      <c r="Q190" s="389"/>
      <c r="R190" s="390"/>
      <c r="S190" s="390"/>
      <c r="T190" s="391"/>
      <c r="U190" s="392"/>
      <c r="V190" s="391"/>
      <c r="W190" s="391"/>
      <c r="X190" s="388"/>
      <c r="Y190" s="391"/>
      <c r="Z190" s="393"/>
      <c r="AA190" s="355" t="str">
        <f t="shared" si="1"/>
        <v/>
      </c>
      <c r="AB190" s="391"/>
      <c r="AC190" s="394" t="str">
        <f t="shared" si="2"/>
        <v/>
      </c>
      <c r="AD190" s="389"/>
      <c r="AE190" s="399"/>
      <c r="AF190" s="395"/>
      <c r="AG190" s="396" t="str">
        <f t="shared" si="3"/>
        <v/>
      </c>
      <c r="AH190" s="396" t="str">
        <f t="shared" si="4"/>
        <v/>
      </c>
      <c r="AI190" s="388"/>
      <c r="AJ190" s="388"/>
      <c r="AK190" s="397"/>
    </row>
    <row r="191">
      <c r="A191" s="398"/>
      <c r="B191" s="386"/>
      <c r="C191" s="387" t="str">
        <f>IF(A191="","",IFERROR(IF(VLOOKUP(A191,'1. Inbound Leads'!A:G,7,FALSE)=0,"",VLOOKUP(A191,'1. Inbound Leads'!A:G,7,FALSE)),""))</f>
        <v/>
      </c>
      <c r="D191" s="387" t="str">
        <f>IF(A191="","",IFERROR(IF(VLOOKUP(A191,'1. Inbound Leads'!A:L,12,FALSE)=0,"",VLOOKUP(A191,'1. Inbound Leads'!A:L,12,FALSE)),""))</f>
        <v/>
      </c>
      <c r="E191" s="388"/>
      <c r="F191" s="389"/>
      <c r="G191" s="387"/>
      <c r="H191" s="387"/>
      <c r="I191" s="387"/>
      <c r="J191" s="387"/>
      <c r="K191" s="387"/>
      <c r="L191" s="387"/>
      <c r="M191" s="388"/>
      <c r="N191" s="388"/>
      <c r="O191" s="390"/>
      <c r="P191" s="391"/>
      <c r="Q191" s="389"/>
      <c r="R191" s="390"/>
      <c r="S191" s="390"/>
      <c r="T191" s="391"/>
      <c r="U191" s="392"/>
      <c r="V191" s="391"/>
      <c r="W191" s="391"/>
      <c r="X191" s="388"/>
      <c r="Y191" s="391"/>
      <c r="Z191" s="393"/>
      <c r="AA191" s="355" t="str">
        <f t="shared" si="1"/>
        <v/>
      </c>
      <c r="AB191" s="391"/>
      <c r="AC191" s="394" t="str">
        <f t="shared" si="2"/>
        <v/>
      </c>
      <c r="AD191" s="389"/>
      <c r="AE191" s="399"/>
      <c r="AF191" s="395"/>
      <c r="AG191" s="396" t="str">
        <f t="shared" si="3"/>
        <v/>
      </c>
      <c r="AH191" s="396" t="str">
        <f t="shared" si="4"/>
        <v/>
      </c>
      <c r="AI191" s="388"/>
      <c r="AJ191" s="388"/>
      <c r="AK191" s="397"/>
    </row>
    <row r="192">
      <c r="A192" s="398"/>
      <c r="B192" s="386"/>
      <c r="C192" s="387" t="str">
        <f>IF(A192="","",IFERROR(IF(VLOOKUP(A192,'1. Inbound Leads'!A:G,7,FALSE)=0,"",VLOOKUP(A192,'1. Inbound Leads'!A:G,7,FALSE)),""))</f>
        <v/>
      </c>
      <c r="D192" s="387" t="str">
        <f>IF(A192="","",IFERROR(IF(VLOOKUP(A192,'1. Inbound Leads'!A:L,12,FALSE)=0,"",VLOOKUP(A192,'1. Inbound Leads'!A:L,12,FALSE)),""))</f>
        <v/>
      </c>
      <c r="E192" s="388"/>
      <c r="F192" s="389"/>
      <c r="G192" s="387"/>
      <c r="H192" s="387"/>
      <c r="I192" s="387"/>
      <c r="J192" s="387"/>
      <c r="K192" s="387"/>
      <c r="L192" s="387"/>
      <c r="M192" s="388"/>
      <c r="N192" s="388"/>
      <c r="O192" s="390"/>
      <c r="P192" s="391"/>
      <c r="Q192" s="389"/>
      <c r="R192" s="390"/>
      <c r="S192" s="390"/>
      <c r="T192" s="391"/>
      <c r="U192" s="392"/>
      <c r="V192" s="391"/>
      <c r="W192" s="391"/>
      <c r="X192" s="388"/>
      <c r="Y192" s="391"/>
      <c r="Z192" s="393"/>
      <c r="AA192" s="355" t="str">
        <f t="shared" si="1"/>
        <v/>
      </c>
      <c r="AB192" s="391"/>
      <c r="AC192" s="394" t="str">
        <f t="shared" si="2"/>
        <v/>
      </c>
      <c r="AD192" s="389"/>
      <c r="AE192" s="399"/>
      <c r="AF192" s="395"/>
      <c r="AG192" s="396" t="str">
        <f t="shared" si="3"/>
        <v/>
      </c>
      <c r="AH192" s="396" t="str">
        <f t="shared" si="4"/>
        <v/>
      </c>
      <c r="AI192" s="388"/>
      <c r="AJ192" s="388"/>
      <c r="AK192" s="397"/>
    </row>
    <row r="193">
      <c r="A193" s="398"/>
      <c r="B193" s="386"/>
      <c r="C193" s="387" t="str">
        <f>IF(A193="","",IFERROR(IF(VLOOKUP(A193,'1. Inbound Leads'!A:G,7,FALSE)=0,"",VLOOKUP(A193,'1. Inbound Leads'!A:G,7,FALSE)),""))</f>
        <v/>
      </c>
      <c r="D193" s="387" t="str">
        <f>IF(A193="","",IFERROR(IF(VLOOKUP(A193,'1. Inbound Leads'!A:L,12,FALSE)=0,"",VLOOKUP(A193,'1. Inbound Leads'!A:L,12,FALSE)),""))</f>
        <v/>
      </c>
      <c r="E193" s="388"/>
      <c r="F193" s="389"/>
      <c r="G193" s="387"/>
      <c r="H193" s="387"/>
      <c r="I193" s="387"/>
      <c r="J193" s="387"/>
      <c r="K193" s="387"/>
      <c r="L193" s="387"/>
      <c r="M193" s="388"/>
      <c r="N193" s="388"/>
      <c r="O193" s="390"/>
      <c r="P193" s="391"/>
      <c r="Q193" s="389"/>
      <c r="R193" s="390"/>
      <c r="S193" s="390"/>
      <c r="T193" s="391"/>
      <c r="U193" s="392"/>
      <c r="V193" s="391"/>
      <c r="W193" s="391"/>
      <c r="X193" s="388"/>
      <c r="Y193" s="391"/>
      <c r="Z193" s="393"/>
      <c r="AA193" s="355" t="str">
        <f t="shared" si="1"/>
        <v/>
      </c>
      <c r="AB193" s="391"/>
      <c r="AC193" s="394" t="str">
        <f t="shared" si="2"/>
        <v/>
      </c>
      <c r="AD193" s="389"/>
      <c r="AE193" s="399"/>
      <c r="AF193" s="395"/>
      <c r="AG193" s="396" t="str">
        <f t="shared" si="3"/>
        <v/>
      </c>
      <c r="AH193" s="396" t="str">
        <f t="shared" si="4"/>
        <v/>
      </c>
      <c r="AI193" s="388"/>
      <c r="AJ193" s="388"/>
      <c r="AK193" s="397"/>
    </row>
    <row r="194">
      <c r="A194" s="398"/>
      <c r="B194" s="386"/>
      <c r="C194" s="387" t="str">
        <f>IF(A194="","",IFERROR(IF(VLOOKUP(A194,'1. Inbound Leads'!A:G,7,FALSE)=0,"",VLOOKUP(A194,'1. Inbound Leads'!A:G,7,FALSE)),""))</f>
        <v/>
      </c>
      <c r="D194" s="387" t="str">
        <f>IF(A194="","",IFERROR(IF(VLOOKUP(A194,'1. Inbound Leads'!A:L,12,FALSE)=0,"",VLOOKUP(A194,'1. Inbound Leads'!A:L,12,FALSE)),""))</f>
        <v/>
      </c>
      <c r="E194" s="388"/>
      <c r="F194" s="389"/>
      <c r="G194" s="387"/>
      <c r="H194" s="387"/>
      <c r="I194" s="387"/>
      <c r="J194" s="387"/>
      <c r="K194" s="387"/>
      <c r="L194" s="387"/>
      <c r="M194" s="388"/>
      <c r="N194" s="388"/>
      <c r="O194" s="390"/>
      <c r="P194" s="391"/>
      <c r="Q194" s="389"/>
      <c r="R194" s="390"/>
      <c r="S194" s="390"/>
      <c r="T194" s="391"/>
      <c r="U194" s="392"/>
      <c r="V194" s="391"/>
      <c r="W194" s="391"/>
      <c r="X194" s="388"/>
      <c r="Y194" s="391"/>
      <c r="Z194" s="393"/>
      <c r="AA194" s="355" t="str">
        <f t="shared" si="1"/>
        <v/>
      </c>
      <c r="AB194" s="391"/>
      <c r="AC194" s="394" t="str">
        <f t="shared" si="2"/>
        <v/>
      </c>
      <c r="AD194" s="389"/>
      <c r="AE194" s="399"/>
      <c r="AF194" s="395"/>
      <c r="AG194" s="396" t="str">
        <f t="shared" si="3"/>
        <v/>
      </c>
      <c r="AH194" s="396" t="str">
        <f t="shared" si="4"/>
        <v/>
      </c>
      <c r="AI194" s="388"/>
      <c r="AJ194" s="388"/>
      <c r="AK194" s="397"/>
    </row>
    <row r="195">
      <c r="A195" s="398"/>
      <c r="B195" s="386"/>
      <c r="C195" s="387" t="str">
        <f>IF(A195="","",IFERROR(IF(VLOOKUP(A195,'1. Inbound Leads'!A:G,7,FALSE)=0,"",VLOOKUP(A195,'1. Inbound Leads'!A:G,7,FALSE)),""))</f>
        <v/>
      </c>
      <c r="D195" s="387" t="str">
        <f>IF(A195="","",IFERROR(IF(VLOOKUP(A195,'1. Inbound Leads'!A:L,12,FALSE)=0,"",VLOOKUP(A195,'1. Inbound Leads'!A:L,12,FALSE)),""))</f>
        <v/>
      </c>
      <c r="E195" s="388"/>
      <c r="F195" s="389"/>
      <c r="G195" s="387"/>
      <c r="H195" s="387"/>
      <c r="I195" s="387"/>
      <c r="J195" s="387"/>
      <c r="K195" s="387"/>
      <c r="L195" s="387"/>
      <c r="M195" s="388"/>
      <c r="N195" s="388"/>
      <c r="O195" s="390"/>
      <c r="P195" s="391"/>
      <c r="Q195" s="389"/>
      <c r="R195" s="390"/>
      <c r="S195" s="390"/>
      <c r="T195" s="391"/>
      <c r="U195" s="392"/>
      <c r="V195" s="391"/>
      <c r="W195" s="391"/>
      <c r="X195" s="388"/>
      <c r="Y195" s="391"/>
      <c r="Z195" s="393"/>
      <c r="AA195" s="355" t="str">
        <f t="shared" si="1"/>
        <v/>
      </c>
      <c r="AB195" s="391"/>
      <c r="AC195" s="394" t="str">
        <f t="shared" si="2"/>
        <v/>
      </c>
      <c r="AD195" s="389"/>
      <c r="AE195" s="399"/>
      <c r="AF195" s="395"/>
      <c r="AG195" s="396" t="str">
        <f t="shared" si="3"/>
        <v/>
      </c>
      <c r="AH195" s="396" t="str">
        <f t="shared" si="4"/>
        <v/>
      </c>
      <c r="AI195" s="388"/>
      <c r="AJ195" s="388"/>
      <c r="AK195" s="397"/>
    </row>
    <row r="196">
      <c r="A196" s="398"/>
      <c r="B196" s="386"/>
      <c r="C196" s="387" t="str">
        <f>IF(A196="","",IFERROR(IF(VLOOKUP(A196,'1. Inbound Leads'!A:G,7,FALSE)=0,"",VLOOKUP(A196,'1. Inbound Leads'!A:G,7,FALSE)),""))</f>
        <v/>
      </c>
      <c r="D196" s="387" t="str">
        <f>IF(A196="","",IFERROR(IF(VLOOKUP(A196,'1. Inbound Leads'!A:L,12,FALSE)=0,"",VLOOKUP(A196,'1. Inbound Leads'!A:L,12,FALSE)),""))</f>
        <v/>
      </c>
      <c r="E196" s="388"/>
      <c r="F196" s="389"/>
      <c r="G196" s="387"/>
      <c r="H196" s="387"/>
      <c r="I196" s="387"/>
      <c r="J196" s="387"/>
      <c r="K196" s="387"/>
      <c r="L196" s="387"/>
      <c r="M196" s="388"/>
      <c r="N196" s="388"/>
      <c r="O196" s="390"/>
      <c r="P196" s="391"/>
      <c r="Q196" s="389"/>
      <c r="R196" s="390"/>
      <c r="S196" s="390"/>
      <c r="T196" s="391"/>
      <c r="U196" s="392"/>
      <c r="V196" s="391"/>
      <c r="W196" s="391"/>
      <c r="X196" s="388"/>
      <c r="Y196" s="391"/>
      <c r="Z196" s="393"/>
      <c r="AA196" s="355" t="str">
        <f t="shared" si="1"/>
        <v/>
      </c>
      <c r="AB196" s="391"/>
      <c r="AC196" s="394" t="str">
        <f t="shared" si="2"/>
        <v/>
      </c>
      <c r="AD196" s="389"/>
      <c r="AE196" s="399"/>
      <c r="AF196" s="395"/>
      <c r="AG196" s="396" t="str">
        <f t="shared" si="3"/>
        <v/>
      </c>
      <c r="AH196" s="396" t="str">
        <f t="shared" si="4"/>
        <v/>
      </c>
      <c r="AI196" s="388"/>
      <c r="AJ196" s="388"/>
      <c r="AK196" s="397"/>
    </row>
    <row r="197">
      <c r="A197" s="398"/>
      <c r="B197" s="386"/>
      <c r="C197" s="387" t="str">
        <f>IF(A197="","",IFERROR(IF(VLOOKUP(A197,'1. Inbound Leads'!A:G,7,FALSE)=0,"",VLOOKUP(A197,'1. Inbound Leads'!A:G,7,FALSE)),""))</f>
        <v/>
      </c>
      <c r="D197" s="387" t="str">
        <f>IF(A197="","",IFERROR(IF(VLOOKUP(A197,'1. Inbound Leads'!A:L,12,FALSE)=0,"",VLOOKUP(A197,'1. Inbound Leads'!A:L,12,FALSE)),""))</f>
        <v/>
      </c>
      <c r="E197" s="388"/>
      <c r="F197" s="389"/>
      <c r="G197" s="387"/>
      <c r="H197" s="387"/>
      <c r="I197" s="387"/>
      <c r="J197" s="387"/>
      <c r="K197" s="387"/>
      <c r="L197" s="387"/>
      <c r="M197" s="388"/>
      <c r="N197" s="388"/>
      <c r="O197" s="390"/>
      <c r="P197" s="391"/>
      <c r="Q197" s="389"/>
      <c r="R197" s="390"/>
      <c r="S197" s="390"/>
      <c r="T197" s="391"/>
      <c r="U197" s="392"/>
      <c r="V197" s="391"/>
      <c r="W197" s="391"/>
      <c r="X197" s="388"/>
      <c r="Y197" s="391"/>
      <c r="Z197" s="393"/>
      <c r="AA197" s="355" t="str">
        <f t="shared" si="1"/>
        <v/>
      </c>
      <c r="AB197" s="391"/>
      <c r="AC197" s="394" t="str">
        <f t="shared" si="2"/>
        <v/>
      </c>
      <c r="AD197" s="389"/>
      <c r="AE197" s="399"/>
      <c r="AF197" s="395"/>
      <c r="AG197" s="396" t="str">
        <f t="shared" si="3"/>
        <v/>
      </c>
      <c r="AH197" s="396" t="str">
        <f t="shared" si="4"/>
        <v/>
      </c>
      <c r="AI197" s="388"/>
      <c r="AJ197" s="388"/>
      <c r="AK197" s="397"/>
    </row>
    <row r="198">
      <c r="A198" s="398"/>
      <c r="B198" s="386"/>
      <c r="C198" s="387" t="str">
        <f>IF(A198="","",IFERROR(IF(VLOOKUP(A198,'1. Inbound Leads'!A:G,7,FALSE)=0,"",VLOOKUP(A198,'1. Inbound Leads'!A:G,7,FALSE)),""))</f>
        <v/>
      </c>
      <c r="D198" s="387" t="str">
        <f>IF(A198="","",IFERROR(IF(VLOOKUP(A198,'1. Inbound Leads'!A:L,12,FALSE)=0,"",VLOOKUP(A198,'1. Inbound Leads'!A:L,12,FALSE)),""))</f>
        <v/>
      </c>
      <c r="E198" s="388"/>
      <c r="F198" s="389"/>
      <c r="G198" s="387"/>
      <c r="H198" s="387"/>
      <c r="I198" s="387"/>
      <c r="J198" s="387"/>
      <c r="K198" s="387"/>
      <c r="L198" s="387"/>
      <c r="M198" s="388"/>
      <c r="N198" s="388"/>
      <c r="O198" s="390"/>
      <c r="P198" s="391"/>
      <c r="Q198" s="389"/>
      <c r="R198" s="390"/>
      <c r="S198" s="390"/>
      <c r="T198" s="391"/>
      <c r="U198" s="392"/>
      <c r="V198" s="391"/>
      <c r="W198" s="391"/>
      <c r="X198" s="388"/>
      <c r="Y198" s="391"/>
      <c r="Z198" s="393"/>
      <c r="AA198" s="355" t="str">
        <f t="shared" si="1"/>
        <v/>
      </c>
      <c r="AB198" s="391"/>
      <c r="AC198" s="394" t="str">
        <f t="shared" si="2"/>
        <v/>
      </c>
      <c r="AD198" s="389"/>
      <c r="AE198" s="399"/>
      <c r="AF198" s="395"/>
      <c r="AG198" s="396" t="str">
        <f t="shared" si="3"/>
        <v/>
      </c>
      <c r="AH198" s="396" t="str">
        <f t="shared" si="4"/>
        <v/>
      </c>
      <c r="AI198" s="388"/>
      <c r="AJ198" s="388"/>
      <c r="AK198" s="397"/>
    </row>
    <row r="199">
      <c r="A199" s="398"/>
      <c r="B199" s="386"/>
      <c r="C199" s="387" t="str">
        <f>IF(A199="","",IFERROR(IF(VLOOKUP(A199,'1. Inbound Leads'!A:G,7,FALSE)=0,"",VLOOKUP(A199,'1. Inbound Leads'!A:G,7,FALSE)),""))</f>
        <v/>
      </c>
      <c r="D199" s="387" t="str">
        <f>IF(A199="","",IFERROR(IF(VLOOKUP(A199,'1. Inbound Leads'!A:L,12,FALSE)=0,"",VLOOKUP(A199,'1. Inbound Leads'!A:L,12,FALSE)),""))</f>
        <v/>
      </c>
      <c r="E199" s="388"/>
      <c r="F199" s="389"/>
      <c r="G199" s="387"/>
      <c r="H199" s="387"/>
      <c r="I199" s="387"/>
      <c r="J199" s="387"/>
      <c r="K199" s="387"/>
      <c r="L199" s="387"/>
      <c r="M199" s="388"/>
      <c r="N199" s="388"/>
      <c r="O199" s="390"/>
      <c r="P199" s="391"/>
      <c r="Q199" s="389"/>
      <c r="R199" s="390"/>
      <c r="S199" s="390"/>
      <c r="T199" s="391"/>
      <c r="U199" s="392"/>
      <c r="V199" s="391"/>
      <c r="W199" s="391"/>
      <c r="X199" s="388"/>
      <c r="Y199" s="391"/>
      <c r="Z199" s="393"/>
      <c r="AA199" s="355" t="str">
        <f t="shared" si="1"/>
        <v/>
      </c>
      <c r="AB199" s="391"/>
      <c r="AC199" s="394" t="str">
        <f t="shared" si="2"/>
        <v/>
      </c>
      <c r="AD199" s="389"/>
      <c r="AE199" s="399"/>
      <c r="AF199" s="395"/>
      <c r="AG199" s="396" t="str">
        <f t="shared" si="3"/>
        <v/>
      </c>
      <c r="AH199" s="396" t="str">
        <f t="shared" si="4"/>
        <v/>
      </c>
      <c r="AI199" s="388"/>
      <c r="AJ199" s="388"/>
      <c r="AK199" s="397"/>
    </row>
    <row r="200">
      <c r="A200" s="398"/>
      <c r="B200" s="386"/>
      <c r="C200" s="387" t="str">
        <f>IF(A200="","",IFERROR(IF(VLOOKUP(A200,'1. Inbound Leads'!A:G,7,FALSE)=0,"",VLOOKUP(A200,'1. Inbound Leads'!A:G,7,FALSE)),""))</f>
        <v/>
      </c>
      <c r="D200" s="387" t="str">
        <f>IF(A200="","",IFERROR(IF(VLOOKUP(A200,'1. Inbound Leads'!A:L,12,FALSE)=0,"",VLOOKUP(A200,'1. Inbound Leads'!A:L,12,FALSE)),""))</f>
        <v/>
      </c>
      <c r="E200" s="388"/>
      <c r="F200" s="389"/>
      <c r="G200" s="387"/>
      <c r="H200" s="387"/>
      <c r="I200" s="387"/>
      <c r="J200" s="387"/>
      <c r="K200" s="387"/>
      <c r="L200" s="387"/>
      <c r="M200" s="388"/>
      <c r="N200" s="388"/>
      <c r="O200" s="390"/>
      <c r="P200" s="391"/>
      <c r="Q200" s="389"/>
      <c r="R200" s="390"/>
      <c r="S200" s="390"/>
      <c r="T200" s="391"/>
      <c r="U200" s="392"/>
      <c r="V200" s="391"/>
      <c r="W200" s="391"/>
      <c r="X200" s="388"/>
      <c r="Y200" s="391"/>
      <c r="Z200" s="393"/>
      <c r="AA200" s="355" t="str">
        <f t="shared" si="1"/>
        <v/>
      </c>
      <c r="AB200" s="391"/>
      <c r="AC200" s="394" t="str">
        <f t="shared" si="2"/>
        <v/>
      </c>
      <c r="AD200" s="389"/>
      <c r="AE200" s="399"/>
      <c r="AF200" s="395"/>
      <c r="AG200" s="396" t="str">
        <f t="shared" si="3"/>
        <v/>
      </c>
      <c r="AH200" s="396" t="str">
        <f t="shared" si="4"/>
        <v/>
      </c>
      <c r="AI200" s="388"/>
      <c r="AJ200" s="388"/>
      <c r="AK200" s="397"/>
    </row>
    <row r="201">
      <c r="A201" s="398"/>
      <c r="B201" s="386"/>
      <c r="C201" s="387" t="str">
        <f>IF(A201="","",IFERROR(IF(VLOOKUP(A201,'1. Inbound Leads'!A:G,7,FALSE)=0,"",VLOOKUP(A201,'1. Inbound Leads'!A:G,7,FALSE)),""))</f>
        <v/>
      </c>
      <c r="D201" s="387" t="str">
        <f>IF(A201="","",IFERROR(IF(VLOOKUP(A201,'1. Inbound Leads'!A:L,12,FALSE)=0,"",VLOOKUP(A201,'1. Inbound Leads'!A:L,12,FALSE)),""))</f>
        <v/>
      </c>
      <c r="E201" s="388"/>
      <c r="F201" s="389"/>
      <c r="G201" s="387"/>
      <c r="H201" s="387"/>
      <c r="I201" s="387"/>
      <c r="J201" s="387"/>
      <c r="K201" s="387"/>
      <c r="L201" s="387"/>
      <c r="M201" s="388"/>
      <c r="N201" s="388"/>
      <c r="O201" s="390"/>
      <c r="P201" s="391"/>
      <c r="Q201" s="389"/>
      <c r="R201" s="390"/>
      <c r="S201" s="390"/>
      <c r="T201" s="391"/>
      <c r="U201" s="392"/>
      <c r="V201" s="391"/>
      <c r="W201" s="391"/>
      <c r="X201" s="388"/>
      <c r="Y201" s="391"/>
      <c r="Z201" s="393"/>
      <c r="AA201" s="355" t="str">
        <f t="shared" si="1"/>
        <v/>
      </c>
      <c r="AB201" s="391"/>
      <c r="AC201" s="394" t="str">
        <f t="shared" si="2"/>
        <v/>
      </c>
      <c r="AD201" s="389"/>
      <c r="AE201" s="399"/>
      <c r="AF201" s="395"/>
      <c r="AG201" s="396" t="str">
        <f t="shared" si="3"/>
        <v/>
      </c>
      <c r="AH201" s="396" t="str">
        <f t="shared" si="4"/>
        <v/>
      </c>
      <c r="AI201" s="388"/>
      <c r="AJ201" s="388"/>
      <c r="AK201" s="397"/>
    </row>
    <row r="202">
      <c r="A202" s="398"/>
      <c r="B202" s="386"/>
      <c r="C202" s="387" t="str">
        <f>IF(A202="","",IFERROR(IF(VLOOKUP(A202,'1. Inbound Leads'!A:G,7,FALSE)=0,"",VLOOKUP(A202,'1. Inbound Leads'!A:G,7,FALSE)),""))</f>
        <v/>
      </c>
      <c r="D202" s="387" t="str">
        <f>IF(A202="","",IFERROR(IF(VLOOKUP(A202,'1. Inbound Leads'!A:L,12,FALSE)=0,"",VLOOKUP(A202,'1. Inbound Leads'!A:L,12,FALSE)),""))</f>
        <v/>
      </c>
      <c r="E202" s="388"/>
      <c r="F202" s="389"/>
      <c r="G202" s="387"/>
      <c r="H202" s="387"/>
      <c r="I202" s="387"/>
      <c r="J202" s="387"/>
      <c r="K202" s="387"/>
      <c r="L202" s="387"/>
      <c r="M202" s="388"/>
      <c r="N202" s="388"/>
      <c r="O202" s="390"/>
      <c r="P202" s="391"/>
      <c r="Q202" s="389"/>
      <c r="R202" s="390"/>
      <c r="S202" s="390"/>
      <c r="T202" s="391"/>
      <c r="U202" s="392"/>
      <c r="V202" s="391"/>
      <c r="W202" s="391"/>
      <c r="X202" s="388"/>
      <c r="Y202" s="391"/>
      <c r="Z202" s="393"/>
      <c r="AA202" s="355" t="str">
        <f t="shared" si="1"/>
        <v/>
      </c>
      <c r="AB202" s="391"/>
      <c r="AC202" s="394" t="str">
        <f t="shared" si="2"/>
        <v/>
      </c>
      <c r="AD202" s="389"/>
      <c r="AE202" s="399"/>
      <c r="AF202" s="395"/>
      <c r="AG202" s="396" t="str">
        <f t="shared" si="3"/>
        <v/>
      </c>
      <c r="AH202" s="396" t="str">
        <f t="shared" si="4"/>
        <v/>
      </c>
      <c r="AI202" s="388"/>
      <c r="AJ202" s="388"/>
      <c r="AK202" s="397"/>
    </row>
    <row r="203">
      <c r="A203" s="398"/>
      <c r="B203" s="386"/>
      <c r="C203" s="387" t="str">
        <f>IF(A203="","",IFERROR(IF(VLOOKUP(A203,'1. Inbound Leads'!A:G,7,FALSE)=0,"",VLOOKUP(A203,'1. Inbound Leads'!A:G,7,FALSE)),""))</f>
        <v/>
      </c>
      <c r="D203" s="387" t="str">
        <f>IF(A203="","",IFERROR(IF(VLOOKUP(A203,'1. Inbound Leads'!A:L,12,FALSE)=0,"",VLOOKUP(A203,'1. Inbound Leads'!A:L,12,FALSE)),""))</f>
        <v/>
      </c>
      <c r="E203" s="388"/>
      <c r="F203" s="389"/>
      <c r="G203" s="387"/>
      <c r="H203" s="387"/>
      <c r="I203" s="387"/>
      <c r="J203" s="387"/>
      <c r="K203" s="387"/>
      <c r="L203" s="387"/>
      <c r="M203" s="388"/>
      <c r="N203" s="388"/>
      <c r="O203" s="390"/>
      <c r="P203" s="391"/>
      <c r="Q203" s="389"/>
      <c r="R203" s="390"/>
      <c r="S203" s="390"/>
      <c r="T203" s="391"/>
      <c r="U203" s="392"/>
      <c r="V203" s="391"/>
      <c r="W203" s="391"/>
      <c r="X203" s="388"/>
      <c r="Y203" s="391"/>
      <c r="Z203" s="393"/>
      <c r="AA203" s="355" t="str">
        <f t="shared" si="1"/>
        <v/>
      </c>
      <c r="AB203" s="391"/>
      <c r="AC203" s="394" t="str">
        <f t="shared" si="2"/>
        <v/>
      </c>
      <c r="AD203" s="389"/>
      <c r="AE203" s="399"/>
      <c r="AF203" s="395"/>
      <c r="AG203" s="396" t="str">
        <f t="shared" si="3"/>
        <v/>
      </c>
      <c r="AH203" s="396" t="str">
        <f t="shared" si="4"/>
        <v/>
      </c>
      <c r="AI203" s="388"/>
      <c r="AJ203" s="388"/>
      <c r="AK203" s="397"/>
    </row>
    <row r="204">
      <c r="A204" s="398"/>
      <c r="B204" s="386"/>
      <c r="C204" s="387" t="str">
        <f>IF(A204="","",IFERROR(IF(VLOOKUP(A204,'1. Inbound Leads'!A:G,7,FALSE)=0,"",VLOOKUP(A204,'1. Inbound Leads'!A:G,7,FALSE)),""))</f>
        <v/>
      </c>
      <c r="D204" s="387" t="str">
        <f>IF(A204="","",IFERROR(IF(VLOOKUP(A204,'1. Inbound Leads'!A:L,12,FALSE)=0,"",VLOOKUP(A204,'1. Inbound Leads'!A:L,12,FALSE)),""))</f>
        <v/>
      </c>
      <c r="E204" s="388"/>
      <c r="F204" s="389"/>
      <c r="G204" s="387"/>
      <c r="H204" s="387"/>
      <c r="I204" s="387"/>
      <c r="J204" s="387"/>
      <c r="K204" s="387"/>
      <c r="L204" s="387"/>
      <c r="M204" s="388"/>
      <c r="N204" s="388"/>
      <c r="O204" s="390"/>
      <c r="P204" s="391"/>
      <c r="Q204" s="389"/>
      <c r="R204" s="390"/>
      <c r="S204" s="390"/>
      <c r="T204" s="391"/>
      <c r="U204" s="392"/>
      <c r="V204" s="391"/>
      <c r="W204" s="391"/>
      <c r="X204" s="388"/>
      <c r="Y204" s="391"/>
      <c r="Z204" s="393"/>
      <c r="AA204" s="355" t="str">
        <f t="shared" si="1"/>
        <v/>
      </c>
      <c r="AB204" s="391"/>
      <c r="AC204" s="394" t="str">
        <f t="shared" si="2"/>
        <v/>
      </c>
      <c r="AD204" s="389"/>
      <c r="AE204" s="399"/>
      <c r="AF204" s="395"/>
      <c r="AG204" s="396" t="str">
        <f t="shared" si="3"/>
        <v/>
      </c>
      <c r="AH204" s="396" t="str">
        <f t="shared" si="4"/>
        <v/>
      </c>
      <c r="AI204" s="388"/>
      <c r="AJ204" s="388"/>
      <c r="AK204" s="397"/>
    </row>
    <row r="205">
      <c r="A205" s="398"/>
      <c r="B205" s="386"/>
      <c r="C205" s="387" t="str">
        <f>IF(A205="","",IFERROR(IF(VLOOKUP(A205,'1. Inbound Leads'!A:G,7,FALSE)=0,"",VLOOKUP(A205,'1. Inbound Leads'!A:G,7,FALSE)),""))</f>
        <v/>
      </c>
      <c r="D205" s="387" t="str">
        <f>IF(A205="","",IFERROR(IF(VLOOKUP(A205,'1. Inbound Leads'!A:L,12,FALSE)=0,"",VLOOKUP(A205,'1. Inbound Leads'!A:L,12,FALSE)),""))</f>
        <v/>
      </c>
      <c r="E205" s="388"/>
      <c r="F205" s="389"/>
      <c r="G205" s="387"/>
      <c r="H205" s="387"/>
      <c r="I205" s="387"/>
      <c r="J205" s="387"/>
      <c r="K205" s="387"/>
      <c r="L205" s="387"/>
      <c r="M205" s="388"/>
      <c r="N205" s="388"/>
      <c r="O205" s="390"/>
      <c r="P205" s="391"/>
      <c r="Q205" s="389"/>
      <c r="R205" s="390"/>
      <c r="S205" s="390"/>
      <c r="T205" s="391"/>
      <c r="U205" s="392"/>
      <c r="V205" s="391"/>
      <c r="W205" s="391"/>
      <c r="X205" s="388"/>
      <c r="Y205" s="391"/>
      <c r="Z205" s="393"/>
      <c r="AA205" s="355" t="str">
        <f t="shared" si="1"/>
        <v/>
      </c>
      <c r="AB205" s="391"/>
      <c r="AC205" s="394" t="str">
        <f t="shared" si="2"/>
        <v/>
      </c>
      <c r="AD205" s="389"/>
      <c r="AE205" s="399"/>
      <c r="AF205" s="395"/>
      <c r="AG205" s="396" t="str">
        <f t="shared" si="3"/>
        <v/>
      </c>
      <c r="AH205" s="396" t="str">
        <f t="shared" si="4"/>
        <v/>
      </c>
      <c r="AI205" s="388"/>
      <c r="AJ205" s="388"/>
      <c r="AK205" s="397"/>
    </row>
    <row r="206">
      <c r="A206" s="398"/>
      <c r="B206" s="386"/>
      <c r="C206" s="387" t="str">
        <f>IF(A206="","",IFERROR(IF(VLOOKUP(A206,'1. Inbound Leads'!A:G,7,FALSE)=0,"",VLOOKUP(A206,'1. Inbound Leads'!A:G,7,FALSE)),""))</f>
        <v/>
      </c>
      <c r="D206" s="387" t="str">
        <f>IF(A206="","",IFERROR(IF(VLOOKUP(A206,'1. Inbound Leads'!A:L,12,FALSE)=0,"",VLOOKUP(A206,'1. Inbound Leads'!A:L,12,FALSE)),""))</f>
        <v/>
      </c>
      <c r="E206" s="388"/>
      <c r="F206" s="389"/>
      <c r="G206" s="387"/>
      <c r="H206" s="387"/>
      <c r="I206" s="387"/>
      <c r="J206" s="387"/>
      <c r="K206" s="387"/>
      <c r="L206" s="387"/>
      <c r="M206" s="388"/>
      <c r="N206" s="388"/>
      <c r="O206" s="390"/>
      <c r="P206" s="391"/>
      <c r="Q206" s="389"/>
      <c r="R206" s="390"/>
      <c r="S206" s="390"/>
      <c r="T206" s="391"/>
      <c r="U206" s="392"/>
      <c r="V206" s="391"/>
      <c r="W206" s="391"/>
      <c r="X206" s="388"/>
      <c r="Y206" s="391"/>
      <c r="Z206" s="393"/>
      <c r="AA206" s="355" t="str">
        <f t="shared" si="1"/>
        <v/>
      </c>
      <c r="AB206" s="391"/>
      <c r="AC206" s="394" t="str">
        <f t="shared" si="2"/>
        <v/>
      </c>
      <c r="AD206" s="389"/>
      <c r="AE206" s="399"/>
      <c r="AF206" s="395"/>
      <c r="AG206" s="396" t="str">
        <f t="shared" si="3"/>
        <v/>
      </c>
      <c r="AH206" s="396" t="str">
        <f t="shared" si="4"/>
        <v/>
      </c>
      <c r="AI206" s="388"/>
      <c r="AJ206" s="388"/>
      <c r="AK206" s="397"/>
    </row>
    <row r="207">
      <c r="A207" s="398"/>
      <c r="B207" s="386"/>
      <c r="C207" s="387" t="str">
        <f>IF(A207="","",IFERROR(IF(VLOOKUP(A207,'1. Inbound Leads'!A:G,7,FALSE)=0,"",VLOOKUP(A207,'1. Inbound Leads'!A:G,7,FALSE)),""))</f>
        <v/>
      </c>
      <c r="D207" s="387" t="str">
        <f>IF(A207="","",IFERROR(IF(VLOOKUP(A207,'1. Inbound Leads'!A:L,12,FALSE)=0,"",VLOOKUP(A207,'1. Inbound Leads'!A:L,12,FALSE)),""))</f>
        <v/>
      </c>
      <c r="E207" s="388"/>
      <c r="F207" s="389"/>
      <c r="G207" s="387"/>
      <c r="H207" s="387"/>
      <c r="I207" s="387"/>
      <c r="J207" s="387"/>
      <c r="K207" s="387"/>
      <c r="L207" s="387"/>
      <c r="M207" s="388"/>
      <c r="N207" s="388"/>
      <c r="O207" s="390"/>
      <c r="P207" s="391"/>
      <c r="Q207" s="389"/>
      <c r="R207" s="390"/>
      <c r="S207" s="390"/>
      <c r="T207" s="391"/>
      <c r="U207" s="392"/>
      <c r="V207" s="391"/>
      <c r="W207" s="391"/>
      <c r="X207" s="388"/>
      <c r="Y207" s="391"/>
      <c r="Z207" s="393"/>
      <c r="AA207" s="355" t="str">
        <f t="shared" si="1"/>
        <v/>
      </c>
      <c r="AB207" s="391"/>
      <c r="AC207" s="394" t="str">
        <f t="shared" si="2"/>
        <v/>
      </c>
      <c r="AD207" s="389"/>
      <c r="AE207" s="399"/>
      <c r="AF207" s="395"/>
      <c r="AG207" s="396" t="str">
        <f t="shared" si="3"/>
        <v/>
      </c>
      <c r="AH207" s="396" t="str">
        <f t="shared" si="4"/>
        <v/>
      </c>
      <c r="AI207" s="388"/>
      <c r="AJ207" s="388"/>
      <c r="AK207" s="397"/>
    </row>
    <row r="208">
      <c r="A208" s="398"/>
      <c r="B208" s="386"/>
      <c r="C208" s="387" t="str">
        <f>IF(A208="","",IFERROR(IF(VLOOKUP(A208,'1. Inbound Leads'!A:G,7,FALSE)=0,"",VLOOKUP(A208,'1. Inbound Leads'!A:G,7,FALSE)),""))</f>
        <v/>
      </c>
      <c r="D208" s="387" t="str">
        <f>IF(A208="","",IFERROR(IF(VLOOKUP(A208,'1. Inbound Leads'!A:L,12,FALSE)=0,"",VLOOKUP(A208,'1. Inbound Leads'!A:L,12,FALSE)),""))</f>
        <v/>
      </c>
      <c r="E208" s="388"/>
      <c r="F208" s="389"/>
      <c r="G208" s="387"/>
      <c r="H208" s="387"/>
      <c r="I208" s="387"/>
      <c r="J208" s="387"/>
      <c r="K208" s="387"/>
      <c r="L208" s="387"/>
      <c r="M208" s="388"/>
      <c r="N208" s="388"/>
      <c r="O208" s="390"/>
      <c r="P208" s="391"/>
      <c r="Q208" s="389"/>
      <c r="R208" s="390"/>
      <c r="S208" s="390"/>
      <c r="T208" s="391"/>
      <c r="U208" s="392"/>
      <c r="V208" s="391"/>
      <c r="W208" s="391"/>
      <c r="X208" s="388"/>
      <c r="Y208" s="391"/>
      <c r="Z208" s="393"/>
      <c r="AA208" s="355" t="str">
        <f t="shared" si="1"/>
        <v/>
      </c>
      <c r="AB208" s="391"/>
      <c r="AC208" s="394" t="str">
        <f t="shared" si="2"/>
        <v/>
      </c>
      <c r="AD208" s="389"/>
      <c r="AE208" s="399"/>
      <c r="AF208" s="395"/>
      <c r="AG208" s="396" t="str">
        <f t="shared" si="3"/>
        <v/>
      </c>
      <c r="AH208" s="396" t="str">
        <f t="shared" si="4"/>
        <v/>
      </c>
      <c r="AI208" s="388"/>
      <c r="AJ208" s="388"/>
      <c r="AK208" s="397"/>
    </row>
    <row r="209">
      <c r="A209" s="398"/>
      <c r="B209" s="386"/>
      <c r="C209" s="387" t="str">
        <f>IF(A209="","",IFERROR(IF(VLOOKUP(A209,'1. Inbound Leads'!A:G,7,FALSE)=0,"",VLOOKUP(A209,'1. Inbound Leads'!A:G,7,FALSE)),""))</f>
        <v/>
      </c>
      <c r="D209" s="387" t="str">
        <f>IF(A209="","",IFERROR(IF(VLOOKUP(A209,'1. Inbound Leads'!A:L,12,FALSE)=0,"",VLOOKUP(A209,'1. Inbound Leads'!A:L,12,FALSE)),""))</f>
        <v/>
      </c>
      <c r="E209" s="388"/>
      <c r="F209" s="389"/>
      <c r="G209" s="387"/>
      <c r="H209" s="387"/>
      <c r="I209" s="387"/>
      <c r="J209" s="387"/>
      <c r="K209" s="387"/>
      <c r="L209" s="387"/>
      <c r="M209" s="388"/>
      <c r="N209" s="388"/>
      <c r="O209" s="390"/>
      <c r="P209" s="391"/>
      <c r="Q209" s="389"/>
      <c r="R209" s="390"/>
      <c r="S209" s="390"/>
      <c r="T209" s="391"/>
      <c r="U209" s="392"/>
      <c r="V209" s="391"/>
      <c r="W209" s="391"/>
      <c r="X209" s="388"/>
      <c r="Y209" s="391"/>
      <c r="Z209" s="393"/>
      <c r="AA209" s="355" t="str">
        <f t="shared" si="1"/>
        <v/>
      </c>
      <c r="AB209" s="391"/>
      <c r="AC209" s="394" t="str">
        <f t="shared" si="2"/>
        <v/>
      </c>
      <c r="AD209" s="389"/>
      <c r="AE209" s="399"/>
      <c r="AF209" s="395"/>
      <c r="AG209" s="396" t="str">
        <f t="shared" si="3"/>
        <v/>
      </c>
      <c r="AH209" s="396" t="str">
        <f t="shared" si="4"/>
        <v/>
      </c>
      <c r="AI209" s="388"/>
      <c r="AJ209" s="388"/>
      <c r="AK209" s="397"/>
    </row>
    <row r="210">
      <c r="A210" s="398"/>
      <c r="B210" s="386"/>
      <c r="C210" s="387" t="str">
        <f>IF(A210="","",IFERROR(IF(VLOOKUP(A210,'1. Inbound Leads'!A:G,7,FALSE)=0,"",VLOOKUP(A210,'1. Inbound Leads'!A:G,7,FALSE)),""))</f>
        <v/>
      </c>
      <c r="D210" s="387" t="str">
        <f>IF(A210="","",IFERROR(IF(VLOOKUP(A210,'1. Inbound Leads'!A:L,12,FALSE)=0,"",VLOOKUP(A210,'1. Inbound Leads'!A:L,12,FALSE)),""))</f>
        <v/>
      </c>
      <c r="E210" s="388"/>
      <c r="F210" s="389"/>
      <c r="G210" s="387"/>
      <c r="H210" s="387"/>
      <c r="I210" s="387"/>
      <c r="J210" s="387"/>
      <c r="K210" s="387"/>
      <c r="L210" s="387"/>
      <c r="M210" s="388"/>
      <c r="N210" s="388"/>
      <c r="O210" s="390"/>
      <c r="P210" s="391"/>
      <c r="Q210" s="389"/>
      <c r="R210" s="390"/>
      <c r="S210" s="390"/>
      <c r="T210" s="391"/>
      <c r="U210" s="392"/>
      <c r="V210" s="391"/>
      <c r="W210" s="391"/>
      <c r="X210" s="388"/>
      <c r="Y210" s="391"/>
      <c r="Z210" s="393"/>
      <c r="AA210" s="355" t="str">
        <f t="shared" si="1"/>
        <v/>
      </c>
      <c r="AB210" s="391"/>
      <c r="AC210" s="394" t="str">
        <f t="shared" si="2"/>
        <v/>
      </c>
      <c r="AD210" s="389"/>
      <c r="AE210" s="399"/>
      <c r="AF210" s="395"/>
      <c r="AG210" s="396" t="str">
        <f t="shared" si="3"/>
        <v/>
      </c>
      <c r="AH210" s="396" t="str">
        <f t="shared" si="4"/>
        <v/>
      </c>
      <c r="AI210" s="388"/>
      <c r="AJ210" s="388"/>
      <c r="AK210" s="397"/>
    </row>
    <row r="211">
      <c r="A211" s="398"/>
      <c r="B211" s="386"/>
      <c r="C211" s="387" t="str">
        <f>IF(A211="","",IFERROR(IF(VLOOKUP(A211,'1. Inbound Leads'!A:G,7,FALSE)=0,"",VLOOKUP(A211,'1. Inbound Leads'!A:G,7,FALSE)),""))</f>
        <v/>
      </c>
      <c r="D211" s="387" t="str">
        <f>IF(A211="","",IFERROR(IF(VLOOKUP(A211,'1. Inbound Leads'!A:L,12,FALSE)=0,"",VLOOKUP(A211,'1. Inbound Leads'!A:L,12,FALSE)),""))</f>
        <v/>
      </c>
      <c r="E211" s="388"/>
      <c r="F211" s="389"/>
      <c r="G211" s="387"/>
      <c r="H211" s="387"/>
      <c r="I211" s="387"/>
      <c r="J211" s="387"/>
      <c r="K211" s="387"/>
      <c r="L211" s="387"/>
      <c r="M211" s="388"/>
      <c r="N211" s="388"/>
      <c r="O211" s="390"/>
      <c r="P211" s="391"/>
      <c r="Q211" s="389"/>
      <c r="R211" s="390"/>
      <c r="S211" s="390"/>
      <c r="T211" s="391"/>
      <c r="U211" s="392"/>
      <c r="V211" s="391"/>
      <c r="W211" s="391"/>
      <c r="X211" s="388"/>
      <c r="Y211" s="391"/>
      <c r="Z211" s="393"/>
      <c r="AA211" s="355" t="str">
        <f t="shared" si="1"/>
        <v/>
      </c>
      <c r="AB211" s="391"/>
      <c r="AC211" s="394" t="str">
        <f t="shared" si="2"/>
        <v/>
      </c>
      <c r="AD211" s="389"/>
      <c r="AE211" s="399"/>
      <c r="AF211" s="395"/>
      <c r="AG211" s="396" t="str">
        <f t="shared" si="3"/>
        <v/>
      </c>
      <c r="AH211" s="396" t="str">
        <f t="shared" si="4"/>
        <v/>
      </c>
      <c r="AI211" s="388"/>
      <c r="AJ211" s="388"/>
      <c r="AK211" s="397"/>
    </row>
    <row r="212">
      <c r="A212" s="398"/>
      <c r="B212" s="386"/>
      <c r="C212" s="387" t="str">
        <f>IF(A212="","",IFERROR(IF(VLOOKUP(A212,'1. Inbound Leads'!A:G,7,FALSE)=0,"",VLOOKUP(A212,'1. Inbound Leads'!A:G,7,FALSE)),""))</f>
        <v/>
      </c>
      <c r="D212" s="387" t="str">
        <f>IF(A212="","",IFERROR(IF(VLOOKUP(A212,'1. Inbound Leads'!A:L,12,FALSE)=0,"",VLOOKUP(A212,'1. Inbound Leads'!A:L,12,FALSE)),""))</f>
        <v/>
      </c>
      <c r="E212" s="388"/>
      <c r="F212" s="389"/>
      <c r="G212" s="387"/>
      <c r="H212" s="387"/>
      <c r="I212" s="387"/>
      <c r="J212" s="387"/>
      <c r="K212" s="387"/>
      <c r="L212" s="387"/>
      <c r="M212" s="388"/>
      <c r="N212" s="388"/>
      <c r="O212" s="390"/>
      <c r="P212" s="391"/>
      <c r="Q212" s="389"/>
      <c r="R212" s="390"/>
      <c r="S212" s="390"/>
      <c r="T212" s="391"/>
      <c r="U212" s="392"/>
      <c r="V212" s="391"/>
      <c r="W212" s="391"/>
      <c r="X212" s="388"/>
      <c r="Y212" s="391"/>
      <c r="Z212" s="393"/>
      <c r="AA212" s="355" t="str">
        <f t="shared" si="1"/>
        <v/>
      </c>
      <c r="AB212" s="391"/>
      <c r="AC212" s="394" t="str">
        <f t="shared" si="2"/>
        <v/>
      </c>
      <c r="AD212" s="389"/>
      <c r="AE212" s="399"/>
      <c r="AF212" s="395"/>
      <c r="AG212" s="396" t="str">
        <f t="shared" si="3"/>
        <v/>
      </c>
      <c r="AH212" s="396" t="str">
        <f t="shared" si="4"/>
        <v/>
      </c>
      <c r="AI212" s="388"/>
      <c r="AJ212" s="388"/>
      <c r="AK212" s="397"/>
    </row>
    <row r="213">
      <c r="A213" s="398"/>
      <c r="B213" s="386"/>
      <c r="C213" s="387" t="str">
        <f>IF(A213="","",IFERROR(IF(VLOOKUP(A213,'1. Inbound Leads'!A:G,7,FALSE)=0,"",VLOOKUP(A213,'1. Inbound Leads'!A:G,7,FALSE)),""))</f>
        <v/>
      </c>
      <c r="D213" s="387" t="str">
        <f>IF(A213="","",IFERROR(IF(VLOOKUP(A213,'1. Inbound Leads'!A:L,12,FALSE)=0,"",VLOOKUP(A213,'1. Inbound Leads'!A:L,12,FALSE)),""))</f>
        <v/>
      </c>
      <c r="E213" s="388"/>
      <c r="F213" s="389"/>
      <c r="G213" s="387"/>
      <c r="H213" s="387"/>
      <c r="I213" s="387"/>
      <c r="J213" s="387"/>
      <c r="K213" s="387"/>
      <c r="L213" s="387"/>
      <c r="M213" s="388"/>
      <c r="N213" s="388"/>
      <c r="O213" s="390"/>
      <c r="P213" s="391"/>
      <c r="Q213" s="389"/>
      <c r="R213" s="390"/>
      <c r="S213" s="390"/>
      <c r="T213" s="391"/>
      <c r="U213" s="392"/>
      <c r="V213" s="391"/>
      <c r="W213" s="391"/>
      <c r="X213" s="388"/>
      <c r="Y213" s="391"/>
      <c r="Z213" s="393"/>
      <c r="AA213" s="355" t="str">
        <f t="shared" si="1"/>
        <v/>
      </c>
      <c r="AB213" s="391"/>
      <c r="AC213" s="394" t="str">
        <f t="shared" si="2"/>
        <v/>
      </c>
      <c r="AD213" s="389"/>
      <c r="AE213" s="399"/>
      <c r="AF213" s="395"/>
      <c r="AG213" s="396" t="str">
        <f t="shared" si="3"/>
        <v/>
      </c>
      <c r="AH213" s="396" t="str">
        <f t="shared" si="4"/>
        <v/>
      </c>
      <c r="AI213" s="388"/>
      <c r="AJ213" s="388"/>
      <c r="AK213" s="397"/>
    </row>
    <row r="214">
      <c r="A214" s="398"/>
      <c r="B214" s="386"/>
      <c r="C214" s="387" t="str">
        <f>IF(A214="","",IFERROR(IF(VLOOKUP(A214,'1. Inbound Leads'!A:G,7,FALSE)=0,"",VLOOKUP(A214,'1. Inbound Leads'!A:G,7,FALSE)),""))</f>
        <v/>
      </c>
      <c r="D214" s="387" t="str">
        <f>IF(A214="","",IFERROR(IF(VLOOKUP(A214,'1. Inbound Leads'!A:L,12,FALSE)=0,"",VLOOKUP(A214,'1. Inbound Leads'!A:L,12,FALSE)),""))</f>
        <v/>
      </c>
      <c r="E214" s="388"/>
      <c r="F214" s="389"/>
      <c r="G214" s="387"/>
      <c r="H214" s="387"/>
      <c r="I214" s="387"/>
      <c r="J214" s="387"/>
      <c r="K214" s="387"/>
      <c r="L214" s="387"/>
      <c r="M214" s="388"/>
      <c r="N214" s="388"/>
      <c r="O214" s="390"/>
      <c r="P214" s="391"/>
      <c r="Q214" s="389"/>
      <c r="R214" s="390"/>
      <c r="S214" s="390"/>
      <c r="T214" s="391"/>
      <c r="U214" s="392"/>
      <c r="V214" s="391"/>
      <c r="W214" s="391"/>
      <c r="X214" s="388"/>
      <c r="Y214" s="391"/>
      <c r="Z214" s="393"/>
      <c r="AA214" s="355" t="str">
        <f t="shared" si="1"/>
        <v/>
      </c>
      <c r="AB214" s="391"/>
      <c r="AC214" s="394" t="str">
        <f t="shared" si="2"/>
        <v/>
      </c>
      <c r="AD214" s="389"/>
      <c r="AE214" s="399"/>
      <c r="AF214" s="395"/>
      <c r="AG214" s="396" t="str">
        <f t="shared" si="3"/>
        <v/>
      </c>
      <c r="AH214" s="396" t="str">
        <f t="shared" si="4"/>
        <v/>
      </c>
      <c r="AI214" s="388"/>
      <c r="AJ214" s="388"/>
      <c r="AK214" s="397"/>
    </row>
    <row r="215">
      <c r="A215" s="398"/>
      <c r="B215" s="386"/>
      <c r="C215" s="387" t="str">
        <f>IF(A215="","",IFERROR(IF(VLOOKUP(A215,'1. Inbound Leads'!A:G,7,FALSE)=0,"",VLOOKUP(A215,'1. Inbound Leads'!A:G,7,FALSE)),""))</f>
        <v/>
      </c>
      <c r="D215" s="387" t="str">
        <f>IF(A215="","",IFERROR(IF(VLOOKUP(A215,'1. Inbound Leads'!A:L,12,FALSE)=0,"",VLOOKUP(A215,'1. Inbound Leads'!A:L,12,FALSE)),""))</f>
        <v/>
      </c>
      <c r="E215" s="388"/>
      <c r="F215" s="389"/>
      <c r="G215" s="387"/>
      <c r="H215" s="387"/>
      <c r="I215" s="387"/>
      <c r="J215" s="387"/>
      <c r="K215" s="387"/>
      <c r="L215" s="387"/>
      <c r="M215" s="388"/>
      <c r="N215" s="388"/>
      <c r="O215" s="390"/>
      <c r="P215" s="391"/>
      <c r="Q215" s="389"/>
      <c r="R215" s="390"/>
      <c r="S215" s="390"/>
      <c r="T215" s="391"/>
      <c r="U215" s="392"/>
      <c r="V215" s="391"/>
      <c r="W215" s="391"/>
      <c r="X215" s="388"/>
      <c r="Y215" s="391"/>
      <c r="Z215" s="393"/>
      <c r="AA215" s="355" t="str">
        <f t="shared" si="1"/>
        <v/>
      </c>
      <c r="AB215" s="391"/>
      <c r="AC215" s="394" t="str">
        <f t="shared" si="2"/>
        <v/>
      </c>
      <c r="AD215" s="389"/>
      <c r="AE215" s="399"/>
      <c r="AF215" s="395"/>
      <c r="AG215" s="396" t="str">
        <f t="shared" si="3"/>
        <v/>
      </c>
      <c r="AH215" s="396" t="str">
        <f t="shared" si="4"/>
        <v/>
      </c>
      <c r="AI215" s="388"/>
      <c r="AJ215" s="388"/>
      <c r="AK215" s="397"/>
    </row>
    <row r="216">
      <c r="A216" s="398"/>
      <c r="B216" s="386"/>
      <c r="C216" s="387" t="str">
        <f>IF(A216="","",IFERROR(IF(VLOOKUP(A216,'1. Inbound Leads'!A:G,7,FALSE)=0,"",VLOOKUP(A216,'1. Inbound Leads'!A:G,7,FALSE)),""))</f>
        <v/>
      </c>
      <c r="D216" s="387" t="str">
        <f>IF(A216="","",IFERROR(IF(VLOOKUP(A216,'1. Inbound Leads'!A:L,12,FALSE)=0,"",VLOOKUP(A216,'1. Inbound Leads'!A:L,12,FALSE)),""))</f>
        <v/>
      </c>
      <c r="E216" s="388"/>
      <c r="F216" s="389"/>
      <c r="G216" s="387"/>
      <c r="H216" s="387"/>
      <c r="I216" s="387"/>
      <c r="J216" s="387"/>
      <c r="K216" s="387"/>
      <c r="L216" s="387"/>
      <c r="M216" s="388"/>
      <c r="N216" s="388"/>
      <c r="O216" s="390"/>
      <c r="P216" s="391"/>
      <c r="Q216" s="389"/>
      <c r="R216" s="390"/>
      <c r="S216" s="390"/>
      <c r="T216" s="391"/>
      <c r="U216" s="392"/>
      <c r="V216" s="391"/>
      <c r="W216" s="391"/>
      <c r="X216" s="388"/>
      <c r="Y216" s="391"/>
      <c r="Z216" s="393"/>
      <c r="AA216" s="355" t="str">
        <f t="shared" si="1"/>
        <v/>
      </c>
      <c r="AB216" s="391"/>
      <c r="AC216" s="394" t="str">
        <f t="shared" si="2"/>
        <v/>
      </c>
      <c r="AD216" s="389"/>
      <c r="AE216" s="399"/>
      <c r="AF216" s="395"/>
      <c r="AG216" s="396" t="str">
        <f t="shared" si="3"/>
        <v/>
      </c>
      <c r="AH216" s="396" t="str">
        <f t="shared" si="4"/>
        <v/>
      </c>
      <c r="AI216" s="388"/>
      <c r="AJ216" s="388"/>
      <c r="AK216" s="397"/>
    </row>
    <row r="217">
      <c r="A217" s="398"/>
      <c r="B217" s="386"/>
      <c r="C217" s="387" t="str">
        <f>IF(A217="","",IFERROR(IF(VLOOKUP(A217,'1. Inbound Leads'!A:G,7,FALSE)=0,"",VLOOKUP(A217,'1. Inbound Leads'!A:G,7,FALSE)),""))</f>
        <v/>
      </c>
      <c r="D217" s="387" t="str">
        <f>IF(A217="","",IFERROR(IF(VLOOKUP(A217,'1. Inbound Leads'!A:L,12,FALSE)=0,"",VLOOKUP(A217,'1. Inbound Leads'!A:L,12,FALSE)),""))</f>
        <v/>
      </c>
      <c r="E217" s="388"/>
      <c r="F217" s="389"/>
      <c r="G217" s="387"/>
      <c r="H217" s="387"/>
      <c r="I217" s="387"/>
      <c r="J217" s="387"/>
      <c r="K217" s="387"/>
      <c r="L217" s="387"/>
      <c r="M217" s="388"/>
      <c r="N217" s="388"/>
      <c r="O217" s="390"/>
      <c r="P217" s="391"/>
      <c r="Q217" s="389"/>
      <c r="R217" s="390"/>
      <c r="S217" s="390"/>
      <c r="T217" s="391"/>
      <c r="U217" s="392"/>
      <c r="V217" s="391"/>
      <c r="W217" s="391"/>
      <c r="X217" s="388"/>
      <c r="Y217" s="391"/>
      <c r="Z217" s="393"/>
      <c r="AA217" s="355" t="str">
        <f t="shared" si="1"/>
        <v/>
      </c>
      <c r="AB217" s="391"/>
      <c r="AC217" s="394" t="str">
        <f t="shared" si="2"/>
        <v/>
      </c>
      <c r="AD217" s="389"/>
      <c r="AE217" s="399"/>
      <c r="AF217" s="395"/>
      <c r="AG217" s="396" t="str">
        <f t="shared" si="3"/>
        <v/>
      </c>
      <c r="AH217" s="396" t="str">
        <f t="shared" si="4"/>
        <v/>
      </c>
      <c r="AI217" s="388"/>
      <c r="AJ217" s="388"/>
      <c r="AK217" s="397"/>
    </row>
    <row r="218">
      <c r="A218" s="398"/>
      <c r="B218" s="386"/>
      <c r="C218" s="387" t="str">
        <f>IF(A218="","",IFERROR(IF(VLOOKUP(A218,'1. Inbound Leads'!A:G,7,FALSE)=0,"",VLOOKUP(A218,'1. Inbound Leads'!A:G,7,FALSE)),""))</f>
        <v/>
      </c>
      <c r="D218" s="387" t="str">
        <f>IF(A218="","",IFERROR(IF(VLOOKUP(A218,'1. Inbound Leads'!A:L,12,FALSE)=0,"",VLOOKUP(A218,'1. Inbound Leads'!A:L,12,FALSE)),""))</f>
        <v/>
      </c>
      <c r="E218" s="388"/>
      <c r="F218" s="389"/>
      <c r="G218" s="387"/>
      <c r="H218" s="387"/>
      <c r="I218" s="387"/>
      <c r="J218" s="387"/>
      <c r="K218" s="387"/>
      <c r="L218" s="387"/>
      <c r="M218" s="388"/>
      <c r="N218" s="388"/>
      <c r="O218" s="390"/>
      <c r="P218" s="391"/>
      <c r="Q218" s="389"/>
      <c r="R218" s="390"/>
      <c r="S218" s="390"/>
      <c r="T218" s="391"/>
      <c r="U218" s="392"/>
      <c r="V218" s="391"/>
      <c r="W218" s="391"/>
      <c r="X218" s="388"/>
      <c r="Y218" s="391"/>
      <c r="Z218" s="393"/>
      <c r="AA218" s="355" t="str">
        <f t="shared" si="1"/>
        <v/>
      </c>
      <c r="AB218" s="391"/>
      <c r="AC218" s="394" t="str">
        <f t="shared" si="2"/>
        <v/>
      </c>
      <c r="AD218" s="389"/>
      <c r="AE218" s="399"/>
      <c r="AF218" s="395"/>
      <c r="AG218" s="396" t="str">
        <f t="shared" si="3"/>
        <v/>
      </c>
      <c r="AH218" s="396" t="str">
        <f t="shared" si="4"/>
        <v/>
      </c>
      <c r="AI218" s="388"/>
      <c r="AJ218" s="388"/>
      <c r="AK218" s="397"/>
    </row>
    <row r="219">
      <c r="A219" s="398"/>
      <c r="B219" s="386"/>
      <c r="C219" s="387" t="str">
        <f>IF(A219="","",IFERROR(IF(VLOOKUP(A219,'1. Inbound Leads'!A:G,7,FALSE)=0,"",VLOOKUP(A219,'1. Inbound Leads'!A:G,7,FALSE)),""))</f>
        <v/>
      </c>
      <c r="D219" s="387" t="str">
        <f>IF(A219="","",IFERROR(IF(VLOOKUP(A219,'1. Inbound Leads'!A:L,12,FALSE)=0,"",VLOOKUP(A219,'1. Inbound Leads'!A:L,12,FALSE)),""))</f>
        <v/>
      </c>
      <c r="E219" s="388"/>
      <c r="F219" s="389"/>
      <c r="G219" s="387"/>
      <c r="H219" s="387"/>
      <c r="I219" s="387"/>
      <c r="J219" s="387"/>
      <c r="K219" s="387"/>
      <c r="L219" s="387"/>
      <c r="M219" s="388"/>
      <c r="N219" s="388"/>
      <c r="O219" s="390"/>
      <c r="P219" s="391"/>
      <c r="Q219" s="389"/>
      <c r="R219" s="390"/>
      <c r="S219" s="390"/>
      <c r="T219" s="391"/>
      <c r="U219" s="392"/>
      <c r="V219" s="391"/>
      <c r="W219" s="391"/>
      <c r="X219" s="388"/>
      <c r="Y219" s="391"/>
      <c r="Z219" s="393"/>
      <c r="AA219" s="355" t="str">
        <f t="shared" si="1"/>
        <v/>
      </c>
      <c r="AB219" s="391"/>
      <c r="AC219" s="394" t="str">
        <f t="shared" si="2"/>
        <v/>
      </c>
      <c r="AD219" s="389"/>
      <c r="AE219" s="399"/>
      <c r="AF219" s="395"/>
      <c r="AG219" s="396" t="str">
        <f t="shared" si="3"/>
        <v/>
      </c>
      <c r="AH219" s="396" t="str">
        <f t="shared" si="4"/>
        <v/>
      </c>
      <c r="AI219" s="388"/>
      <c r="AJ219" s="388"/>
      <c r="AK219" s="397"/>
    </row>
    <row r="220">
      <c r="A220" s="398"/>
      <c r="B220" s="386"/>
      <c r="C220" s="387" t="str">
        <f>IF(A220="","",IFERROR(IF(VLOOKUP(A220,'1. Inbound Leads'!A:G,7,FALSE)=0,"",VLOOKUP(A220,'1. Inbound Leads'!A:G,7,FALSE)),""))</f>
        <v/>
      </c>
      <c r="D220" s="387" t="str">
        <f>IF(A220="","",IFERROR(IF(VLOOKUP(A220,'1. Inbound Leads'!A:L,12,FALSE)=0,"",VLOOKUP(A220,'1. Inbound Leads'!A:L,12,FALSE)),""))</f>
        <v/>
      </c>
      <c r="E220" s="388"/>
      <c r="F220" s="389"/>
      <c r="G220" s="387"/>
      <c r="H220" s="387"/>
      <c r="I220" s="387"/>
      <c r="J220" s="387"/>
      <c r="K220" s="387"/>
      <c r="L220" s="387"/>
      <c r="M220" s="388"/>
      <c r="N220" s="388"/>
      <c r="O220" s="390"/>
      <c r="P220" s="391"/>
      <c r="Q220" s="389"/>
      <c r="R220" s="390"/>
      <c r="S220" s="390"/>
      <c r="T220" s="391"/>
      <c r="U220" s="392"/>
      <c r="V220" s="391"/>
      <c r="W220" s="391"/>
      <c r="X220" s="388"/>
      <c r="Y220" s="391"/>
      <c r="Z220" s="393"/>
      <c r="AA220" s="355" t="str">
        <f t="shared" si="1"/>
        <v/>
      </c>
      <c r="AB220" s="391"/>
      <c r="AC220" s="394" t="str">
        <f t="shared" si="2"/>
        <v/>
      </c>
      <c r="AD220" s="389"/>
      <c r="AE220" s="399"/>
      <c r="AF220" s="395"/>
      <c r="AG220" s="396" t="str">
        <f t="shared" si="3"/>
        <v/>
      </c>
      <c r="AH220" s="396" t="str">
        <f t="shared" si="4"/>
        <v/>
      </c>
      <c r="AI220" s="388"/>
      <c r="AJ220" s="388"/>
      <c r="AK220" s="397"/>
    </row>
    <row r="221">
      <c r="A221" s="398"/>
      <c r="B221" s="386"/>
      <c r="C221" s="387" t="str">
        <f>IF(A221="","",IFERROR(IF(VLOOKUP(A221,'1. Inbound Leads'!A:G,7,FALSE)=0,"",VLOOKUP(A221,'1. Inbound Leads'!A:G,7,FALSE)),""))</f>
        <v/>
      </c>
      <c r="D221" s="387" t="str">
        <f>IF(A221="","",IFERROR(IF(VLOOKUP(A221,'1. Inbound Leads'!A:L,12,FALSE)=0,"",VLOOKUP(A221,'1. Inbound Leads'!A:L,12,FALSE)),""))</f>
        <v/>
      </c>
      <c r="E221" s="388"/>
      <c r="F221" s="389"/>
      <c r="G221" s="387"/>
      <c r="H221" s="387"/>
      <c r="I221" s="387"/>
      <c r="J221" s="387"/>
      <c r="K221" s="387"/>
      <c r="L221" s="387"/>
      <c r="M221" s="388"/>
      <c r="N221" s="388"/>
      <c r="O221" s="390"/>
      <c r="P221" s="391"/>
      <c r="Q221" s="389"/>
      <c r="R221" s="390"/>
      <c r="S221" s="390"/>
      <c r="T221" s="391"/>
      <c r="U221" s="392"/>
      <c r="V221" s="391"/>
      <c r="W221" s="391"/>
      <c r="X221" s="388"/>
      <c r="Y221" s="391"/>
      <c r="Z221" s="393"/>
      <c r="AA221" s="355" t="str">
        <f t="shared" si="1"/>
        <v/>
      </c>
      <c r="AB221" s="391"/>
      <c r="AC221" s="394" t="str">
        <f t="shared" si="2"/>
        <v/>
      </c>
      <c r="AD221" s="389"/>
      <c r="AE221" s="399"/>
      <c r="AF221" s="395"/>
      <c r="AG221" s="396" t="str">
        <f t="shared" si="3"/>
        <v/>
      </c>
      <c r="AH221" s="396" t="str">
        <f t="shared" si="4"/>
        <v/>
      </c>
      <c r="AI221" s="388"/>
      <c r="AJ221" s="388"/>
      <c r="AK221" s="397"/>
    </row>
    <row r="222">
      <c r="A222" s="398"/>
      <c r="B222" s="386"/>
      <c r="C222" s="387" t="str">
        <f>IF(A222="","",IFERROR(IF(VLOOKUP(A222,'1. Inbound Leads'!A:G,7,FALSE)=0,"",VLOOKUP(A222,'1. Inbound Leads'!A:G,7,FALSE)),""))</f>
        <v/>
      </c>
      <c r="D222" s="387" t="str">
        <f>IF(A222="","",IFERROR(IF(VLOOKUP(A222,'1. Inbound Leads'!A:L,12,FALSE)=0,"",VLOOKUP(A222,'1. Inbound Leads'!A:L,12,FALSE)),""))</f>
        <v/>
      </c>
      <c r="E222" s="388"/>
      <c r="F222" s="389"/>
      <c r="G222" s="387"/>
      <c r="H222" s="387"/>
      <c r="I222" s="387"/>
      <c r="J222" s="387"/>
      <c r="K222" s="387"/>
      <c r="L222" s="387"/>
      <c r="M222" s="388"/>
      <c r="N222" s="388"/>
      <c r="O222" s="390"/>
      <c r="P222" s="391"/>
      <c r="Q222" s="389"/>
      <c r="R222" s="390"/>
      <c r="S222" s="390"/>
      <c r="T222" s="391"/>
      <c r="U222" s="392"/>
      <c r="V222" s="391"/>
      <c r="W222" s="391"/>
      <c r="X222" s="388"/>
      <c r="Y222" s="391"/>
      <c r="Z222" s="393"/>
      <c r="AA222" s="355" t="str">
        <f t="shared" si="1"/>
        <v/>
      </c>
      <c r="AB222" s="391"/>
      <c r="AC222" s="394" t="str">
        <f t="shared" si="2"/>
        <v/>
      </c>
      <c r="AD222" s="389"/>
      <c r="AE222" s="399"/>
      <c r="AF222" s="395"/>
      <c r="AG222" s="396" t="str">
        <f t="shared" si="3"/>
        <v/>
      </c>
      <c r="AH222" s="396" t="str">
        <f t="shared" si="4"/>
        <v/>
      </c>
      <c r="AI222" s="388"/>
      <c r="AJ222" s="388"/>
      <c r="AK222" s="397"/>
    </row>
    <row r="223">
      <c r="A223" s="398"/>
      <c r="B223" s="386"/>
      <c r="C223" s="387" t="str">
        <f>IF(A223="","",IFERROR(IF(VLOOKUP(A223,'1. Inbound Leads'!A:G,7,FALSE)=0,"",VLOOKUP(A223,'1. Inbound Leads'!A:G,7,FALSE)),""))</f>
        <v/>
      </c>
      <c r="D223" s="387" t="str">
        <f>IF(A223="","",IFERROR(IF(VLOOKUP(A223,'1. Inbound Leads'!A:L,12,FALSE)=0,"",VLOOKUP(A223,'1. Inbound Leads'!A:L,12,FALSE)),""))</f>
        <v/>
      </c>
      <c r="E223" s="388"/>
      <c r="F223" s="389"/>
      <c r="G223" s="387"/>
      <c r="H223" s="387"/>
      <c r="I223" s="387"/>
      <c r="J223" s="387"/>
      <c r="K223" s="387"/>
      <c r="L223" s="387"/>
      <c r="M223" s="388"/>
      <c r="N223" s="388"/>
      <c r="O223" s="390"/>
      <c r="P223" s="391"/>
      <c r="Q223" s="389"/>
      <c r="R223" s="390"/>
      <c r="S223" s="390"/>
      <c r="T223" s="391"/>
      <c r="U223" s="392"/>
      <c r="V223" s="391"/>
      <c r="W223" s="391"/>
      <c r="X223" s="388"/>
      <c r="Y223" s="391"/>
      <c r="Z223" s="393"/>
      <c r="AA223" s="355" t="str">
        <f t="shared" si="1"/>
        <v/>
      </c>
      <c r="AB223" s="391"/>
      <c r="AC223" s="394" t="str">
        <f t="shared" si="2"/>
        <v/>
      </c>
      <c r="AD223" s="389"/>
      <c r="AE223" s="399"/>
      <c r="AF223" s="395"/>
      <c r="AG223" s="396" t="str">
        <f t="shared" si="3"/>
        <v/>
      </c>
      <c r="AH223" s="396" t="str">
        <f t="shared" si="4"/>
        <v/>
      </c>
      <c r="AI223" s="388"/>
      <c r="AJ223" s="388"/>
      <c r="AK223" s="397"/>
    </row>
    <row r="224">
      <c r="A224" s="398"/>
      <c r="B224" s="386"/>
      <c r="C224" s="387" t="str">
        <f>IF(A224="","",IFERROR(IF(VLOOKUP(A224,'1. Inbound Leads'!A:G,7,FALSE)=0,"",VLOOKUP(A224,'1. Inbound Leads'!A:G,7,FALSE)),""))</f>
        <v/>
      </c>
      <c r="D224" s="387" t="str">
        <f>IF(A224="","",IFERROR(IF(VLOOKUP(A224,'1. Inbound Leads'!A:L,12,FALSE)=0,"",VLOOKUP(A224,'1. Inbound Leads'!A:L,12,FALSE)),""))</f>
        <v/>
      </c>
      <c r="E224" s="388"/>
      <c r="F224" s="389"/>
      <c r="G224" s="387"/>
      <c r="H224" s="387"/>
      <c r="I224" s="387"/>
      <c r="J224" s="387"/>
      <c r="K224" s="387"/>
      <c r="L224" s="387"/>
      <c r="M224" s="388"/>
      <c r="N224" s="388"/>
      <c r="O224" s="390"/>
      <c r="P224" s="391"/>
      <c r="Q224" s="389"/>
      <c r="R224" s="390"/>
      <c r="S224" s="390"/>
      <c r="T224" s="391"/>
      <c r="U224" s="392"/>
      <c r="V224" s="391"/>
      <c r="W224" s="391"/>
      <c r="X224" s="388"/>
      <c r="Y224" s="391"/>
      <c r="Z224" s="393"/>
      <c r="AA224" s="355" t="str">
        <f t="shared" si="1"/>
        <v/>
      </c>
      <c r="AB224" s="391"/>
      <c r="AC224" s="394" t="str">
        <f t="shared" si="2"/>
        <v/>
      </c>
      <c r="AD224" s="389"/>
      <c r="AE224" s="399"/>
      <c r="AF224" s="395"/>
      <c r="AG224" s="396" t="str">
        <f t="shared" si="3"/>
        <v/>
      </c>
      <c r="AH224" s="396" t="str">
        <f t="shared" si="4"/>
        <v/>
      </c>
      <c r="AI224" s="388"/>
      <c r="AJ224" s="388"/>
      <c r="AK224" s="397"/>
    </row>
    <row r="225">
      <c r="A225" s="398"/>
      <c r="B225" s="386"/>
      <c r="C225" s="387" t="str">
        <f>IF(A225="","",IFERROR(IF(VLOOKUP(A225,'1. Inbound Leads'!A:G,7,FALSE)=0,"",VLOOKUP(A225,'1. Inbound Leads'!A:G,7,FALSE)),""))</f>
        <v/>
      </c>
      <c r="D225" s="387" t="str">
        <f>IF(A225="","",IFERROR(IF(VLOOKUP(A225,'1. Inbound Leads'!A:L,12,FALSE)=0,"",VLOOKUP(A225,'1. Inbound Leads'!A:L,12,FALSE)),""))</f>
        <v/>
      </c>
      <c r="E225" s="388"/>
      <c r="F225" s="389"/>
      <c r="G225" s="387"/>
      <c r="H225" s="387"/>
      <c r="I225" s="387"/>
      <c r="J225" s="387"/>
      <c r="K225" s="387"/>
      <c r="L225" s="387"/>
      <c r="M225" s="388"/>
      <c r="N225" s="388"/>
      <c r="O225" s="390"/>
      <c r="P225" s="391"/>
      <c r="Q225" s="389"/>
      <c r="R225" s="390"/>
      <c r="S225" s="390"/>
      <c r="T225" s="391"/>
      <c r="U225" s="392"/>
      <c r="V225" s="391"/>
      <c r="W225" s="391"/>
      <c r="X225" s="388"/>
      <c r="Y225" s="391"/>
      <c r="Z225" s="393"/>
      <c r="AA225" s="355" t="str">
        <f t="shared" si="1"/>
        <v/>
      </c>
      <c r="AB225" s="391"/>
      <c r="AC225" s="394" t="str">
        <f t="shared" si="2"/>
        <v/>
      </c>
      <c r="AD225" s="389"/>
      <c r="AE225" s="399"/>
      <c r="AF225" s="395"/>
      <c r="AG225" s="396" t="str">
        <f t="shared" si="3"/>
        <v/>
      </c>
      <c r="AH225" s="396" t="str">
        <f t="shared" si="4"/>
        <v/>
      </c>
      <c r="AI225" s="388"/>
      <c r="AJ225" s="388"/>
      <c r="AK225" s="397"/>
    </row>
    <row r="226">
      <c r="A226" s="398"/>
      <c r="B226" s="386"/>
      <c r="C226" s="387" t="str">
        <f>IF(A226="","",IFERROR(IF(VLOOKUP(A226,'1. Inbound Leads'!A:G,7,FALSE)=0,"",VLOOKUP(A226,'1. Inbound Leads'!A:G,7,FALSE)),""))</f>
        <v/>
      </c>
      <c r="D226" s="387" t="str">
        <f>IF(A226="","",IFERROR(IF(VLOOKUP(A226,'1. Inbound Leads'!A:L,12,FALSE)=0,"",VLOOKUP(A226,'1. Inbound Leads'!A:L,12,FALSE)),""))</f>
        <v/>
      </c>
      <c r="E226" s="388"/>
      <c r="F226" s="389"/>
      <c r="G226" s="387"/>
      <c r="H226" s="387"/>
      <c r="I226" s="387"/>
      <c r="J226" s="387"/>
      <c r="K226" s="387"/>
      <c r="L226" s="387"/>
      <c r="M226" s="388"/>
      <c r="N226" s="388"/>
      <c r="O226" s="390"/>
      <c r="P226" s="391"/>
      <c r="Q226" s="389"/>
      <c r="R226" s="390"/>
      <c r="S226" s="390"/>
      <c r="T226" s="391"/>
      <c r="U226" s="392"/>
      <c r="V226" s="391"/>
      <c r="W226" s="391"/>
      <c r="X226" s="388"/>
      <c r="Y226" s="391"/>
      <c r="Z226" s="393"/>
      <c r="AA226" s="355" t="str">
        <f t="shared" si="1"/>
        <v/>
      </c>
      <c r="AB226" s="391"/>
      <c r="AC226" s="394" t="str">
        <f t="shared" si="2"/>
        <v/>
      </c>
      <c r="AD226" s="389"/>
      <c r="AE226" s="399"/>
      <c r="AF226" s="395"/>
      <c r="AG226" s="396" t="str">
        <f t="shared" si="3"/>
        <v/>
      </c>
      <c r="AH226" s="396" t="str">
        <f t="shared" si="4"/>
        <v/>
      </c>
      <c r="AI226" s="388"/>
      <c r="AJ226" s="388"/>
      <c r="AK226" s="397"/>
    </row>
    <row r="227">
      <c r="A227" s="398"/>
      <c r="B227" s="386"/>
      <c r="C227" s="387" t="str">
        <f>IF(A227="","",IFERROR(IF(VLOOKUP(A227,'1. Inbound Leads'!A:G,7,FALSE)=0,"",VLOOKUP(A227,'1. Inbound Leads'!A:G,7,FALSE)),""))</f>
        <v/>
      </c>
      <c r="D227" s="387" t="str">
        <f>IF(A227="","",IFERROR(IF(VLOOKUP(A227,'1. Inbound Leads'!A:L,12,FALSE)=0,"",VLOOKUP(A227,'1. Inbound Leads'!A:L,12,FALSE)),""))</f>
        <v/>
      </c>
      <c r="E227" s="388"/>
      <c r="F227" s="389"/>
      <c r="G227" s="387"/>
      <c r="H227" s="387"/>
      <c r="I227" s="387"/>
      <c r="J227" s="387"/>
      <c r="K227" s="387"/>
      <c r="L227" s="387"/>
      <c r="M227" s="388"/>
      <c r="N227" s="388"/>
      <c r="O227" s="390"/>
      <c r="P227" s="391"/>
      <c r="Q227" s="389"/>
      <c r="R227" s="390"/>
      <c r="S227" s="390"/>
      <c r="T227" s="391"/>
      <c r="U227" s="392"/>
      <c r="V227" s="391"/>
      <c r="W227" s="391"/>
      <c r="X227" s="388"/>
      <c r="Y227" s="391"/>
      <c r="Z227" s="393"/>
      <c r="AA227" s="355" t="str">
        <f t="shared" si="1"/>
        <v/>
      </c>
      <c r="AB227" s="391"/>
      <c r="AC227" s="394" t="str">
        <f t="shared" si="2"/>
        <v/>
      </c>
      <c r="AD227" s="389"/>
      <c r="AE227" s="399"/>
      <c r="AF227" s="395"/>
      <c r="AG227" s="396" t="str">
        <f t="shared" si="3"/>
        <v/>
      </c>
      <c r="AH227" s="396" t="str">
        <f t="shared" si="4"/>
        <v/>
      </c>
      <c r="AI227" s="388"/>
      <c r="AJ227" s="388"/>
      <c r="AK227" s="397"/>
    </row>
    <row r="228">
      <c r="A228" s="398"/>
      <c r="B228" s="386"/>
      <c r="C228" s="387" t="str">
        <f>IF(A228="","",IFERROR(IF(VLOOKUP(A228,'1. Inbound Leads'!A:G,7,FALSE)=0,"",VLOOKUP(A228,'1. Inbound Leads'!A:G,7,FALSE)),""))</f>
        <v/>
      </c>
      <c r="D228" s="387" t="str">
        <f>IF(A228="","",IFERROR(IF(VLOOKUP(A228,'1. Inbound Leads'!A:L,12,FALSE)=0,"",VLOOKUP(A228,'1. Inbound Leads'!A:L,12,FALSE)),""))</f>
        <v/>
      </c>
      <c r="E228" s="388"/>
      <c r="F228" s="389"/>
      <c r="G228" s="387"/>
      <c r="H228" s="387"/>
      <c r="I228" s="387"/>
      <c r="J228" s="387"/>
      <c r="K228" s="387"/>
      <c r="L228" s="387"/>
      <c r="M228" s="388"/>
      <c r="N228" s="388"/>
      <c r="O228" s="390"/>
      <c r="P228" s="391"/>
      <c r="Q228" s="389"/>
      <c r="R228" s="390"/>
      <c r="S228" s="390"/>
      <c r="T228" s="391"/>
      <c r="U228" s="392"/>
      <c r="V228" s="391"/>
      <c r="W228" s="391"/>
      <c r="X228" s="388"/>
      <c r="Y228" s="391"/>
      <c r="Z228" s="393"/>
      <c r="AA228" s="355" t="str">
        <f t="shared" si="1"/>
        <v/>
      </c>
      <c r="AB228" s="391"/>
      <c r="AC228" s="394" t="str">
        <f t="shared" si="2"/>
        <v/>
      </c>
      <c r="AD228" s="389"/>
      <c r="AE228" s="399"/>
      <c r="AF228" s="395"/>
      <c r="AG228" s="396" t="str">
        <f t="shared" si="3"/>
        <v/>
      </c>
      <c r="AH228" s="396" t="str">
        <f t="shared" si="4"/>
        <v/>
      </c>
      <c r="AI228" s="388"/>
      <c r="AJ228" s="388"/>
      <c r="AK228" s="397"/>
    </row>
    <row r="229">
      <c r="A229" s="398"/>
      <c r="B229" s="386"/>
      <c r="C229" s="387" t="str">
        <f>IF(A229="","",IFERROR(IF(VLOOKUP(A229,'1. Inbound Leads'!A:G,7,FALSE)=0,"",VLOOKUP(A229,'1. Inbound Leads'!A:G,7,FALSE)),""))</f>
        <v/>
      </c>
      <c r="D229" s="387" t="str">
        <f>IF(A229="","",IFERROR(IF(VLOOKUP(A229,'1. Inbound Leads'!A:L,12,FALSE)=0,"",VLOOKUP(A229,'1. Inbound Leads'!A:L,12,FALSE)),""))</f>
        <v/>
      </c>
      <c r="E229" s="388"/>
      <c r="F229" s="389"/>
      <c r="G229" s="387"/>
      <c r="H229" s="387"/>
      <c r="I229" s="387"/>
      <c r="J229" s="387"/>
      <c r="K229" s="387"/>
      <c r="L229" s="387"/>
      <c r="M229" s="388"/>
      <c r="N229" s="388"/>
      <c r="O229" s="390"/>
      <c r="P229" s="391"/>
      <c r="Q229" s="389"/>
      <c r="R229" s="390"/>
      <c r="S229" s="390"/>
      <c r="T229" s="391"/>
      <c r="U229" s="392"/>
      <c r="V229" s="391"/>
      <c r="W229" s="391"/>
      <c r="X229" s="388"/>
      <c r="Y229" s="391"/>
      <c r="Z229" s="393"/>
      <c r="AA229" s="355" t="str">
        <f t="shared" si="1"/>
        <v/>
      </c>
      <c r="AB229" s="391"/>
      <c r="AC229" s="394" t="str">
        <f t="shared" si="2"/>
        <v/>
      </c>
      <c r="AD229" s="389"/>
      <c r="AE229" s="399"/>
      <c r="AF229" s="395"/>
      <c r="AG229" s="396" t="str">
        <f t="shared" si="3"/>
        <v/>
      </c>
      <c r="AH229" s="396" t="str">
        <f t="shared" si="4"/>
        <v/>
      </c>
      <c r="AI229" s="388"/>
      <c r="AJ229" s="388"/>
      <c r="AK229" s="397"/>
    </row>
    <row r="230">
      <c r="A230" s="398"/>
      <c r="B230" s="386"/>
      <c r="C230" s="387" t="str">
        <f>IF(A230="","",IFERROR(IF(VLOOKUP(A230,'1. Inbound Leads'!A:G,7,FALSE)=0,"",VLOOKUP(A230,'1. Inbound Leads'!A:G,7,FALSE)),""))</f>
        <v/>
      </c>
      <c r="D230" s="387" t="str">
        <f>IF(A230="","",IFERROR(IF(VLOOKUP(A230,'1. Inbound Leads'!A:L,12,FALSE)=0,"",VLOOKUP(A230,'1. Inbound Leads'!A:L,12,FALSE)),""))</f>
        <v/>
      </c>
      <c r="E230" s="388"/>
      <c r="F230" s="389"/>
      <c r="G230" s="387"/>
      <c r="H230" s="387"/>
      <c r="I230" s="387"/>
      <c r="J230" s="387"/>
      <c r="K230" s="387"/>
      <c r="L230" s="387"/>
      <c r="M230" s="388"/>
      <c r="N230" s="388"/>
      <c r="O230" s="390"/>
      <c r="P230" s="391"/>
      <c r="Q230" s="389"/>
      <c r="R230" s="390"/>
      <c r="S230" s="390"/>
      <c r="T230" s="391"/>
      <c r="U230" s="392"/>
      <c r="V230" s="391"/>
      <c r="W230" s="391"/>
      <c r="X230" s="388"/>
      <c r="Y230" s="391"/>
      <c r="Z230" s="393"/>
      <c r="AA230" s="355" t="str">
        <f t="shared" si="1"/>
        <v/>
      </c>
      <c r="AB230" s="391"/>
      <c r="AC230" s="394" t="str">
        <f t="shared" si="2"/>
        <v/>
      </c>
      <c r="AD230" s="389"/>
      <c r="AE230" s="399"/>
      <c r="AF230" s="395"/>
      <c r="AG230" s="396" t="str">
        <f t="shared" si="3"/>
        <v/>
      </c>
      <c r="AH230" s="396" t="str">
        <f t="shared" si="4"/>
        <v/>
      </c>
      <c r="AI230" s="388"/>
      <c r="AJ230" s="388"/>
      <c r="AK230" s="397"/>
    </row>
    <row r="231">
      <c r="A231" s="398"/>
      <c r="B231" s="386"/>
      <c r="C231" s="387" t="str">
        <f>IF(A231="","",IFERROR(IF(VLOOKUP(A231,'1. Inbound Leads'!A:G,7,FALSE)=0,"",VLOOKUP(A231,'1. Inbound Leads'!A:G,7,FALSE)),""))</f>
        <v/>
      </c>
      <c r="D231" s="387" t="str">
        <f>IF(A231="","",IFERROR(IF(VLOOKUP(A231,'1. Inbound Leads'!A:L,12,FALSE)=0,"",VLOOKUP(A231,'1. Inbound Leads'!A:L,12,FALSE)),""))</f>
        <v/>
      </c>
      <c r="E231" s="388"/>
      <c r="F231" s="389"/>
      <c r="G231" s="387"/>
      <c r="H231" s="387"/>
      <c r="I231" s="387"/>
      <c r="J231" s="387"/>
      <c r="K231" s="387"/>
      <c r="L231" s="387"/>
      <c r="M231" s="388"/>
      <c r="N231" s="388"/>
      <c r="O231" s="390"/>
      <c r="P231" s="391"/>
      <c r="Q231" s="389"/>
      <c r="R231" s="390"/>
      <c r="S231" s="390"/>
      <c r="T231" s="391"/>
      <c r="U231" s="392"/>
      <c r="V231" s="391"/>
      <c r="W231" s="391"/>
      <c r="X231" s="388"/>
      <c r="Y231" s="391"/>
      <c r="Z231" s="393"/>
      <c r="AA231" s="355" t="str">
        <f t="shared" si="1"/>
        <v/>
      </c>
      <c r="AB231" s="391"/>
      <c r="AC231" s="394" t="str">
        <f t="shared" si="2"/>
        <v/>
      </c>
      <c r="AD231" s="389"/>
      <c r="AE231" s="399"/>
      <c r="AF231" s="395"/>
      <c r="AG231" s="396" t="str">
        <f t="shared" si="3"/>
        <v/>
      </c>
      <c r="AH231" s="396" t="str">
        <f t="shared" si="4"/>
        <v/>
      </c>
      <c r="AI231" s="388"/>
      <c r="AJ231" s="388"/>
      <c r="AK231" s="397"/>
    </row>
    <row r="232">
      <c r="A232" s="398"/>
      <c r="B232" s="386"/>
      <c r="C232" s="387" t="str">
        <f>IF(A232="","",IFERROR(IF(VLOOKUP(A232,'1. Inbound Leads'!A:G,7,FALSE)=0,"",VLOOKUP(A232,'1. Inbound Leads'!A:G,7,FALSE)),""))</f>
        <v/>
      </c>
      <c r="D232" s="387" t="str">
        <f>IF(A232="","",IFERROR(IF(VLOOKUP(A232,'1. Inbound Leads'!A:L,12,FALSE)=0,"",VLOOKUP(A232,'1. Inbound Leads'!A:L,12,FALSE)),""))</f>
        <v/>
      </c>
      <c r="E232" s="388"/>
      <c r="F232" s="389"/>
      <c r="G232" s="387"/>
      <c r="H232" s="387"/>
      <c r="I232" s="387"/>
      <c r="J232" s="387"/>
      <c r="K232" s="387"/>
      <c r="L232" s="387"/>
      <c r="M232" s="388"/>
      <c r="N232" s="388"/>
      <c r="O232" s="390"/>
      <c r="P232" s="391"/>
      <c r="Q232" s="389"/>
      <c r="R232" s="390"/>
      <c r="S232" s="390"/>
      <c r="T232" s="391"/>
      <c r="U232" s="392"/>
      <c r="V232" s="391"/>
      <c r="W232" s="391"/>
      <c r="X232" s="388"/>
      <c r="Y232" s="391"/>
      <c r="Z232" s="393"/>
      <c r="AA232" s="355" t="str">
        <f t="shared" si="1"/>
        <v/>
      </c>
      <c r="AB232" s="391"/>
      <c r="AC232" s="394" t="str">
        <f t="shared" si="2"/>
        <v/>
      </c>
      <c r="AD232" s="389"/>
      <c r="AE232" s="399"/>
      <c r="AF232" s="395"/>
      <c r="AG232" s="396" t="str">
        <f t="shared" si="3"/>
        <v/>
      </c>
      <c r="AH232" s="396" t="str">
        <f t="shared" si="4"/>
        <v/>
      </c>
      <c r="AI232" s="388"/>
      <c r="AJ232" s="388"/>
      <c r="AK232" s="397"/>
    </row>
    <row r="233">
      <c r="A233" s="398"/>
      <c r="B233" s="386"/>
      <c r="C233" s="387" t="str">
        <f>IF(A233="","",IFERROR(IF(VLOOKUP(A233,'1. Inbound Leads'!A:G,7,FALSE)=0,"",VLOOKUP(A233,'1. Inbound Leads'!A:G,7,FALSE)),""))</f>
        <v/>
      </c>
      <c r="D233" s="387" t="str">
        <f>IF(A233="","",IFERROR(IF(VLOOKUP(A233,'1. Inbound Leads'!A:L,12,FALSE)=0,"",VLOOKUP(A233,'1. Inbound Leads'!A:L,12,FALSE)),""))</f>
        <v/>
      </c>
      <c r="E233" s="388"/>
      <c r="F233" s="389"/>
      <c r="G233" s="387"/>
      <c r="H233" s="387"/>
      <c r="I233" s="387"/>
      <c r="J233" s="387"/>
      <c r="K233" s="387"/>
      <c r="L233" s="387"/>
      <c r="M233" s="388"/>
      <c r="N233" s="388"/>
      <c r="O233" s="390"/>
      <c r="P233" s="391"/>
      <c r="Q233" s="389"/>
      <c r="R233" s="390"/>
      <c r="S233" s="390"/>
      <c r="T233" s="391"/>
      <c r="U233" s="392"/>
      <c r="V233" s="391"/>
      <c r="W233" s="391"/>
      <c r="X233" s="388"/>
      <c r="Y233" s="391"/>
      <c r="Z233" s="393"/>
      <c r="AA233" s="355" t="str">
        <f t="shared" si="1"/>
        <v/>
      </c>
      <c r="AB233" s="391"/>
      <c r="AC233" s="394" t="str">
        <f t="shared" si="2"/>
        <v/>
      </c>
      <c r="AD233" s="389"/>
      <c r="AE233" s="399"/>
      <c r="AF233" s="395"/>
      <c r="AG233" s="396" t="str">
        <f t="shared" si="3"/>
        <v/>
      </c>
      <c r="AH233" s="396" t="str">
        <f t="shared" si="4"/>
        <v/>
      </c>
      <c r="AI233" s="388"/>
      <c r="AJ233" s="388"/>
      <c r="AK233" s="397"/>
    </row>
    <row r="234">
      <c r="A234" s="398"/>
      <c r="B234" s="386"/>
      <c r="C234" s="387" t="str">
        <f>IF(A234="","",IFERROR(IF(VLOOKUP(A234,'1. Inbound Leads'!A:G,7,FALSE)=0,"",VLOOKUP(A234,'1. Inbound Leads'!A:G,7,FALSE)),""))</f>
        <v/>
      </c>
      <c r="D234" s="387" t="str">
        <f>IF(A234="","",IFERROR(IF(VLOOKUP(A234,'1. Inbound Leads'!A:L,12,FALSE)=0,"",VLOOKUP(A234,'1. Inbound Leads'!A:L,12,FALSE)),""))</f>
        <v/>
      </c>
      <c r="E234" s="388"/>
      <c r="F234" s="389"/>
      <c r="G234" s="387"/>
      <c r="H234" s="387"/>
      <c r="I234" s="387"/>
      <c r="J234" s="387"/>
      <c r="K234" s="387"/>
      <c r="L234" s="387"/>
      <c r="M234" s="388"/>
      <c r="N234" s="388"/>
      <c r="O234" s="390"/>
      <c r="P234" s="391"/>
      <c r="Q234" s="389"/>
      <c r="R234" s="390"/>
      <c r="S234" s="390"/>
      <c r="T234" s="391"/>
      <c r="U234" s="392"/>
      <c r="V234" s="391"/>
      <c r="W234" s="391"/>
      <c r="X234" s="388"/>
      <c r="Y234" s="391"/>
      <c r="Z234" s="393"/>
      <c r="AA234" s="355" t="str">
        <f t="shared" si="1"/>
        <v/>
      </c>
      <c r="AB234" s="391"/>
      <c r="AC234" s="394" t="str">
        <f t="shared" si="2"/>
        <v/>
      </c>
      <c r="AD234" s="389"/>
      <c r="AE234" s="399"/>
      <c r="AF234" s="395"/>
      <c r="AG234" s="396" t="str">
        <f t="shared" si="3"/>
        <v/>
      </c>
      <c r="AH234" s="396" t="str">
        <f t="shared" si="4"/>
        <v/>
      </c>
      <c r="AI234" s="388"/>
      <c r="AJ234" s="388"/>
      <c r="AK234" s="397"/>
    </row>
    <row r="235">
      <c r="A235" s="398"/>
      <c r="B235" s="386"/>
      <c r="C235" s="387" t="str">
        <f>IF(A235="","",IFERROR(IF(VLOOKUP(A235,'1. Inbound Leads'!A:G,7,FALSE)=0,"",VLOOKUP(A235,'1. Inbound Leads'!A:G,7,FALSE)),""))</f>
        <v/>
      </c>
      <c r="D235" s="387" t="str">
        <f>IF(A235="","",IFERROR(IF(VLOOKUP(A235,'1. Inbound Leads'!A:L,12,FALSE)=0,"",VLOOKUP(A235,'1. Inbound Leads'!A:L,12,FALSE)),""))</f>
        <v/>
      </c>
      <c r="E235" s="388"/>
      <c r="F235" s="389"/>
      <c r="G235" s="387"/>
      <c r="H235" s="387"/>
      <c r="I235" s="387"/>
      <c r="J235" s="387"/>
      <c r="K235" s="387"/>
      <c r="L235" s="387"/>
      <c r="M235" s="388"/>
      <c r="N235" s="388"/>
      <c r="O235" s="390"/>
      <c r="P235" s="391"/>
      <c r="Q235" s="389"/>
      <c r="R235" s="390"/>
      <c r="S235" s="390"/>
      <c r="T235" s="391"/>
      <c r="U235" s="392"/>
      <c r="V235" s="391"/>
      <c r="W235" s="391"/>
      <c r="X235" s="388"/>
      <c r="Y235" s="391"/>
      <c r="Z235" s="393"/>
      <c r="AA235" s="355" t="str">
        <f t="shared" si="1"/>
        <v/>
      </c>
      <c r="AB235" s="391"/>
      <c r="AC235" s="394" t="str">
        <f t="shared" si="2"/>
        <v/>
      </c>
      <c r="AD235" s="389"/>
      <c r="AE235" s="399"/>
      <c r="AF235" s="395"/>
      <c r="AG235" s="396" t="str">
        <f t="shared" si="3"/>
        <v/>
      </c>
      <c r="AH235" s="396" t="str">
        <f t="shared" si="4"/>
        <v/>
      </c>
      <c r="AI235" s="388"/>
      <c r="AJ235" s="388"/>
      <c r="AK235" s="397"/>
    </row>
    <row r="236">
      <c r="A236" s="398"/>
      <c r="B236" s="386"/>
      <c r="C236" s="387" t="str">
        <f>IF(A236="","",IFERROR(IF(VLOOKUP(A236,'1. Inbound Leads'!A:G,7,FALSE)=0,"",VLOOKUP(A236,'1. Inbound Leads'!A:G,7,FALSE)),""))</f>
        <v/>
      </c>
      <c r="D236" s="387" t="str">
        <f>IF(A236="","",IFERROR(IF(VLOOKUP(A236,'1. Inbound Leads'!A:L,12,FALSE)=0,"",VLOOKUP(A236,'1. Inbound Leads'!A:L,12,FALSE)),""))</f>
        <v/>
      </c>
      <c r="E236" s="388"/>
      <c r="F236" s="389"/>
      <c r="G236" s="387"/>
      <c r="H236" s="387"/>
      <c r="I236" s="387"/>
      <c r="J236" s="387"/>
      <c r="K236" s="387"/>
      <c r="L236" s="387"/>
      <c r="M236" s="388"/>
      <c r="N236" s="388"/>
      <c r="O236" s="390"/>
      <c r="P236" s="391"/>
      <c r="Q236" s="389"/>
      <c r="R236" s="390"/>
      <c r="S236" s="390"/>
      <c r="T236" s="391"/>
      <c r="U236" s="392"/>
      <c r="V236" s="391"/>
      <c r="W236" s="391"/>
      <c r="X236" s="388"/>
      <c r="Y236" s="391"/>
      <c r="Z236" s="393"/>
      <c r="AA236" s="355" t="str">
        <f t="shared" si="1"/>
        <v/>
      </c>
      <c r="AB236" s="391"/>
      <c r="AC236" s="394" t="str">
        <f t="shared" si="2"/>
        <v/>
      </c>
      <c r="AD236" s="389"/>
      <c r="AE236" s="399"/>
      <c r="AF236" s="395"/>
      <c r="AG236" s="396" t="str">
        <f t="shared" si="3"/>
        <v/>
      </c>
      <c r="AH236" s="396" t="str">
        <f t="shared" si="4"/>
        <v/>
      </c>
      <c r="AI236" s="388"/>
      <c r="AJ236" s="388"/>
      <c r="AK236" s="397"/>
    </row>
    <row r="237">
      <c r="A237" s="398"/>
      <c r="B237" s="386"/>
      <c r="C237" s="387" t="str">
        <f>IF(A237="","",IFERROR(IF(VLOOKUP(A237,'1. Inbound Leads'!A:G,7,FALSE)=0,"",VLOOKUP(A237,'1. Inbound Leads'!A:G,7,FALSE)),""))</f>
        <v/>
      </c>
      <c r="D237" s="387" t="str">
        <f>IF(A237="","",IFERROR(IF(VLOOKUP(A237,'1. Inbound Leads'!A:L,12,FALSE)=0,"",VLOOKUP(A237,'1. Inbound Leads'!A:L,12,FALSE)),""))</f>
        <v/>
      </c>
      <c r="E237" s="388"/>
      <c r="F237" s="389"/>
      <c r="G237" s="387"/>
      <c r="H237" s="387"/>
      <c r="I237" s="387"/>
      <c r="J237" s="387"/>
      <c r="K237" s="387"/>
      <c r="L237" s="387"/>
      <c r="M237" s="388"/>
      <c r="N237" s="388"/>
      <c r="O237" s="390"/>
      <c r="P237" s="391"/>
      <c r="Q237" s="389"/>
      <c r="R237" s="390"/>
      <c r="S237" s="390"/>
      <c r="T237" s="391"/>
      <c r="U237" s="392"/>
      <c r="V237" s="391"/>
      <c r="W237" s="391"/>
      <c r="X237" s="388"/>
      <c r="Y237" s="391"/>
      <c r="Z237" s="393"/>
      <c r="AA237" s="355" t="str">
        <f t="shared" si="1"/>
        <v/>
      </c>
      <c r="AB237" s="391"/>
      <c r="AC237" s="394" t="str">
        <f t="shared" si="2"/>
        <v/>
      </c>
      <c r="AD237" s="389"/>
      <c r="AE237" s="399"/>
      <c r="AF237" s="395"/>
      <c r="AG237" s="396" t="str">
        <f t="shared" si="3"/>
        <v/>
      </c>
      <c r="AH237" s="396" t="str">
        <f t="shared" si="4"/>
        <v/>
      </c>
      <c r="AI237" s="388"/>
      <c r="AJ237" s="388"/>
      <c r="AK237" s="397"/>
    </row>
    <row r="238">
      <c r="A238" s="398"/>
      <c r="B238" s="386"/>
      <c r="C238" s="387" t="str">
        <f>IF(A238="","",IFERROR(IF(VLOOKUP(A238,'1. Inbound Leads'!A:G,7,FALSE)=0,"",VLOOKUP(A238,'1. Inbound Leads'!A:G,7,FALSE)),""))</f>
        <v/>
      </c>
      <c r="D238" s="387" t="str">
        <f>IF(A238="","",IFERROR(IF(VLOOKUP(A238,'1. Inbound Leads'!A:L,12,FALSE)=0,"",VLOOKUP(A238,'1. Inbound Leads'!A:L,12,FALSE)),""))</f>
        <v/>
      </c>
      <c r="E238" s="388"/>
      <c r="F238" s="389"/>
      <c r="G238" s="387"/>
      <c r="H238" s="387"/>
      <c r="I238" s="387"/>
      <c r="J238" s="387"/>
      <c r="K238" s="387"/>
      <c r="L238" s="387"/>
      <c r="M238" s="388"/>
      <c r="N238" s="388"/>
      <c r="O238" s="390"/>
      <c r="P238" s="391"/>
      <c r="Q238" s="389"/>
      <c r="R238" s="390"/>
      <c r="S238" s="390"/>
      <c r="T238" s="391"/>
      <c r="U238" s="392"/>
      <c r="V238" s="391"/>
      <c r="W238" s="391"/>
      <c r="X238" s="388"/>
      <c r="Y238" s="391"/>
      <c r="Z238" s="393"/>
      <c r="AA238" s="355" t="str">
        <f t="shared" si="1"/>
        <v/>
      </c>
      <c r="AB238" s="391"/>
      <c r="AC238" s="394" t="str">
        <f t="shared" si="2"/>
        <v/>
      </c>
      <c r="AD238" s="389"/>
      <c r="AE238" s="399"/>
      <c r="AF238" s="395"/>
      <c r="AG238" s="396" t="str">
        <f t="shared" si="3"/>
        <v/>
      </c>
      <c r="AH238" s="396" t="str">
        <f t="shared" si="4"/>
        <v/>
      </c>
      <c r="AI238" s="388"/>
      <c r="AJ238" s="388"/>
      <c r="AK238" s="397"/>
    </row>
    <row r="239">
      <c r="A239" s="398"/>
      <c r="B239" s="386"/>
      <c r="C239" s="387" t="str">
        <f>IF(A239="","",IFERROR(IF(VLOOKUP(A239,'1. Inbound Leads'!A:G,7,FALSE)=0,"",VLOOKUP(A239,'1. Inbound Leads'!A:G,7,FALSE)),""))</f>
        <v/>
      </c>
      <c r="D239" s="387" t="str">
        <f>IF(A239="","",IFERROR(IF(VLOOKUP(A239,'1. Inbound Leads'!A:L,12,FALSE)=0,"",VLOOKUP(A239,'1. Inbound Leads'!A:L,12,FALSE)),""))</f>
        <v/>
      </c>
      <c r="E239" s="388"/>
      <c r="F239" s="389"/>
      <c r="G239" s="387"/>
      <c r="H239" s="387"/>
      <c r="I239" s="387"/>
      <c r="J239" s="387"/>
      <c r="K239" s="387"/>
      <c r="L239" s="387"/>
      <c r="M239" s="388"/>
      <c r="N239" s="388"/>
      <c r="O239" s="390"/>
      <c r="P239" s="391"/>
      <c r="Q239" s="389"/>
      <c r="R239" s="390"/>
      <c r="S239" s="390"/>
      <c r="T239" s="391"/>
      <c r="U239" s="392"/>
      <c r="V239" s="391"/>
      <c r="W239" s="391"/>
      <c r="X239" s="388"/>
      <c r="Y239" s="391"/>
      <c r="Z239" s="393"/>
      <c r="AA239" s="355" t="str">
        <f t="shared" si="1"/>
        <v/>
      </c>
      <c r="AB239" s="391"/>
      <c r="AC239" s="394" t="str">
        <f t="shared" si="2"/>
        <v/>
      </c>
      <c r="AD239" s="389"/>
      <c r="AE239" s="399"/>
      <c r="AF239" s="395"/>
      <c r="AG239" s="396" t="str">
        <f t="shared" si="3"/>
        <v/>
      </c>
      <c r="AH239" s="396" t="str">
        <f t="shared" si="4"/>
        <v/>
      </c>
      <c r="AI239" s="388"/>
      <c r="AJ239" s="388"/>
      <c r="AK239" s="397"/>
    </row>
    <row r="240">
      <c r="A240" s="398"/>
      <c r="B240" s="386"/>
      <c r="C240" s="387" t="str">
        <f>IF(A240="","",IFERROR(IF(VLOOKUP(A240,'1. Inbound Leads'!A:G,7,FALSE)=0,"",VLOOKUP(A240,'1. Inbound Leads'!A:G,7,FALSE)),""))</f>
        <v/>
      </c>
      <c r="D240" s="387" t="str">
        <f>IF(A240="","",IFERROR(IF(VLOOKUP(A240,'1. Inbound Leads'!A:L,12,FALSE)=0,"",VLOOKUP(A240,'1. Inbound Leads'!A:L,12,FALSE)),""))</f>
        <v/>
      </c>
      <c r="E240" s="388"/>
      <c r="F240" s="389"/>
      <c r="G240" s="387"/>
      <c r="H240" s="387"/>
      <c r="I240" s="387"/>
      <c r="J240" s="387"/>
      <c r="K240" s="387"/>
      <c r="L240" s="387"/>
      <c r="M240" s="388"/>
      <c r="N240" s="388"/>
      <c r="O240" s="390"/>
      <c r="P240" s="391"/>
      <c r="Q240" s="389"/>
      <c r="R240" s="390"/>
      <c r="S240" s="390"/>
      <c r="T240" s="391"/>
      <c r="U240" s="392"/>
      <c r="V240" s="391"/>
      <c r="W240" s="391"/>
      <c r="X240" s="388"/>
      <c r="Y240" s="391"/>
      <c r="Z240" s="393"/>
      <c r="AA240" s="355" t="str">
        <f t="shared" si="1"/>
        <v/>
      </c>
      <c r="AB240" s="391"/>
      <c r="AC240" s="394" t="str">
        <f t="shared" si="2"/>
        <v/>
      </c>
      <c r="AD240" s="389"/>
      <c r="AE240" s="399"/>
      <c r="AF240" s="395"/>
      <c r="AG240" s="396" t="str">
        <f t="shared" si="3"/>
        <v/>
      </c>
      <c r="AH240" s="396" t="str">
        <f t="shared" si="4"/>
        <v/>
      </c>
      <c r="AI240" s="388"/>
      <c r="AJ240" s="388"/>
      <c r="AK240" s="397"/>
    </row>
    <row r="241">
      <c r="A241" s="398"/>
      <c r="B241" s="386"/>
      <c r="C241" s="387" t="str">
        <f>IF(A241="","",IFERROR(IF(VLOOKUP(A241,'1. Inbound Leads'!A:G,7,FALSE)=0,"",VLOOKUP(A241,'1. Inbound Leads'!A:G,7,FALSE)),""))</f>
        <v/>
      </c>
      <c r="D241" s="387" t="str">
        <f>IF(A241="","",IFERROR(IF(VLOOKUP(A241,'1. Inbound Leads'!A:L,12,FALSE)=0,"",VLOOKUP(A241,'1. Inbound Leads'!A:L,12,FALSE)),""))</f>
        <v/>
      </c>
      <c r="E241" s="388"/>
      <c r="F241" s="389"/>
      <c r="G241" s="387"/>
      <c r="H241" s="387"/>
      <c r="I241" s="387"/>
      <c r="J241" s="387"/>
      <c r="K241" s="387"/>
      <c r="L241" s="387"/>
      <c r="M241" s="388"/>
      <c r="N241" s="388"/>
      <c r="O241" s="390"/>
      <c r="P241" s="391"/>
      <c r="Q241" s="389"/>
      <c r="R241" s="390"/>
      <c r="S241" s="390"/>
      <c r="T241" s="391"/>
      <c r="U241" s="392"/>
      <c r="V241" s="391"/>
      <c r="W241" s="391"/>
      <c r="X241" s="388"/>
      <c r="Y241" s="391"/>
      <c r="Z241" s="393"/>
      <c r="AA241" s="355" t="str">
        <f t="shared" si="1"/>
        <v/>
      </c>
      <c r="AB241" s="391"/>
      <c r="AC241" s="394" t="str">
        <f t="shared" si="2"/>
        <v/>
      </c>
      <c r="AD241" s="389"/>
      <c r="AE241" s="399"/>
      <c r="AF241" s="395"/>
      <c r="AG241" s="396" t="str">
        <f t="shared" si="3"/>
        <v/>
      </c>
      <c r="AH241" s="396" t="str">
        <f t="shared" si="4"/>
        <v/>
      </c>
      <c r="AI241" s="388"/>
      <c r="AJ241" s="388"/>
      <c r="AK241" s="397"/>
    </row>
    <row r="242">
      <c r="A242" s="398"/>
      <c r="B242" s="386"/>
      <c r="C242" s="387" t="str">
        <f>IF(A242="","",IFERROR(IF(VLOOKUP(A242,'1. Inbound Leads'!A:G,7,FALSE)=0,"",VLOOKUP(A242,'1. Inbound Leads'!A:G,7,FALSE)),""))</f>
        <v/>
      </c>
      <c r="D242" s="387" t="str">
        <f>IF(A242="","",IFERROR(IF(VLOOKUP(A242,'1. Inbound Leads'!A:L,12,FALSE)=0,"",VLOOKUP(A242,'1. Inbound Leads'!A:L,12,FALSE)),""))</f>
        <v/>
      </c>
      <c r="E242" s="388"/>
      <c r="F242" s="389"/>
      <c r="G242" s="387"/>
      <c r="H242" s="387"/>
      <c r="I242" s="387"/>
      <c r="J242" s="387"/>
      <c r="K242" s="387"/>
      <c r="L242" s="387"/>
      <c r="M242" s="388"/>
      <c r="N242" s="388"/>
      <c r="O242" s="390"/>
      <c r="P242" s="391"/>
      <c r="Q242" s="389"/>
      <c r="R242" s="390"/>
      <c r="S242" s="390"/>
      <c r="T242" s="391"/>
      <c r="U242" s="392"/>
      <c r="V242" s="391"/>
      <c r="W242" s="391"/>
      <c r="X242" s="388"/>
      <c r="Y242" s="391"/>
      <c r="Z242" s="393"/>
      <c r="AA242" s="355" t="str">
        <f t="shared" si="1"/>
        <v/>
      </c>
      <c r="AB242" s="391"/>
      <c r="AC242" s="394" t="str">
        <f t="shared" si="2"/>
        <v/>
      </c>
      <c r="AD242" s="389"/>
      <c r="AE242" s="399"/>
      <c r="AF242" s="395"/>
      <c r="AG242" s="396" t="str">
        <f t="shared" si="3"/>
        <v/>
      </c>
      <c r="AH242" s="396" t="str">
        <f t="shared" si="4"/>
        <v/>
      </c>
      <c r="AI242" s="388"/>
      <c r="AJ242" s="388"/>
      <c r="AK242" s="397"/>
    </row>
    <row r="243">
      <c r="A243" s="398"/>
      <c r="B243" s="386"/>
      <c r="C243" s="387" t="str">
        <f>IF(A243="","",IFERROR(IF(VLOOKUP(A243,'1. Inbound Leads'!A:G,7,FALSE)=0,"",VLOOKUP(A243,'1. Inbound Leads'!A:G,7,FALSE)),""))</f>
        <v/>
      </c>
      <c r="D243" s="387" t="str">
        <f>IF(A243="","",IFERROR(IF(VLOOKUP(A243,'1. Inbound Leads'!A:L,12,FALSE)=0,"",VLOOKUP(A243,'1. Inbound Leads'!A:L,12,FALSE)),""))</f>
        <v/>
      </c>
      <c r="E243" s="388"/>
      <c r="F243" s="389"/>
      <c r="G243" s="387"/>
      <c r="H243" s="387"/>
      <c r="I243" s="387"/>
      <c r="J243" s="387"/>
      <c r="K243" s="387"/>
      <c r="L243" s="387"/>
      <c r="M243" s="388"/>
      <c r="N243" s="388"/>
      <c r="O243" s="390"/>
      <c r="P243" s="391"/>
      <c r="Q243" s="389"/>
      <c r="R243" s="390"/>
      <c r="S243" s="390"/>
      <c r="T243" s="391"/>
      <c r="U243" s="392"/>
      <c r="V243" s="391"/>
      <c r="W243" s="391"/>
      <c r="X243" s="388"/>
      <c r="Y243" s="391"/>
      <c r="Z243" s="393"/>
      <c r="AA243" s="355" t="str">
        <f t="shared" si="1"/>
        <v/>
      </c>
      <c r="AB243" s="391"/>
      <c r="AC243" s="394" t="str">
        <f t="shared" si="2"/>
        <v/>
      </c>
      <c r="AD243" s="389"/>
      <c r="AE243" s="399"/>
      <c r="AF243" s="395"/>
      <c r="AG243" s="396" t="str">
        <f t="shared" si="3"/>
        <v/>
      </c>
      <c r="AH243" s="396" t="str">
        <f t="shared" si="4"/>
        <v/>
      </c>
      <c r="AI243" s="388"/>
      <c r="AJ243" s="388"/>
      <c r="AK243" s="397"/>
    </row>
    <row r="244">
      <c r="A244" s="398"/>
      <c r="B244" s="386"/>
      <c r="C244" s="387" t="str">
        <f>IF(A244="","",IFERROR(IF(VLOOKUP(A244,'1. Inbound Leads'!A:G,7,FALSE)=0,"",VLOOKUP(A244,'1. Inbound Leads'!A:G,7,FALSE)),""))</f>
        <v/>
      </c>
      <c r="D244" s="387" t="str">
        <f>IF(A244="","",IFERROR(IF(VLOOKUP(A244,'1. Inbound Leads'!A:L,12,FALSE)=0,"",VLOOKUP(A244,'1. Inbound Leads'!A:L,12,FALSE)),""))</f>
        <v/>
      </c>
      <c r="E244" s="388"/>
      <c r="F244" s="389"/>
      <c r="G244" s="387"/>
      <c r="H244" s="387"/>
      <c r="I244" s="387"/>
      <c r="J244" s="387"/>
      <c r="K244" s="387"/>
      <c r="L244" s="387"/>
      <c r="M244" s="388"/>
      <c r="N244" s="388"/>
      <c r="O244" s="390"/>
      <c r="P244" s="391"/>
      <c r="Q244" s="389"/>
      <c r="R244" s="390"/>
      <c r="S244" s="390"/>
      <c r="T244" s="391"/>
      <c r="U244" s="392"/>
      <c r="V244" s="391"/>
      <c r="W244" s="391"/>
      <c r="X244" s="388"/>
      <c r="Y244" s="391"/>
      <c r="Z244" s="393"/>
      <c r="AA244" s="355" t="str">
        <f t="shared" si="1"/>
        <v/>
      </c>
      <c r="AB244" s="391"/>
      <c r="AC244" s="394" t="str">
        <f t="shared" si="2"/>
        <v/>
      </c>
      <c r="AD244" s="389"/>
      <c r="AE244" s="399"/>
      <c r="AF244" s="395"/>
      <c r="AG244" s="396" t="str">
        <f t="shared" si="3"/>
        <v/>
      </c>
      <c r="AH244" s="396" t="str">
        <f t="shared" si="4"/>
        <v/>
      </c>
      <c r="AI244" s="388"/>
      <c r="AJ244" s="388"/>
      <c r="AK244" s="397"/>
    </row>
    <row r="245">
      <c r="A245" s="398"/>
      <c r="B245" s="386"/>
      <c r="C245" s="387" t="str">
        <f>IF(A245="","",IFERROR(IF(VLOOKUP(A245,'1. Inbound Leads'!A:G,7,FALSE)=0,"",VLOOKUP(A245,'1. Inbound Leads'!A:G,7,FALSE)),""))</f>
        <v/>
      </c>
      <c r="D245" s="387" t="str">
        <f>IF(A245="","",IFERROR(IF(VLOOKUP(A245,'1. Inbound Leads'!A:L,12,FALSE)=0,"",VLOOKUP(A245,'1. Inbound Leads'!A:L,12,FALSE)),""))</f>
        <v/>
      </c>
      <c r="E245" s="388"/>
      <c r="F245" s="389"/>
      <c r="G245" s="387"/>
      <c r="H245" s="387"/>
      <c r="I245" s="387"/>
      <c r="J245" s="387"/>
      <c r="K245" s="387"/>
      <c r="L245" s="387"/>
      <c r="M245" s="388"/>
      <c r="N245" s="388"/>
      <c r="O245" s="390"/>
      <c r="P245" s="391"/>
      <c r="Q245" s="389"/>
      <c r="R245" s="390"/>
      <c r="S245" s="390"/>
      <c r="T245" s="391"/>
      <c r="U245" s="392"/>
      <c r="V245" s="391"/>
      <c r="W245" s="391"/>
      <c r="X245" s="388"/>
      <c r="Y245" s="391"/>
      <c r="Z245" s="393"/>
      <c r="AA245" s="355" t="str">
        <f t="shared" si="1"/>
        <v/>
      </c>
      <c r="AB245" s="391"/>
      <c r="AC245" s="394" t="str">
        <f t="shared" si="2"/>
        <v/>
      </c>
      <c r="AD245" s="389"/>
      <c r="AE245" s="399"/>
      <c r="AF245" s="395"/>
      <c r="AG245" s="396" t="str">
        <f t="shared" si="3"/>
        <v/>
      </c>
      <c r="AH245" s="396" t="str">
        <f t="shared" si="4"/>
        <v/>
      </c>
      <c r="AI245" s="388"/>
      <c r="AJ245" s="388"/>
      <c r="AK245" s="397"/>
    </row>
    <row r="246">
      <c r="A246" s="398"/>
      <c r="B246" s="386"/>
      <c r="C246" s="387" t="str">
        <f>IF(A246="","",IFERROR(IF(VLOOKUP(A246,'1. Inbound Leads'!A:G,7,FALSE)=0,"",VLOOKUP(A246,'1. Inbound Leads'!A:G,7,FALSE)),""))</f>
        <v/>
      </c>
      <c r="D246" s="387" t="str">
        <f>IF(A246="","",IFERROR(IF(VLOOKUP(A246,'1. Inbound Leads'!A:L,12,FALSE)=0,"",VLOOKUP(A246,'1. Inbound Leads'!A:L,12,FALSE)),""))</f>
        <v/>
      </c>
      <c r="E246" s="388"/>
      <c r="F246" s="389"/>
      <c r="G246" s="387"/>
      <c r="H246" s="387"/>
      <c r="I246" s="387"/>
      <c r="J246" s="387"/>
      <c r="K246" s="387"/>
      <c r="L246" s="387"/>
      <c r="M246" s="388"/>
      <c r="N246" s="388"/>
      <c r="O246" s="390"/>
      <c r="P246" s="391"/>
      <c r="Q246" s="389"/>
      <c r="R246" s="390"/>
      <c r="S246" s="390"/>
      <c r="T246" s="391"/>
      <c r="U246" s="392"/>
      <c r="V246" s="391"/>
      <c r="W246" s="391"/>
      <c r="X246" s="388"/>
      <c r="Y246" s="391"/>
      <c r="Z246" s="393"/>
      <c r="AA246" s="355" t="str">
        <f t="shared" si="1"/>
        <v/>
      </c>
      <c r="AB246" s="391"/>
      <c r="AC246" s="394" t="str">
        <f t="shared" si="2"/>
        <v/>
      </c>
      <c r="AD246" s="389"/>
      <c r="AE246" s="399"/>
      <c r="AF246" s="395"/>
      <c r="AG246" s="396" t="str">
        <f t="shared" si="3"/>
        <v/>
      </c>
      <c r="AH246" s="396" t="str">
        <f t="shared" si="4"/>
        <v/>
      </c>
      <c r="AI246" s="388"/>
      <c r="AJ246" s="388"/>
      <c r="AK246" s="397"/>
    </row>
    <row r="247">
      <c r="A247" s="398"/>
      <c r="B247" s="386"/>
      <c r="C247" s="387" t="str">
        <f>IF(A247="","",IFERROR(IF(VLOOKUP(A247,'1. Inbound Leads'!A:G,7,FALSE)=0,"",VLOOKUP(A247,'1. Inbound Leads'!A:G,7,FALSE)),""))</f>
        <v/>
      </c>
      <c r="D247" s="387" t="str">
        <f>IF(A247="","",IFERROR(IF(VLOOKUP(A247,'1. Inbound Leads'!A:L,12,FALSE)=0,"",VLOOKUP(A247,'1. Inbound Leads'!A:L,12,FALSE)),""))</f>
        <v/>
      </c>
      <c r="E247" s="388"/>
      <c r="F247" s="389"/>
      <c r="G247" s="387"/>
      <c r="H247" s="387"/>
      <c r="I247" s="387"/>
      <c r="J247" s="387"/>
      <c r="K247" s="387"/>
      <c r="L247" s="387"/>
      <c r="M247" s="388"/>
      <c r="N247" s="388"/>
      <c r="O247" s="390"/>
      <c r="P247" s="391"/>
      <c r="Q247" s="389"/>
      <c r="R247" s="390"/>
      <c r="S247" s="390"/>
      <c r="T247" s="391"/>
      <c r="U247" s="392"/>
      <c r="V247" s="391"/>
      <c r="W247" s="391"/>
      <c r="X247" s="388"/>
      <c r="Y247" s="391"/>
      <c r="Z247" s="393"/>
      <c r="AA247" s="355" t="str">
        <f t="shared" si="1"/>
        <v/>
      </c>
      <c r="AB247" s="391"/>
      <c r="AC247" s="394" t="str">
        <f t="shared" si="2"/>
        <v/>
      </c>
      <c r="AD247" s="389"/>
      <c r="AE247" s="399"/>
      <c r="AF247" s="395"/>
      <c r="AG247" s="396" t="str">
        <f t="shared" si="3"/>
        <v/>
      </c>
      <c r="AH247" s="396" t="str">
        <f t="shared" si="4"/>
        <v/>
      </c>
      <c r="AI247" s="388"/>
      <c r="AJ247" s="388"/>
      <c r="AK247" s="397"/>
    </row>
    <row r="248">
      <c r="A248" s="398"/>
      <c r="B248" s="386"/>
      <c r="C248" s="387" t="str">
        <f>IF(A248="","",IFERROR(IF(VLOOKUP(A248,'1. Inbound Leads'!A:G,7,FALSE)=0,"",VLOOKUP(A248,'1. Inbound Leads'!A:G,7,FALSE)),""))</f>
        <v/>
      </c>
      <c r="D248" s="387" t="str">
        <f>IF(A248="","",IFERROR(IF(VLOOKUP(A248,'1. Inbound Leads'!A:L,12,FALSE)=0,"",VLOOKUP(A248,'1. Inbound Leads'!A:L,12,FALSE)),""))</f>
        <v/>
      </c>
      <c r="E248" s="388"/>
      <c r="F248" s="389"/>
      <c r="G248" s="387"/>
      <c r="H248" s="387"/>
      <c r="I248" s="387"/>
      <c r="J248" s="387"/>
      <c r="K248" s="387"/>
      <c r="L248" s="387"/>
      <c r="M248" s="388"/>
      <c r="N248" s="388"/>
      <c r="O248" s="390"/>
      <c r="P248" s="391"/>
      <c r="Q248" s="389"/>
      <c r="R248" s="390"/>
      <c r="S248" s="390"/>
      <c r="T248" s="391"/>
      <c r="U248" s="392"/>
      <c r="V248" s="391"/>
      <c r="W248" s="391"/>
      <c r="X248" s="388"/>
      <c r="Y248" s="391"/>
      <c r="Z248" s="393"/>
      <c r="AA248" s="355" t="str">
        <f t="shared" si="1"/>
        <v/>
      </c>
      <c r="AB248" s="391"/>
      <c r="AC248" s="394" t="str">
        <f t="shared" si="2"/>
        <v/>
      </c>
      <c r="AD248" s="389"/>
      <c r="AE248" s="399"/>
      <c r="AF248" s="395"/>
      <c r="AG248" s="396" t="str">
        <f t="shared" si="3"/>
        <v/>
      </c>
      <c r="AH248" s="396" t="str">
        <f t="shared" si="4"/>
        <v/>
      </c>
      <c r="AI248" s="388"/>
      <c r="AJ248" s="388"/>
      <c r="AK248" s="397"/>
    </row>
    <row r="249">
      <c r="A249" s="398"/>
      <c r="B249" s="386"/>
      <c r="C249" s="387" t="str">
        <f>IF(A249="","",IFERROR(IF(VLOOKUP(A249,'1. Inbound Leads'!A:G,7,FALSE)=0,"",VLOOKUP(A249,'1. Inbound Leads'!A:G,7,FALSE)),""))</f>
        <v/>
      </c>
      <c r="D249" s="387" t="str">
        <f>IF(A249="","",IFERROR(IF(VLOOKUP(A249,'1. Inbound Leads'!A:L,12,FALSE)=0,"",VLOOKUP(A249,'1. Inbound Leads'!A:L,12,FALSE)),""))</f>
        <v/>
      </c>
      <c r="E249" s="388"/>
      <c r="F249" s="389"/>
      <c r="G249" s="387"/>
      <c r="H249" s="387"/>
      <c r="I249" s="387"/>
      <c r="J249" s="387"/>
      <c r="K249" s="387"/>
      <c r="L249" s="387"/>
      <c r="M249" s="388"/>
      <c r="N249" s="388"/>
      <c r="O249" s="390"/>
      <c r="P249" s="391"/>
      <c r="Q249" s="389"/>
      <c r="R249" s="390"/>
      <c r="S249" s="390"/>
      <c r="T249" s="391"/>
      <c r="U249" s="392"/>
      <c r="V249" s="391"/>
      <c r="W249" s="391"/>
      <c r="X249" s="388"/>
      <c r="Y249" s="391"/>
      <c r="Z249" s="393"/>
      <c r="AA249" s="355" t="str">
        <f t="shared" si="1"/>
        <v/>
      </c>
      <c r="AB249" s="391"/>
      <c r="AC249" s="394" t="str">
        <f t="shared" si="2"/>
        <v/>
      </c>
      <c r="AD249" s="389"/>
      <c r="AE249" s="399"/>
      <c r="AF249" s="395"/>
      <c r="AG249" s="396" t="str">
        <f t="shared" si="3"/>
        <v/>
      </c>
      <c r="AH249" s="396" t="str">
        <f t="shared" si="4"/>
        <v/>
      </c>
      <c r="AI249" s="388"/>
      <c r="AJ249" s="388"/>
      <c r="AK249" s="397"/>
    </row>
    <row r="250">
      <c r="A250" s="398"/>
      <c r="B250" s="386"/>
      <c r="C250" s="387" t="str">
        <f>IF(A250="","",IFERROR(IF(VLOOKUP(A250,'1. Inbound Leads'!A:G,7,FALSE)=0,"",VLOOKUP(A250,'1. Inbound Leads'!A:G,7,FALSE)),""))</f>
        <v/>
      </c>
      <c r="D250" s="387" t="str">
        <f>IF(A250="","",IFERROR(IF(VLOOKUP(A250,'1. Inbound Leads'!A:L,12,FALSE)=0,"",VLOOKUP(A250,'1. Inbound Leads'!A:L,12,FALSE)),""))</f>
        <v/>
      </c>
      <c r="E250" s="388"/>
      <c r="F250" s="389"/>
      <c r="G250" s="387"/>
      <c r="H250" s="387"/>
      <c r="I250" s="387"/>
      <c r="J250" s="387"/>
      <c r="K250" s="387"/>
      <c r="L250" s="387"/>
      <c r="M250" s="388"/>
      <c r="N250" s="388"/>
      <c r="O250" s="390"/>
      <c r="P250" s="391"/>
      <c r="Q250" s="389"/>
      <c r="R250" s="390"/>
      <c r="S250" s="390"/>
      <c r="T250" s="391"/>
      <c r="U250" s="392"/>
      <c r="V250" s="391"/>
      <c r="W250" s="391"/>
      <c r="X250" s="388"/>
      <c r="Y250" s="391"/>
      <c r="Z250" s="393"/>
      <c r="AA250" s="355" t="str">
        <f t="shared" si="1"/>
        <v/>
      </c>
      <c r="AB250" s="391"/>
      <c r="AC250" s="394" t="str">
        <f t="shared" si="2"/>
        <v/>
      </c>
      <c r="AD250" s="389"/>
      <c r="AE250" s="399"/>
      <c r="AF250" s="395"/>
      <c r="AG250" s="396" t="str">
        <f t="shared" si="3"/>
        <v/>
      </c>
      <c r="AH250" s="396" t="str">
        <f t="shared" si="4"/>
        <v/>
      </c>
      <c r="AI250" s="388"/>
      <c r="AJ250" s="388"/>
      <c r="AK250" s="397"/>
    </row>
    <row r="251">
      <c r="A251" s="398"/>
      <c r="B251" s="386"/>
      <c r="C251" s="387" t="str">
        <f>IF(A251="","",IFERROR(IF(VLOOKUP(A251,'1. Inbound Leads'!A:G,7,FALSE)=0,"",VLOOKUP(A251,'1. Inbound Leads'!A:G,7,FALSE)),""))</f>
        <v/>
      </c>
      <c r="D251" s="387" t="str">
        <f>IF(A251="","",IFERROR(IF(VLOOKUP(A251,'1. Inbound Leads'!A:L,12,FALSE)=0,"",VLOOKUP(A251,'1. Inbound Leads'!A:L,12,FALSE)),""))</f>
        <v/>
      </c>
      <c r="E251" s="388"/>
      <c r="F251" s="389"/>
      <c r="G251" s="387"/>
      <c r="H251" s="387"/>
      <c r="I251" s="387"/>
      <c r="J251" s="387"/>
      <c r="K251" s="387"/>
      <c r="L251" s="387"/>
      <c r="M251" s="388"/>
      <c r="N251" s="388"/>
      <c r="O251" s="390"/>
      <c r="P251" s="391"/>
      <c r="Q251" s="389"/>
      <c r="R251" s="390"/>
      <c r="S251" s="390"/>
      <c r="T251" s="391"/>
      <c r="U251" s="392"/>
      <c r="V251" s="391"/>
      <c r="W251" s="391"/>
      <c r="X251" s="388"/>
      <c r="Y251" s="391"/>
      <c r="Z251" s="393"/>
      <c r="AA251" s="355" t="str">
        <f t="shared" si="1"/>
        <v/>
      </c>
      <c r="AB251" s="391"/>
      <c r="AC251" s="394" t="str">
        <f t="shared" si="2"/>
        <v/>
      </c>
      <c r="AD251" s="389"/>
      <c r="AE251" s="399"/>
      <c r="AF251" s="395"/>
      <c r="AG251" s="396" t="str">
        <f t="shared" si="3"/>
        <v/>
      </c>
      <c r="AH251" s="396" t="str">
        <f t="shared" si="4"/>
        <v/>
      </c>
      <c r="AI251" s="388"/>
      <c r="AJ251" s="388"/>
      <c r="AK251" s="397"/>
    </row>
    <row r="252">
      <c r="A252" s="398"/>
      <c r="B252" s="386"/>
      <c r="C252" s="387" t="str">
        <f>IF(A252="","",IFERROR(IF(VLOOKUP(A252,'1. Inbound Leads'!A:G,7,FALSE)=0,"",VLOOKUP(A252,'1. Inbound Leads'!A:G,7,FALSE)),""))</f>
        <v/>
      </c>
      <c r="D252" s="387" t="str">
        <f>IF(A252="","",IFERROR(IF(VLOOKUP(A252,'1. Inbound Leads'!A:L,12,FALSE)=0,"",VLOOKUP(A252,'1. Inbound Leads'!A:L,12,FALSE)),""))</f>
        <v/>
      </c>
      <c r="E252" s="388"/>
      <c r="F252" s="389"/>
      <c r="G252" s="387"/>
      <c r="H252" s="387"/>
      <c r="I252" s="387"/>
      <c r="J252" s="387"/>
      <c r="K252" s="387"/>
      <c r="L252" s="387"/>
      <c r="M252" s="388"/>
      <c r="N252" s="388"/>
      <c r="O252" s="390"/>
      <c r="P252" s="391"/>
      <c r="Q252" s="389"/>
      <c r="R252" s="390"/>
      <c r="S252" s="390"/>
      <c r="T252" s="391"/>
      <c r="U252" s="392"/>
      <c r="V252" s="391"/>
      <c r="W252" s="391"/>
      <c r="X252" s="388"/>
      <c r="Y252" s="391"/>
      <c r="Z252" s="393"/>
      <c r="AA252" s="355" t="str">
        <f t="shared" si="1"/>
        <v/>
      </c>
      <c r="AB252" s="391"/>
      <c r="AC252" s="394" t="str">
        <f t="shared" si="2"/>
        <v/>
      </c>
      <c r="AD252" s="389"/>
      <c r="AE252" s="399"/>
      <c r="AF252" s="395"/>
      <c r="AG252" s="396" t="str">
        <f t="shared" si="3"/>
        <v/>
      </c>
      <c r="AH252" s="396" t="str">
        <f t="shared" si="4"/>
        <v/>
      </c>
      <c r="AI252" s="388"/>
      <c r="AJ252" s="388"/>
      <c r="AK252" s="397"/>
    </row>
    <row r="253">
      <c r="A253" s="398"/>
      <c r="B253" s="386"/>
      <c r="C253" s="387" t="str">
        <f>IF(A253="","",IFERROR(IF(VLOOKUP(A253,'1. Inbound Leads'!A:G,7,FALSE)=0,"",VLOOKUP(A253,'1. Inbound Leads'!A:G,7,FALSE)),""))</f>
        <v/>
      </c>
      <c r="D253" s="387" t="str">
        <f>IF(A253="","",IFERROR(IF(VLOOKUP(A253,'1. Inbound Leads'!A:L,12,FALSE)=0,"",VLOOKUP(A253,'1. Inbound Leads'!A:L,12,FALSE)),""))</f>
        <v/>
      </c>
      <c r="E253" s="388"/>
      <c r="F253" s="389"/>
      <c r="G253" s="387"/>
      <c r="H253" s="387"/>
      <c r="I253" s="387"/>
      <c r="J253" s="387"/>
      <c r="K253" s="387"/>
      <c r="L253" s="387"/>
      <c r="M253" s="388"/>
      <c r="N253" s="388"/>
      <c r="O253" s="390"/>
      <c r="P253" s="391"/>
      <c r="Q253" s="389"/>
      <c r="R253" s="390"/>
      <c r="S253" s="390"/>
      <c r="T253" s="391"/>
      <c r="U253" s="392"/>
      <c r="V253" s="391"/>
      <c r="W253" s="391"/>
      <c r="X253" s="388"/>
      <c r="Y253" s="391"/>
      <c r="Z253" s="393"/>
      <c r="AA253" s="355" t="str">
        <f t="shared" si="1"/>
        <v/>
      </c>
      <c r="AB253" s="391"/>
      <c r="AC253" s="394" t="str">
        <f t="shared" si="2"/>
        <v/>
      </c>
      <c r="AD253" s="389"/>
      <c r="AE253" s="399"/>
      <c r="AF253" s="395"/>
      <c r="AG253" s="396" t="str">
        <f t="shared" si="3"/>
        <v/>
      </c>
      <c r="AH253" s="396" t="str">
        <f t="shared" si="4"/>
        <v/>
      </c>
      <c r="AI253" s="388"/>
      <c r="AJ253" s="388"/>
      <c r="AK253" s="397"/>
    </row>
    <row r="254">
      <c r="A254" s="398"/>
      <c r="B254" s="386"/>
      <c r="C254" s="387" t="str">
        <f>IF(A254="","",IFERROR(IF(VLOOKUP(A254,'1. Inbound Leads'!A:G,7,FALSE)=0,"",VLOOKUP(A254,'1. Inbound Leads'!A:G,7,FALSE)),""))</f>
        <v/>
      </c>
      <c r="D254" s="387" t="str">
        <f>IF(A254="","",IFERROR(IF(VLOOKUP(A254,'1. Inbound Leads'!A:L,12,FALSE)=0,"",VLOOKUP(A254,'1. Inbound Leads'!A:L,12,FALSE)),""))</f>
        <v/>
      </c>
      <c r="E254" s="388"/>
      <c r="F254" s="389"/>
      <c r="G254" s="387"/>
      <c r="H254" s="387"/>
      <c r="I254" s="387"/>
      <c r="J254" s="387"/>
      <c r="K254" s="387"/>
      <c r="L254" s="387"/>
      <c r="M254" s="388"/>
      <c r="N254" s="388"/>
      <c r="O254" s="390"/>
      <c r="P254" s="391"/>
      <c r="Q254" s="389"/>
      <c r="R254" s="390"/>
      <c r="S254" s="390"/>
      <c r="T254" s="391"/>
      <c r="U254" s="392"/>
      <c r="V254" s="391"/>
      <c r="W254" s="391"/>
      <c r="X254" s="388"/>
      <c r="Y254" s="391"/>
      <c r="Z254" s="393"/>
      <c r="AA254" s="355" t="str">
        <f t="shared" si="1"/>
        <v/>
      </c>
      <c r="AB254" s="391"/>
      <c r="AC254" s="394" t="str">
        <f t="shared" si="2"/>
        <v/>
      </c>
      <c r="AD254" s="389"/>
      <c r="AE254" s="399"/>
      <c r="AF254" s="395"/>
      <c r="AG254" s="396" t="str">
        <f t="shared" si="3"/>
        <v/>
      </c>
      <c r="AH254" s="396" t="str">
        <f t="shared" si="4"/>
        <v/>
      </c>
      <c r="AI254" s="388"/>
      <c r="AJ254" s="388"/>
      <c r="AK254" s="397"/>
    </row>
    <row r="255">
      <c r="A255" s="398"/>
      <c r="B255" s="386"/>
      <c r="C255" s="387" t="str">
        <f>IF(A255="","",IFERROR(IF(VLOOKUP(A255,'1. Inbound Leads'!A:G,7,FALSE)=0,"",VLOOKUP(A255,'1. Inbound Leads'!A:G,7,FALSE)),""))</f>
        <v/>
      </c>
      <c r="D255" s="387" t="str">
        <f>IF(A255="","",IFERROR(IF(VLOOKUP(A255,'1. Inbound Leads'!A:L,12,FALSE)=0,"",VLOOKUP(A255,'1. Inbound Leads'!A:L,12,FALSE)),""))</f>
        <v/>
      </c>
      <c r="E255" s="388"/>
      <c r="F255" s="389"/>
      <c r="G255" s="387"/>
      <c r="H255" s="387"/>
      <c r="I255" s="387"/>
      <c r="J255" s="387"/>
      <c r="K255" s="387"/>
      <c r="L255" s="387"/>
      <c r="M255" s="388"/>
      <c r="N255" s="388"/>
      <c r="O255" s="390"/>
      <c r="P255" s="391"/>
      <c r="Q255" s="389"/>
      <c r="R255" s="390"/>
      <c r="S255" s="390"/>
      <c r="T255" s="391"/>
      <c r="U255" s="392"/>
      <c r="V255" s="391"/>
      <c r="W255" s="391"/>
      <c r="X255" s="388"/>
      <c r="Y255" s="391"/>
      <c r="Z255" s="393"/>
      <c r="AA255" s="355" t="str">
        <f t="shared" si="1"/>
        <v/>
      </c>
      <c r="AB255" s="391"/>
      <c r="AC255" s="394" t="str">
        <f t="shared" si="2"/>
        <v/>
      </c>
      <c r="AD255" s="389"/>
      <c r="AE255" s="399"/>
      <c r="AF255" s="395"/>
      <c r="AG255" s="396" t="str">
        <f t="shared" si="3"/>
        <v/>
      </c>
      <c r="AH255" s="396" t="str">
        <f t="shared" si="4"/>
        <v/>
      </c>
      <c r="AI255" s="388"/>
      <c r="AJ255" s="388"/>
      <c r="AK255" s="397"/>
    </row>
    <row r="256">
      <c r="A256" s="398"/>
      <c r="B256" s="386"/>
      <c r="C256" s="387" t="str">
        <f>IF(A256="","",IFERROR(IF(VLOOKUP(A256,'1. Inbound Leads'!A:G,7,FALSE)=0,"",VLOOKUP(A256,'1. Inbound Leads'!A:G,7,FALSE)),""))</f>
        <v/>
      </c>
      <c r="D256" s="387" t="str">
        <f>IF(A256="","",IFERROR(IF(VLOOKUP(A256,'1. Inbound Leads'!A:L,12,FALSE)=0,"",VLOOKUP(A256,'1. Inbound Leads'!A:L,12,FALSE)),""))</f>
        <v/>
      </c>
      <c r="E256" s="388"/>
      <c r="F256" s="389"/>
      <c r="G256" s="387"/>
      <c r="H256" s="387"/>
      <c r="I256" s="387"/>
      <c r="J256" s="387"/>
      <c r="K256" s="387"/>
      <c r="L256" s="387"/>
      <c r="M256" s="388"/>
      <c r="N256" s="388"/>
      <c r="O256" s="390"/>
      <c r="P256" s="391"/>
      <c r="Q256" s="389"/>
      <c r="R256" s="390"/>
      <c r="S256" s="390"/>
      <c r="T256" s="391"/>
      <c r="U256" s="392"/>
      <c r="V256" s="391"/>
      <c r="W256" s="391"/>
      <c r="X256" s="388"/>
      <c r="Y256" s="391"/>
      <c r="Z256" s="393"/>
      <c r="AA256" s="355" t="str">
        <f t="shared" si="1"/>
        <v/>
      </c>
      <c r="AB256" s="391"/>
      <c r="AC256" s="394" t="str">
        <f t="shared" si="2"/>
        <v/>
      </c>
      <c r="AD256" s="389"/>
      <c r="AE256" s="399"/>
      <c r="AF256" s="395"/>
      <c r="AG256" s="396" t="str">
        <f t="shared" si="3"/>
        <v/>
      </c>
      <c r="AH256" s="396" t="str">
        <f t="shared" si="4"/>
        <v/>
      </c>
      <c r="AI256" s="388"/>
      <c r="AJ256" s="388"/>
      <c r="AK256" s="397"/>
    </row>
    <row r="257">
      <c r="A257" s="398"/>
      <c r="B257" s="386"/>
      <c r="C257" s="387" t="str">
        <f>IF(A257="","",IFERROR(IF(VLOOKUP(A257,'1. Inbound Leads'!A:G,7,FALSE)=0,"",VLOOKUP(A257,'1. Inbound Leads'!A:G,7,FALSE)),""))</f>
        <v/>
      </c>
      <c r="D257" s="387" t="str">
        <f>IF(A257="","",IFERROR(IF(VLOOKUP(A257,'1. Inbound Leads'!A:L,12,FALSE)=0,"",VLOOKUP(A257,'1. Inbound Leads'!A:L,12,FALSE)),""))</f>
        <v/>
      </c>
      <c r="E257" s="388"/>
      <c r="F257" s="389"/>
      <c r="G257" s="387"/>
      <c r="H257" s="387"/>
      <c r="I257" s="387"/>
      <c r="J257" s="387"/>
      <c r="K257" s="387"/>
      <c r="L257" s="387"/>
      <c r="M257" s="388"/>
      <c r="N257" s="388"/>
      <c r="O257" s="390"/>
      <c r="P257" s="391"/>
      <c r="Q257" s="389"/>
      <c r="R257" s="390"/>
      <c r="S257" s="390"/>
      <c r="T257" s="391"/>
      <c r="U257" s="392"/>
      <c r="V257" s="391"/>
      <c r="W257" s="391"/>
      <c r="X257" s="388"/>
      <c r="Y257" s="391"/>
      <c r="Z257" s="393"/>
      <c r="AA257" s="355" t="str">
        <f t="shared" si="1"/>
        <v/>
      </c>
      <c r="AB257" s="391"/>
      <c r="AC257" s="394" t="str">
        <f t="shared" si="2"/>
        <v/>
      </c>
      <c r="AD257" s="389"/>
      <c r="AE257" s="399"/>
      <c r="AF257" s="395"/>
      <c r="AG257" s="396" t="str">
        <f t="shared" si="3"/>
        <v/>
      </c>
      <c r="AH257" s="396" t="str">
        <f t="shared" si="4"/>
        <v/>
      </c>
      <c r="AI257" s="388"/>
      <c r="AJ257" s="388"/>
      <c r="AK257" s="397"/>
    </row>
    <row r="258">
      <c r="A258" s="398"/>
      <c r="B258" s="386"/>
      <c r="C258" s="387" t="str">
        <f>IF(A258="","",IFERROR(IF(VLOOKUP(A258,'1. Inbound Leads'!A:G,7,FALSE)=0,"",VLOOKUP(A258,'1. Inbound Leads'!A:G,7,FALSE)),""))</f>
        <v/>
      </c>
      <c r="D258" s="387" t="str">
        <f>IF(A258="","",IFERROR(IF(VLOOKUP(A258,'1. Inbound Leads'!A:L,12,FALSE)=0,"",VLOOKUP(A258,'1. Inbound Leads'!A:L,12,FALSE)),""))</f>
        <v/>
      </c>
      <c r="E258" s="388"/>
      <c r="F258" s="389"/>
      <c r="G258" s="387"/>
      <c r="H258" s="387"/>
      <c r="I258" s="387"/>
      <c r="J258" s="387"/>
      <c r="K258" s="387"/>
      <c r="L258" s="387"/>
      <c r="M258" s="388"/>
      <c r="N258" s="388"/>
      <c r="O258" s="390"/>
      <c r="P258" s="391"/>
      <c r="Q258" s="389"/>
      <c r="R258" s="390"/>
      <c r="S258" s="390"/>
      <c r="T258" s="391"/>
      <c r="U258" s="392"/>
      <c r="V258" s="391"/>
      <c r="W258" s="391"/>
      <c r="X258" s="388"/>
      <c r="Y258" s="391"/>
      <c r="Z258" s="393"/>
      <c r="AA258" s="355" t="str">
        <f t="shared" si="1"/>
        <v/>
      </c>
      <c r="AB258" s="391"/>
      <c r="AC258" s="394" t="str">
        <f t="shared" si="2"/>
        <v/>
      </c>
      <c r="AD258" s="389"/>
      <c r="AE258" s="399"/>
      <c r="AF258" s="395"/>
      <c r="AG258" s="396" t="str">
        <f t="shared" si="3"/>
        <v/>
      </c>
      <c r="AH258" s="396" t="str">
        <f t="shared" si="4"/>
        <v/>
      </c>
      <c r="AI258" s="388"/>
      <c r="AJ258" s="388"/>
      <c r="AK258" s="397"/>
    </row>
    <row r="259">
      <c r="A259" s="398"/>
      <c r="B259" s="386"/>
      <c r="C259" s="387" t="str">
        <f>IF(A259="","",IFERROR(IF(VLOOKUP(A259,'1. Inbound Leads'!A:G,7,FALSE)=0,"",VLOOKUP(A259,'1. Inbound Leads'!A:G,7,FALSE)),""))</f>
        <v/>
      </c>
      <c r="D259" s="387" t="str">
        <f>IF(A259="","",IFERROR(IF(VLOOKUP(A259,'1. Inbound Leads'!A:L,12,FALSE)=0,"",VLOOKUP(A259,'1. Inbound Leads'!A:L,12,FALSE)),""))</f>
        <v/>
      </c>
      <c r="E259" s="388"/>
      <c r="F259" s="389"/>
      <c r="G259" s="387"/>
      <c r="H259" s="387"/>
      <c r="I259" s="387"/>
      <c r="J259" s="387"/>
      <c r="K259" s="387"/>
      <c r="L259" s="387"/>
      <c r="M259" s="388"/>
      <c r="N259" s="388"/>
      <c r="O259" s="390"/>
      <c r="P259" s="391"/>
      <c r="Q259" s="389"/>
      <c r="R259" s="390"/>
      <c r="S259" s="390"/>
      <c r="T259" s="391"/>
      <c r="U259" s="392"/>
      <c r="V259" s="391"/>
      <c r="W259" s="391"/>
      <c r="X259" s="388"/>
      <c r="Y259" s="391"/>
      <c r="Z259" s="393"/>
      <c r="AA259" s="355" t="str">
        <f t="shared" si="1"/>
        <v/>
      </c>
      <c r="AB259" s="391"/>
      <c r="AC259" s="394" t="str">
        <f t="shared" si="2"/>
        <v/>
      </c>
      <c r="AD259" s="389"/>
      <c r="AE259" s="399"/>
      <c r="AF259" s="395"/>
      <c r="AG259" s="396" t="str">
        <f t="shared" si="3"/>
        <v/>
      </c>
      <c r="AH259" s="396" t="str">
        <f t="shared" si="4"/>
        <v/>
      </c>
      <c r="AI259" s="388"/>
      <c r="AJ259" s="388"/>
      <c r="AK259" s="397"/>
    </row>
    <row r="260">
      <c r="A260" s="398"/>
      <c r="B260" s="386"/>
      <c r="C260" s="387" t="str">
        <f>IF(A260="","",IFERROR(IF(VLOOKUP(A260,'1. Inbound Leads'!A:G,7,FALSE)=0,"",VLOOKUP(A260,'1. Inbound Leads'!A:G,7,FALSE)),""))</f>
        <v/>
      </c>
      <c r="D260" s="387" t="str">
        <f>IF(A260="","",IFERROR(IF(VLOOKUP(A260,'1. Inbound Leads'!A:L,12,FALSE)=0,"",VLOOKUP(A260,'1. Inbound Leads'!A:L,12,FALSE)),""))</f>
        <v/>
      </c>
      <c r="E260" s="388"/>
      <c r="F260" s="389"/>
      <c r="G260" s="387"/>
      <c r="H260" s="387"/>
      <c r="I260" s="387"/>
      <c r="J260" s="387"/>
      <c r="K260" s="387"/>
      <c r="L260" s="387"/>
      <c r="M260" s="388"/>
      <c r="N260" s="388"/>
      <c r="O260" s="390"/>
      <c r="P260" s="391"/>
      <c r="Q260" s="389"/>
      <c r="R260" s="390"/>
      <c r="S260" s="390"/>
      <c r="T260" s="391"/>
      <c r="U260" s="392"/>
      <c r="V260" s="391"/>
      <c r="W260" s="391"/>
      <c r="X260" s="388"/>
      <c r="Y260" s="391"/>
      <c r="Z260" s="393"/>
      <c r="AA260" s="355" t="str">
        <f t="shared" si="1"/>
        <v/>
      </c>
      <c r="AB260" s="391"/>
      <c r="AC260" s="394" t="str">
        <f t="shared" si="2"/>
        <v/>
      </c>
      <c r="AD260" s="389"/>
      <c r="AE260" s="399"/>
      <c r="AF260" s="395"/>
      <c r="AG260" s="396" t="str">
        <f t="shared" si="3"/>
        <v/>
      </c>
      <c r="AH260" s="396" t="str">
        <f t="shared" si="4"/>
        <v/>
      </c>
      <c r="AI260" s="388"/>
      <c r="AJ260" s="388"/>
      <c r="AK260" s="397"/>
    </row>
    <row r="261">
      <c r="A261" s="398"/>
      <c r="B261" s="386"/>
      <c r="C261" s="387" t="str">
        <f>IF(A261="","",IFERROR(IF(VLOOKUP(A261,'1. Inbound Leads'!A:G,7,FALSE)=0,"",VLOOKUP(A261,'1. Inbound Leads'!A:G,7,FALSE)),""))</f>
        <v/>
      </c>
      <c r="D261" s="387" t="str">
        <f>IF(A261="","",IFERROR(IF(VLOOKUP(A261,'1. Inbound Leads'!A:L,12,FALSE)=0,"",VLOOKUP(A261,'1. Inbound Leads'!A:L,12,FALSE)),""))</f>
        <v/>
      </c>
      <c r="E261" s="388"/>
      <c r="F261" s="389"/>
      <c r="G261" s="387"/>
      <c r="H261" s="387"/>
      <c r="I261" s="387"/>
      <c r="J261" s="387"/>
      <c r="K261" s="387"/>
      <c r="L261" s="387"/>
      <c r="M261" s="388"/>
      <c r="N261" s="388"/>
      <c r="O261" s="390"/>
      <c r="P261" s="391"/>
      <c r="Q261" s="389"/>
      <c r="R261" s="390"/>
      <c r="S261" s="390"/>
      <c r="T261" s="391"/>
      <c r="U261" s="392"/>
      <c r="V261" s="391"/>
      <c r="W261" s="391"/>
      <c r="X261" s="388"/>
      <c r="Y261" s="391"/>
      <c r="Z261" s="393"/>
      <c r="AA261" s="355" t="str">
        <f t="shared" si="1"/>
        <v/>
      </c>
      <c r="AB261" s="391"/>
      <c r="AC261" s="394" t="str">
        <f t="shared" si="2"/>
        <v/>
      </c>
      <c r="AD261" s="389"/>
      <c r="AE261" s="399"/>
      <c r="AF261" s="395"/>
      <c r="AG261" s="396" t="str">
        <f t="shared" si="3"/>
        <v/>
      </c>
      <c r="AH261" s="396" t="str">
        <f t="shared" si="4"/>
        <v/>
      </c>
      <c r="AI261" s="388"/>
      <c r="AJ261" s="388"/>
      <c r="AK261" s="397"/>
    </row>
    <row r="262">
      <c r="A262" s="398"/>
      <c r="B262" s="386"/>
      <c r="C262" s="387" t="str">
        <f>IF(A262="","",IFERROR(IF(VLOOKUP(A262,'1. Inbound Leads'!A:G,7,FALSE)=0,"",VLOOKUP(A262,'1. Inbound Leads'!A:G,7,FALSE)),""))</f>
        <v/>
      </c>
      <c r="D262" s="387" t="str">
        <f>IF(A262="","",IFERROR(IF(VLOOKUP(A262,'1. Inbound Leads'!A:L,12,FALSE)=0,"",VLOOKUP(A262,'1. Inbound Leads'!A:L,12,FALSE)),""))</f>
        <v/>
      </c>
      <c r="E262" s="388"/>
      <c r="F262" s="389"/>
      <c r="G262" s="387"/>
      <c r="H262" s="387"/>
      <c r="I262" s="387"/>
      <c r="J262" s="387"/>
      <c r="K262" s="387"/>
      <c r="L262" s="387"/>
      <c r="M262" s="388"/>
      <c r="N262" s="388"/>
      <c r="O262" s="390"/>
      <c r="P262" s="391"/>
      <c r="Q262" s="389"/>
      <c r="R262" s="390"/>
      <c r="S262" s="390"/>
      <c r="T262" s="391"/>
      <c r="U262" s="392"/>
      <c r="V262" s="391"/>
      <c r="W262" s="391"/>
      <c r="X262" s="388"/>
      <c r="Y262" s="391"/>
      <c r="Z262" s="393"/>
      <c r="AA262" s="355" t="str">
        <f t="shared" si="1"/>
        <v/>
      </c>
      <c r="AB262" s="391"/>
      <c r="AC262" s="394" t="str">
        <f t="shared" si="2"/>
        <v/>
      </c>
      <c r="AD262" s="389"/>
      <c r="AE262" s="399"/>
      <c r="AF262" s="395"/>
      <c r="AG262" s="396" t="str">
        <f t="shared" si="3"/>
        <v/>
      </c>
      <c r="AH262" s="396" t="str">
        <f t="shared" si="4"/>
        <v/>
      </c>
      <c r="AI262" s="388"/>
      <c r="AJ262" s="388"/>
      <c r="AK262" s="397"/>
    </row>
    <row r="263">
      <c r="A263" s="398"/>
      <c r="B263" s="386"/>
      <c r="C263" s="387" t="str">
        <f>IF(A263="","",IFERROR(IF(VLOOKUP(A263,'1. Inbound Leads'!A:G,7,FALSE)=0,"",VLOOKUP(A263,'1. Inbound Leads'!A:G,7,FALSE)),""))</f>
        <v/>
      </c>
      <c r="D263" s="387" t="str">
        <f>IF(A263="","",IFERROR(IF(VLOOKUP(A263,'1. Inbound Leads'!A:L,12,FALSE)=0,"",VLOOKUP(A263,'1. Inbound Leads'!A:L,12,FALSE)),""))</f>
        <v/>
      </c>
      <c r="E263" s="388"/>
      <c r="F263" s="389"/>
      <c r="G263" s="387"/>
      <c r="H263" s="387"/>
      <c r="I263" s="387"/>
      <c r="J263" s="387"/>
      <c r="K263" s="387"/>
      <c r="L263" s="387"/>
      <c r="M263" s="388"/>
      <c r="N263" s="388"/>
      <c r="O263" s="390"/>
      <c r="P263" s="391"/>
      <c r="Q263" s="389"/>
      <c r="R263" s="390"/>
      <c r="S263" s="390"/>
      <c r="T263" s="391"/>
      <c r="U263" s="392"/>
      <c r="V263" s="391"/>
      <c r="W263" s="391"/>
      <c r="X263" s="388"/>
      <c r="Y263" s="391"/>
      <c r="Z263" s="393"/>
      <c r="AA263" s="355" t="str">
        <f t="shared" si="1"/>
        <v/>
      </c>
      <c r="AB263" s="391"/>
      <c r="AC263" s="394" t="str">
        <f t="shared" si="2"/>
        <v/>
      </c>
      <c r="AD263" s="389"/>
      <c r="AE263" s="399"/>
      <c r="AF263" s="395"/>
      <c r="AG263" s="396" t="str">
        <f t="shared" si="3"/>
        <v/>
      </c>
      <c r="AH263" s="396" t="str">
        <f t="shared" si="4"/>
        <v/>
      </c>
      <c r="AI263" s="388"/>
      <c r="AJ263" s="388"/>
      <c r="AK263" s="397"/>
    </row>
    <row r="264">
      <c r="A264" s="398"/>
      <c r="B264" s="386"/>
      <c r="C264" s="387" t="str">
        <f>IF(A264="","",IFERROR(IF(VLOOKUP(A264,'1. Inbound Leads'!A:G,7,FALSE)=0,"",VLOOKUP(A264,'1. Inbound Leads'!A:G,7,FALSE)),""))</f>
        <v/>
      </c>
      <c r="D264" s="387" t="str">
        <f>IF(A264="","",IFERROR(IF(VLOOKUP(A264,'1. Inbound Leads'!A:L,12,FALSE)=0,"",VLOOKUP(A264,'1. Inbound Leads'!A:L,12,FALSE)),""))</f>
        <v/>
      </c>
      <c r="E264" s="388"/>
      <c r="F264" s="389"/>
      <c r="G264" s="387"/>
      <c r="H264" s="387"/>
      <c r="I264" s="387"/>
      <c r="J264" s="387"/>
      <c r="K264" s="387"/>
      <c r="L264" s="387"/>
      <c r="M264" s="388"/>
      <c r="N264" s="388"/>
      <c r="O264" s="390"/>
      <c r="P264" s="391"/>
      <c r="Q264" s="389"/>
      <c r="R264" s="390"/>
      <c r="S264" s="390"/>
      <c r="T264" s="391"/>
      <c r="U264" s="392"/>
      <c r="V264" s="391"/>
      <c r="W264" s="391"/>
      <c r="X264" s="388"/>
      <c r="Y264" s="391"/>
      <c r="Z264" s="393"/>
      <c r="AA264" s="355" t="str">
        <f t="shared" si="1"/>
        <v/>
      </c>
      <c r="AB264" s="391"/>
      <c r="AC264" s="394" t="str">
        <f t="shared" si="2"/>
        <v/>
      </c>
      <c r="AD264" s="389"/>
      <c r="AE264" s="399"/>
      <c r="AF264" s="395"/>
      <c r="AG264" s="396" t="str">
        <f t="shared" si="3"/>
        <v/>
      </c>
      <c r="AH264" s="396" t="str">
        <f t="shared" si="4"/>
        <v/>
      </c>
      <c r="AI264" s="388"/>
      <c r="AJ264" s="388"/>
      <c r="AK264" s="397"/>
    </row>
    <row r="265">
      <c r="A265" s="398"/>
      <c r="B265" s="386"/>
      <c r="C265" s="387" t="str">
        <f>IF(A265="","",IFERROR(IF(VLOOKUP(A265,'1. Inbound Leads'!A:G,7,FALSE)=0,"",VLOOKUP(A265,'1. Inbound Leads'!A:G,7,FALSE)),""))</f>
        <v/>
      </c>
      <c r="D265" s="387" t="str">
        <f>IF(A265="","",IFERROR(IF(VLOOKUP(A265,'1. Inbound Leads'!A:L,12,FALSE)=0,"",VLOOKUP(A265,'1. Inbound Leads'!A:L,12,FALSE)),""))</f>
        <v/>
      </c>
      <c r="E265" s="388"/>
      <c r="F265" s="389"/>
      <c r="G265" s="387"/>
      <c r="H265" s="387"/>
      <c r="I265" s="387"/>
      <c r="J265" s="387"/>
      <c r="K265" s="387"/>
      <c r="L265" s="387"/>
      <c r="M265" s="388"/>
      <c r="N265" s="388"/>
      <c r="O265" s="390"/>
      <c r="P265" s="391"/>
      <c r="Q265" s="389"/>
      <c r="R265" s="390"/>
      <c r="S265" s="390"/>
      <c r="T265" s="391"/>
      <c r="U265" s="392"/>
      <c r="V265" s="391"/>
      <c r="W265" s="391"/>
      <c r="X265" s="388"/>
      <c r="Y265" s="391"/>
      <c r="Z265" s="393"/>
      <c r="AA265" s="355" t="str">
        <f t="shared" si="1"/>
        <v/>
      </c>
      <c r="AB265" s="391"/>
      <c r="AC265" s="394" t="str">
        <f t="shared" si="2"/>
        <v/>
      </c>
      <c r="AD265" s="389"/>
      <c r="AE265" s="399"/>
      <c r="AF265" s="395"/>
      <c r="AG265" s="396" t="str">
        <f t="shared" si="3"/>
        <v/>
      </c>
      <c r="AH265" s="396" t="str">
        <f t="shared" si="4"/>
        <v/>
      </c>
      <c r="AI265" s="388"/>
      <c r="AJ265" s="388"/>
      <c r="AK265" s="397"/>
    </row>
    <row r="266">
      <c r="A266" s="398"/>
      <c r="B266" s="386"/>
      <c r="C266" s="387" t="str">
        <f>IF(A266="","",IFERROR(IF(VLOOKUP(A266,'1. Inbound Leads'!A:G,7,FALSE)=0,"",VLOOKUP(A266,'1. Inbound Leads'!A:G,7,FALSE)),""))</f>
        <v/>
      </c>
      <c r="D266" s="387" t="str">
        <f>IF(A266="","",IFERROR(IF(VLOOKUP(A266,'1. Inbound Leads'!A:L,12,FALSE)=0,"",VLOOKUP(A266,'1. Inbound Leads'!A:L,12,FALSE)),""))</f>
        <v/>
      </c>
      <c r="E266" s="388"/>
      <c r="F266" s="389"/>
      <c r="G266" s="387"/>
      <c r="H266" s="387"/>
      <c r="I266" s="387"/>
      <c r="J266" s="387"/>
      <c r="K266" s="387"/>
      <c r="L266" s="387"/>
      <c r="M266" s="388"/>
      <c r="N266" s="388"/>
      <c r="O266" s="390"/>
      <c r="P266" s="391"/>
      <c r="Q266" s="389"/>
      <c r="R266" s="390"/>
      <c r="S266" s="390"/>
      <c r="T266" s="391"/>
      <c r="U266" s="392"/>
      <c r="V266" s="391"/>
      <c r="W266" s="391"/>
      <c r="X266" s="388"/>
      <c r="Y266" s="391"/>
      <c r="Z266" s="393"/>
      <c r="AA266" s="355" t="str">
        <f t="shared" si="1"/>
        <v/>
      </c>
      <c r="AB266" s="391"/>
      <c r="AC266" s="394" t="str">
        <f t="shared" si="2"/>
        <v/>
      </c>
      <c r="AD266" s="389"/>
      <c r="AE266" s="399"/>
      <c r="AF266" s="395"/>
      <c r="AG266" s="396" t="str">
        <f t="shared" si="3"/>
        <v/>
      </c>
      <c r="AH266" s="396" t="str">
        <f t="shared" si="4"/>
        <v/>
      </c>
      <c r="AI266" s="388"/>
      <c r="AJ266" s="388"/>
      <c r="AK266" s="397"/>
    </row>
    <row r="267">
      <c r="A267" s="398"/>
      <c r="B267" s="386"/>
      <c r="C267" s="387" t="str">
        <f>IF(A267="","",IFERROR(IF(VLOOKUP(A267,'1. Inbound Leads'!A:G,7,FALSE)=0,"",VLOOKUP(A267,'1. Inbound Leads'!A:G,7,FALSE)),""))</f>
        <v/>
      </c>
      <c r="D267" s="387" t="str">
        <f>IF(A267="","",IFERROR(IF(VLOOKUP(A267,'1. Inbound Leads'!A:L,12,FALSE)=0,"",VLOOKUP(A267,'1. Inbound Leads'!A:L,12,FALSE)),""))</f>
        <v/>
      </c>
      <c r="E267" s="388"/>
      <c r="F267" s="389"/>
      <c r="G267" s="387"/>
      <c r="H267" s="387"/>
      <c r="I267" s="387"/>
      <c r="J267" s="387"/>
      <c r="K267" s="387"/>
      <c r="L267" s="387"/>
      <c r="M267" s="388"/>
      <c r="N267" s="388"/>
      <c r="O267" s="390"/>
      <c r="P267" s="391"/>
      <c r="Q267" s="389"/>
      <c r="R267" s="390"/>
      <c r="S267" s="390"/>
      <c r="T267" s="391"/>
      <c r="U267" s="392"/>
      <c r="V267" s="391"/>
      <c r="W267" s="391"/>
      <c r="X267" s="388"/>
      <c r="Y267" s="391"/>
      <c r="Z267" s="393"/>
      <c r="AA267" s="355" t="str">
        <f t="shared" si="1"/>
        <v/>
      </c>
      <c r="AB267" s="391"/>
      <c r="AC267" s="394" t="str">
        <f t="shared" si="2"/>
        <v/>
      </c>
      <c r="AD267" s="389"/>
      <c r="AE267" s="399"/>
      <c r="AF267" s="395"/>
      <c r="AG267" s="396" t="str">
        <f t="shared" si="3"/>
        <v/>
      </c>
      <c r="AH267" s="396" t="str">
        <f t="shared" si="4"/>
        <v/>
      </c>
      <c r="AI267" s="388"/>
      <c r="AJ267" s="388"/>
      <c r="AK267" s="397"/>
    </row>
    <row r="268">
      <c r="A268" s="398"/>
      <c r="B268" s="386"/>
      <c r="C268" s="387" t="str">
        <f>IF(A268="","",IFERROR(IF(VLOOKUP(A268,'1. Inbound Leads'!A:G,7,FALSE)=0,"",VLOOKUP(A268,'1. Inbound Leads'!A:G,7,FALSE)),""))</f>
        <v/>
      </c>
      <c r="D268" s="387" t="str">
        <f>IF(A268="","",IFERROR(IF(VLOOKUP(A268,'1. Inbound Leads'!A:L,12,FALSE)=0,"",VLOOKUP(A268,'1. Inbound Leads'!A:L,12,FALSE)),""))</f>
        <v/>
      </c>
      <c r="E268" s="388"/>
      <c r="F268" s="389"/>
      <c r="G268" s="387"/>
      <c r="H268" s="387"/>
      <c r="I268" s="387"/>
      <c r="J268" s="387"/>
      <c r="K268" s="387"/>
      <c r="L268" s="387"/>
      <c r="M268" s="388"/>
      <c r="N268" s="388"/>
      <c r="O268" s="390"/>
      <c r="P268" s="391"/>
      <c r="Q268" s="389"/>
      <c r="R268" s="390"/>
      <c r="S268" s="390"/>
      <c r="T268" s="391"/>
      <c r="U268" s="392"/>
      <c r="V268" s="391"/>
      <c r="W268" s="391"/>
      <c r="X268" s="388"/>
      <c r="Y268" s="391"/>
      <c r="Z268" s="393"/>
      <c r="AA268" s="355" t="str">
        <f t="shared" si="1"/>
        <v/>
      </c>
      <c r="AB268" s="391"/>
      <c r="AC268" s="394" t="str">
        <f t="shared" si="2"/>
        <v/>
      </c>
      <c r="AD268" s="389"/>
      <c r="AE268" s="399"/>
      <c r="AF268" s="395"/>
      <c r="AG268" s="396" t="str">
        <f t="shared" si="3"/>
        <v/>
      </c>
      <c r="AH268" s="396" t="str">
        <f t="shared" si="4"/>
        <v/>
      </c>
      <c r="AI268" s="388"/>
      <c r="AJ268" s="388"/>
      <c r="AK268" s="397"/>
    </row>
    <row r="269">
      <c r="A269" s="398"/>
      <c r="B269" s="386"/>
      <c r="C269" s="387" t="str">
        <f>IF(A269="","",IFERROR(IF(VLOOKUP(A269,'1. Inbound Leads'!A:G,7,FALSE)=0,"",VLOOKUP(A269,'1. Inbound Leads'!A:G,7,FALSE)),""))</f>
        <v/>
      </c>
      <c r="D269" s="387" t="str">
        <f>IF(A269="","",IFERROR(IF(VLOOKUP(A269,'1. Inbound Leads'!A:L,12,FALSE)=0,"",VLOOKUP(A269,'1. Inbound Leads'!A:L,12,FALSE)),""))</f>
        <v/>
      </c>
      <c r="E269" s="388"/>
      <c r="F269" s="389"/>
      <c r="G269" s="387"/>
      <c r="H269" s="387"/>
      <c r="I269" s="387"/>
      <c r="J269" s="387"/>
      <c r="K269" s="387"/>
      <c r="L269" s="387"/>
      <c r="M269" s="388"/>
      <c r="N269" s="388"/>
      <c r="O269" s="390"/>
      <c r="P269" s="391"/>
      <c r="Q269" s="389"/>
      <c r="R269" s="390"/>
      <c r="S269" s="390"/>
      <c r="T269" s="391"/>
      <c r="U269" s="392"/>
      <c r="V269" s="391"/>
      <c r="W269" s="391"/>
      <c r="X269" s="388"/>
      <c r="Y269" s="391"/>
      <c r="Z269" s="393"/>
      <c r="AA269" s="355" t="str">
        <f t="shared" si="1"/>
        <v/>
      </c>
      <c r="AB269" s="391"/>
      <c r="AC269" s="394" t="str">
        <f t="shared" si="2"/>
        <v/>
      </c>
      <c r="AD269" s="389"/>
      <c r="AE269" s="399"/>
      <c r="AF269" s="395"/>
      <c r="AG269" s="396" t="str">
        <f t="shared" si="3"/>
        <v/>
      </c>
      <c r="AH269" s="396" t="str">
        <f t="shared" si="4"/>
        <v/>
      </c>
      <c r="AI269" s="388"/>
      <c r="AJ269" s="388"/>
      <c r="AK269" s="397"/>
    </row>
    <row r="270">
      <c r="A270" s="398"/>
      <c r="B270" s="386"/>
      <c r="C270" s="387" t="str">
        <f>IF(A270="","",IFERROR(IF(VLOOKUP(A270,'1. Inbound Leads'!A:G,7,FALSE)=0,"",VLOOKUP(A270,'1. Inbound Leads'!A:G,7,FALSE)),""))</f>
        <v/>
      </c>
      <c r="D270" s="387" t="str">
        <f>IF(A270="","",IFERROR(IF(VLOOKUP(A270,'1. Inbound Leads'!A:L,12,FALSE)=0,"",VLOOKUP(A270,'1. Inbound Leads'!A:L,12,FALSE)),""))</f>
        <v/>
      </c>
      <c r="E270" s="388"/>
      <c r="F270" s="389"/>
      <c r="G270" s="387"/>
      <c r="H270" s="387"/>
      <c r="I270" s="387"/>
      <c r="J270" s="387"/>
      <c r="K270" s="387"/>
      <c r="L270" s="387"/>
      <c r="M270" s="388"/>
      <c r="N270" s="388"/>
      <c r="O270" s="390"/>
      <c r="P270" s="391"/>
      <c r="Q270" s="389"/>
      <c r="R270" s="390"/>
      <c r="S270" s="390"/>
      <c r="T270" s="391"/>
      <c r="U270" s="392"/>
      <c r="V270" s="391"/>
      <c r="W270" s="391"/>
      <c r="X270" s="388"/>
      <c r="Y270" s="391"/>
      <c r="Z270" s="393"/>
      <c r="AA270" s="355" t="str">
        <f t="shared" si="1"/>
        <v/>
      </c>
      <c r="AB270" s="391"/>
      <c r="AC270" s="394" t="str">
        <f t="shared" si="2"/>
        <v/>
      </c>
      <c r="AD270" s="389"/>
      <c r="AE270" s="399"/>
      <c r="AF270" s="395"/>
      <c r="AG270" s="396" t="str">
        <f t="shared" si="3"/>
        <v/>
      </c>
      <c r="AH270" s="396" t="str">
        <f t="shared" si="4"/>
        <v/>
      </c>
      <c r="AI270" s="388"/>
      <c r="AJ270" s="388"/>
      <c r="AK270" s="397"/>
    </row>
    <row r="271">
      <c r="A271" s="398"/>
      <c r="B271" s="386"/>
      <c r="C271" s="387" t="str">
        <f>IF(A271="","",IFERROR(IF(VLOOKUP(A271,'1. Inbound Leads'!A:G,7,FALSE)=0,"",VLOOKUP(A271,'1. Inbound Leads'!A:G,7,FALSE)),""))</f>
        <v/>
      </c>
      <c r="D271" s="387" t="str">
        <f>IF(A271="","",IFERROR(IF(VLOOKUP(A271,'1. Inbound Leads'!A:L,12,FALSE)=0,"",VLOOKUP(A271,'1. Inbound Leads'!A:L,12,FALSE)),""))</f>
        <v/>
      </c>
      <c r="E271" s="388"/>
      <c r="F271" s="389"/>
      <c r="G271" s="387"/>
      <c r="H271" s="387"/>
      <c r="I271" s="387"/>
      <c r="J271" s="387"/>
      <c r="K271" s="387"/>
      <c r="L271" s="387"/>
      <c r="M271" s="388"/>
      <c r="N271" s="388"/>
      <c r="O271" s="390"/>
      <c r="P271" s="391"/>
      <c r="Q271" s="389"/>
      <c r="R271" s="390"/>
      <c r="S271" s="390"/>
      <c r="T271" s="391"/>
      <c r="U271" s="392"/>
      <c r="V271" s="391"/>
      <c r="W271" s="391"/>
      <c r="X271" s="388"/>
      <c r="Y271" s="391"/>
      <c r="Z271" s="393"/>
      <c r="AA271" s="355" t="str">
        <f t="shared" si="1"/>
        <v/>
      </c>
      <c r="AB271" s="391"/>
      <c r="AC271" s="394" t="str">
        <f t="shared" si="2"/>
        <v/>
      </c>
      <c r="AD271" s="389"/>
      <c r="AE271" s="399"/>
      <c r="AF271" s="395"/>
      <c r="AG271" s="396" t="str">
        <f t="shared" si="3"/>
        <v/>
      </c>
      <c r="AH271" s="396" t="str">
        <f t="shared" si="4"/>
        <v/>
      </c>
      <c r="AI271" s="388"/>
      <c r="AJ271" s="388"/>
      <c r="AK271" s="397"/>
    </row>
    <row r="272">
      <c r="A272" s="398"/>
      <c r="B272" s="386"/>
      <c r="C272" s="387" t="str">
        <f>IF(A272="","",IFERROR(IF(VLOOKUP(A272,'1. Inbound Leads'!A:G,7,FALSE)=0,"",VLOOKUP(A272,'1. Inbound Leads'!A:G,7,FALSE)),""))</f>
        <v/>
      </c>
      <c r="D272" s="387" t="str">
        <f>IF(A272="","",IFERROR(IF(VLOOKUP(A272,'1. Inbound Leads'!A:L,12,FALSE)=0,"",VLOOKUP(A272,'1. Inbound Leads'!A:L,12,FALSE)),""))</f>
        <v/>
      </c>
      <c r="E272" s="388"/>
      <c r="F272" s="389"/>
      <c r="G272" s="387"/>
      <c r="H272" s="387"/>
      <c r="I272" s="387"/>
      <c r="J272" s="387"/>
      <c r="K272" s="387"/>
      <c r="L272" s="387"/>
      <c r="M272" s="388"/>
      <c r="N272" s="388"/>
      <c r="O272" s="390"/>
      <c r="P272" s="391"/>
      <c r="Q272" s="389"/>
      <c r="R272" s="390"/>
      <c r="S272" s="390"/>
      <c r="T272" s="391"/>
      <c r="U272" s="392"/>
      <c r="V272" s="391"/>
      <c r="W272" s="391"/>
      <c r="X272" s="388"/>
      <c r="Y272" s="391"/>
      <c r="Z272" s="393"/>
      <c r="AA272" s="355" t="str">
        <f t="shared" si="1"/>
        <v/>
      </c>
      <c r="AB272" s="391"/>
      <c r="AC272" s="394" t="str">
        <f t="shared" si="2"/>
        <v/>
      </c>
      <c r="AD272" s="389"/>
      <c r="AE272" s="399"/>
      <c r="AF272" s="395"/>
      <c r="AG272" s="396" t="str">
        <f t="shared" si="3"/>
        <v/>
      </c>
      <c r="AH272" s="396" t="str">
        <f t="shared" si="4"/>
        <v/>
      </c>
      <c r="AI272" s="388"/>
      <c r="AJ272" s="388"/>
      <c r="AK272" s="397"/>
    </row>
    <row r="273">
      <c r="A273" s="398"/>
      <c r="B273" s="386"/>
      <c r="C273" s="387" t="str">
        <f>IF(A273="","",IFERROR(IF(VLOOKUP(A273,'1. Inbound Leads'!A:G,7,FALSE)=0,"",VLOOKUP(A273,'1. Inbound Leads'!A:G,7,FALSE)),""))</f>
        <v/>
      </c>
      <c r="D273" s="387" t="str">
        <f>IF(A273="","",IFERROR(IF(VLOOKUP(A273,'1. Inbound Leads'!A:L,12,FALSE)=0,"",VLOOKUP(A273,'1. Inbound Leads'!A:L,12,FALSE)),""))</f>
        <v/>
      </c>
      <c r="E273" s="388"/>
      <c r="F273" s="389"/>
      <c r="G273" s="387"/>
      <c r="H273" s="387"/>
      <c r="I273" s="387"/>
      <c r="J273" s="387"/>
      <c r="K273" s="387"/>
      <c r="L273" s="387"/>
      <c r="M273" s="388"/>
      <c r="N273" s="388"/>
      <c r="O273" s="390"/>
      <c r="P273" s="391"/>
      <c r="Q273" s="389"/>
      <c r="R273" s="390"/>
      <c r="S273" s="390"/>
      <c r="T273" s="391"/>
      <c r="U273" s="392"/>
      <c r="V273" s="391"/>
      <c r="W273" s="391"/>
      <c r="X273" s="388"/>
      <c r="Y273" s="391"/>
      <c r="Z273" s="393"/>
      <c r="AA273" s="355" t="str">
        <f t="shared" si="1"/>
        <v/>
      </c>
      <c r="AB273" s="391"/>
      <c r="AC273" s="394" t="str">
        <f t="shared" si="2"/>
        <v/>
      </c>
      <c r="AD273" s="389"/>
      <c r="AE273" s="399"/>
      <c r="AF273" s="395"/>
      <c r="AG273" s="396" t="str">
        <f t="shared" si="3"/>
        <v/>
      </c>
      <c r="AH273" s="396" t="str">
        <f t="shared" si="4"/>
        <v/>
      </c>
      <c r="AI273" s="388"/>
      <c r="AJ273" s="388"/>
      <c r="AK273" s="397"/>
    </row>
    <row r="274">
      <c r="A274" s="398"/>
      <c r="B274" s="386"/>
      <c r="C274" s="387" t="str">
        <f>IF(A274="","",IFERROR(IF(VLOOKUP(A274,'1. Inbound Leads'!A:G,7,FALSE)=0,"",VLOOKUP(A274,'1. Inbound Leads'!A:G,7,FALSE)),""))</f>
        <v/>
      </c>
      <c r="D274" s="387" t="str">
        <f>IF(A274="","",IFERROR(IF(VLOOKUP(A274,'1. Inbound Leads'!A:L,12,FALSE)=0,"",VLOOKUP(A274,'1. Inbound Leads'!A:L,12,FALSE)),""))</f>
        <v/>
      </c>
      <c r="E274" s="388"/>
      <c r="F274" s="389"/>
      <c r="G274" s="387"/>
      <c r="H274" s="387"/>
      <c r="I274" s="387"/>
      <c r="J274" s="387"/>
      <c r="K274" s="387"/>
      <c r="L274" s="387"/>
      <c r="M274" s="388"/>
      <c r="N274" s="388"/>
      <c r="O274" s="390"/>
      <c r="P274" s="391"/>
      <c r="Q274" s="389"/>
      <c r="R274" s="390"/>
      <c r="S274" s="390"/>
      <c r="T274" s="391"/>
      <c r="U274" s="392"/>
      <c r="V274" s="391"/>
      <c r="W274" s="391"/>
      <c r="X274" s="388"/>
      <c r="Y274" s="391"/>
      <c r="Z274" s="393"/>
      <c r="AA274" s="355" t="str">
        <f t="shared" si="1"/>
        <v/>
      </c>
      <c r="AB274" s="391"/>
      <c r="AC274" s="394" t="str">
        <f t="shared" si="2"/>
        <v/>
      </c>
      <c r="AD274" s="389"/>
      <c r="AE274" s="399"/>
      <c r="AF274" s="395"/>
      <c r="AG274" s="396" t="str">
        <f t="shared" si="3"/>
        <v/>
      </c>
      <c r="AH274" s="396" t="str">
        <f t="shared" si="4"/>
        <v/>
      </c>
      <c r="AI274" s="388"/>
      <c r="AJ274" s="388"/>
      <c r="AK274" s="397"/>
    </row>
    <row r="275">
      <c r="A275" s="398"/>
      <c r="B275" s="386"/>
      <c r="C275" s="387" t="str">
        <f>IF(A275="","",IFERROR(IF(VLOOKUP(A275,'1. Inbound Leads'!A:G,7,FALSE)=0,"",VLOOKUP(A275,'1. Inbound Leads'!A:G,7,FALSE)),""))</f>
        <v/>
      </c>
      <c r="D275" s="387" t="str">
        <f>IF(A275="","",IFERROR(IF(VLOOKUP(A275,'1. Inbound Leads'!A:L,12,FALSE)=0,"",VLOOKUP(A275,'1. Inbound Leads'!A:L,12,FALSE)),""))</f>
        <v/>
      </c>
      <c r="E275" s="388"/>
      <c r="F275" s="389"/>
      <c r="G275" s="387"/>
      <c r="H275" s="387"/>
      <c r="I275" s="387"/>
      <c r="J275" s="387"/>
      <c r="K275" s="387"/>
      <c r="L275" s="387"/>
      <c r="M275" s="388"/>
      <c r="N275" s="388"/>
      <c r="O275" s="390"/>
      <c r="P275" s="391"/>
      <c r="Q275" s="389"/>
      <c r="R275" s="390"/>
      <c r="S275" s="390"/>
      <c r="T275" s="391"/>
      <c r="U275" s="392"/>
      <c r="V275" s="391"/>
      <c r="W275" s="391"/>
      <c r="X275" s="388"/>
      <c r="Y275" s="391"/>
      <c r="Z275" s="393"/>
      <c r="AA275" s="355" t="str">
        <f t="shared" si="1"/>
        <v/>
      </c>
      <c r="AB275" s="391"/>
      <c r="AC275" s="394" t="str">
        <f t="shared" si="2"/>
        <v/>
      </c>
      <c r="AD275" s="389"/>
      <c r="AE275" s="399"/>
      <c r="AF275" s="395"/>
      <c r="AG275" s="396" t="str">
        <f t="shared" si="3"/>
        <v/>
      </c>
      <c r="AH275" s="396" t="str">
        <f t="shared" si="4"/>
        <v/>
      </c>
      <c r="AI275" s="388"/>
      <c r="AJ275" s="388"/>
      <c r="AK275" s="397"/>
    </row>
    <row r="276">
      <c r="A276" s="398"/>
      <c r="B276" s="386"/>
      <c r="C276" s="387" t="str">
        <f>IF(A276="","",IFERROR(IF(VLOOKUP(A276,'1. Inbound Leads'!A:G,7,FALSE)=0,"",VLOOKUP(A276,'1. Inbound Leads'!A:G,7,FALSE)),""))</f>
        <v/>
      </c>
      <c r="D276" s="387" t="str">
        <f>IF(A276="","",IFERROR(IF(VLOOKUP(A276,'1. Inbound Leads'!A:L,12,FALSE)=0,"",VLOOKUP(A276,'1. Inbound Leads'!A:L,12,FALSE)),""))</f>
        <v/>
      </c>
      <c r="E276" s="388"/>
      <c r="F276" s="389"/>
      <c r="G276" s="387"/>
      <c r="H276" s="387"/>
      <c r="I276" s="387"/>
      <c r="J276" s="387"/>
      <c r="K276" s="387"/>
      <c r="L276" s="387"/>
      <c r="M276" s="388"/>
      <c r="N276" s="388"/>
      <c r="O276" s="390"/>
      <c r="P276" s="391"/>
      <c r="Q276" s="389"/>
      <c r="R276" s="390"/>
      <c r="S276" s="390"/>
      <c r="T276" s="391"/>
      <c r="U276" s="392"/>
      <c r="V276" s="391"/>
      <c r="W276" s="391"/>
      <c r="X276" s="388"/>
      <c r="Y276" s="391"/>
      <c r="Z276" s="393"/>
      <c r="AA276" s="355" t="str">
        <f t="shared" si="1"/>
        <v/>
      </c>
      <c r="AB276" s="391"/>
      <c r="AC276" s="394" t="str">
        <f t="shared" si="2"/>
        <v/>
      </c>
      <c r="AD276" s="389"/>
      <c r="AE276" s="399"/>
      <c r="AF276" s="395"/>
      <c r="AG276" s="396" t="str">
        <f t="shared" si="3"/>
        <v/>
      </c>
      <c r="AH276" s="396" t="str">
        <f t="shared" si="4"/>
        <v/>
      </c>
      <c r="AI276" s="388"/>
      <c r="AJ276" s="388"/>
      <c r="AK276" s="397"/>
    </row>
    <row r="277">
      <c r="A277" s="398"/>
      <c r="B277" s="386"/>
      <c r="C277" s="387" t="str">
        <f>IF(A277="","",IFERROR(IF(VLOOKUP(A277,'1. Inbound Leads'!A:G,7,FALSE)=0,"",VLOOKUP(A277,'1. Inbound Leads'!A:G,7,FALSE)),""))</f>
        <v/>
      </c>
      <c r="D277" s="387" t="str">
        <f>IF(A277="","",IFERROR(IF(VLOOKUP(A277,'1. Inbound Leads'!A:L,12,FALSE)=0,"",VLOOKUP(A277,'1. Inbound Leads'!A:L,12,FALSE)),""))</f>
        <v/>
      </c>
      <c r="E277" s="388"/>
      <c r="F277" s="389"/>
      <c r="G277" s="387"/>
      <c r="H277" s="387"/>
      <c r="I277" s="387"/>
      <c r="J277" s="387"/>
      <c r="K277" s="387"/>
      <c r="L277" s="387"/>
      <c r="M277" s="388"/>
      <c r="N277" s="388"/>
      <c r="O277" s="390"/>
      <c r="P277" s="391"/>
      <c r="Q277" s="389"/>
      <c r="R277" s="390"/>
      <c r="S277" s="390"/>
      <c r="T277" s="391"/>
      <c r="U277" s="392"/>
      <c r="V277" s="391"/>
      <c r="W277" s="391"/>
      <c r="X277" s="388"/>
      <c r="Y277" s="391"/>
      <c r="Z277" s="393"/>
      <c r="AA277" s="355" t="str">
        <f t="shared" si="1"/>
        <v/>
      </c>
      <c r="AB277" s="391"/>
      <c r="AC277" s="394" t="str">
        <f t="shared" si="2"/>
        <v/>
      </c>
      <c r="AD277" s="389"/>
      <c r="AE277" s="399"/>
      <c r="AF277" s="395"/>
      <c r="AG277" s="396" t="str">
        <f t="shared" si="3"/>
        <v/>
      </c>
      <c r="AH277" s="396" t="str">
        <f t="shared" si="4"/>
        <v/>
      </c>
      <c r="AI277" s="388"/>
      <c r="AJ277" s="388"/>
      <c r="AK277" s="397"/>
    </row>
    <row r="278">
      <c r="A278" s="398"/>
      <c r="B278" s="386"/>
      <c r="C278" s="387" t="str">
        <f>IF(A278="","",IFERROR(IF(VLOOKUP(A278,'1. Inbound Leads'!A:G,7,FALSE)=0,"",VLOOKUP(A278,'1. Inbound Leads'!A:G,7,FALSE)),""))</f>
        <v/>
      </c>
      <c r="D278" s="387" t="str">
        <f>IF(A278="","",IFERROR(IF(VLOOKUP(A278,'1. Inbound Leads'!A:L,12,FALSE)=0,"",VLOOKUP(A278,'1. Inbound Leads'!A:L,12,FALSE)),""))</f>
        <v/>
      </c>
      <c r="E278" s="388"/>
      <c r="F278" s="389"/>
      <c r="G278" s="387"/>
      <c r="H278" s="387"/>
      <c r="I278" s="387"/>
      <c r="J278" s="387"/>
      <c r="K278" s="387"/>
      <c r="L278" s="387"/>
      <c r="M278" s="388"/>
      <c r="N278" s="388"/>
      <c r="O278" s="390"/>
      <c r="P278" s="391"/>
      <c r="Q278" s="389"/>
      <c r="R278" s="390"/>
      <c r="S278" s="390"/>
      <c r="T278" s="391"/>
      <c r="U278" s="392"/>
      <c r="V278" s="391"/>
      <c r="W278" s="391"/>
      <c r="X278" s="388"/>
      <c r="Y278" s="391"/>
      <c r="Z278" s="393"/>
      <c r="AA278" s="355" t="str">
        <f t="shared" si="1"/>
        <v/>
      </c>
      <c r="AB278" s="391"/>
      <c r="AC278" s="394" t="str">
        <f t="shared" si="2"/>
        <v/>
      </c>
      <c r="AD278" s="389"/>
      <c r="AE278" s="399"/>
      <c r="AF278" s="395"/>
      <c r="AG278" s="396" t="str">
        <f t="shared" si="3"/>
        <v/>
      </c>
      <c r="AH278" s="396" t="str">
        <f t="shared" si="4"/>
        <v/>
      </c>
      <c r="AI278" s="388"/>
      <c r="AJ278" s="388"/>
      <c r="AK278" s="397"/>
    </row>
    <row r="279">
      <c r="A279" s="398"/>
      <c r="B279" s="386"/>
      <c r="C279" s="387" t="str">
        <f>IF(A279="","",IFERROR(IF(VLOOKUP(A279,'1. Inbound Leads'!A:G,7,FALSE)=0,"",VLOOKUP(A279,'1. Inbound Leads'!A:G,7,FALSE)),""))</f>
        <v/>
      </c>
      <c r="D279" s="387" t="str">
        <f>IF(A279="","",IFERROR(IF(VLOOKUP(A279,'1. Inbound Leads'!A:L,12,FALSE)=0,"",VLOOKUP(A279,'1. Inbound Leads'!A:L,12,FALSE)),""))</f>
        <v/>
      </c>
      <c r="E279" s="388"/>
      <c r="F279" s="389"/>
      <c r="G279" s="387"/>
      <c r="H279" s="387"/>
      <c r="I279" s="387"/>
      <c r="J279" s="387"/>
      <c r="K279" s="387"/>
      <c r="L279" s="387"/>
      <c r="M279" s="388"/>
      <c r="N279" s="388"/>
      <c r="O279" s="390"/>
      <c r="P279" s="391"/>
      <c r="Q279" s="389"/>
      <c r="R279" s="390"/>
      <c r="S279" s="390"/>
      <c r="T279" s="391"/>
      <c r="U279" s="392"/>
      <c r="V279" s="391"/>
      <c r="W279" s="391"/>
      <c r="X279" s="388"/>
      <c r="Y279" s="391"/>
      <c r="Z279" s="393"/>
      <c r="AA279" s="355" t="str">
        <f t="shared" si="1"/>
        <v/>
      </c>
      <c r="AB279" s="391"/>
      <c r="AC279" s="394" t="str">
        <f t="shared" si="2"/>
        <v/>
      </c>
      <c r="AD279" s="389"/>
      <c r="AE279" s="399"/>
      <c r="AF279" s="395"/>
      <c r="AG279" s="396" t="str">
        <f t="shared" si="3"/>
        <v/>
      </c>
      <c r="AH279" s="396" t="str">
        <f t="shared" si="4"/>
        <v/>
      </c>
      <c r="AI279" s="388"/>
      <c r="AJ279" s="388"/>
      <c r="AK279" s="397"/>
    </row>
    <row r="280">
      <c r="A280" s="398"/>
      <c r="B280" s="386"/>
      <c r="C280" s="387" t="str">
        <f>IF(A280="","",IFERROR(IF(VLOOKUP(A280,'1. Inbound Leads'!A:G,7,FALSE)=0,"",VLOOKUP(A280,'1. Inbound Leads'!A:G,7,FALSE)),""))</f>
        <v/>
      </c>
      <c r="D280" s="387" t="str">
        <f>IF(A280="","",IFERROR(IF(VLOOKUP(A280,'1. Inbound Leads'!A:L,12,FALSE)=0,"",VLOOKUP(A280,'1. Inbound Leads'!A:L,12,FALSE)),""))</f>
        <v/>
      </c>
      <c r="E280" s="388"/>
      <c r="F280" s="389"/>
      <c r="G280" s="387"/>
      <c r="H280" s="387"/>
      <c r="I280" s="387"/>
      <c r="J280" s="387"/>
      <c r="K280" s="387"/>
      <c r="L280" s="387"/>
      <c r="M280" s="388"/>
      <c r="N280" s="388"/>
      <c r="O280" s="390"/>
      <c r="P280" s="391"/>
      <c r="Q280" s="389"/>
      <c r="R280" s="390"/>
      <c r="S280" s="390"/>
      <c r="T280" s="391"/>
      <c r="U280" s="392"/>
      <c r="V280" s="391"/>
      <c r="W280" s="391"/>
      <c r="X280" s="388"/>
      <c r="Y280" s="391"/>
      <c r="Z280" s="393"/>
      <c r="AA280" s="355" t="str">
        <f t="shared" si="1"/>
        <v/>
      </c>
      <c r="AB280" s="391"/>
      <c r="AC280" s="394" t="str">
        <f t="shared" si="2"/>
        <v/>
      </c>
      <c r="AD280" s="389"/>
      <c r="AE280" s="399"/>
      <c r="AF280" s="395"/>
      <c r="AG280" s="396" t="str">
        <f t="shared" si="3"/>
        <v/>
      </c>
      <c r="AH280" s="396" t="str">
        <f t="shared" si="4"/>
        <v/>
      </c>
      <c r="AI280" s="388"/>
      <c r="AJ280" s="388"/>
      <c r="AK280" s="397"/>
    </row>
    <row r="281">
      <c r="A281" s="398"/>
      <c r="B281" s="386"/>
      <c r="C281" s="387" t="str">
        <f>IF(A281="","",IFERROR(IF(VLOOKUP(A281,'1. Inbound Leads'!A:G,7,FALSE)=0,"",VLOOKUP(A281,'1. Inbound Leads'!A:G,7,FALSE)),""))</f>
        <v/>
      </c>
      <c r="D281" s="387" t="str">
        <f>IF(A281="","",IFERROR(IF(VLOOKUP(A281,'1. Inbound Leads'!A:L,12,FALSE)=0,"",VLOOKUP(A281,'1. Inbound Leads'!A:L,12,FALSE)),""))</f>
        <v/>
      </c>
      <c r="E281" s="388"/>
      <c r="F281" s="389"/>
      <c r="G281" s="387"/>
      <c r="H281" s="387"/>
      <c r="I281" s="387"/>
      <c r="J281" s="387"/>
      <c r="K281" s="387"/>
      <c r="L281" s="387"/>
      <c r="M281" s="388"/>
      <c r="N281" s="388"/>
      <c r="O281" s="390"/>
      <c r="P281" s="391"/>
      <c r="Q281" s="389"/>
      <c r="R281" s="390"/>
      <c r="S281" s="390"/>
      <c r="T281" s="391"/>
      <c r="U281" s="392"/>
      <c r="V281" s="391"/>
      <c r="W281" s="391"/>
      <c r="X281" s="388"/>
      <c r="Y281" s="391"/>
      <c r="Z281" s="393"/>
      <c r="AA281" s="355" t="str">
        <f t="shared" si="1"/>
        <v/>
      </c>
      <c r="AB281" s="391"/>
      <c r="AC281" s="394" t="str">
        <f t="shared" si="2"/>
        <v/>
      </c>
      <c r="AD281" s="389"/>
      <c r="AE281" s="399"/>
      <c r="AF281" s="395"/>
      <c r="AG281" s="396" t="str">
        <f t="shared" si="3"/>
        <v/>
      </c>
      <c r="AH281" s="396" t="str">
        <f t="shared" si="4"/>
        <v/>
      </c>
      <c r="AI281" s="388"/>
      <c r="AJ281" s="388"/>
      <c r="AK281" s="397"/>
    </row>
    <row r="282">
      <c r="A282" s="398"/>
      <c r="B282" s="386"/>
      <c r="C282" s="387" t="str">
        <f>IF(A282="","",IFERROR(IF(VLOOKUP(A282,'1. Inbound Leads'!A:G,7,FALSE)=0,"",VLOOKUP(A282,'1. Inbound Leads'!A:G,7,FALSE)),""))</f>
        <v/>
      </c>
      <c r="D282" s="387" t="str">
        <f>IF(A282="","",IFERROR(IF(VLOOKUP(A282,'1. Inbound Leads'!A:L,12,FALSE)=0,"",VLOOKUP(A282,'1. Inbound Leads'!A:L,12,FALSE)),""))</f>
        <v/>
      </c>
      <c r="E282" s="388"/>
      <c r="F282" s="389"/>
      <c r="G282" s="387"/>
      <c r="H282" s="387"/>
      <c r="I282" s="387"/>
      <c r="J282" s="387"/>
      <c r="K282" s="387"/>
      <c r="L282" s="387"/>
      <c r="M282" s="388"/>
      <c r="N282" s="388"/>
      <c r="O282" s="390"/>
      <c r="P282" s="391"/>
      <c r="Q282" s="389"/>
      <c r="R282" s="390"/>
      <c r="S282" s="390"/>
      <c r="T282" s="391"/>
      <c r="U282" s="392"/>
      <c r="V282" s="391"/>
      <c r="W282" s="391"/>
      <c r="X282" s="388"/>
      <c r="Y282" s="391"/>
      <c r="Z282" s="393"/>
      <c r="AA282" s="355" t="str">
        <f t="shared" si="1"/>
        <v/>
      </c>
      <c r="AB282" s="391"/>
      <c r="AC282" s="394" t="str">
        <f t="shared" si="2"/>
        <v/>
      </c>
      <c r="AD282" s="389"/>
      <c r="AE282" s="399"/>
      <c r="AF282" s="395"/>
      <c r="AG282" s="396" t="str">
        <f t="shared" si="3"/>
        <v/>
      </c>
      <c r="AH282" s="396" t="str">
        <f t="shared" si="4"/>
        <v/>
      </c>
      <c r="AI282" s="388"/>
      <c r="AJ282" s="388"/>
      <c r="AK282" s="397"/>
    </row>
    <row r="283">
      <c r="A283" s="398"/>
      <c r="B283" s="386"/>
      <c r="C283" s="387" t="str">
        <f>IF(A283="","",IFERROR(IF(VLOOKUP(A283,'1. Inbound Leads'!A:G,7,FALSE)=0,"",VLOOKUP(A283,'1. Inbound Leads'!A:G,7,FALSE)),""))</f>
        <v/>
      </c>
      <c r="D283" s="387" t="str">
        <f>IF(A283="","",IFERROR(IF(VLOOKUP(A283,'1. Inbound Leads'!A:L,12,FALSE)=0,"",VLOOKUP(A283,'1. Inbound Leads'!A:L,12,FALSE)),""))</f>
        <v/>
      </c>
      <c r="E283" s="388"/>
      <c r="F283" s="389"/>
      <c r="G283" s="387"/>
      <c r="H283" s="387"/>
      <c r="I283" s="387"/>
      <c r="J283" s="387"/>
      <c r="K283" s="387"/>
      <c r="L283" s="387"/>
      <c r="M283" s="388"/>
      <c r="N283" s="388"/>
      <c r="O283" s="390"/>
      <c r="P283" s="391"/>
      <c r="Q283" s="389"/>
      <c r="R283" s="390"/>
      <c r="S283" s="390"/>
      <c r="T283" s="391"/>
      <c r="U283" s="392"/>
      <c r="V283" s="391"/>
      <c r="W283" s="391"/>
      <c r="X283" s="388"/>
      <c r="Y283" s="391"/>
      <c r="Z283" s="393"/>
      <c r="AA283" s="355" t="str">
        <f t="shared" si="1"/>
        <v/>
      </c>
      <c r="AB283" s="391"/>
      <c r="AC283" s="394" t="str">
        <f t="shared" si="2"/>
        <v/>
      </c>
      <c r="AD283" s="389"/>
      <c r="AE283" s="399"/>
      <c r="AF283" s="395"/>
      <c r="AG283" s="396" t="str">
        <f t="shared" si="3"/>
        <v/>
      </c>
      <c r="AH283" s="396" t="str">
        <f t="shared" si="4"/>
        <v/>
      </c>
      <c r="AI283" s="388"/>
      <c r="AJ283" s="388"/>
      <c r="AK283" s="397"/>
    </row>
    <row r="284">
      <c r="A284" s="398"/>
      <c r="B284" s="386"/>
      <c r="C284" s="387" t="str">
        <f>IF(A284="","",IFERROR(IF(VLOOKUP(A284,'1. Inbound Leads'!A:G,7,FALSE)=0,"",VLOOKUP(A284,'1. Inbound Leads'!A:G,7,FALSE)),""))</f>
        <v/>
      </c>
      <c r="D284" s="387" t="str">
        <f>IF(A284="","",IFERROR(IF(VLOOKUP(A284,'1. Inbound Leads'!A:L,12,FALSE)=0,"",VLOOKUP(A284,'1. Inbound Leads'!A:L,12,FALSE)),""))</f>
        <v/>
      </c>
      <c r="E284" s="388"/>
      <c r="F284" s="389"/>
      <c r="G284" s="387"/>
      <c r="H284" s="387"/>
      <c r="I284" s="387"/>
      <c r="J284" s="387"/>
      <c r="K284" s="387"/>
      <c r="L284" s="387"/>
      <c r="M284" s="388"/>
      <c r="N284" s="388"/>
      <c r="O284" s="390"/>
      <c r="P284" s="391"/>
      <c r="Q284" s="389"/>
      <c r="R284" s="390"/>
      <c r="S284" s="390"/>
      <c r="T284" s="391"/>
      <c r="U284" s="392"/>
      <c r="V284" s="391"/>
      <c r="W284" s="391"/>
      <c r="X284" s="388"/>
      <c r="Y284" s="391"/>
      <c r="Z284" s="393"/>
      <c r="AA284" s="355" t="str">
        <f t="shared" si="1"/>
        <v/>
      </c>
      <c r="AB284" s="391"/>
      <c r="AC284" s="394" t="str">
        <f t="shared" si="2"/>
        <v/>
      </c>
      <c r="AD284" s="389"/>
      <c r="AE284" s="399"/>
      <c r="AF284" s="395"/>
      <c r="AG284" s="396" t="str">
        <f t="shared" si="3"/>
        <v/>
      </c>
      <c r="AH284" s="396" t="str">
        <f t="shared" si="4"/>
        <v/>
      </c>
      <c r="AI284" s="388"/>
      <c r="AJ284" s="388"/>
      <c r="AK284" s="397"/>
    </row>
    <row r="285">
      <c r="A285" s="398"/>
      <c r="B285" s="386"/>
      <c r="C285" s="387" t="str">
        <f>IF(A285="","",IFERROR(IF(VLOOKUP(A285,'1. Inbound Leads'!A:G,7,FALSE)=0,"",VLOOKUP(A285,'1. Inbound Leads'!A:G,7,FALSE)),""))</f>
        <v/>
      </c>
      <c r="D285" s="387" t="str">
        <f>IF(A285="","",IFERROR(IF(VLOOKUP(A285,'1. Inbound Leads'!A:L,12,FALSE)=0,"",VLOOKUP(A285,'1. Inbound Leads'!A:L,12,FALSE)),""))</f>
        <v/>
      </c>
      <c r="E285" s="388"/>
      <c r="F285" s="389"/>
      <c r="G285" s="387"/>
      <c r="H285" s="387"/>
      <c r="I285" s="387"/>
      <c r="J285" s="387"/>
      <c r="K285" s="387"/>
      <c r="L285" s="387"/>
      <c r="M285" s="388"/>
      <c r="N285" s="388"/>
      <c r="O285" s="390"/>
      <c r="P285" s="391"/>
      <c r="Q285" s="389"/>
      <c r="R285" s="390"/>
      <c r="S285" s="390"/>
      <c r="T285" s="391"/>
      <c r="U285" s="392"/>
      <c r="V285" s="391"/>
      <c r="W285" s="391"/>
      <c r="X285" s="388"/>
      <c r="Y285" s="391"/>
      <c r="Z285" s="393"/>
      <c r="AA285" s="355" t="str">
        <f t="shared" si="1"/>
        <v/>
      </c>
      <c r="AB285" s="391"/>
      <c r="AC285" s="394" t="str">
        <f t="shared" si="2"/>
        <v/>
      </c>
      <c r="AD285" s="389"/>
      <c r="AE285" s="399"/>
      <c r="AF285" s="395"/>
      <c r="AG285" s="396" t="str">
        <f t="shared" si="3"/>
        <v/>
      </c>
      <c r="AH285" s="396" t="str">
        <f t="shared" si="4"/>
        <v/>
      </c>
      <c r="AI285" s="388"/>
      <c r="AJ285" s="388"/>
      <c r="AK285" s="397"/>
    </row>
    <row r="286">
      <c r="A286" s="398"/>
      <c r="B286" s="386"/>
      <c r="C286" s="387" t="str">
        <f>IF(A286="","",IFERROR(IF(VLOOKUP(A286,'1. Inbound Leads'!A:G,7,FALSE)=0,"",VLOOKUP(A286,'1. Inbound Leads'!A:G,7,FALSE)),""))</f>
        <v/>
      </c>
      <c r="D286" s="387" t="str">
        <f>IF(A286="","",IFERROR(IF(VLOOKUP(A286,'1. Inbound Leads'!A:L,12,FALSE)=0,"",VLOOKUP(A286,'1. Inbound Leads'!A:L,12,FALSE)),""))</f>
        <v/>
      </c>
      <c r="E286" s="388"/>
      <c r="F286" s="389"/>
      <c r="G286" s="387"/>
      <c r="H286" s="387"/>
      <c r="I286" s="387"/>
      <c r="J286" s="387"/>
      <c r="K286" s="387"/>
      <c r="L286" s="387"/>
      <c r="M286" s="388"/>
      <c r="N286" s="388"/>
      <c r="O286" s="390"/>
      <c r="P286" s="391"/>
      <c r="Q286" s="389"/>
      <c r="R286" s="390"/>
      <c r="S286" s="390"/>
      <c r="T286" s="391"/>
      <c r="U286" s="392"/>
      <c r="V286" s="391"/>
      <c r="W286" s="391"/>
      <c r="X286" s="388"/>
      <c r="Y286" s="391"/>
      <c r="Z286" s="393"/>
      <c r="AA286" s="355" t="str">
        <f t="shared" si="1"/>
        <v/>
      </c>
      <c r="AB286" s="391"/>
      <c r="AC286" s="394" t="str">
        <f t="shared" si="2"/>
        <v/>
      </c>
      <c r="AD286" s="389"/>
      <c r="AE286" s="399"/>
      <c r="AF286" s="395"/>
      <c r="AG286" s="396" t="str">
        <f t="shared" si="3"/>
        <v/>
      </c>
      <c r="AH286" s="396" t="str">
        <f t="shared" si="4"/>
        <v/>
      </c>
      <c r="AI286" s="388"/>
      <c r="AJ286" s="388"/>
      <c r="AK286" s="397"/>
    </row>
    <row r="287">
      <c r="A287" s="398"/>
      <c r="B287" s="386"/>
      <c r="C287" s="387" t="str">
        <f>IF(A287="","",IFERROR(IF(VLOOKUP(A287,'1. Inbound Leads'!A:G,7,FALSE)=0,"",VLOOKUP(A287,'1. Inbound Leads'!A:G,7,FALSE)),""))</f>
        <v/>
      </c>
      <c r="D287" s="387" t="str">
        <f>IF(A287="","",IFERROR(IF(VLOOKUP(A287,'1. Inbound Leads'!A:L,12,FALSE)=0,"",VLOOKUP(A287,'1. Inbound Leads'!A:L,12,FALSE)),""))</f>
        <v/>
      </c>
      <c r="E287" s="388"/>
      <c r="F287" s="389"/>
      <c r="G287" s="387"/>
      <c r="H287" s="387"/>
      <c r="I287" s="387"/>
      <c r="J287" s="387"/>
      <c r="K287" s="387"/>
      <c r="L287" s="387"/>
      <c r="M287" s="388"/>
      <c r="N287" s="388"/>
      <c r="O287" s="390"/>
      <c r="P287" s="391"/>
      <c r="Q287" s="389"/>
      <c r="R287" s="390"/>
      <c r="S287" s="390"/>
      <c r="T287" s="391"/>
      <c r="U287" s="392"/>
      <c r="V287" s="391"/>
      <c r="W287" s="391"/>
      <c r="X287" s="388"/>
      <c r="Y287" s="391"/>
      <c r="Z287" s="393"/>
      <c r="AA287" s="355" t="str">
        <f t="shared" si="1"/>
        <v/>
      </c>
      <c r="AB287" s="391"/>
      <c r="AC287" s="394" t="str">
        <f t="shared" si="2"/>
        <v/>
      </c>
      <c r="AD287" s="389"/>
      <c r="AE287" s="399"/>
      <c r="AF287" s="395"/>
      <c r="AG287" s="396" t="str">
        <f t="shared" si="3"/>
        <v/>
      </c>
      <c r="AH287" s="396" t="str">
        <f t="shared" si="4"/>
        <v/>
      </c>
      <c r="AI287" s="388"/>
      <c r="AJ287" s="388"/>
      <c r="AK287" s="397"/>
    </row>
    <row r="288">
      <c r="A288" s="398"/>
      <c r="B288" s="386"/>
      <c r="C288" s="387" t="str">
        <f>IF(A288="","",IFERROR(IF(VLOOKUP(A288,'1. Inbound Leads'!A:G,7,FALSE)=0,"",VLOOKUP(A288,'1. Inbound Leads'!A:G,7,FALSE)),""))</f>
        <v/>
      </c>
      <c r="D288" s="387" t="str">
        <f>IF(A288="","",IFERROR(IF(VLOOKUP(A288,'1. Inbound Leads'!A:L,12,FALSE)=0,"",VLOOKUP(A288,'1. Inbound Leads'!A:L,12,FALSE)),""))</f>
        <v/>
      </c>
      <c r="E288" s="388"/>
      <c r="F288" s="389"/>
      <c r="G288" s="387"/>
      <c r="H288" s="387"/>
      <c r="I288" s="387"/>
      <c r="J288" s="387"/>
      <c r="K288" s="387"/>
      <c r="L288" s="387"/>
      <c r="M288" s="388"/>
      <c r="N288" s="388"/>
      <c r="O288" s="390"/>
      <c r="P288" s="391"/>
      <c r="Q288" s="389"/>
      <c r="R288" s="390"/>
      <c r="S288" s="390"/>
      <c r="T288" s="391"/>
      <c r="U288" s="392"/>
      <c r="V288" s="391"/>
      <c r="W288" s="391"/>
      <c r="X288" s="388"/>
      <c r="Y288" s="391"/>
      <c r="Z288" s="393"/>
      <c r="AA288" s="355" t="str">
        <f t="shared" si="1"/>
        <v/>
      </c>
      <c r="AB288" s="391"/>
      <c r="AC288" s="394" t="str">
        <f t="shared" si="2"/>
        <v/>
      </c>
      <c r="AD288" s="389"/>
      <c r="AE288" s="399"/>
      <c r="AF288" s="395"/>
      <c r="AG288" s="396" t="str">
        <f t="shared" si="3"/>
        <v/>
      </c>
      <c r="AH288" s="396" t="str">
        <f t="shared" si="4"/>
        <v/>
      </c>
      <c r="AI288" s="388"/>
      <c r="AJ288" s="388"/>
      <c r="AK288" s="397"/>
    </row>
    <row r="289">
      <c r="A289" s="398"/>
      <c r="B289" s="386"/>
      <c r="C289" s="387" t="str">
        <f>IF(A289="","",IFERROR(IF(VLOOKUP(A289,'1. Inbound Leads'!A:G,7,FALSE)=0,"",VLOOKUP(A289,'1. Inbound Leads'!A:G,7,FALSE)),""))</f>
        <v/>
      </c>
      <c r="D289" s="387" t="str">
        <f>IF(A289="","",IFERROR(IF(VLOOKUP(A289,'1. Inbound Leads'!A:L,12,FALSE)=0,"",VLOOKUP(A289,'1. Inbound Leads'!A:L,12,FALSE)),""))</f>
        <v/>
      </c>
      <c r="E289" s="388"/>
      <c r="F289" s="389"/>
      <c r="G289" s="387"/>
      <c r="H289" s="387"/>
      <c r="I289" s="387"/>
      <c r="J289" s="387"/>
      <c r="K289" s="387"/>
      <c r="L289" s="387"/>
      <c r="M289" s="388"/>
      <c r="N289" s="388"/>
      <c r="O289" s="390"/>
      <c r="P289" s="391"/>
      <c r="Q289" s="389"/>
      <c r="R289" s="390"/>
      <c r="S289" s="390"/>
      <c r="T289" s="391"/>
      <c r="U289" s="392"/>
      <c r="V289" s="391"/>
      <c r="W289" s="391"/>
      <c r="X289" s="388"/>
      <c r="Y289" s="391"/>
      <c r="Z289" s="393"/>
      <c r="AA289" s="355" t="str">
        <f t="shared" si="1"/>
        <v/>
      </c>
      <c r="AB289" s="391"/>
      <c r="AC289" s="394" t="str">
        <f t="shared" si="2"/>
        <v/>
      </c>
      <c r="AD289" s="389"/>
      <c r="AE289" s="399"/>
      <c r="AF289" s="395"/>
      <c r="AG289" s="396" t="str">
        <f t="shared" si="3"/>
        <v/>
      </c>
      <c r="AH289" s="396" t="str">
        <f t="shared" si="4"/>
        <v/>
      </c>
      <c r="AI289" s="388"/>
      <c r="AJ289" s="388"/>
      <c r="AK289" s="397"/>
    </row>
    <row r="290">
      <c r="A290" s="398"/>
      <c r="B290" s="386"/>
      <c r="C290" s="387" t="str">
        <f>IF(A290="","",IFERROR(IF(VLOOKUP(A290,'1. Inbound Leads'!A:G,7,FALSE)=0,"",VLOOKUP(A290,'1. Inbound Leads'!A:G,7,FALSE)),""))</f>
        <v/>
      </c>
      <c r="D290" s="387" t="str">
        <f>IF(A290="","",IFERROR(IF(VLOOKUP(A290,'1. Inbound Leads'!A:L,12,FALSE)=0,"",VLOOKUP(A290,'1. Inbound Leads'!A:L,12,FALSE)),""))</f>
        <v/>
      </c>
      <c r="E290" s="388"/>
      <c r="F290" s="389"/>
      <c r="G290" s="387"/>
      <c r="H290" s="387"/>
      <c r="I290" s="387"/>
      <c r="J290" s="387"/>
      <c r="K290" s="387"/>
      <c r="L290" s="387"/>
      <c r="M290" s="388"/>
      <c r="N290" s="388"/>
      <c r="O290" s="390"/>
      <c r="P290" s="391"/>
      <c r="Q290" s="389"/>
      <c r="R290" s="390"/>
      <c r="S290" s="390"/>
      <c r="T290" s="391"/>
      <c r="U290" s="392"/>
      <c r="V290" s="391"/>
      <c r="W290" s="391"/>
      <c r="X290" s="388"/>
      <c r="Y290" s="391"/>
      <c r="Z290" s="393"/>
      <c r="AA290" s="355" t="str">
        <f t="shared" si="1"/>
        <v/>
      </c>
      <c r="AB290" s="391"/>
      <c r="AC290" s="394" t="str">
        <f t="shared" si="2"/>
        <v/>
      </c>
      <c r="AD290" s="389"/>
      <c r="AE290" s="399"/>
      <c r="AF290" s="395"/>
      <c r="AG290" s="396" t="str">
        <f t="shared" si="3"/>
        <v/>
      </c>
      <c r="AH290" s="396" t="str">
        <f t="shared" si="4"/>
        <v/>
      </c>
      <c r="AI290" s="388"/>
      <c r="AJ290" s="388"/>
      <c r="AK290" s="397"/>
    </row>
    <row r="291">
      <c r="A291" s="398"/>
      <c r="B291" s="386"/>
      <c r="C291" s="387" t="str">
        <f>IF(A291="","",IFERROR(IF(VLOOKUP(A291,'1. Inbound Leads'!A:G,7,FALSE)=0,"",VLOOKUP(A291,'1. Inbound Leads'!A:G,7,FALSE)),""))</f>
        <v/>
      </c>
      <c r="D291" s="387" t="str">
        <f>IF(A291="","",IFERROR(IF(VLOOKUP(A291,'1. Inbound Leads'!A:L,12,FALSE)=0,"",VLOOKUP(A291,'1. Inbound Leads'!A:L,12,FALSE)),""))</f>
        <v/>
      </c>
      <c r="E291" s="388"/>
      <c r="F291" s="389"/>
      <c r="G291" s="387"/>
      <c r="H291" s="387"/>
      <c r="I291" s="387"/>
      <c r="J291" s="387"/>
      <c r="K291" s="387"/>
      <c r="L291" s="387"/>
      <c r="M291" s="388"/>
      <c r="N291" s="388"/>
      <c r="O291" s="390"/>
      <c r="P291" s="391"/>
      <c r="Q291" s="389"/>
      <c r="R291" s="390"/>
      <c r="S291" s="390"/>
      <c r="T291" s="391"/>
      <c r="U291" s="392"/>
      <c r="V291" s="391"/>
      <c r="W291" s="391"/>
      <c r="X291" s="388"/>
      <c r="Y291" s="391"/>
      <c r="Z291" s="393"/>
      <c r="AA291" s="355" t="str">
        <f t="shared" si="1"/>
        <v/>
      </c>
      <c r="AB291" s="391"/>
      <c r="AC291" s="394" t="str">
        <f t="shared" si="2"/>
        <v/>
      </c>
      <c r="AD291" s="389"/>
      <c r="AE291" s="399"/>
      <c r="AF291" s="395"/>
      <c r="AG291" s="396" t="str">
        <f t="shared" si="3"/>
        <v/>
      </c>
      <c r="AH291" s="396" t="str">
        <f t="shared" si="4"/>
        <v/>
      </c>
      <c r="AI291" s="388"/>
      <c r="AJ291" s="388"/>
      <c r="AK291" s="397"/>
    </row>
    <row r="292">
      <c r="A292" s="398"/>
      <c r="B292" s="386"/>
      <c r="C292" s="387" t="str">
        <f>IF(A292="","",IFERROR(IF(VLOOKUP(A292,'1. Inbound Leads'!A:G,7,FALSE)=0,"",VLOOKUP(A292,'1. Inbound Leads'!A:G,7,FALSE)),""))</f>
        <v/>
      </c>
      <c r="D292" s="387" t="str">
        <f>IF(A292="","",IFERROR(IF(VLOOKUP(A292,'1. Inbound Leads'!A:L,12,FALSE)=0,"",VLOOKUP(A292,'1. Inbound Leads'!A:L,12,FALSE)),""))</f>
        <v/>
      </c>
      <c r="E292" s="388"/>
      <c r="F292" s="389"/>
      <c r="G292" s="387"/>
      <c r="H292" s="387"/>
      <c r="I292" s="387"/>
      <c r="J292" s="387"/>
      <c r="K292" s="387"/>
      <c r="L292" s="387"/>
      <c r="M292" s="388"/>
      <c r="N292" s="388"/>
      <c r="O292" s="390"/>
      <c r="P292" s="391"/>
      <c r="Q292" s="389"/>
      <c r="R292" s="390"/>
      <c r="S292" s="390"/>
      <c r="T292" s="391"/>
      <c r="U292" s="392"/>
      <c r="V292" s="391"/>
      <c r="W292" s="391"/>
      <c r="X292" s="388"/>
      <c r="Y292" s="391"/>
      <c r="Z292" s="393"/>
      <c r="AA292" s="355" t="str">
        <f t="shared" si="1"/>
        <v/>
      </c>
      <c r="AB292" s="391"/>
      <c r="AC292" s="394" t="str">
        <f t="shared" si="2"/>
        <v/>
      </c>
      <c r="AD292" s="389"/>
      <c r="AE292" s="399"/>
      <c r="AF292" s="395"/>
      <c r="AG292" s="396" t="str">
        <f t="shared" si="3"/>
        <v/>
      </c>
      <c r="AH292" s="396" t="str">
        <f t="shared" si="4"/>
        <v/>
      </c>
      <c r="AI292" s="388"/>
      <c r="AJ292" s="388"/>
      <c r="AK292" s="397"/>
    </row>
    <row r="293">
      <c r="A293" s="398"/>
      <c r="B293" s="386"/>
      <c r="C293" s="387" t="str">
        <f>IF(A293="","",IFERROR(IF(VLOOKUP(A293,'1. Inbound Leads'!A:G,7,FALSE)=0,"",VLOOKUP(A293,'1. Inbound Leads'!A:G,7,FALSE)),""))</f>
        <v/>
      </c>
      <c r="D293" s="387" t="str">
        <f>IF(A293="","",IFERROR(IF(VLOOKUP(A293,'1. Inbound Leads'!A:L,12,FALSE)=0,"",VLOOKUP(A293,'1. Inbound Leads'!A:L,12,FALSE)),""))</f>
        <v/>
      </c>
      <c r="E293" s="388"/>
      <c r="F293" s="389"/>
      <c r="G293" s="387"/>
      <c r="H293" s="387"/>
      <c r="I293" s="387"/>
      <c r="J293" s="387"/>
      <c r="K293" s="387"/>
      <c r="L293" s="387"/>
      <c r="M293" s="388"/>
      <c r="N293" s="388"/>
      <c r="O293" s="390"/>
      <c r="P293" s="391"/>
      <c r="Q293" s="389"/>
      <c r="R293" s="390"/>
      <c r="S293" s="390"/>
      <c r="T293" s="391"/>
      <c r="U293" s="392"/>
      <c r="V293" s="391"/>
      <c r="W293" s="391"/>
      <c r="X293" s="388"/>
      <c r="Y293" s="391"/>
      <c r="Z293" s="393"/>
      <c r="AA293" s="355" t="str">
        <f t="shared" si="1"/>
        <v/>
      </c>
      <c r="AB293" s="391"/>
      <c r="AC293" s="394" t="str">
        <f t="shared" si="2"/>
        <v/>
      </c>
      <c r="AD293" s="389"/>
      <c r="AE293" s="399"/>
      <c r="AF293" s="395"/>
      <c r="AG293" s="396" t="str">
        <f t="shared" si="3"/>
        <v/>
      </c>
      <c r="AH293" s="396" t="str">
        <f t="shared" si="4"/>
        <v/>
      </c>
      <c r="AI293" s="388"/>
      <c r="AJ293" s="388"/>
      <c r="AK293" s="397"/>
    </row>
    <row r="294">
      <c r="A294" s="398"/>
      <c r="B294" s="386"/>
      <c r="C294" s="387" t="str">
        <f>IF(A294="","",IFERROR(IF(VLOOKUP(A294,'1. Inbound Leads'!A:G,7,FALSE)=0,"",VLOOKUP(A294,'1. Inbound Leads'!A:G,7,FALSE)),""))</f>
        <v/>
      </c>
      <c r="D294" s="387" t="str">
        <f>IF(A294="","",IFERROR(IF(VLOOKUP(A294,'1. Inbound Leads'!A:L,12,FALSE)=0,"",VLOOKUP(A294,'1. Inbound Leads'!A:L,12,FALSE)),""))</f>
        <v/>
      </c>
      <c r="E294" s="388"/>
      <c r="F294" s="389"/>
      <c r="G294" s="387"/>
      <c r="H294" s="387"/>
      <c r="I294" s="387"/>
      <c r="J294" s="387"/>
      <c r="K294" s="387"/>
      <c r="L294" s="387"/>
      <c r="M294" s="388"/>
      <c r="N294" s="388"/>
      <c r="O294" s="390"/>
      <c r="P294" s="391"/>
      <c r="Q294" s="389"/>
      <c r="R294" s="390"/>
      <c r="S294" s="390"/>
      <c r="T294" s="391"/>
      <c r="U294" s="392"/>
      <c r="V294" s="391"/>
      <c r="W294" s="391"/>
      <c r="X294" s="388"/>
      <c r="Y294" s="391"/>
      <c r="Z294" s="393"/>
      <c r="AA294" s="355" t="str">
        <f t="shared" si="1"/>
        <v/>
      </c>
      <c r="AB294" s="391"/>
      <c r="AC294" s="394" t="str">
        <f t="shared" si="2"/>
        <v/>
      </c>
      <c r="AD294" s="389"/>
      <c r="AE294" s="399"/>
      <c r="AF294" s="395"/>
      <c r="AG294" s="396" t="str">
        <f t="shared" si="3"/>
        <v/>
      </c>
      <c r="AH294" s="396" t="str">
        <f t="shared" si="4"/>
        <v/>
      </c>
      <c r="AI294" s="388"/>
      <c r="AJ294" s="388"/>
      <c r="AK294" s="397"/>
    </row>
    <row r="295">
      <c r="A295" s="398"/>
      <c r="B295" s="386"/>
      <c r="C295" s="387" t="str">
        <f>IF(A295="","",IFERROR(IF(VLOOKUP(A295,'1. Inbound Leads'!A:G,7,FALSE)=0,"",VLOOKUP(A295,'1. Inbound Leads'!A:G,7,FALSE)),""))</f>
        <v/>
      </c>
      <c r="D295" s="387" t="str">
        <f>IF(A295="","",IFERROR(IF(VLOOKUP(A295,'1. Inbound Leads'!A:L,12,FALSE)=0,"",VLOOKUP(A295,'1. Inbound Leads'!A:L,12,FALSE)),""))</f>
        <v/>
      </c>
      <c r="E295" s="388"/>
      <c r="F295" s="389"/>
      <c r="G295" s="387"/>
      <c r="H295" s="387"/>
      <c r="I295" s="387"/>
      <c r="J295" s="387"/>
      <c r="K295" s="387"/>
      <c r="L295" s="387"/>
      <c r="M295" s="388"/>
      <c r="N295" s="388"/>
      <c r="O295" s="390"/>
      <c r="P295" s="391"/>
      <c r="Q295" s="389"/>
      <c r="R295" s="390"/>
      <c r="S295" s="390"/>
      <c r="T295" s="391"/>
      <c r="U295" s="392"/>
      <c r="V295" s="391"/>
      <c r="W295" s="391"/>
      <c r="X295" s="388"/>
      <c r="Y295" s="391"/>
      <c r="Z295" s="393"/>
      <c r="AA295" s="355" t="str">
        <f t="shared" si="1"/>
        <v/>
      </c>
      <c r="AB295" s="391"/>
      <c r="AC295" s="394" t="str">
        <f t="shared" si="2"/>
        <v/>
      </c>
      <c r="AD295" s="389"/>
      <c r="AE295" s="399"/>
      <c r="AF295" s="395"/>
      <c r="AG295" s="396" t="str">
        <f t="shared" si="3"/>
        <v/>
      </c>
      <c r="AH295" s="396" t="str">
        <f t="shared" si="4"/>
        <v/>
      </c>
      <c r="AI295" s="388"/>
      <c r="AJ295" s="388"/>
      <c r="AK295" s="397"/>
    </row>
    <row r="296">
      <c r="A296" s="398"/>
      <c r="B296" s="386"/>
      <c r="C296" s="387" t="str">
        <f>IF(A296="","",IFERROR(IF(VLOOKUP(A296,'1. Inbound Leads'!A:G,7,FALSE)=0,"",VLOOKUP(A296,'1. Inbound Leads'!A:G,7,FALSE)),""))</f>
        <v/>
      </c>
      <c r="D296" s="387" t="str">
        <f>IF(A296="","",IFERROR(IF(VLOOKUP(A296,'1. Inbound Leads'!A:L,12,FALSE)=0,"",VLOOKUP(A296,'1. Inbound Leads'!A:L,12,FALSE)),""))</f>
        <v/>
      </c>
      <c r="E296" s="388"/>
      <c r="F296" s="389"/>
      <c r="G296" s="387"/>
      <c r="H296" s="387"/>
      <c r="I296" s="387"/>
      <c r="J296" s="387"/>
      <c r="K296" s="387"/>
      <c r="L296" s="387"/>
      <c r="M296" s="388"/>
      <c r="N296" s="388"/>
      <c r="O296" s="390"/>
      <c r="P296" s="391"/>
      <c r="Q296" s="389"/>
      <c r="R296" s="390"/>
      <c r="S296" s="390"/>
      <c r="T296" s="391"/>
      <c r="U296" s="392"/>
      <c r="V296" s="391"/>
      <c r="W296" s="391"/>
      <c r="X296" s="388"/>
      <c r="Y296" s="391"/>
      <c r="Z296" s="393"/>
      <c r="AA296" s="355" t="str">
        <f t="shared" si="1"/>
        <v/>
      </c>
      <c r="AB296" s="391"/>
      <c r="AC296" s="394" t="str">
        <f t="shared" si="2"/>
        <v/>
      </c>
      <c r="AD296" s="389"/>
      <c r="AE296" s="399"/>
      <c r="AF296" s="395"/>
      <c r="AG296" s="396" t="str">
        <f t="shared" si="3"/>
        <v/>
      </c>
      <c r="AH296" s="396" t="str">
        <f t="shared" si="4"/>
        <v/>
      </c>
      <c r="AI296" s="388"/>
      <c r="AJ296" s="388"/>
      <c r="AK296" s="397"/>
    </row>
    <row r="297">
      <c r="A297" s="398"/>
      <c r="B297" s="386"/>
      <c r="C297" s="387" t="str">
        <f>IF(A297="","",IFERROR(IF(VLOOKUP(A297,'1. Inbound Leads'!A:G,7,FALSE)=0,"",VLOOKUP(A297,'1. Inbound Leads'!A:G,7,FALSE)),""))</f>
        <v/>
      </c>
      <c r="D297" s="387" t="str">
        <f>IF(A297="","",IFERROR(IF(VLOOKUP(A297,'1. Inbound Leads'!A:L,12,FALSE)=0,"",VLOOKUP(A297,'1. Inbound Leads'!A:L,12,FALSE)),""))</f>
        <v/>
      </c>
      <c r="E297" s="388"/>
      <c r="F297" s="389"/>
      <c r="G297" s="387"/>
      <c r="H297" s="387"/>
      <c r="I297" s="387"/>
      <c r="J297" s="387"/>
      <c r="K297" s="387"/>
      <c r="L297" s="387"/>
      <c r="M297" s="388"/>
      <c r="N297" s="388"/>
      <c r="O297" s="390"/>
      <c r="P297" s="391"/>
      <c r="Q297" s="389"/>
      <c r="R297" s="390"/>
      <c r="S297" s="390"/>
      <c r="T297" s="391"/>
      <c r="U297" s="392"/>
      <c r="V297" s="391"/>
      <c r="W297" s="391"/>
      <c r="X297" s="388"/>
      <c r="Y297" s="391"/>
      <c r="Z297" s="393"/>
      <c r="AA297" s="355" t="str">
        <f t="shared" si="1"/>
        <v/>
      </c>
      <c r="AB297" s="391"/>
      <c r="AC297" s="394" t="str">
        <f t="shared" si="2"/>
        <v/>
      </c>
      <c r="AD297" s="389"/>
      <c r="AE297" s="399"/>
      <c r="AF297" s="395"/>
      <c r="AG297" s="396" t="str">
        <f t="shared" si="3"/>
        <v/>
      </c>
      <c r="AH297" s="396" t="str">
        <f t="shared" si="4"/>
        <v/>
      </c>
      <c r="AI297" s="388"/>
      <c r="AJ297" s="388"/>
      <c r="AK297" s="397"/>
    </row>
    <row r="298">
      <c r="A298" s="398"/>
      <c r="B298" s="386"/>
      <c r="C298" s="387" t="str">
        <f>IF(A298="","",IFERROR(IF(VLOOKUP(A298,'1. Inbound Leads'!A:G,7,FALSE)=0,"",VLOOKUP(A298,'1. Inbound Leads'!A:G,7,FALSE)),""))</f>
        <v/>
      </c>
      <c r="D298" s="387" t="str">
        <f>IF(A298="","",IFERROR(IF(VLOOKUP(A298,'1. Inbound Leads'!A:L,12,FALSE)=0,"",VLOOKUP(A298,'1. Inbound Leads'!A:L,12,FALSE)),""))</f>
        <v/>
      </c>
      <c r="E298" s="388"/>
      <c r="F298" s="389"/>
      <c r="G298" s="387"/>
      <c r="H298" s="387"/>
      <c r="I298" s="387"/>
      <c r="J298" s="387"/>
      <c r="K298" s="387"/>
      <c r="L298" s="387"/>
      <c r="M298" s="388"/>
      <c r="N298" s="388"/>
      <c r="O298" s="390"/>
      <c r="P298" s="391"/>
      <c r="Q298" s="389"/>
      <c r="R298" s="390"/>
      <c r="S298" s="390"/>
      <c r="T298" s="391"/>
      <c r="U298" s="392"/>
      <c r="V298" s="391"/>
      <c r="W298" s="391"/>
      <c r="X298" s="388"/>
      <c r="Y298" s="391"/>
      <c r="Z298" s="393"/>
      <c r="AA298" s="355" t="str">
        <f t="shared" si="1"/>
        <v/>
      </c>
      <c r="AB298" s="391"/>
      <c r="AC298" s="394" t="str">
        <f t="shared" si="2"/>
        <v/>
      </c>
      <c r="AD298" s="389"/>
      <c r="AE298" s="399"/>
      <c r="AF298" s="395"/>
      <c r="AG298" s="396" t="str">
        <f t="shared" si="3"/>
        <v/>
      </c>
      <c r="AH298" s="396" t="str">
        <f t="shared" si="4"/>
        <v/>
      </c>
      <c r="AI298" s="388"/>
      <c r="AJ298" s="388"/>
      <c r="AK298" s="397"/>
    </row>
    <row r="299">
      <c r="A299" s="398"/>
      <c r="B299" s="386"/>
      <c r="C299" s="387" t="str">
        <f>IF(A299="","",IFERROR(IF(VLOOKUP(A299,'1. Inbound Leads'!A:G,7,FALSE)=0,"",VLOOKUP(A299,'1. Inbound Leads'!A:G,7,FALSE)),""))</f>
        <v/>
      </c>
      <c r="D299" s="387" t="str">
        <f>IF(A299="","",IFERROR(IF(VLOOKUP(A299,'1. Inbound Leads'!A:L,12,FALSE)=0,"",VLOOKUP(A299,'1. Inbound Leads'!A:L,12,FALSE)),""))</f>
        <v/>
      </c>
      <c r="E299" s="388"/>
      <c r="F299" s="389"/>
      <c r="G299" s="387"/>
      <c r="H299" s="387"/>
      <c r="I299" s="387"/>
      <c r="J299" s="387"/>
      <c r="K299" s="387"/>
      <c r="L299" s="387"/>
      <c r="M299" s="388"/>
      <c r="N299" s="388"/>
      <c r="O299" s="390"/>
      <c r="P299" s="391"/>
      <c r="Q299" s="389"/>
      <c r="R299" s="390"/>
      <c r="S299" s="390"/>
      <c r="T299" s="391"/>
      <c r="U299" s="392"/>
      <c r="V299" s="391"/>
      <c r="W299" s="391"/>
      <c r="X299" s="388"/>
      <c r="Y299" s="391"/>
      <c r="Z299" s="393"/>
      <c r="AA299" s="355" t="str">
        <f t="shared" si="1"/>
        <v/>
      </c>
      <c r="AB299" s="391"/>
      <c r="AC299" s="394" t="str">
        <f t="shared" si="2"/>
        <v/>
      </c>
      <c r="AD299" s="389"/>
      <c r="AE299" s="399"/>
      <c r="AF299" s="395"/>
      <c r="AG299" s="396" t="str">
        <f t="shared" si="3"/>
        <v/>
      </c>
      <c r="AH299" s="396" t="str">
        <f t="shared" si="4"/>
        <v/>
      </c>
      <c r="AI299" s="388"/>
      <c r="AJ299" s="388"/>
      <c r="AK299" s="397"/>
    </row>
    <row r="300">
      <c r="A300" s="398"/>
      <c r="B300" s="386"/>
      <c r="C300" s="387" t="str">
        <f>IF(A300="","",IFERROR(IF(VLOOKUP(A300,'1. Inbound Leads'!A:G,7,FALSE)=0,"",VLOOKUP(A300,'1. Inbound Leads'!A:G,7,FALSE)),""))</f>
        <v/>
      </c>
      <c r="D300" s="387" t="str">
        <f>IF(A300="","",IFERROR(IF(VLOOKUP(A300,'1. Inbound Leads'!A:L,12,FALSE)=0,"",VLOOKUP(A300,'1. Inbound Leads'!A:L,12,FALSE)),""))</f>
        <v/>
      </c>
      <c r="E300" s="388"/>
      <c r="F300" s="389"/>
      <c r="G300" s="387"/>
      <c r="H300" s="387"/>
      <c r="I300" s="387"/>
      <c r="J300" s="387"/>
      <c r="K300" s="387"/>
      <c r="L300" s="387"/>
      <c r="M300" s="388"/>
      <c r="N300" s="388"/>
      <c r="O300" s="390"/>
      <c r="P300" s="391"/>
      <c r="Q300" s="389"/>
      <c r="R300" s="390"/>
      <c r="S300" s="390"/>
      <c r="T300" s="391"/>
      <c r="U300" s="392"/>
      <c r="V300" s="391"/>
      <c r="W300" s="391"/>
      <c r="X300" s="388"/>
      <c r="Y300" s="391"/>
      <c r="Z300" s="393"/>
      <c r="AA300" s="355" t="str">
        <f t="shared" si="1"/>
        <v/>
      </c>
      <c r="AB300" s="391"/>
      <c r="AC300" s="394" t="str">
        <f t="shared" si="2"/>
        <v/>
      </c>
      <c r="AD300" s="389"/>
      <c r="AE300" s="399"/>
      <c r="AF300" s="395"/>
      <c r="AG300" s="396" t="str">
        <f t="shared" si="3"/>
        <v/>
      </c>
      <c r="AH300" s="396" t="str">
        <f t="shared" si="4"/>
        <v/>
      </c>
      <c r="AI300" s="388"/>
      <c r="AJ300" s="388"/>
      <c r="AK300" s="397"/>
    </row>
    <row r="301">
      <c r="A301" s="398"/>
      <c r="B301" s="386"/>
      <c r="C301" s="387" t="str">
        <f>IF(A301="","",IFERROR(IF(VLOOKUP(A301,'1. Inbound Leads'!A:G,7,FALSE)=0,"",VLOOKUP(A301,'1. Inbound Leads'!A:G,7,FALSE)),""))</f>
        <v/>
      </c>
      <c r="D301" s="387" t="str">
        <f>IF(A301="","",IFERROR(IF(VLOOKUP(A301,'1. Inbound Leads'!A:L,12,FALSE)=0,"",VLOOKUP(A301,'1. Inbound Leads'!A:L,12,FALSE)),""))</f>
        <v/>
      </c>
      <c r="E301" s="388"/>
      <c r="F301" s="389"/>
      <c r="G301" s="387"/>
      <c r="H301" s="387"/>
      <c r="I301" s="387"/>
      <c r="J301" s="387"/>
      <c r="K301" s="387"/>
      <c r="L301" s="387"/>
      <c r="M301" s="388"/>
      <c r="N301" s="388"/>
      <c r="O301" s="390"/>
      <c r="P301" s="391"/>
      <c r="Q301" s="389"/>
      <c r="R301" s="390"/>
      <c r="S301" s="390"/>
      <c r="T301" s="391"/>
      <c r="U301" s="392"/>
      <c r="V301" s="391"/>
      <c r="W301" s="391"/>
      <c r="X301" s="388"/>
      <c r="Y301" s="391"/>
      <c r="Z301" s="393"/>
      <c r="AA301" s="355" t="str">
        <f t="shared" si="1"/>
        <v/>
      </c>
      <c r="AB301" s="391"/>
      <c r="AC301" s="394" t="str">
        <f t="shared" si="2"/>
        <v/>
      </c>
      <c r="AD301" s="389"/>
      <c r="AE301" s="399"/>
      <c r="AF301" s="395"/>
      <c r="AG301" s="396" t="str">
        <f t="shared" si="3"/>
        <v/>
      </c>
      <c r="AH301" s="396" t="str">
        <f t="shared" si="4"/>
        <v/>
      </c>
      <c r="AI301" s="388"/>
      <c r="AJ301" s="388"/>
      <c r="AK301" s="397"/>
    </row>
    <row r="302">
      <c r="A302" s="398"/>
      <c r="B302" s="386"/>
      <c r="C302" s="387" t="str">
        <f>IF(A302="","",IFERROR(IF(VLOOKUP(A302,'1. Inbound Leads'!A:G,7,FALSE)=0,"",VLOOKUP(A302,'1. Inbound Leads'!A:G,7,FALSE)),""))</f>
        <v/>
      </c>
      <c r="D302" s="387" t="str">
        <f>IF(A302="","",IFERROR(IF(VLOOKUP(A302,'1. Inbound Leads'!A:L,12,FALSE)=0,"",VLOOKUP(A302,'1. Inbound Leads'!A:L,12,FALSE)),""))</f>
        <v/>
      </c>
      <c r="E302" s="388"/>
      <c r="F302" s="389"/>
      <c r="G302" s="387"/>
      <c r="H302" s="387"/>
      <c r="I302" s="387"/>
      <c r="J302" s="387"/>
      <c r="K302" s="387"/>
      <c r="L302" s="387"/>
      <c r="M302" s="388"/>
      <c r="N302" s="388"/>
      <c r="O302" s="390"/>
      <c r="P302" s="391"/>
      <c r="Q302" s="389"/>
      <c r="R302" s="390"/>
      <c r="S302" s="390"/>
      <c r="T302" s="391"/>
      <c r="U302" s="392"/>
      <c r="V302" s="391"/>
      <c r="W302" s="391"/>
      <c r="X302" s="388"/>
      <c r="Y302" s="391"/>
      <c r="Z302" s="393"/>
      <c r="AA302" s="355" t="str">
        <f t="shared" si="1"/>
        <v/>
      </c>
      <c r="AB302" s="391"/>
      <c r="AC302" s="394" t="str">
        <f t="shared" si="2"/>
        <v/>
      </c>
      <c r="AD302" s="389"/>
      <c r="AE302" s="399"/>
      <c r="AF302" s="395"/>
      <c r="AG302" s="396" t="str">
        <f t="shared" si="3"/>
        <v/>
      </c>
      <c r="AH302" s="396" t="str">
        <f t="shared" si="4"/>
        <v/>
      </c>
      <c r="AI302" s="388"/>
      <c r="AJ302" s="388"/>
      <c r="AK302" s="397"/>
    </row>
    <row r="303">
      <c r="A303" s="398"/>
      <c r="B303" s="386"/>
      <c r="C303" s="387" t="str">
        <f>IF(A303="","",IFERROR(IF(VLOOKUP(A303,'1. Inbound Leads'!A:G,7,FALSE)=0,"",VLOOKUP(A303,'1. Inbound Leads'!A:G,7,FALSE)),""))</f>
        <v/>
      </c>
      <c r="D303" s="387" t="str">
        <f>IF(A303="","",IFERROR(IF(VLOOKUP(A303,'1. Inbound Leads'!A:L,12,FALSE)=0,"",VLOOKUP(A303,'1. Inbound Leads'!A:L,12,FALSE)),""))</f>
        <v/>
      </c>
      <c r="E303" s="388"/>
      <c r="F303" s="389"/>
      <c r="G303" s="387"/>
      <c r="H303" s="387"/>
      <c r="I303" s="387"/>
      <c r="J303" s="387"/>
      <c r="K303" s="387"/>
      <c r="L303" s="387"/>
      <c r="M303" s="388"/>
      <c r="N303" s="388"/>
      <c r="O303" s="390"/>
      <c r="P303" s="391"/>
      <c r="Q303" s="389"/>
      <c r="R303" s="390"/>
      <c r="S303" s="390"/>
      <c r="T303" s="391"/>
      <c r="U303" s="392"/>
      <c r="V303" s="391"/>
      <c r="W303" s="391"/>
      <c r="X303" s="388"/>
      <c r="Y303" s="391"/>
      <c r="Z303" s="393"/>
      <c r="AA303" s="355" t="str">
        <f t="shared" si="1"/>
        <v/>
      </c>
      <c r="AB303" s="391"/>
      <c r="AC303" s="394" t="str">
        <f t="shared" si="2"/>
        <v/>
      </c>
      <c r="AD303" s="389"/>
      <c r="AE303" s="399"/>
      <c r="AF303" s="395"/>
      <c r="AG303" s="396" t="str">
        <f t="shared" si="3"/>
        <v/>
      </c>
      <c r="AH303" s="396" t="str">
        <f t="shared" si="4"/>
        <v/>
      </c>
      <c r="AI303" s="388"/>
      <c r="AJ303" s="388"/>
      <c r="AK303" s="397"/>
    </row>
    <row r="304">
      <c r="A304" s="398"/>
      <c r="B304" s="386"/>
      <c r="C304" s="387" t="str">
        <f>IF(A304="","",IFERROR(IF(VLOOKUP(A304,'1. Inbound Leads'!A:G,7,FALSE)=0,"",VLOOKUP(A304,'1. Inbound Leads'!A:G,7,FALSE)),""))</f>
        <v/>
      </c>
      <c r="D304" s="387" t="str">
        <f>IF(A304="","",IFERROR(IF(VLOOKUP(A304,'1. Inbound Leads'!A:L,12,FALSE)=0,"",VLOOKUP(A304,'1. Inbound Leads'!A:L,12,FALSE)),""))</f>
        <v/>
      </c>
      <c r="E304" s="388"/>
      <c r="F304" s="389"/>
      <c r="G304" s="387"/>
      <c r="H304" s="387"/>
      <c r="I304" s="387"/>
      <c r="J304" s="387"/>
      <c r="K304" s="387"/>
      <c r="L304" s="387"/>
      <c r="M304" s="388"/>
      <c r="N304" s="388"/>
      <c r="O304" s="390"/>
      <c r="P304" s="391"/>
      <c r="Q304" s="389"/>
      <c r="R304" s="390"/>
      <c r="S304" s="390"/>
      <c r="T304" s="391"/>
      <c r="U304" s="392"/>
      <c r="V304" s="391"/>
      <c r="W304" s="391"/>
      <c r="X304" s="388"/>
      <c r="Y304" s="391"/>
      <c r="Z304" s="393"/>
      <c r="AA304" s="355" t="str">
        <f t="shared" si="1"/>
        <v/>
      </c>
      <c r="AB304" s="391"/>
      <c r="AC304" s="394" t="str">
        <f t="shared" si="2"/>
        <v/>
      </c>
      <c r="AD304" s="389"/>
      <c r="AE304" s="399"/>
      <c r="AF304" s="395"/>
      <c r="AG304" s="396" t="str">
        <f t="shared" si="3"/>
        <v/>
      </c>
      <c r="AH304" s="396" t="str">
        <f t="shared" si="4"/>
        <v/>
      </c>
      <c r="AI304" s="388"/>
      <c r="AJ304" s="388"/>
      <c r="AK304" s="397"/>
    </row>
    <row r="305">
      <c r="A305" s="398"/>
      <c r="B305" s="386"/>
      <c r="C305" s="387" t="str">
        <f>IF(A305="","",IFERROR(IF(VLOOKUP(A305,'1. Inbound Leads'!A:G,7,FALSE)=0,"",VLOOKUP(A305,'1. Inbound Leads'!A:G,7,FALSE)),""))</f>
        <v/>
      </c>
      <c r="D305" s="387" t="str">
        <f>IF(A305="","",IFERROR(IF(VLOOKUP(A305,'1. Inbound Leads'!A:L,12,FALSE)=0,"",VLOOKUP(A305,'1. Inbound Leads'!A:L,12,FALSE)),""))</f>
        <v/>
      </c>
      <c r="E305" s="388"/>
      <c r="F305" s="389"/>
      <c r="G305" s="387"/>
      <c r="H305" s="387"/>
      <c r="I305" s="387"/>
      <c r="J305" s="387"/>
      <c r="K305" s="387"/>
      <c r="L305" s="387"/>
      <c r="M305" s="388"/>
      <c r="N305" s="388"/>
      <c r="O305" s="390"/>
      <c r="P305" s="391"/>
      <c r="Q305" s="389"/>
      <c r="R305" s="390"/>
      <c r="S305" s="390"/>
      <c r="T305" s="391"/>
      <c r="U305" s="392"/>
      <c r="V305" s="391"/>
      <c r="W305" s="391"/>
      <c r="X305" s="388"/>
      <c r="Y305" s="391"/>
      <c r="Z305" s="393"/>
      <c r="AA305" s="355" t="str">
        <f t="shared" si="1"/>
        <v/>
      </c>
      <c r="AB305" s="391"/>
      <c r="AC305" s="394" t="str">
        <f t="shared" si="2"/>
        <v/>
      </c>
      <c r="AD305" s="389"/>
      <c r="AE305" s="399"/>
      <c r="AF305" s="395"/>
      <c r="AG305" s="396" t="str">
        <f t="shared" si="3"/>
        <v/>
      </c>
      <c r="AH305" s="396" t="str">
        <f t="shared" si="4"/>
        <v/>
      </c>
      <c r="AI305" s="388"/>
      <c r="AJ305" s="388"/>
      <c r="AK305" s="397"/>
    </row>
    <row r="306">
      <c r="A306" s="398"/>
      <c r="B306" s="386"/>
      <c r="C306" s="387" t="str">
        <f>IF(A306="","",IFERROR(IF(VLOOKUP(A306,'1. Inbound Leads'!A:G,7,FALSE)=0,"",VLOOKUP(A306,'1. Inbound Leads'!A:G,7,FALSE)),""))</f>
        <v/>
      </c>
      <c r="D306" s="387" t="str">
        <f>IF(A306="","",IFERROR(IF(VLOOKUP(A306,'1. Inbound Leads'!A:L,12,FALSE)=0,"",VLOOKUP(A306,'1. Inbound Leads'!A:L,12,FALSE)),""))</f>
        <v/>
      </c>
      <c r="E306" s="388"/>
      <c r="F306" s="389"/>
      <c r="G306" s="387"/>
      <c r="H306" s="387"/>
      <c r="I306" s="387"/>
      <c r="J306" s="387"/>
      <c r="K306" s="387"/>
      <c r="L306" s="387"/>
      <c r="M306" s="388"/>
      <c r="N306" s="388"/>
      <c r="O306" s="390"/>
      <c r="P306" s="391"/>
      <c r="Q306" s="389"/>
      <c r="R306" s="390"/>
      <c r="S306" s="390"/>
      <c r="T306" s="391"/>
      <c r="U306" s="392"/>
      <c r="V306" s="391"/>
      <c r="W306" s="391"/>
      <c r="X306" s="388"/>
      <c r="Y306" s="391"/>
      <c r="Z306" s="393"/>
      <c r="AA306" s="355" t="str">
        <f t="shared" si="1"/>
        <v/>
      </c>
      <c r="AB306" s="391"/>
      <c r="AC306" s="394" t="str">
        <f t="shared" si="2"/>
        <v/>
      </c>
      <c r="AD306" s="389"/>
      <c r="AE306" s="399"/>
      <c r="AF306" s="395"/>
      <c r="AG306" s="396" t="str">
        <f t="shared" si="3"/>
        <v/>
      </c>
      <c r="AH306" s="396" t="str">
        <f t="shared" si="4"/>
        <v/>
      </c>
      <c r="AI306" s="388"/>
      <c r="AJ306" s="388"/>
      <c r="AK306" s="397"/>
    </row>
    <row r="307">
      <c r="A307" s="398"/>
      <c r="B307" s="386"/>
      <c r="C307" s="387" t="str">
        <f>IF(A307="","",IFERROR(IF(VLOOKUP(A307,'1. Inbound Leads'!A:G,7,FALSE)=0,"",VLOOKUP(A307,'1. Inbound Leads'!A:G,7,FALSE)),""))</f>
        <v/>
      </c>
      <c r="D307" s="387" t="str">
        <f>IF(A307="","",IFERROR(IF(VLOOKUP(A307,'1. Inbound Leads'!A:L,12,FALSE)=0,"",VLOOKUP(A307,'1. Inbound Leads'!A:L,12,FALSE)),""))</f>
        <v/>
      </c>
      <c r="E307" s="388"/>
      <c r="F307" s="389"/>
      <c r="G307" s="387"/>
      <c r="H307" s="387"/>
      <c r="I307" s="387"/>
      <c r="J307" s="387"/>
      <c r="K307" s="387"/>
      <c r="L307" s="387"/>
      <c r="M307" s="388"/>
      <c r="N307" s="388"/>
      <c r="O307" s="390"/>
      <c r="P307" s="391"/>
      <c r="Q307" s="389"/>
      <c r="R307" s="390"/>
      <c r="S307" s="390"/>
      <c r="T307" s="391"/>
      <c r="U307" s="392"/>
      <c r="V307" s="391"/>
      <c r="W307" s="391"/>
      <c r="X307" s="388"/>
      <c r="Y307" s="391"/>
      <c r="Z307" s="393"/>
      <c r="AA307" s="355" t="str">
        <f t="shared" si="1"/>
        <v/>
      </c>
      <c r="AB307" s="391"/>
      <c r="AC307" s="394" t="str">
        <f t="shared" si="2"/>
        <v/>
      </c>
      <c r="AD307" s="389"/>
      <c r="AE307" s="399"/>
      <c r="AF307" s="395"/>
      <c r="AG307" s="396" t="str">
        <f t="shared" si="3"/>
        <v/>
      </c>
      <c r="AH307" s="396" t="str">
        <f t="shared" si="4"/>
        <v/>
      </c>
      <c r="AI307" s="388"/>
      <c r="AJ307" s="388"/>
      <c r="AK307" s="397"/>
    </row>
    <row r="308">
      <c r="A308" s="398"/>
      <c r="B308" s="386"/>
      <c r="C308" s="387" t="str">
        <f>IF(A308="","",IFERROR(IF(VLOOKUP(A308,'1. Inbound Leads'!A:G,7,FALSE)=0,"",VLOOKUP(A308,'1. Inbound Leads'!A:G,7,FALSE)),""))</f>
        <v/>
      </c>
      <c r="D308" s="387" t="str">
        <f>IF(A308="","",IFERROR(IF(VLOOKUP(A308,'1. Inbound Leads'!A:L,12,FALSE)=0,"",VLOOKUP(A308,'1. Inbound Leads'!A:L,12,FALSE)),""))</f>
        <v/>
      </c>
      <c r="E308" s="388"/>
      <c r="F308" s="389"/>
      <c r="G308" s="387"/>
      <c r="H308" s="387"/>
      <c r="I308" s="387"/>
      <c r="J308" s="387"/>
      <c r="K308" s="387"/>
      <c r="L308" s="387"/>
      <c r="M308" s="388"/>
      <c r="N308" s="388"/>
      <c r="O308" s="390"/>
      <c r="P308" s="391"/>
      <c r="Q308" s="389"/>
      <c r="R308" s="390"/>
      <c r="S308" s="390"/>
      <c r="T308" s="391"/>
      <c r="U308" s="392"/>
      <c r="V308" s="391"/>
      <c r="W308" s="391"/>
      <c r="X308" s="388"/>
      <c r="Y308" s="391"/>
      <c r="Z308" s="393"/>
      <c r="AA308" s="355" t="str">
        <f t="shared" si="1"/>
        <v/>
      </c>
      <c r="AB308" s="391"/>
      <c r="AC308" s="394" t="str">
        <f t="shared" si="2"/>
        <v/>
      </c>
      <c r="AD308" s="389"/>
      <c r="AE308" s="399"/>
      <c r="AF308" s="395"/>
      <c r="AG308" s="396" t="str">
        <f t="shared" si="3"/>
        <v/>
      </c>
      <c r="AH308" s="396" t="str">
        <f t="shared" si="4"/>
        <v/>
      </c>
      <c r="AI308" s="388"/>
      <c r="AJ308" s="388"/>
      <c r="AK308" s="397"/>
    </row>
    <row r="309">
      <c r="A309" s="398"/>
      <c r="B309" s="386"/>
      <c r="C309" s="387" t="str">
        <f>IF(A309="","",IFERROR(IF(VLOOKUP(A309,'1. Inbound Leads'!A:G,7,FALSE)=0,"",VLOOKUP(A309,'1. Inbound Leads'!A:G,7,FALSE)),""))</f>
        <v/>
      </c>
      <c r="D309" s="387" t="str">
        <f>IF(A309="","",IFERROR(IF(VLOOKUP(A309,'1. Inbound Leads'!A:L,12,FALSE)=0,"",VLOOKUP(A309,'1. Inbound Leads'!A:L,12,FALSE)),""))</f>
        <v/>
      </c>
      <c r="E309" s="388"/>
      <c r="F309" s="389"/>
      <c r="G309" s="387"/>
      <c r="H309" s="387"/>
      <c r="I309" s="387"/>
      <c r="J309" s="387"/>
      <c r="K309" s="387"/>
      <c r="L309" s="387"/>
      <c r="M309" s="388"/>
      <c r="N309" s="388"/>
      <c r="O309" s="390"/>
      <c r="P309" s="391"/>
      <c r="Q309" s="389"/>
      <c r="R309" s="390"/>
      <c r="S309" s="390"/>
      <c r="T309" s="391"/>
      <c r="U309" s="392"/>
      <c r="V309" s="391"/>
      <c r="W309" s="391"/>
      <c r="X309" s="388"/>
      <c r="Y309" s="391"/>
      <c r="Z309" s="393"/>
      <c r="AA309" s="355" t="str">
        <f t="shared" si="1"/>
        <v/>
      </c>
      <c r="AB309" s="391"/>
      <c r="AC309" s="394" t="str">
        <f t="shared" si="2"/>
        <v/>
      </c>
      <c r="AD309" s="389"/>
      <c r="AE309" s="399"/>
      <c r="AF309" s="395"/>
      <c r="AG309" s="396" t="str">
        <f t="shared" si="3"/>
        <v/>
      </c>
      <c r="AH309" s="396" t="str">
        <f t="shared" si="4"/>
        <v/>
      </c>
      <c r="AI309" s="388"/>
      <c r="AJ309" s="388"/>
      <c r="AK309" s="397"/>
    </row>
    <row r="310">
      <c r="A310" s="398"/>
      <c r="B310" s="386"/>
      <c r="C310" s="387" t="str">
        <f>IF(A310="","",IFERROR(IF(VLOOKUP(A310,'1. Inbound Leads'!A:G,7,FALSE)=0,"",VLOOKUP(A310,'1. Inbound Leads'!A:G,7,FALSE)),""))</f>
        <v/>
      </c>
      <c r="D310" s="387" t="str">
        <f>IF(A310="","",IFERROR(IF(VLOOKUP(A310,'1. Inbound Leads'!A:L,12,FALSE)=0,"",VLOOKUP(A310,'1. Inbound Leads'!A:L,12,FALSE)),""))</f>
        <v/>
      </c>
      <c r="E310" s="388"/>
      <c r="F310" s="389"/>
      <c r="G310" s="387"/>
      <c r="H310" s="387"/>
      <c r="I310" s="387"/>
      <c r="J310" s="387"/>
      <c r="K310" s="387"/>
      <c r="L310" s="387"/>
      <c r="M310" s="388"/>
      <c r="N310" s="388"/>
      <c r="O310" s="390"/>
      <c r="P310" s="391"/>
      <c r="Q310" s="389"/>
      <c r="R310" s="390"/>
      <c r="S310" s="390"/>
      <c r="T310" s="391"/>
      <c r="U310" s="392"/>
      <c r="V310" s="391"/>
      <c r="W310" s="391"/>
      <c r="X310" s="388"/>
      <c r="Y310" s="391"/>
      <c r="Z310" s="393"/>
      <c r="AA310" s="355" t="str">
        <f t="shared" si="1"/>
        <v/>
      </c>
      <c r="AB310" s="391"/>
      <c r="AC310" s="394" t="str">
        <f t="shared" si="2"/>
        <v/>
      </c>
      <c r="AD310" s="389"/>
      <c r="AE310" s="399"/>
      <c r="AF310" s="395"/>
      <c r="AG310" s="396" t="str">
        <f t="shared" si="3"/>
        <v/>
      </c>
      <c r="AH310" s="396" t="str">
        <f t="shared" si="4"/>
        <v/>
      </c>
      <c r="AI310" s="388"/>
      <c r="AJ310" s="388"/>
      <c r="AK310" s="397"/>
    </row>
    <row r="311">
      <c r="A311" s="398"/>
      <c r="B311" s="386"/>
      <c r="C311" s="387" t="str">
        <f>IF(A311="","",IFERROR(IF(VLOOKUP(A311,'1. Inbound Leads'!A:G,7,FALSE)=0,"",VLOOKUP(A311,'1. Inbound Leads'!A:G,7,FALSE)),""))</f>
        <v/>
      </c>
      <c r="D311" s="387" t="str">
        <f>IF(A311="","",IFERROR(IF(VLOOKUP(A311,'1. Inbound Leads'!A:L,12,FALSE)=0,"",VLOOKUP(A311,'1. Inbound Leads'!A:L,12,FALSE)),""))</f>
        <v/>
      </c>
      <c r="E311" s="388"/>
      <c r="F311" s="389"/>
      <c r="G311" s="387"/>
      <c r="H311" s="387"/>
      <c r="I311" s="387"/>
      <c r="J311" s="387"/>
      <c r="K311" s="387"/>
      <c r="L311" s="387"/>
      <c r="M311" s="388"/>
      <c r="N311" s="388"/>
      <c r="O311" s="390"/>
      <c r="P311" s="391"/>
      <c r="Q311" s="389"/>
      <c r="R311" s="390"/>
      <c r="S311" s="390"/>
      <c r="T311" s="391"/>
      <c r="U311" s="392"/>
      <c r="V311" s="391"/>
      <c r="W311" s="391"/>
      <c r="X311" s="388"/>
      <c r="Y311" s="391"/>
      <c r="Z311" s="393"/>
      <c r="AA311" s="355" t="str">
        <f t="shared" si="1"/>
        <v/>
      </c>
      <c r="AB311" s="391"/>
      <c r="AC311" s="394" t="str">
        <f t="shared" si="2"/>
        <v/>
      </c>
      <c r="AD311" s="389"/>
      <c r="AE311" s="399"/>
      <c r="AF311" s="395"/>
      <c r="AG311" s="396" t="str">
        <f t="shared" si="3"/>
        <v/>
      </c>
      <c r="AH311" s="396" t="str">
        <f t="shared" si="4"/>
        <v/>
      </c>
      <c r="AI311" s="388"/>
      <c r="AJ311" s="388"/>
      <c r="AK311" s="397"/>
    </row>
    <row r="312">
      <c r="A312" s="398"/>
      <c r="B312" s="386"/>
      <c r="C312" s="387" t="str">
        <f>IF(A312="","",IFERROR(IF(VLOOKUP(A312,'1. Inbound Leads'!A:G,7,FALSE)=0,"",VLOOKUP(A312,'1. Inbound Leads'!A:G,7,FALSE)),""))</f>
        <v/>
      </c>
      <c r="D312" s="387" t="str">
        <f>IF(A312="","",IFERROR(IF(VLOOKUP(A312,'1. Inbound Leads'!A:L,12,FALSE)=0,"",VLOOKUP(A312,'1. Inbound Leads'!A:L,12,FALSE)),""))</f>
        <v/>
      </c>
      <c r="E312" s="388"/>
      <c r="F312" s="389"/>
      <c r="G312" s="387"/>
      <c r="H312" s="387"/>
      <c r="I312" s="387"/>
      <c r="J312" s="387"/>
      <c r="K312" s="387"/>
      <c r="L312" s="387"/>
      <c r="M312" s="388"/>
      <c r="N312" s="388"/>
      <c r="O312" s="390"/>
      <c r="P312" s="391"/>
      <c r="Q312" s="389"/>
      <c r="R312" s="390"/>
      <c r="S312" s="390"/>
      <c r="T312" s="391"/>
      <c r="U312" s="392"/>
      <c r="V312" s="391"/>
      <c r="W312" s="391"/>
      <c r="X312" s="388"/>
      <c r="Y312" s="391"/>
      <c r="Z312" s="393"/>
      <c r="AA312" s="355" t="str">
        <f t="shared" si="1"/>
        <v/>
      </c>
      <c r="AB312" s="391"/>
      <c r="AC312" s="394" t="str">
        <f t="shared" si="2"/>
        <v/>
      </c>
      <c r="AD312" s="389"/>
      <c r="AE312" s="399"/>
      <c r="AF312" s="395"/>
      <c r="AG312" s="396" t="str">
        <f t="shared" si="3"/>
        <v/>
      </c>
      <c r="AH312" s="396" t="str">
        <f t="shared" si="4"/>
        <v/>
      </c>
      <c r="AI312" s="388"/>
      <c r="AJ312" s="388"/>
      <c r="AK312" s="397"/>
    </row>
    <row r="313">
      <c r="A313" s="398"/>
      <c r="B313" s="386"/>
      <c r="C313" s="387" t="str">
        <f>IF(A313="","",IFERROR(IF(VLOOKUP(A313,'1. Inbound Leads'!A:G,7,FALSE)=0,"",VLOOKUP(A313,'1. Inbound Leads'!A:G,7,FALSE)),""))</f>
        <v/>
      </c>
      <c r="D313" s="387" t="str">
        <f>IF(A313="","",IFERROR(IF(VLOOKUP(A313,'1. Inbound Leads'!A:L,12,FALSE)=0,"",VLOOKUP(A313,'1. Inbound Leads'!A:L,12,FALSE)),""))</f>
        <v/>
      </c>
      <c r="E313" s="388"/>
      <c r="F313" s="389"/>
      <c r="G313" s="387"/>
      <c r="H313" s="387"/>
      <c r="I313" s="387"/>
      <c r="J313" s="387"/>
      <c r="K313" s="387"/>
      <c r="L313" s="387"/>
      <c r="M313" s="388"/>
      <c r="N313" s="388"/>
      <c r="O313" s="390"/>
      <c r="P313" s="391"/>
      <c r="Q313" s="389"/>
      <c r="R313" s="390"/>
      <c r="S313" s="390"/>
      <c r="T313" s="391"/>
      <c r="U313" s="392"/>
      <c r="V313" s="391"/>
      <c r="W313" s="391"/>
      <c r="X313" s="388"/>
      <c r="Y313" s="391"/>
      <c r="Z313" s="393"/>
      <c r="AA313" s="355" t="str">
        <f t="shared" si="1"/>
        <v/>
      </c>
      <c r="AB313" s="391"/>
      <c r="AC313" s="394" t="str">
        <f t="shared" si="2"/>
        <v/>
      </c>
      <c r="AD313" s="389"/>
      <c r="AE313" s="399"/>
      <c r="AF313" s="395"/>
      <c r="AG313" s="396" t="str">
        <f t="shared" si="3"/>
        <v/>
      </c>
      <c r="AH313" s="396" t="str">
        <f t="shared" si="4"/>
        <v/>
      </c>
      <c r="AI313" s="388"/>
      <c r="AJ313" s="388"/>
      <c r="AK313" s="397"/>
    </row>
    <row r="314">
      <c r="A314" s="398"/>
      <c r="B314" s="386"/>
      <c r="C314" s="387" t="str">
        <f>IF(A314="","",IFERROR(IF(VLOOKUP(A314,'1. Inbound Leads'!A:G,7,FALSE)=0,"",VLOOKUP(A314,'1. Inbound Leads'!A:G,7,FALSE)),""))</f>
        <v/>
      </c>
      <c r="D314" s="387" t="str">
        <f>IF(A314="","",IFERROR(IF(VLOOKUP(A314,'1. Inbound Leads'!A:L,12,FALSE)=0,"",VLOOKUP(A314,'1. Inbound Leads'!A:L,12,FALSE)),""))</f>
        <v/>
      </c>
      <c r="E314" s="388"/>
      <c r="F314" s="389"/>
      <c r="G314" s="387"/>
      <c r="H314" s="387"/>
      <c r="I314" s="387"/>
      <c r="J314" s="387"/>
      <c r="K314" s="387"/>
      <c r="L314" s="387"/>
      <c r="M314" s="388"/>
      <c r="N314" s="388"/>
      <c r="O314" s="390"/>
      <c r="P314" s="391"/>
      <c r="Q314" s="389"/>
      <c r="R314" s="390"/>
      <c r="S314" s="390"/>
      <c r="T314" s="391"/>
      <c r="U314" s="392"/>
      <c r="V314" s="391"/>
      <c r="W314" s="391"/>
      <c r="X314" s="388"/>
      <c r="Y314" s="391"/>
      <c r="Z314" s="393"/>
      <c r="AA314" s="355" t="str">
        <f t="shared" si="1"/>
        <v/>
      </c>
      <c r="AB314" s="391"/>
      <c r="AC314" s="394" t="str">
        <f t="shared" si="2"/>
        <v/>
      </c>
      <c r="AD314" s="389"/>
      <c r="AE314" s="399"/>
      <c r="AF314" s="395"/>
      <c r="AG314" s="396" t="str">
        <f t="shared" si="3"/>
        <v/>
      </c>
      <c r="AH314" s="396" t="str">
        <f t="shared" si="4"/>
        <v/>
      </c>
      <c r="AI314" s="388"/>
      <c r="AJ314" s="388"/>
      <c r="AK314" s="397"/>
    </row>
    <row r="315">
      <c r="A315" s="398"/>
      <c r="B315" s="386"/>
      <c r="C315" s="387" t="str">
        <f>IF(A315="","",IFERROR(IF(VLOOKUP(A315,'1. Inbound Leads'!A:G,7,FALSE)=0,"",VLOOKUP(A315,'1. Inbound Leads'!A:G,7,FALSE)),""))</f>
        <v/>
      </c>
      <c r="D315" s="387" t="str">
        <f>IF(A315="","",IFERROR(IF(VLOOKUP(A315,'1. Inbound Leads'!A:L,12,FALSE)=0,"",VLOOKUP(A315,'1. Inbound Leads'!A:L,12,FALSE)),""))</f>
        <v/>
      </c>
      <c r="E315" s="388"/>
      <c r="F315" s="389"/>
      <c r="G315" s="387"/>
      <c r="H315" s="387"/>
      <c r="I315" s="387"/>
      <c r="J315" s="387"/>
      <c r="K315" s="387"/>
      <c r="L315" s="387"/>
      <c r="M315" s="388"/>
      <c r="N315" s="388"/>
      <c r="O315" s="390"/>
      <c r="P315" s="391"/>
      <c r="Q315" s="389"/>
      <c r="R315" s="390"/>
      <c r="S315" s="390"/>
      <c r="T315" s="391"/>
      <c r="U315" s="392"/>
      <c r="V315" s="391"/>
      <c r="W315" s="391"/>
      <c r="X315" s="388"/>
      <c r="Y315" s="391"/>
      <c r="Z315" s="393"/>
      <c r="AA315" s="355" t="str">
        <f t="shared" si="1"/>
        <v/>
      </c>
      <c r="AB315" s="391"/>
      <c r="AC315" s="394" t="str">
        <f t="shared" si="2"/>
        <v/>
      </c>
      <c r="AD315" s="389"/>
      <c r="AE315" s="399"/>
      <c r="AF315" s="395"/>
      <c r="AG315" s="396" t="str">
        <f t="shared" si="3"/>
        <v/>
      </c>
      <c r="AH315" s="396" t="str">
        <f t="shared" si="4"/>
        <v/>
      </c>
      <c r="AI315" s="388"/>
      <c r="AJ315" s="388"/>
      <c r="AK315" s="397"/>
    </row>
    <row r="316">
      <c r="A316" s="398"/>
      <c r="B316" s="386"/>
      <c r="C316" s="387" t="str">
        <f>IF(A316="","",IFERROR(IF(VLOOKUP(A316,'1. Inbound Leads'!A:G,7,FALSE)=0,"",VLOOKUP(A316,'1. Inbound Leads'!A:G,7,FALSE)),""))</f>
        <v/>
      </c>
      <c r="D316" s="387" t="str">
        <f>IF(A316="","",IFERROR(IF(VLOOKUP(A316,'1. Inbound Leads'!A:L,12,FALSE)=0,"",VLOOKUP(A316,'1. Inbound Leads'!A:L,12,FALSE)),""))</f>
        <v/>
      </c>
      <c r="E316" s="388"/>
      <c r="F316" s="389"/>
      <c r="G316" s="387"/>
      <c r="H316" s="387"/>
      <c r="I316" s="387"/>
      <c r="J316" s="387"/>
      <c r="K316" s="387"/>
      <c r="L316" s="387"/>
      <c r="M316" s="388"/>
      <c r="N316" s="388"/>
      <c r="O316" s="390"/>
      <c r="P316" s="391"/>
      <c r="Q316" s="389"/>
      <c r="R316" s="390"/>
      <c r="S316" s="390"/>
      <c r="T316" s="391"/>
      <c r="U316" s="392"/>
      <c r="V316" s="391"/>
      <c r="W316" s="391"/>
      <c r="X316" s="388"/>
      <c r="Y316" s="391"/>
      <c r="Z316" s="393"/>
      <c r="AA316" s="355" t="str">
        <f t="shared" si="1"/>
        <v/>
      </c>
      <c r="AB316" s="391"/>
      <c r="AC316" s="394" t="str">
        <f t="shared" si="2"/>
        <v/>
      </c>
      <c r="AD316" s="389"/>
      <c r="AE316" s="399"/>
      <c r="AF316" s="395"/>
      <c r="AG316" s="396" t="str">
        <f t="shared" si="3"/>
        <v/>
      </c>
      <c r="AH316" s="396" t="str">
        <f t="shared" si="4"/>
        <v/>
      </c>
      <c r="AI316" s="388"/>
      <c r="AJ316" s="388"/>
      <c r="AK316" s="397"/>
    </row>
    <row r="317">
      <c r="A317" s="398"/>
      <c r="B317" s="386"/>
      <c r="C317" s="387" t="str">
        <f>IF(A317="","",IFERROR(IF(VLOOKUP(A317,'1. Inbound Leads'!A:G,7,FALSE)=0,"",VLOOKUP(A317,'1. Inbound Leads'!A:G,7,FALSE)),""))</f>
        <v/>
      </c>
      <c r="D317" s="387" t="str">
        <f>IF(A317="","",IFERROR(IF(VLOOKUP(A317,'1. Inbound Leads'!A:L,12,FALSE)=0,"",VLOOKUP(A317,'1. Inbound Leads'!A:L,12,FALSE)),""))</f>
        <v/>
      </c>
      <c r="E317" s="388"/>
      <c r="F317" s="389"/>
      <c r="G317" s="387"/>
      <c r="H317" s="387"/>
      <c r="I317" s="387"/>
      <c r="J317" s="387"/>
      <c r="K317" s="387"/>
      <c r="L317" s="387"/>
      <c r="M317" s="388"/>
      <c r="N317" s="388"/>
      <c r="O317" s="390"/>
      <c r="P317" s="391"/>
      <c r="Q317" s="389"/>
      <c r="R317" s="390"/>
      <c r="S317" s="390"/>
      <c r="T317" s="391"/>
      <c r="U317" s="392"/>
      <c r="V317" s="391"/>
      <c r="W317" s="391"/>
      <c r="X317" s="388"/>
      <c r="Y317" s="391"/>
      <c r="Z317" s="393"/>
      <c r="AA317" s="355" t="str">
        <f t="shared" si="1"/>
        <v/>
      </c>
      <c r="AB317" s="391"/>
      <c r="AC317" s="394" t="str">
        <f t="shared" si="2"/>
        <v/>
      </c>
      <c r="AD317" s="389"/>
      <c r="AE317" s="399"/>
      <c r="AF317" s="395"/>
      <c r="AG317" s="396" t="str">
        <f t="shared" si="3"/>
        <v/>
      </c>
      <c r="AH317" s="396" t="str">
        <f t="shared" si="4"/>
        <v/>
      </c>
      <c r="AI317" s="388"/>
      <c r="AJ317" s="388"/>
      <c r="AK317" s="397"/>
    </row>
    <row r="318">
      <c r="A318" s="398"/>
      <c r="B318" s="386"/>
      <c r="C318" s="387" t="str">
        <f>IF(A318="","",IFERROR(IF(VLOOKUP(A318,'1. Inbound Leads'!A:G,7,FALSE)=0,"",VLOOKUP(A318,'1. Inbound Leads'!A:G,7,FALSE)),""))</f>
        <v/>
      </c>
      <c r="D318" s="387" t="str">
        <f>IF(A318="","",IFERROR(IF(VLOOKUP(A318,'1. Inbound Leads'!A:L,12,FALSE)=0,"",VLOOKUP(A318,'1. Inbound Leads'!A:L,12,FALSE)),""))</f>
        <v/>
      </c>
      <c r="E318" s="388"/>
      <c r="F318" s="389"/>
      <c r="G318" s="387"/>
      <c r="H318" s="387"/>
      <c r="I318" s="387"/>
      <c r="J318" s="387"/>
      <c r="K318" s="387"/>
      <c r="L318" s="387"/>
      <c r="M318" s="388"/>
      <c r="N318" s="388"/>
      <c r="O318" s="390"/>
      <c r="P318" s="391"/>
      <c r="Q318" s="389"/>
      <c r="R318" s="390"/>
      <c r="S318" s="390"/>
      <c r="T318" s="391"/>
      <c r="U318" s="392"/>
      <c r="V318" s="391"/>
      <c r="W318" s="391"/>
      <c r="X318" s="388"/>
      <c r="Y318" s="391"/>
      <c r="Z318" s="393"/>
      <c r="AA318" s="355" t="str">
        <f t="shared" si="1"/>
        <v/>
      </c>
      <c r="AB318" s="391"/>
      <c r="AC318" s="394" t="str">
        <f t="shared" si="2"/>
        <v/>
      </c>
      <c r="AD318" s="389"/>
      <c r="AE318" s="399"/>
      <c r="AF318" s="395"/>
      <c r="AG318" s="396" t="str">
        <f t="shared" si="3"/>
        <v/>
      </c>
      <c r="AH318" s="396" t="str">
        <f t="shared" si="4"/>
        <v/>
      </c>
      <c r="AI318" s="388"/>
      <c r="AJ318" s="388"/>
      <c r="AK318" s="397"/>
    </row>
    <row r="319">
      <c r="A319" s="398"/>
      <c r="B319" s="386"/>
      <c r="C319" s="387" t="str">
        <f>IF(A319="","",IFERROR(IF(VLOOKUP(A319,'1. Inbound Leads'!A:G,7,FALSE)=0,"",VLOOKUP(A319,'1. Inbound Leads'!A:G,7,FALSE)),""))</f>
        <v/>
      </c>
      <c r="D319" s="387" t="str">
        <f>IF(A319="","",IFERROR(IF(VLOOKUP(A319,'1. Inbound Leads'!A:L,12,FALSE)=0,"",VLOOKUP(A319,'1. Inbound Leads'!A:L,12,FALSE)),""))</f>
        <v/>
      </c>
      <c r="E319" s="388"/>
      <c r="F319" s="389"/>
      <c r="G319" s="387"/>
      <c r="H319" s="387"/>
      <c r="I319" s="387"/>
      <c r="J319" s="387"/>
      <c r="K319" s="387"/>
      <c r="L319" s="387"/>
      <c r="M319" s="388"/>
      <c r="N319" s="388"/>
      <c r="O319" s="390"/>
      <c r="P319" s="391"/>
      <c r="Q319" s="389"/>
      <c r="R319" s="390"/>
      <c r="S319" s="390"/>
      <c r="T319" s="391"/>
      <c r="U319" s="392"/>
      <c r="V319" s="391"/>
      <c r="W319" s="391"/>
      <c r="X319" s="388"/>
      <c r="Y319" s="391"/>
      <c r="Z319" s="393"/>
      <c r="AA319" s="355" t="str">
        <f t="shared" si="1"/>
        <v/>
      </c>
      <c r="AB319" s="391"/>
      <c r="AC319" s="394" t="str">
        <f t="shared" si="2"/>
        <v/>
      </c>
      <c r="AD319" s="389"/>
      <c r="AE319" s="399"/>
      <c r="AF319" s="395"/>
      <c r="AG319" s="396" t="str">
        <f t="shared" si="3"/>
        <v/>
      </c>
      <c r="AH319" s="396" t="str">
        <f t="shared" si="4"/>
        <v/>
      </c>
      <c r="AI319" s="388"/>
      <c r="AJ319" s="388"/>
      <c r="AK319" s="397"/>
    </row>
    <row r="320">
      <c r="A320" s="398"/>
      <c r="B320" s="386"/>
      <c r="C320" s="387" t="str">
        <f>IF(A320="","",IFERROR(IF(VLOOKUP(A320,'1. Inbound Leads'!A:G,7,FALSE)=0,"",VLOOKUP(A320,'1. Inbound Leads'!A:G,7,FALSE)),""))</f>
        <v/>
      </c>
      <c r="D320" s="387" t="str">
        <f>IF(A320="","",IFERROR(IF(VLOOKUP(A320,'1. Inbound Leads'!A:L,12,FALSE)=0,"",VLOOKUP(A320,'1. Inbound Leads'!A:L,12,FALSE)),""))</f>
        <v/>
      </c>
      <c r="E320" s="388"/>
      <c r="F320" s="389"/>
      <c r="G320" s="387"/>
      <c r="H320" s="387"/>
      <c r="I320" s="387"/>
      <c r="J320" s="387"/>
      <c r="K320" s="387"/>
      <c r="L320" s="387"/>
      <c r="M320" s="388"/>
      <c r="N320" s="388"/>
      <c r="O320" s="390"/>
      <c r="P320" s="391"/>
      <c r="Q320" s="389"/>
      <c r="R320" s="390"/>
      <c r="S320" s="390"/>
      <c r="T320" s="391"/>
      <c r="U320" s="392"/>
      <c r="V320" s="391"/>
      <c r="W320" s="391"/>
      <c r="X320" s="388"/>
      <c r="Y320" s="391"/>
      <c r="Z320" s="393"/>
      <c r="AA320" s="355" t="str">
        <f t="shared" si="1"/>
        <v/>
      </c>
      <c r="AB320" s="391"/>
      <c r="AC320" s="394" t="str">
        <f t="shared" si="2"/>
        <v/>
      </c>
      <c r="AD320" s="389"/>
      <c r="AE320" s="399"/>
      <c r="AF320" s="395"/>
      <c r="AG320" s="396" t="str">
        <f t="shared" si="3"/>
        <v/>
      </c>
      <c r="AH320" s="396" t="str">
        <f t="shared" si="4"/>
        <v/>
      </c>
      <c r="AI320" s="388"/>
      <c r="AJ320" s="388"/>
      <c r="AK320" s="397"/>
    </row>
    <row r="321">
      <c r="A321" s="398"/>
      <c r="B321" s="386"/>
      <c r="C321" s="387" t="str">
        <f>IF(A321="","",IFERROR(IF(VLOOKUP(A321,'1. Inbound Leads'!A:G,7,FALSE)=0,"",VLOOKUP(A321,'1. Inbound Leads'!A:G,7,FALSE)),""))</f>
        <v/>
      </c>
      <c r="D321" s="387" t="str">
        <f>IF(A321="","",IFERROR(IF(VLOOKUP(A321,'1. Inbound Leads'!A:L,12,FALSE)=0,"",VLOOKUP(A321,'1. Inbound Leads'!A:L,12,FALSE)),""))</f>
        <v/>
      </c>
      <c r="E321" s="388"/>
      <c r="F321" s="389"/>
      <c r="G321" s="387"/>
      <c r="H321" s="387"/>
      <c r="I321" s="387"/>
      <c r="J321" s="387"/>
      <c r="K321" s="387"/>
      <c r="L321" s="387"/>
      <c r="M321" s="388"/>
      <c r="N321" s="388"/>
      <c r="O321" s="390"/>
      <c r="P321" s="391"/>
      <c r="Q321" s="389"/>
      <c r="R321" s="390"/>
      <c r="S321" s="390"/>
      <c r="T321" s="391"/>
      <c r="U321" s="392"/>
      <c r="V321" s="391"/>
      <c r="W321" s="391"/>
      <c r="X321" s="388"/>
      <c r="Y321" s="391"/>
      <c r="Z321" s="393"/>
      <c r="AA321" s="355" t="str">
        <f t="shared" si="1"/>
        <v/>
      </c>
      <c r="AB321" s="391"/>
      <c r="AC321" s="394" t="str">
        <f t="shared" si="2"/>
        <v/>
      </c>
      <c r="AD321" s="389"/>
      <c r="AE321" s="399"/>
      <c r="AF321" s="395"/>
      <c r="AG321" s="396" t="str">
        <f t="shared" si="3"/>
        <v/>
      </c>
      <c r="AH321" s="396" t="str">
        <f t="shared" si="4"/>
        <v/>
      </c>
      <c r="AI321" s="388"/>
      <c r="AJ321" s="388"/>
      <c r="AK321" s="397"/>
    </row>
    <row r="322">
      <c r="A322" s="398"/>
      <c r="B322" s="386"/>
      <c r="C322" s="387" t="str">
        <f>IF(A322="","",IFERROR(IF(VLOOKUP(A322,'1. Inbound Leads'!A:G,7,FALSE)=0,"",VLOOKUP(A322,'1. Inbound Leads'!A:G,7,FALSE)),""))</f>
        <v/>
      </c>
      <c r="D322" s="387" t="str">
        <f>IF(A322="","",IFERROR(IF(VLOOKUP(A322,'1. Inbound Leads'!A:L,12,FALSE)=0,"",VLOOKUP(A322,'1. Inbound Leads'!A:L,12,FALSE)),""))</f>
        <v/>
      </c>
      <c r="E322" s="388"/>
      <c r="F322" s="389"/>
      <c r="G322" s="387"/>
      <c r="H322" s="387"/>
      <c r="I322" s="387"/>
      <c r="J322" s="387"/>
      <c r="K322" s="387"/>
      <c r="L322" s="387"/>
      <c r="M322" s="388"/>
      <c r="N322" s="388"/>
      <c r="O322" s="390"/>
      <c r="P322" s="391"/>
      <c r="Q322" s="389"/>
      <c r="R322" s="390"/>
      <c r="S322" s="390"/>
      <c r="T322" s="391"/>
      <c r="U322" s="392"/>
      <c r="V322" s="391"/>
      <c r="W322" s="391"/>
      <c r="X322" s="388"/>
      <c r="Y322" s="391"/>
      <c r="Z322" s="393"/>
      <c r="AA322" s="355" t="str">
        <f t="shared" si="1"/>
        <v/>
      </c>
      <c r="AB322" s="391"/>
      <c r="AC322" s="394" t="str">
        <f t="shared" si="2"/>
        <v/>
      </c>
      <c r="AD322" s="389"/>
      <c r="AE322" s="399"/>
      <c r="AF322" s="395"/>
      <c r="AG322" s="396" t="str">
        <f t="shared" si="3"/>
        <v/>
      </c>
      <c r="AH322" s="396" t="str">
        <f t="shared" si="4"/>
        <v/>
      </c>
      <c r="AI322" s="388"/>
      <c r="AJ322" s="388"/>
      <c r="AK322" s="397"/>
    </row>
    <row r="323">
      <c r="A323" s="398"/>
      <c r="B323" s="386"/>
      <c r="C323" s="387" t="str">
        <f>IF(A323="","",IFERROR(IF(VLOOKUP(A323,'1. Inbound Leads'!A:G,7,FALSE)=0,"",VLOOKUP(A323,'1. Inbound Leads'!A:G,7,FALSE)),""))</f>
        <v/>
      </c>
      <c r="D323" s="387" t="str">
        <f>IF(A323="","",IFERROR(IF(VLOOKUP(A323,'1. Inbound Leads'!A:L,12,FALSE)=0,"",VLOOKUP(A323,'1. Inbound Leads'!A:L,12,FALSE)),""))</f>
        <v/>
      </c>
      <c r="E323" s="388"/>
      <c r="F323" s="389"/>
      <c r="G323" s="387"/>
      <c r="H323" s="387"/>
      <c r="I323" s="387"/>
      <c r="J323" s="387"/>
      <c r="K323" s="387"/>
      <c r="L323" s="387"/>
      <c r="M323" s="388"/>
      <c r="N323" s="388"/>
      <c r="O323" s="390"/>
      <c r="P323" s="391"/>
      <c r="Q323" s="389"/>
      <c r="R323" s="390"/>
      <c r="S323" s="390"/>
      <c r="T323" s="391"/>
      <c r="U323" s="392"/>
      <c r="V323" s="391"/>
      <c r="W323" s="391"/>
      <c r="X323" s="388"/>
      <c r="Y323" s="391"/>
      <c r="Z323" s="393"/>
      <c r="AA323" s="355" t="str">
        <f t="shared" si="1"/>
        <v/>
      </c>
      <c r="AB323" s="391"/>
      <c r="AC323" s="394" t="str">
        <f t="shared" si="2"/>
        <v/>
      </c>
      <c r="AD323" s="389"/>
      <c r="AE323" s="399"/>
      <c r="AF323" s="395"/>
      <c r="AG323" s="396" t="str">
        <f t="shared" si="3"/>
        <v/>
      </c>
      <c r="AH323" s="396" t="str">
        <f t="shared" si="4"/>
        <v/>
      </c>
      <c r="AI323" s="388"/>
      <c r="AJ323" s="388"/>
      <c r="AK323" s="397"/>
    </row>
    <row r="324">
      <c r="A324" s="398"/>
      <c r="B324" s="386"/>
      <c r="C324" s="387" t="str">
        <f>IF(A324="","",IFERROR(IF(VLOOKUP(A324,'1. Inbound Leads'!A:G,7,FALSE)=0,"",VLOOKUP(A324,'1. Inbound Leads'!A:G,7,FALSE)),""))</f>
        <v/>
      </c>
      <c r="D324" s="387" t="str">
        <f>IF(A324="","",IFERROR(IF(VLOOKUP(A324,'1. Inbound Leads'!A:L,12,FALSE)=0,"",VLOOKUP(A324,'1. Inbound Leads'!A:L,12,FALSE)),""))</f>
        <v/>
      </c>
      <c r="E324" s="388"/>
      <c r="F324" s="389"/>
      <c r="G324" s="387"/>
      <c r="H324" s="387"/>
      <c r="I324" s="387"/>
      <c r="J324" s="387"/>
      <c r="K324" s="387"/>
      <c r="L324" s="387"/>
      <c r="M324" s="388"/>
      <c r="N324" s="388"/>
      <c r="O324" s="390"/>
      <c r="P324" s="391"/>
      <c r="Q324" s="389"/>
      <c r="R324" s="390"/>
      <c r="S324" s="390"/>
      <c r="T324" s="391"/>
      <c r="U324" s="392"/>
      <c r="V324" s="391"/>
      <c r="W324" s="391"/>
      <c r="X324" s="388"/>
      <c r="Y324" s="391"/>
      <c r="Z324" s="393"/>
      <c r="AA324" s="355" t="str">
        <f t="shared" si="1"/>
        <v/>
      </c>
      <c r="AB324" s="391"/>
      <c r="AC324" s="394" t="str">
        <f t="shared" si="2"/>
        <v/>
      </c>
      <c r="AD324" s="389"/>
      <c r="AE324" s="399"/>
      <c r="AF324" s="395"/>
      <c r="AG324" s="396" t="str">
        <f t="shared" si="3"/>
        <v/>
      </c>
      <c r="AH324" s="396" t="str">
        <f t="shared" si="4"/>
        <v/>
      </c>
      <c r="AI324" s="388"/>
      <c r="AJ324" s="388"/>
      <c r="AK324" s="397"/>
    </row>
    <row r="325">
      <c r="A325" s="398"/>
      <c r="B325" s="386"/>
      <c r="C325" s="387" t="str">
        <f>IF(A325="","",IFERROR(IF(VLOOKUP(A325,'1. Inbound Leads'!A:G,7,FALSE)=0,"",VLOOKUP(A325,'1. Inbound Leads'!A:G,7,FALSE)),""))</f>
        <v/>
      </c>
      <c r="D325" s="387" t="str">
        <f>IF(A325="","",IFERROR(IF(VLOOKUP(A325,'1. Inbound Leads'!A:L,12,FALSE)=0,"",VLOOKUP(A325,'1. Inbound Leads'!A:L,12,FALSE)),""))</f>
        <v/>
      </c>
      <c r="E325" s="388"/>
      <c r="F325" s="389"/>
      <c r="G325" s="387"/>
      <c r="H325" s="387"/>
      <c r="I325" s="387"/>
      <c r="J325" s="387"/>
      <c r="K325" s="387"/>
      <c r="L325" s="387"/>
      <c r="M325" s="388"/>
      <c r="N325" s="388"/>
      <c r="O325" s="390"/>
      <c r="P325" s="391"/>
      <c r="Q325" s="389"/>
      <c r="R325" s="390"/>
      <c r="S325" s="390"/>
      <c r="T325" s="391"/>
      <c r="U325" s="392"/>
      <c r="V325" s="391"/>
      <c r="W325" s="391"/>
      <c r="X325" s="388"/>
      <c r="Y325" s="391"/>
      <c r="Z325" s="393"/>
      <c r="AA325" s="355" t="str">
        <f t="shared" si="1"/>
        <v/>
      </c>
      <c r="AB325" s="391"/>
      <c r="AC325" s="394" t="str">
        <f t="shared" si="2"/>
        <v/>
      </c>
      <c r="AD325" s="389"/>
      <c r="AE325" s="399"/>
      <c r="AF325" s="395"/>
      <c r="AG325" s="396" t="str">
        <f t="shared" si="3"/>
        <v/>
      </c>
      <c r="AH325" s="396" t="str">
        <f t="shared" si="4"/>
        <v/>
      </c>
      <c r="AI325" s="388"/>
      <c r="AJ325" s="388"/>
      <c r="AK325" s="397"/>
    </row>
    <row r="326">
      <c r="A326" s="398"/>
      <c r="B326" s="386"/>
      <c r="C326" s="387" t="str">
        <f>IF(A326="","",IFERROR(IF(VLOOKUP(A326,'1. Inbound Leads'!A:G,7,FALSE)=0,"",VLOOKUP(A326,'1. Inbound Leads'!A:G,7,FALSE)),""))</f>
        <v/>
      </c>
      <c r="D326" s="387" t="str">
        <f>IF(A326="","",IFERROR(IF(VLOOKUP(A326,'1. Inbound Leads'!A:L,12,FALSE)=0,"",VLOOKUP(A326,'1. Inbound Leads'!A:L,12,FALSE)),""))</f>
        <v/>
      </c>
      <c r="E326" s="388"/>
      <c r="F326" s="389"/>
      <c r="G326" s="387"/>
      <c r="H326" s="387"/>
      <c r="I326" s="387"/>
      <c r="J326" s="387"/>
      <c r="K326" s="387"/>
      <c r="L326" s="387"/>
      <c r="M326" s="388"/>
      <c r="N326" s="388"/>
      <c r="O326" s="390"/>
      <c r="P326" s="391"/>
      <c r="Q326" s="389"/>
      <c r="R326" s="390"/>
      <c r="S326" s="390"/>
      <c r="T326" s="391"/>
      <c r="U326" s="392"/>
      <c r="V326" s="391"/>
      <c r="W326" s="391"/>
      <c r="X326" s="388"/>
      <c r="Y326" s="391"/>
      <c r="Z326" s="393"/>
      <c r="AA326" s="355" t="str">
        <f t="shared" si="1"/>
        <v/>
      </c>
      <c r="AB326" s="391"/>
      <c r="AC326" s="394" t="str">
        <f t="shared" si="2"/>
        <v/>
      </c>
      <c r="AD326" s="389"/>
      <c r="AE326" s="399"/>
      <c r="AF326" s="395"/>
      <c r="AG326" s="396" t="str">
        <f t="shared" si="3"/>
        <v/>
      </c>
      <c r="AH326" s="396" t="str">
        <f t="shared" si="4"/>
        <v/>
      </c>
      <c r="AI326" s="388"/>
      <c r="AJ326" s="388"/>
      <c r="AK326" s="397"/>
    </row>
    <row r="327">
      <c r="A327" s="398"/>
      <c r="B327" s="386"/>
      <c r="C327" s="387" t="str">
        <f>IF(A327="","",IFERROR(IF(VLOOKUP(A327,'1. Inbound Leads'!A:G,7,FALSE)=0,"",VLOOKUP(A327,'1. Inbound Leads'!A:G,7,FALSE)),""))</f>
        <v/>
      </c>
      <c r="D327" s="387" t="str">
        <f>IF(A327="","",IFERROR(IF(VLOOKUP(A327,'1. Inbound Leads'!A:L,12,FALSE)=0,"",VLOOKUP(A327,'1. Inbound Leads'!A:L,12,FALSE)),""))</f>
        <v/>
      </c>
      <c r="E327" s="388"/>
      <c r="F327" s="389"/>
      <c r="G327" s="387"/>
      <c r="H327" s="387"/>
      <c r="I327" s="387"/>
      <c r="J327" s="387"/>
      <c r="K327" s="387"/>
      <c r="L327" s="387"/>
      <c r="M327" s="388"/>
      <c r="N327" s="388"/>
      <c r="O327" s="390"/>
      <c r="P327" s="391"/>
      <c r="Q327" s="389"/>
      <c r="R327" s="390"/>
      <c r="S327" s="390"/>
      <c r="T327" s="391"/>
      <c r="U327" s="392"/>
      <c r="V327" s="391"/>
      <c r="W327" s="391"/>
      <c r="X327" s="388"/>
      <c r="Y327" s="391"/>
      <c r="Z327" s="393"/>
      <c r="AA327" s="355" t="str">
        <f t="shared" si="1"/>
        <v/>
      </c>
      <c r="AB327" s="391"/>
      <c r="AC327" s="394" t="str">
        <f t="shared" si="2"/>
        <v/>
      </c>
      <c r="AD327" s="389"/>
      <c r="AE327" s="399"/>
      <c r="AF327" s="395"/>
      <c r="AG327" s="396" t="str">
        <f t="shared" si="3"/>
        <v/>
      </c>
      <c r="AH327" s="396" t="str">
        <f t="shared" si="4"/>
        <v/>
      </c>
      <c r="AI327" s="388"/>
      <c r="AJ327" s="388"/>
      <c r="AK327" s="397"/>
    </row>
    <row r="328">
      <c r="A328" s="398"/>
      <c r="B328" s="386"/>
      <c r="C328" s="387" t="str">
        <f>IF(A328="","",IFERROR(IF(VLOOKUP(A328,'1. Inbound Leads'!A:G,7,FALSE)=0,"",VLOOKUP(A328,'1. Inbound Leads'!A:G,7,FALSE)),""))</f>
        <v/>
      </c>
      <c r="D328" s="387" t="str">
        <f>IF(A328="","",IFERROR(IF(VLOOKUP(A328,'1. Inbound Leads'!A:L,12,FALSE)=0,"",VLOOKUP(A328,'1. Inbound Leads'!A:L,12,FALSE)),""))</f>
        <v/>
      </c>
      <c r="E328" s="388"/>
      <c r="F328" s="389"/>
      <c r="G328" s="387"/>
      <c r="H328" s="387"/>
      <c r="I328" s="387"/>
      <c r="J328" s="387"/>
      <c r="K328" s="387"/>
      <c r="L328" s="387"/>
      <c r="M328" s="388"/>
      <c r="N328" s="388"/>
      <c r="O328" s="390"/>
      <c r="P328" s="391"/>
      <c r="Q328" s="389"/>
      <c r="R328" s="390"/>
      <c r="S328" s="390"/>
      <c r="T328" s="391"/>
      <c r="U328" s="392"/>
      <c r="V328" s="391"/>
      <c r="W328" s="391"/>
      <c r="X328" s="388"/>
      <c r="Y328" s="391"/>
      <c r="Z328" s="393"/>
      <c r="AA328" s="355" t="str">
        <f t="shared" si="1"/>
        <v/>
      </c>
      <c r="AB328" s="391"/>
      <c r="AC328" s="394" t="str">
        <f t="shared" si="2"/>
        <v/>
      </c>
      <c r="AD328" s="389"/>
      <c r="AE328" s="399"/>
      <c r="AF328" s="395"/>
      <c r="AG328" s="396" t="str">
        <f t="shared" si="3"/>
        <v/>
      </c>
      <c r="AH328" s="396" t="str">
        <f t="shared" si="4"/>
        <v/>
      </c>
      <c r="AI328" s="388"/>
      <c r="AJ328" s="388"/>
      <c r="AK328" s="397"/>
    </row>
    <row r="329">
      <c r="A329" s="398"/>
      <c r="B329" s="386"/>
      <c r="C329" s="387" t="str">
        <f>IF(A329="","",IFERROR(IF(VLOOKUP(A329,'1. Inbound Leads'!A:G,7,FALSE)=0,"",VLOOKUP(A329,'1. Inbound Leads'!A:G,7,FALSE)),""))</f>
        <v/>
      </c>
      <c r="D329" s="387" t="str">
        <f>IF(A329="","",IFERROR(IF(VLOOKUP(A329,'1. Inbound Leads'!A:L,12,FALSE)=0,"",VLOOKUP(A329,'1. Inbound Leads'!A:L,12,FALSE)),""))</f>
        <v/>
      </c>
      <c r="E329" s="388"/>
      <c r="F329" s="389"/>
      <c r="G329" s="387"/>
      <c r="H329" s="387"/>
      <c r="I329" s="387"/>
      <c r="J329" s="387"/>
      <c r="K329" s="387"/>
      <c r="L329" s="387"/>
      <c r="M329" s="388"/>
      <c r="N329" s="388"/>
      <c r="O329" s="390"/>
      <c r="P329" s="391"/>
      <c r="Q329" s="389"/>
      <c r="R329" s="390"/>
      <c r="S329" s="390"/>
      <c r="T329" s="391"/>
      <c r="U329" s="392"/>
      <c r="V329" s="391"/>
      <c r="W329" s="391"/>
      <c r="X329" s="388"/>
      <c r="Y329" s="391"/>
      <c r="Z329" s="393"/>
      <c r="AA329" s="355" t="str">
        <f t="shared" si="1"/>
        <v/>
      </c>
      <c r="AB329" s="391"/>
      <c r="AC329" s="394" t="str">
        <f t="shared" si="2"/>
        <v/>
      </c>
      <c r="AD329" s="389"/>
      <c r="AE329" s="399"/>
      <c r="AF329" s="395"/>
      <c r="AG329" s="396" t="str">
        <f t="shared" si="3"/>
        <v/>
      </c>
      <c r="AH329" s="396" t="str">
        <f t="shared" si="4"/>
        <v/>
      </c>
      <c r="AI329" s="388"/>
      <c r="AJ329" s="388"/>
      <c r="AK329" s="397"/>
    </row>
    <row r="330">
      <c r="A330" s="398"/>
      <c r="B330" s="386"/>
      <c r="C330" s="387" t="str">
        <f>IF(A330="","",IFERROR(IF(VLOOKUP(A330,'1. Inbound Leads'!A:G,7,FALSE)=0,"",VLOOKUP(A330,'1. Inbound Leads'!A:G,7,FALSE)),""))</f>
        <v/>
      </c>
      <c r="D330" s="387" t="str">
        <f>IF(A330="","",IFERROR(IF(VLOOKUP(A330,'1. Inbound Leads'!A:L,12,FALSE)=0,"",VLOOKUP(A330,'1. Inbound Leads'!A:L,12,FALSE)),""))</f>
        <v/>
      </c>
      <c r="E330" s="388"/>
      <c r="F330" s="389"/>
      <c r="G330" s="387"/>
      <c r="H330" s="387"/>
      <c r="I330" s="387"/>
      <c r="J330" s="387"/>
      <c r="K330" s="387"/>
      <c r="L330" s="387"/>
      <c r="M330" s="388"/>
      <c r="N330" s="388"/>
      <c r="O330" s="390"/>
      <c r="P330" s="391"/>
      <c r="Q330" s="389"/>
      <c r="R330" s="390"/>
      <c r="S330" s="390"/>
      <c r="T330" s="391"/>
      <c r="U330" s="392"/>
      <c r="V330" s="391"/>
      <c r="W330" s="391"/>
      <c r="X330" s="388"/>
      <c r="Y330" s="391"/>
      <c r="Z330" s="393"/>
      <c r="AA330" s="355" t="str">
        <f t="shared" si="1"/>
        <v/>
      </c>
      <c r="AB330" s="391"/>
      <c r="AC330" s="394" t="str">
        <f t="shared" si="2"/>
        <v/>
      </c>
      <c r="AD330" s="389"/>
      <c r="AE330" s="399"/>
      <c r="AF330" s="395"/>
      <c r="AG330" s="396" t="str">
        <f t="shared" si="3"/>
        <v/>
      </c>
      <c r="AH330" s="396" t="str">
        <f t="shared" si="4"/>
        <v/>
      </c>
      <c r="AI330" s="388"/>
      <c r="AJ330" s="388"/>
      <c r="AK330" s="397"/>
    </row>
    <row r="331">
      <c r="A331" s="398"/>
      <c r="B331" s="386"/>
      <c r="C331" s="387" t="str">
        <f>IF(A331="","",IFERROR(IF(VLOOKUP(A331,'1. Inbound Leads'!A:G,7,FALSE)=0,"",VLOOKUP(A331,'1. Inbound Leads'!A:G,7,FALSE)),""))</f>
        <v/>
      </c>
      <c r="D331" s="387" t="str">
        <f>IF(A331="","",IFERROR(IF(VLOOKUP(A331,'1. Inbound Leads'!A:L,12,FALSE)=0,"",VLOOKUP(A331,'1. Inbound Leads'!A:L,12,FALSE)),""))</f>
        <v/>
      </c>
      <c r="E331" s="388"/>
      <c r="F331" s="389"/>
      <c r="G331" s="387"/>
      <c r="H331" s="387"/>
      <c r="I331" s="387"/>
      <c r="J331" s="387"/>
      <c r="K331" s="387"/>
      <c r="L331" s="387"/>
      <c r="M331" s="388"/>
      <c r="N331" s="388"/>
      <c r="O331" s="390"/>
      <c r="P331" s="391"/>
      <c r="Q331" s="389"/>
      <c r="R331" s="390"/>
      <c r="S331" s="390"/>
      <c r="T331" s="391"/>
      <c r="U331" s="392"/>
      <c r="V331" s="391"/>
      <c r="W331" s="391"/>
      <c r="X331" s="388"/>
      <c r="Y331" s="391"/>
      <c r="Z331" s="393"/>
      <c r="AA331" s="355" t="str">
        <f t="shared" si="1"/>
        <v/>
      </c>
      <c r="AB331" s="391"/>
      <c r="AC331" s="394" t="str">
        <f t="shared" si="2"/>
        <v/>
      </c>
      <c r="AD331" s="389"/>
      <c r="AE331" s="399"/>
      <c r="AF331" s="395"/>
      <c r="AG331" s="396" t="str">
        <f t="shared" si="3"/>
        <v/>
      </c>
      <c r="AH331" s="396" t="str">
        <f t="shared" si="4"/>
        <v/>
      </c>
      <c r="AI331" s="388"/>
      <c r="AJ331" s="388"/>
      <c r="AK331" s="397"/>
    </row>
    <row r="332">
      <c r="A332" s="398"/>
      <c r="B332" s="386"/>
      <c r="C332" s="387" t="str">
        <f>IF(A332="","",IFERROR(IF(VLOOKUP(A332,'1. Inbound Leads'!A:G,7,FALSE)=0,"",VLOOKUP(A332,'1. Inbound Leads'!A:G,7,FALSE)),""))</f>
        <v/>
      </c>
      <c r="D332" s="387" t="str">
        <f>IF(A332="","",IFERROR(IF(VLOOKUP(A332,'1. Inbound Leads'!A:L,12,FALSE)=0,"",VLOOKUP(A332,'1. Inbound Leads'!A:L,12,FALSE)),""))</f>
        <v/>
      </c>
      <c r="E332" s="388"/>
      <c r="F332" s="389"/>
      <c r="G332" s="387"/>
      <c r="H332" s="387"/>
      <c r="I332" s="387"/>
      <c r="J332" s="387"/>
      <c r="K332" s="387"/>
      <c r="L332" s="387"/>
      <c r="M332" s="388"/>
      <c r="N332" s="388"/>
      <c r="O332" s="390"/>
      <c r="P332" s="391"/>
      <c r="Q332" s="389"/>
      <c r="R332" s="390"/>
      <c r="S332" s="390"/>
      <c r="T332" s="391"/>
      <c r="U332" s="392"/>
      <c r="V332" s="391"/>
      <c r="W332" s="391"/>
      <c r="X332" s="388"/>
      <c r="Y332" s="391"/>
      <c r="Z332" s="393"/>
      <c r="AA332" s="355" t="str">
        <f t="shared" si="1"/>
        <v/>
      </c>
      <c r="AB332" s="391"/>
      <c r="AC332" s="394" t="str">
        <f t="shared" si="2"/>
        <v/>
      </c>
      <c r="AD332" s="389"/>
      <c r="AE332" s="399"/>
      <c r="AF332" s="395"/>
      <c r="AG332" s="396" t="str">
        <f t="shared" si="3"/>
        <v/>
      </c>
      <c r="AH332" s="396" t="str">
        <f t="shared" si="4"/>
        <v/>
      </c>
      <c r="AI332" s="388"/>
      <c r="AJ332" s="388"/>
      <c r="AK332" s="397"/>
    </row>
    <row r="333">
      <c r="A333" s="398"/>
      <c r="B333" s="386"/>
      <c r="C333" s="387" t="str">
        <f>IF(A333="","",IFERROR(IF(VLOOKUP(A333,'1. Inbound Leads'!A:G,7,FALSE)=0,"",VLOOKUP(A333,'1. Inbound Leads'!A:G,7,FALSE)),""))</f>
        <v/>
      </c>
      <c r="D333" s="387" t="str">
        <f>IF(A333="","",IFERROR(IF(VLOOKUP(A333,'1. Inbound Leads'!A:L,12,FALSE)=0,"",VLOOKUP(A333,'1. Inbound Leads'!A:L,12,FALSE)),""))</f>
        <v/>
      </c>
      <c r="E333" s="388"/>
      <c r="F333" s="389"/>
      <c r="G333" s="387"/>
      <c r="H333" s="387"/>
      <c r="I333" s="387"/>
      <c r="J333" s="387"/>
      <c r="K333" s="387"/>
      <c r="L333" s="387"/>
      <c r="M333" s="388"/>
      <c r="N333" s="388"/>
      <c r="O333" s="390"/>
      <c r="P333" s="391"/>
      <c r="Q333" s="389"/>
      <c r="R333" s="390"/>
      <c r="S333" s="390"/>
      <c r="T333" s="391"/>
      <c r="U333" s="392"/>
      <c r="V333" s="391"/>
      <c r="W333" s="391"/>
      <c r="X333" s="388"/>
      <c r="Y333" s="391"/>
      <c r="Z333" s="393"/>
      <c r="AA333" s="355" t="str">
        <f t="shared" si="1"/>
        <v/>
      </c>
      <c r="AB333" s="391"/>
      <c r="AC333" s="394" t="str">
        <f t="shared" si="2"/>
        <v/>
      </c>
      <c r="AD333" s="389"/>
      <c r="AE333" s="399"/>
      <c r="AF333" s="395"/>
      <c r="AG333" s="396" t="str">
        <f t="shared" si="3"/>
        <v/>
      </c>
      <c r="AH333" s="396" t="str">
        <f t="shared" si="4"/>
        <v/>
      </c>
      <c r="AI333" s="388"/>
      <c r="AJ333" s="388"/>
      <c r="AK333" s="397"/>
    </row>
    <row r="334">
      <c r="A334" s="398"/>
      <c r="B334" s="386"/>
      <c r="C334" s="387" t="str">
        <f>IF(A334="","",IFERROR(IF(VLOOKUP(A334,'1. Inbound Leads'!A:G,7,FALSE)=0,"",VLOOKUP(A334,'1. Inbound Leads'!A:G,7,FALSE)),""))</f>
        <v/>
      </c>
      <c r="D334" s="387" t="str">
        <f>IF(A334="","",IFERROR(IF(VLOOKUP(A334,'1. Inbound Leads'!A:L,12,FALSE)=0,"",VLOOKUP(A334,'1. Inbound Leads'!A:L,12,FALSE)),""))</f>
        <v/>
      </c>
      <c r="E334" s="388"/>
      <c r="F334" s="389"/>
      <c r="G334" s="387"/>
      <c r="H334" s="387"/>
      <c r="I334" s="387"/>
      <c r="J334" s="387"/>
      <c r="K334" s="387"/>
      <c r="L334" s="387"/>
      <c r="M334" s="388"/>
      <c r="N334" s="388"/>
      <c r="O334" s="390"/>
      <c r="P334" s="391"/>
      <c r="Q334" s="389"/>
      <c r="R334" s="390"/>
      <c r="S334" s="390"/>
      <c r="T334" s="391"/>
      <c r="U334" s="392"/>
      <c r="V334" s="391"/>
      <c r="W334" s="391"/>
      <c r="X334" s="388"/>
      <c r="Y334" s="391"/>
      <c r="Z334" s="393"/>
      <c r="AA334" s="355" t="str">
        <f t="shared" si="1"/>
        <v/>
      </c>
      <c r="AB334" s="391"/>
      <c r="AC334" s="394" t="str">
        <f t="shared" si="2"/>
        <v/>
      </c>
      <c r="AD334" s="389"/>
      <c r="AE334" s="399"/>
      <c r="AF334" s="395"/>
      <c r="AG334" s="396" t="str">
        <f t="shared" si="3"/>
        <v/>
      </c>
      <c r="AH334" s="396" t="str">
        <f t="shared" si="4"/>
        <v/>
      </c>
      <c r="AI334" s="388"/>
      <c r="AJ334" s="388"/>
      <c r="AK334" s="397"/>
    </row>
    <row r="335">
      <c r="A335" s="398"/>
      <c r="B335" s="386"/>
      <c r="C335" s="387" t="str">
        <f>IF(A335="","",IFERROR(IF(VLOOKUP(A335,'1. Inbound Leads'!A:G,7,FALSE)=0,"",VLOOKUP(A335,'1. Inbound Leads'!A:G,7,FALSE)),""))</f>
        <v/>
      </c>
      <c r="D335" s="387" t="str">
        <f>IF(A335="","",IFERROR(IF(VLOOKUP(A335,'1. Inbound Leads'!A:L,12,FALSE)=0,"",VLOOKUP(A335,'1. Inbound Leads'!A:L,12,FALSE)),""))</f>
        <v/>
      </c>
      <c r="E335" s="388"/>
      <c r="F335" s="389"/>
      <c r="G335" s="387"/>
      <c r="H335" s="387"/>
      <c r="I335" s="387"/>
      <c r="J335" s="387"/>
      <c r="K335" s="387"/>
      <c r="L335" s="387"/>
      <c r="M335" s="388"/>
      <c r="N335" s="388"/>
      <c r="O335" s="390"/>
      <c r="P335" s="391"/>
      <c r="Q335" s="389"/>
      <c r="R335" s="390"/>
      <c r="S335" s="390"/>
      <c r="T335" s="391"/>
      <c r="U335" s="392"/>
      <c r="V335" s="391"/>
      <c r="W335" s="391"/>
      <c r="X335" s="388"/>
      <c r="Y335" s="391"/>
      <c r="Z335" s="393"/>
      <c r="AA335" s="355" t="str">
        <f t="shared" si="1"/>
        <v/>
      </c>
      <c r="AB335" s="391"/>
      <c r="AC335" s="394" t="str">
        <f t="shared" si="2"/>
        <v/>
      </c>
      <c r="AD335" s="389"/>
      <c r="AE335" s="399"/>
      <c r="AF335" s="395"/>
      <c r="AG335" s="396" t="str">
        <f t="shared" si="3"/>
        <v/>
      </c>
      <c r="AH335" s="396" t="str">
        <f t="shared" si="4"/>
        <v/>
      </c>
      <c r="AI335" s="388"/>
      <c r="AJ335" s="388"/>
      <c r="AK335" s="397"/>
    </row>
    <row r="336">
      <c r="A336" s="398"/>
      <c r="B336" s="386"/>
      <c r="C336" s="387" t="str">
        <f>IF(A336="","",IFERROR(IF(VLOOKUP(A336,'1. Inbound Leads'!A:G,7,FALSE)=0,"",VLOOKUP(A336,'1. Inbound Leads'!A:G,7,FALSE)),""))</f>
        <v/>
      </c>
      <c r="D336" s="387" t="str">
        <f>IF(A336="","",IFERROR(IF(VLOOKUP(A336,'1. Inbound Leads'!A:L,12,FALSE)=0,"",VLOOKUP(A336,'1. Inbound Leads'!A:L,12,FALSE)),""))</f>
        <v/>
      </c>
      <c r="E336" s="388"/>
      <c r="F336" s="389"/>
      <c r="G336" s="387"/>
      <c r="H336" s="387"/>
      <c r="I336" s="387"/>
      <c r="J336" s="387"/>
      <c r="K336" s="387"/>
      <c r="L336" s="387"/>
      <c r="M336" s="388"/>
      <c r="N336" s="388"/>
      <c r="O336" s="390"/>
      <c r="P336" s="391"/>
      <c r="Q336" s="389"/>
      <c r="R336" s="390"/>
      <c r="S336" s="390"/>
      <c r="T336" s="391"/>
      <c r="U336" s="392"/>
      <c r="V336" s="391"/>
      <c r="W336" s="391"/>
      <c r="X336" s="388"/>
      <c r="Y336" s="391"/>
      <c r="Z336" s="393"/>
      <c r="AA336" s="355" t="str">
        <f t="shared" si="1"/>
        <v/>
      </c>
      <c r="AB336" s="391"/>
      <c r="AC336" s="394" t="str">
        <f t="shared" si="2"/>
        <v/>
      </c>
      <c r="AD336" s="389"/>
      <c r="AE336" s="399"/>
      <c r="AF336" s="395"/>
      <c r="AG336" s="396" t="str">
        <f t="shared" si="3"/>
        <v/>
      </c>
      <c r="AH336" s="396" t="str">
        <f t="shared" si="4"/>
        <v/>
      </c>
      <c r="AI336" s="388"/>
      <c r="AJ336" s="388"/>
      <c r="AK336" s="397"/>
    </row>
    <row r="337">
      <c r="A337" s="398"/>
      <c r="B337" s="386"/>
      <c r="C337" s="387" t="str">
        <f>IF(A337="","",IFERROR(IF(VLOOKUP(A337,'1. Inbound Leads'!A:G,7,FALSE)=0,"",VLOOKUP(A337,'1. Inbound Leads'!A:G,7,FALSE)),""))</f>
        <v/>
      </c>
      <c r="D337" s="387" t="str">
        <f>IF(A337="","",IFERROR(IF(VLOOKUP(A337,'1. Inbound Leads'!A:L,12,FALSE)=0,"",VLOOKUP(A337,'1. Inbound Leads'!A:L,12,FALSE)),""))</f>
        <v/>
      </c>
      <c r="E337" s="388"/>
      <c r="F337" s="389"/>
      <c r="G337" s="387"/>
      <c r="H337" s="387"/>
      <c r="I337" s="387"/>
      <c r="J337" s="387"/>
      <c r="K337" s="387"/>
      <c r="L337" s="387"/>
      <c r="M337" s="388"/>
      <c r="N337" s="388"/>
      <c r="O337" s="390"/>
      <c r="P337" s="391"/>
      <c r="Q337" s="389"/>
      <c r="R337" s="390"/>
      <c r="S337" s="390"/>
      <c r="T337" s="391"/>
      <c r="U337" s="392"/>
      <c r="V337" s="391"/>
      <c r="W337" s="391"/>
      <c r="X337" s="388"/>
      <c r="Y337" s="391"/>
      <c r="Z337" s="393"/>
      <c r="AA337" s="355" t="str">
        <f t="shared" si="1"/>
        <v/>
      </c>
      <c r="AB337" s="391"/>
      <c r="AC337" s="394" t="str">
        <f t="shared" si="2"/>
        <v/>
      </c>
      <c r="AD337" s="389"/>
      <c r="AE337" s="399"/>
      <c r="AF337" s="395"/>
      <c r="AG337" s="396" t="str">
        <f t="shared" si="3"/>
        <v/>
      </c>
      <c r="AH337" s="396" t="str">
        <f t="shared" si="4"/>
        <v/>
      </c>
      <c r="AI337" s="388"/>
      <c r="AJ337" s="388"/>
      <c r="AK337" s="397"/>
    </row>
    <row r="338">
      <c r="A338" s="398"/>
      <c r="B338" s="386"/>
      <c r="C338" s="387" t="str">
        <f>IF(A338="","",IFERROR(IF(VLOOKUP(A338,'1. Inbound Leads'!A:G,7,FALSE)=0,"",VLOOKUP(A338,'1. Inbound Leads'!A:G,7,FALSE)),""))</f>
        <v/>
      </c>
      <c r="D338" s="387" t="str">
        <f>IF(A338="","",IFERROR(IF(VLOOKUP(A338,'1. Inbound Leads'!A:L,12,FALSE)=0,"",VLOOKUP(A338,'1. Inbound Leads'!A:L,12,FALSE)),""))</f>
        <v/>
      </c>
      <c r="E338" s="388"/>
      <c r="F338" s="389"/>
      <c r="G338" s="387"/>
      <c r="H338" s="387"/>
      <c r="I338" s="387"/>
      <c r="J338" s="387"/>
      <c r="K338" s="387"/>
      <c r="L338" s="387"/>
      <c r="M338" s="388"/>
      <c r="N338" s="388"/>
      <c r="O338" s="390"/>
      <c r="P338" s="391"/>
      <c r="Q338" s="389"/>
      <c r="R338" s="390"/>
      <c r="S338" s="390"/>
      <c r="T338" s="391"/>
      <c r="U338" s="392"/>
      <c r="V338" s="391"/>
      <c r="W338" s="391"/>
      <c r="X338" s="388"/>
      <c r="Y338" s="391"/>
      <c r="Z338" s="393"/>
      <c r="AA338" s="355" t="str">
        <f t="shared" si="1"/>
        <v/>
      </c>
      <c r="AB338" s="391"/>
      <c r="AC338" s="394" t="str">
        <f t="shared" si="2"/>
        <v/>
      </c>
      <c r="AD338" s="389"/>
      <c r="AE338" s="399"/>
      <c r="AF338" s="395"/>
      <c r="AG338" s="396" t="str">
        <f t="shared" si="3"/>
        <v/>
      </c>
      <c r="AH338" s="396" t="str">
        <f t="shared" si="4"/>
        <v/>
      </c>
      <c r="AI338" s="388"/>
      <c r="AJ338" s="388"/>
      <c r="AK338" s="397"/>
    </row>
    <row r="339">
      <c r="A339" s="398"/>
      <c r="B339" s="386"/>
      <c r="C339" s="387" t="str">
        <f>IF(A339="","",IFERROR(IF(VLOOKUP(A339,'1. Inbound Leads'!A:G,7,FALSE)=0,"",VLOOKUP(A339,'1. Inbound Leads'!A:G,7,FALSE)),""))</f>
        <v/>
      </c>
      <c r="D339" s="387" t="str">
        <f>IF(A339="","",IFERROR(IF(VLOOKUP(A339,'1. Inbound Leads'!A:L,12,FALSE)=0,"",VLOOKUP(A339,'1. Inbound Leads'!A:L,12,FALSE)),""))</f>
        <v/>
      </c>
      <c r="E339" s="388"/>
      <c r="F339" s="389"/>
      <c r="G339" s="387"/>
      <c r="H339" s="387"/>
      <c r="I339" s="387"/>
      <c r="J339" s="387"/>
      <c r="K339" s="387"/>
      <c r="L339" s="387"/>
      <c r="M339" s="388"/>
      <c r="N339" s="388"/>
      <c r="O339" s="390"/>
      <c r="P339" s="391"/>
      <c r="Q339" s="389"/>
      <c r="R339" s="390"/>
      <c r="S339" s="390"/>
      <c r="T339" s="391"/>
      <c r="U339" s="392"/>
      <c r="V339" s="391"/>
      <c r="W339" s="391"/>
      <c r="X339" s="388"/>
      <c r="Y339" s="391"/>
      <c r="Z339" s="393"/>
      <c r="AA339" s="355" t="str">
        <f t="shared" si="1"/>
        <v/>
      </c>
      <c r="AB339" s="391"/>
      <c r="AC339" s="394" t="str">
        <f t="shared" si="2"/>
        <v/>
      </c>
      <c r="AD339" s="389"/>
      <c r="AE339" s="399"/>
      <c r="AF339" s="395"/>
      <c r="AG339" s="396" t="str">
        <f t="shared" si="3"/>
        <v/>
      </c>
      <c r="AH339" s="396" t="str">
        <f t="shared" si="4"/>
        <v/>
      </c>
      <c r="AI339" s="388"/>
      <c r="AJ339" s="388"/>
      <c r="AK339" s="397"/>
    </row>
    <row r="340">
      <c r="A340" s="398"/>
      <c r="B340" s="386"/>
      <c r="C340" s="387" t="str">
        <f>IF(A340="","",IFERROR(IF(VLOOKUP(A340,'1. Inbound Leads'!A:G,7,FALSE)=0,"",VLOOKUP(A340,'1. Inbound Leads'!A:G,7,FALSE)),""))</f>
        <v/>
      </c>
      <c r="D340" s="387" t="str">
        <f>IF(A340="","",IFERROR(IF(VLOOKUP(A340,'1. Inbound Leads'!A:L,12,FALSE)=0,"",VLOOKUP(A340,'1. Inbound Leads'!A:L,12,FALSE)),""))</f>
        <v/>
      </c>
      <c r="E340" s="388"/>
      <c r="F340" s="389"/>
      <c r="G340" s="387"/>
      <c r="H340" s="387"/>
      <c r="I340" s="387"/>
      <c r="J340" s="387"/>
      <c r="K340" s="387"/>
      <c r="L340" s="387"/>
      <c r="M340" s="388"/>
      <c r="N340" s="388"/>
      <c r="O340" s="390"/>
      <c r="P340" s="391"/>
      <c r="Q340" s="389"/>
      <c r="R340" s="390"/>
      <c r="S340" s="390"/>
      <c r="T340" s="391"/>
      <c r="U340" s="392"/>
      <c r="V340" s="391"/>
      <c r="W340" s="391"/>
      <c r="X340" s="388"/>
      <c r="Y340" s="391"/>
      <c r="Z340" s="393"/>
      <c r="AA340" s="355" t="str">
        <f t="shared" si="1"/>
        <v/>
      </c>
      <c r="AB340" s="391"/>
      <c r="AC340" s="394" t="str">
        <f t="shared" si="2"/>
        <v/>
      </c>
      <c r="AD340" s="389"/>
      <c r="AE340" s="399"/>
      <c r="AF340" s="395"/>
      <c r="AG340" s="396" t="str">
        <f t="shared" si="3"/>
        <v/>
      </c>
      <c r="AH340" s="396" t="str">
        <f t="shared" si="4"/>
        <v/>
      </c>
      <c r="AI340" s="388"/>
      <c r="AJ340" s="388"/>
      <c r="AK340" s="397"/>
    </row>
    <row r="341">
      <c r="A341" s="398"/>
      <c r="B341" s="386"/>
      <c r="C341" s="387" t="str">
        <f>IF(A341="","",IFERROR(IF(VLOOKUP(A341,'1. Inbound Leads'!A:G,7,FALSE)=0,"",VLOOKUP(A341,'1. Inbound Leads'!A:G,7,FALSE)),""))</f>
        <v/>
      </c>
      <c r="D341" s="387" t="str">
        <f>IF(A341="","",IFERROR(IF(VLOOKUP(A341,'1. Inbound Leads'!A:L,12,FALSE)=0,"",VLOOKUP(A341,'1. Inbound Leads'!A:L,12,FALSE)),""))</f>
        <v/>
      </c>
      <c r="E341" s="388"/>
      <c r="F341" s="389"/>
      <c r="G341" s="387"/>
      <c r="H341" s="387"/>
      <c r="I341" s="387"/>
      <c r="J341" s="387"/>
      <c r="K341" s="387"/>
      <c r="L341" s="387"/>
      <c r="M341" s="388"/>
      <c r="N341" s="388"/>
      <c r="O341" s="390"/>
      <c r="P341" s="391"/>
      <c r="Q341" s="389"/>
      <c r="R341" s="390"/>
      <c r="S341" s="390"/>
      <c r="T341" s="391"/>
      <c r="U341" s="392"/>
      <c r="V341" s="391"/>
      <c r="W341" s="391"/>
      <c r="X341" s="388"/>
      <c r="Y341" s="391"/>
      <c r="Z341" s="393"/>
      <c r="AA341" s="355" t="str">
        <f t="shared" si="1"/>
        <v/>
      </c>
      <c r="AB341" s="391"/>
      <c r="AC341" s="394" t="str">
        <f t="shared" si="2"/>
        <v/>
      </c>
      <c r="AD341" s="389"/>
      <c r="AE341" s="399"/>
      <c r="AF341" s="395"/>
      <c r="AG341" s="396" t="str">
        <f t="shared" si="3"/>
        <v/>
      </c>
      <c r="AH341" s="396" t="str">
        <f t="shared" si="4"/>
        <v/>
      </c>
      <c r="AI341" s="388"/>
      <c r="AJ341" s="388"/>
      <c r="AK341" s="397"/>
    </row>
    <row r="342">
      <c r="A342" s="398"/>
      <c r="B342" s="386"/>
      <c r="C342" s="387" t="str">
        <f>IF(A342="","",IFERROR(IF(VLOOKUP(A342,'1. Inbound Leads'!A:G,7,FALSE)=0,"",VLOOKUP(A342,'1. Inbound Leads'!A:G,7,FALSE)),""))</f>
        <v/>
      </c>
      <c r="D342" s="387" t="str">
        <f>IF(A342="","",IFERROR(IF(VLOOKUP(A342,'1. Inbound Leads'!A:L,12,FALSE)=0,"",VLOOKUP(A342,'1. Inbound Leads'!A:L,12,FALSE)),""))</f>
        <v/>
      </c>
      <c r="E342" s="388"/>
      <c r="F342" s="389"/>
      <c r="G342" s="387"/>
      <c r="H342" s="387"/>
      <c r="I342" s="387"/>
      <c r="J342" s="387"/>
      <c r="K342" s="387"/>
      <c r="L342" s="387"/>
      <c r="M342" s="388"/>
      <c r="N342" s="388"/>
      <c r="O342" s="390"/>
      <c r="P342" s="391"/>
      <c r="Q342" s="389"/>
      <c r="R342" s="390"/>
      <c r="S342" s="390"/>
      <c r="T342" s="391"/>
      <c r="U342" s="392"/>
      <c r="V342" s="391"/>
      <c r="W342" s="391"/>
      <c r="X342" s="388"/>
      <c r="Y342" s="391"/>
      <c r="Z342" s="393"/>
      <c r="AA342" s="355" t="str">
        <f t="shared" si="1"/>
        <v/>
      </c>
      <c r="AB342" s="391"/>
      <c r="AC342" s="394" t="str">
        <f t="shared" si="2"/>
        <v/>
      </c>
      <c r="AD342" s="389"/>
      <c r="AE342" s="399"/>
      <c r="AF342" s="395"/>
      <c r="AG342" s="396" t="str">
        <f t="shared" si="3"/>
        <v/>
      </c>
      <c r="AH342" s="396" t="str">
        <f t="shared" si="4"/>
        <v/>
      </c>
      <c r="AI342" s="388"/>
      <c r="AJ342" s="388"/>
      <c r="AK342" s="397"/>
    </row>
    <row r="343">
      <c r="A343" s="398"/>
      <c r="B343" s="386"/>
      <c r="C343" s="387" t="str">
        <f>IF(A343="","",IFERROR(IF(VLOOKUP(A343,'1. Inbound Leads'!A:G,7,FALSE)=0,"",VLOOKUP(A343,'1. Inbound Leads'!A:G,7,FALSE)),""))</f>
        <v/>
      </c>
      <c r="D343" s="387" t="str">
        <f>IF(A343="","",IFERROR(IF(VLOOKUP(A343,'1. Inbound Leads'!A:L,12,FALSE)=0,"",VLOOKUP(A343,'1. Inbound Leads'!A:L,12,FALSE)),""))</f>
        <v/>
      </c>
      <c r="E343" s="388"/>
      <c r="F343" s="389"/>
      <c r="G343" s="387"/>
      <c r="H343" s="387"/>
      <c r="I343" s="387"/>
      <c r="J343" s="387"/>
      <c r="K343" s="387"/>
      <c r="L343" s="387"/>
      <c r="M343" s="388"/>
      <c r="N343" s="388"/>
      <c r="O343" s="390"/>
      <c r="P343" s="391"/>
      <c r="Q343" s="389"/>
      <c r="R343" s="390"/>
      <c r="S343" s="390"/>
      <c r="T343" s="391"/>
      <c r="U343" s="392"/>
      <c r="V343" s="391"/>
      <c r="W343" s="391"/>
      <c r="X343" s="388"/>
      <c r="Y343" s="391"/>
      <c r="Z343" s="393"/>
      <c r="AA343" s="355" t="str">
        <f t="shared" si="1"/>
        <v/>
      </c>
      <c r="AB343" s="391"/>
      <c r="AC343" s="394" t="str">
        <f t="shared" si="2"/>
        <v/>
      </c>
      <c r="AD343" s="389"/>
      <c r="AE343" s="399"/>
      <c r="AF343" s="395"/>
      <c r="AG343" s="396" t="str">
        <f t="shared" si="3"/>
        <v/>
      </c>
      <c r="AH343" s="396" t="str">
        <f t="shared" si="4"/>
        <v/>
      </c>
      <c r="AI343" s="388"/>
      <c r="AJ343" s="388"/>
      <c r="AK343" s="397"/>
    </row>
    <row r="344">
      <c r="A344" s="398"/>
      <c r="B344" s="386"/>
      <c r="C344" s="387" t="str">
        <f>IF(A344="","",IFERROR(IF(VLOOKUP(A344,'1. Inbound Leads'!A:G,7,FALSE)=0,"",VLOOKUP(A344,'1. Inbound Leads'!A:G,7,FALSE)),""))</f>
        <v/>
      </c>
      <c r="D344" s="387" t="str">
        <f>IF(A344="","",IFERROR(IF(VLOOKUP(A344,'1. Inbound Leads'!A:L,12,FALSE)=0,"",VLOOKUP(A344,'1. Inbound Leads'!A:L,12,FALSE)),""))</f>
        <v/>
      </c>
      <c r="E344" s="388"/>
      <c r="F344" s="389"/>
      <c r="G344" s="387"/>
      <c r="H344" s="387"/>
      <c r="I344" s="387"/>
      <c r="J344" s="387"/>
      <c r="K344" s="387"/>
      <c r="L344" s="387"/>
      <c r="M344" s="388"/>
      <c r="N344" s="388"/>
      <c r="O344" s="390"/>
      <c r="P344" s="391"/>
      <c r="Q344" s="389"/>
      <c r="R344" s="390"/>
      <c r="S344" s="390"/>
      <c r="T344" s="391"/>
      <c r="U344" s="392"/>
      <c r="V344" s="391"/>
      <c r="W344" s="391"/>
      <c r="X344" s="388"/>
      <c r="Y344" s="391"/>
      <c r="Z344" s="393"/>
      <c r="AA344" s="355" t="str">
        <f t="shared" si="1"/>
        <v/>
      </c>
      <c r="AB344" s="391"/>
      <c r="AC344" s="394" t="str">
        <f t="shared" si="2"/>
        <v/>
      </c>
      <c r="AD344" s="389"/>
      <c r="AE344" s="399"/>
      <c r="AF344" s="395"/>
      <c r="AG344" s="396" t="str">
        <f t="shared" si="3"/>
        <v/>
      </c>
      <c r="AH344" s="396" t="str">
        <f t="shared" si="4"/>
        <v/>
      </c>
      <c r="AI344" s="388"/>
      <c r="AJ344" s="388"/>
      <c r="AK344" s="397"/>
    </row>
    <row r="345">
      <c r="A345" s="398"/>
      <c r="B345" s="386"/>
      <c r="C345" s="387" t="str">
        <f>IF(A345="","",IFERROR(IF(VLOOKUP(A345,'1. Inbound Leads'!A:G,7,FALSE)=0,"",VLOOKUP(A345,'1. Inbound Leads'!A:G,7,FALSE)),""))</f>
        <v/>
      </c>
      <c r="D345" s="387" t="str">
        <f>IF(A345="","",IFERROR(IF(VLOOKUP(A345,'1. Inbound Leads'!A:L,12,FALSE)=0,"",VLOOKUP(A345,'1. Inbound Leads'!A:L,12,FALSE)),""))</f>
        <v/>
      </c>
      <c r="E345" s="388"/>
      <c r="F345" s="389"/>
      <c r="G345" s="387"/>
      <c r="H345" s="387"/>
      <c r="I345" s="387"/>
      <c r="J345" s="387"/>
      <c r="K345" s="387"/>
      <c r="L345" s="387"/>
      <c r="M345" s="388"/>
      <c r="N345" s="388"/>
      <c r="O345" s="390"/>
      <c r="P345" s="391"/>
      <c r="Q345" s="389"/>
      <c r="R345" s="390"/>
      <c r="S345" s="390"/>
      <c r="T345" s="391"/>
      <c r="U345" s="392"/>
      <c r="V345" s="391"/>
      <c r="W345" s="391"/>
      <c r="X345" s="388"/>
      <c r="Y345" s="391"/>
      <c r="Z345" s="393"/>
      <c r="AA345" s="355" t="str">
        <f t="shared" si="1"/>
        <v/>
      </c>
      <c r="AB345" s="391"/>
      <c r="AC345" s="394" t="str">
        <f t="shared" si="2"/>
        <v/>
      </c>
      <c r="AD345" s="389"/>
      <c r="AE345" s="399"/>
      <c r="AF345" s="395"/>
      <c r="AG345" s="396" t="str">
        <f t="shared" si="3"/>
        <v/>
      </c>
      <c r="AH345" s="396" t="str">
        <f t="shared" si="4"/>
        <v/>
      </c>
      <c r="AI345" s="388"/>
      <c r="AJ345" s="388"/>
      <c r="AK345" s="397"/>
    </row>
    <row r="346">
      <c r="A346" s="398"/>
      <c r="B346" s="386"/>
      <c r="C346" s="387" t="str">
        <f>IF(A346="","",IFERROR(IF(VLOOKUP(A346,'1. Inbound Leads'!A:G,7,FALSE)=0,"",VLOOKUP(A346,'1. Inbound Leads'!A:G,7,FALSE)),""))</f>
        <v/>
      </c>
      <c r="D346" s="387" t="str">
        <f>IF(A346="","",IFERROR(IF(VLOOKUP(A346,'1. Inbound Leads'!A:L,12,FALSE)=0,"",VLOOKUP(A346,'1. Inbound Leads'!A:L,12,FALSE)),""))</f>
        <v/>
      </c>
      <c r="E346" s="388"/>
      <c r="F346" s="389"/>
      <c r="G346" s="387"/>
      <c r="H346" s="387"/>
      <c r="I346" s="387"/>
      <c r="J346" s="387"/>
      <c r="K346" s="387"/>
      <c r="L346" s="387"/>
      <c r="M346" s="388"/>
      <c r="N346" s="388"/>
      <c r="O346" s="390"/>
      <c r="P346" s="391"/>
      <c r="Q346" s="389"/>
      <c r="R346" s="390"/>
      <c r="S346" s="390"/>
      <c r="T346" s="391"/>
      <c r="U346" s="392"/>
      <c r="V346" s="391"/>
      <c r="W346" s="391"/>
      <c r="X346" s="388"/>
      <c r="Y346" s="391"/>
      <c r="Z346" s="393"/>
      <c r="AA346" s="355" t="str">
        <f t="shared" si="1"/>
        <v/>
      </c>
      <c r="AB346" s="391"/>
      <c r="AC346" s="394" t="str">
        <f t="shared" si="2"/>
        <v/>
      </c>
      <c r="AD346" s="389"/>
      <c r="AE346" s="399"/>
      <c r="AF346" s="395"/>
      <c r="AG346" s="396" t="str">
        <f t="shared" si="3"/>
        <v/>
      </c>
      <c r="AH346" s="396" t="str">
        <f t="shared" si="4"/>
        <v/>
      </c>
      <c r="AI346" s="388"/>
      <c r="AJ346" s="388"/>
      <c r="AK346" s="397"/>
    </row>
    <row r="347">
      <c r="A347" s="398"/>
      <c r="B347" s="386"/>
      <c r="C347" s="387" t="str">
        <f>IF(A347="","",IFERROR(IF(VLOOKUP(A347,'1. Inbound Leads'!A:G,7,FALSE)=0,"",VLOOKUP(A347,'1. Inbound Leads'!A:G,7,FALSE)),""))</f>
        <v/>
      </c>
      <c r="D347" s="387" t="str">
        <f>IF(A347="","",IFERROR(IF(VLOOKUP(A347,'1. Inbound Leads'!A:L,12,FALSE)=0,"",VLOOKUP(A347,'1. Inbound Leads'!A:L,12,FALSE)),""))</f>
        <v/>
      </c>
      <c r="E347" s="388"/>
      <c r="F347" s="389"/>
      <c r="G347" s="387"/>
      <c r="H347" s="387"/>
      <c r="I347" s="387"/>
      <c r="J347" s="387"/>
      <c r="K347" s="387"/>
      <c r="L347" s="387"/>
      <c r="M347" s="388"/>
      <c r="N347" s="388"/>
      <c r="O347" s="390"/>
      <c r="P347" s="391"/>
      <c r="Q347" s="389"/>
      <c r="R347" s="390"/>
      <c r="S347" s="390"/>
      <c r="T347" s="391"/>
      <c r="U347" s="392"/>
      <c r="V347" s="391"/>
      <c r="W347" s="391"/>
      <c r="X347" s="388"/>
      <c r="Y347" s="391"/>
      <c r="Z347" s="393"/>
      <c r="AA347" s="355" t="str">
        <f t="shared" si="1"/>
        <v/>
      </c>
      <c r="AB347" s="391"/>
      <c r="AC347" s="394" t="str">
        <f t="shared" si="2"/>
        <v/>
      </c>
      <c r="AD347" s="389"/>
      <c r="AE347" s="399"/>
      <c r="AF347" s="395"/>
      <c r="AG347" s="396" t="str">
        <f t="shared" si="3"/>
        <v/>
      </c>
      <c r="AH347" s="396" t="str">
        <f t="shared" si="4"/>
        <v/>
      </c>
      <c r="AI347" s="388"/>
      <c r="AJ347" s="388"/>
      <c r="AK347" s="397"/>
    </row>
    <row r="348">
      <c r="A348" s="398"/>
      <c r="B348" s="386"/>
      <c r="C348" s="387" t="str">
        <f>IF(A348="","",IFERROR(IF(VLOOKUP(A348,'1. Inbound Leads'!A:G,7,FALSE)=0,"",VLOOKUP(A348,'1. Inbound Leads'!A:G,7,FALSE)),""))</f>
        <v/>
      </c>
      <c r="D348" s="387" t="str">
        <f>IF(A348="","",IFERROR(IF(VLOOKUP(A348,'1. Inbound Leads'!A:L,12,FALSE)=0,"",VLOOKUP(A348,'1. Inbound Leads'!A:L,12,FALSE)),""))</f>
        <v/>
      </c>
      <c r="E348" s="388"/>
      <c r="F348" s="389"/>
      <c r="G348" s="387"/>
      <c r="H348" s="387"/>
      <c r="I348" s="387"/>
      <c r="J348" s="387"/>
      <c r="K348" s="387"/>
      <c r="L348" s="387"/>
      <c r="M348" s="388"/>
      <c r="N348" s="388"/>
      <c r="O348" s="390"/>
      <c r="P348" s="391"/>
      <c r="Q348" s="389"/>
      <c r="R348" s="390"/>
      <c r="S348" s="390"/>
      <c r="T348" s="391"/>
      <c r="U348" s="392"/>
      <c r="V348" s="391"/>
      <c r="W348" s="391"/>
      <c r="X348" s="388"/>
      <c r="Y348" s="391"/>
      <c r="Z348" s="393"/>
      <c r="AA348" s="355" t="str">
        <f t="shared" si="1"/>
        <v/>
      </c>
      <c r="AB348" s="391"/>
      <c r="AC348" s="394" t="str">
        <f t="shared" si="2"/>
        <v/>
      </c>
      <c r="AD348" s="389"/>
      <c r="AE348" s="399"/>
      <c r="AF348" s="395"/>
      <c r="AG348" s="396" t="str">
        <f t="shared" si="3"/>
        <v/>
      </c>
      <c r="AH348" s="396" t="str">
        <f t="shared" si="4"/>
        <v/>
      </c>
      <c r="AI348" s="388"/>
      <c r="AJ348" s="388"/>
      <c r="AK348" s="397"/>
    </row>
    <row r="349">
      <c r="A349" s="398"/>
      <c r="B349" s="386"/>
      <c r="C349" s="387" t="str">
        <f>IF(A349="","",IFERROR(IF(VLOOKUP(A349,'1. Inbound Leads'!A:G,7,FALSE)=0,"",VLOOKUP(A349,'1. Inbound Leads'!A:G,7,FALSE)),""))</f>
        <v/>
      </c>
      <c r="D349" s="387" t="str">
        <f>IF(A349="","",IFERROR(IF(VLOOKUP(A349,'1. Inbound Leads'!A:L,12,FALSE)=0,"",VLOOKUP(A349,'1. Inbound Leads'!A:L,12,FALSE)),""))</f>
        <v/>
      </c>
      <c r="E349" s="388"/>
      <c r="F349" s="389"/>
      <c r="G349" s="387"/>
      <c r="H349" s="387"/>
      <c r="I349" s="387"/>
      <c r="J349" s="387"/>
      <c r="K349" s="387"/>
      <c r="L349" s="387"/>
      <c r="M349" s="388"/>
      <c r="N349" s="388"/>
      <c r="O349" s="390"/>
      <c r="P349" s="391"/>
      <c r="Q349" s="389"/>
      <c r="R349" s="390"/>
      <c r="S349" s="390"/>
      <c r="T349" s="391"/>
      <c r="U349" s="392"/>
      <c r="V349" s="391"/>
      <c r="W349" s="391"/>
      <c r="X349" s="388"/>
      <c r="Y349" s="391"/>
      <c r="Z349" s="393"/>
      <c r="AA349" s="355" t="str">
        <f t="shared" si="1"/>
        <v/>
      </c>
      <c r="AB349" s="391"/>
      <c r="AC349" s="394" t="str">
        <f t="shared" si="2"/>
        <v/>
      </c>
      <c r="AD349" s="389"/>
      <c r="AE349" s="399"/>
      <c r="AF349" s="395"/>
      <c r="AG349" s="396" t="str">
        <f t="shared" si="3"/>
        <v/>
      </c>
      <c r="AH349" s="396" t="str">
        <f t="shared" si="4"/>
        <v/>
      </c>
      <c r="AI349" s="388"/>
      <c r="AJ349" s="388"/>
      <c r="AK349" s="397"/>
    </row>
    <row r="350">
      <c r="A350" s="398"/>
      <c r="B350" s="386"/>
      <c r="C350" s="387" t="str">
        <f>IF(A350="","",IFERROR(IF(VLOOKUP(A350,'1. Inbound Leads'!A:G,7,FALSE)=0,"",VLOOKUP(A350,'1. Inbound Leads'!A:G,7,FALSE)),""))</f>
        <v/>
      </c>
      <c r="D350" s="387" t="str">
        <f>IF(A350="","",IFERROR(IF(VLOOKUP(A350,'1. Inbound Leads'!A:L,12,FALSE)=0,"",VLOOKUP(A350,'1. Inbound Leads'!A:L,12,FALSE)),""))</f>
        <v/>
      </c>
      <c r="E350" s="388"/>
      <c r="F350" s="389"/>
      <c r="G350" s="387"/>
      <c r="H350" s="387"/>
      <c r="I350" s="387"/>
      <c r="J350" s="387"/>
      <c r="K350" s="387"/>
      <c r="L350" s="387"/>
      <c r="M350" s="388"/>
      <c r="N350" s="388"/>
      <c r="O350" s="390"/>
      <c r="P350" s="391"/>
      <c r="Q350" s="389"/>
      <c r="R350" s="390"/>
      <c r="S350" s="390"/>
      <c r="T350" s="391"/>
      <c r="U350" s="392"/>
      <c r="V350" s="391"/>
      <c r="W350" s="391"/>
      <c r="X350" s="388"/>
      <c r="Y350" s="391"/>
      <c r="Z350" s="393"/>
      <c r="AA350" s="355" t="str">
        <f t="shared" si="1"/>
        <v/>
      </c>
      <c r="AB350" s="391"/>
      <c r="AC350" s="394" t="str">
        <f t="shared" si="2"/>
        <v/>
      </c>
      <c r="AD350" s="389"/>
      <c r="AE350" s="399"/>
      <c r="AF350" s="395"/>
      <c r="AG350" s="396" t="str">
        <f t="shared" si="3"/>
        <v/>
      </c>
      <c r="AH350" s="396" t="str">
        <f t="shared" si="4"/>
        <v/>
      </c>
      <c r="AI350" s="388"/>
      <c r="AJ350" s="388"/>
      <c r="AK350" s="397"/>
    </row>
    <row r="351">
      <c r="A351" s="398"/>
      <c r="B351" s="386"/>
      <c r="C351" s="387" t="str">
        <f>IF(A351="","",IFERROR(IF(VLOOKUP(A351,'1. Inbound Leads'!A:G,7,FALSE)=0,"",VLOOKUP(A351,'1. Inbound Leads'!A:G,7,FALSE)),""))</f>
        <v/>
      </c>
      <c r="D351" s="387" t="str">
        <f>IF(A351="","",IFERROR(IF(VLOOKUP(A351,'1. Inbound Leads'!A:L,12,FALSE)=0,"",VLOOKUP(A351,'1. Inbound Leads'!A:L,12,FALSE)),""))</f>
        <v/>
      </c>
      <c r="E351" s="388"/>
      <c r="F351" s="389"/>
      <c r="G351" s="387"/>
      <c r="H351" s="387"/>
      <c r="I351" s="387"/>
      <c r="J351" s="387"/>
      <c r="K351" s="387"/>
      <c r="L351" s="387"/>
      <c r="M351" s="388"/>
      <c r="N351" s="388"/>
      <c r="O351" s="390"/>
      <c r="P351" s="391"/>
      <c r="Q351" s="389"/>
      <c r="R351" s="390"/>
      <c r="S351" s="390"/>
      <c r="T351" s="391"/>
      <c r="U351" s="392"/>
      <c r="V351" s="391"/>
      <c r="W351" s="391"/>
      <c r="X351" s="388"/>
      <c r="Y351" s="391"/>
      <c r="Z351" s="393"/>
      <c r="AA351" s="355" t="str">
        <f t="shared" si="1"/>
        <v/>
      </c>
      <c r="AB351" s="391"/>
      <c r="AC351" s="394" t="str">
        <f t="shared" si="2"/>
        <v/>
      </c>
      <c r="AD351" s="389"/>
      <c r="AE351" s="399"/>
      <c r="AF351" s="395"/>
      <c r="AG351" s="396" t="str">
        <f t="shared" si="3"/>
        <v/>
      </c>
      <c r="AH351" s="396" t="str">
        <f t="shared" si="4"/>
        <v/>
      </c>
      <c r="AI351" s="388"/>
      <c r="AJ351" s="388"/>
      <c r="AK351" s="397"/>
    </row>
    <row r="352">
      <c r="A352" s="398"/>
      <c r="B352" s="386"/>
      <c r="C352" s="387" t="str">
        <f>IF(A352="","",IFERROR(IF(VLOOKUP(A352,'1. Inbound Leads'!A:G,7,FALSE)=0,"",VLOOKUP(A352,'1. Inbound Leads'!A:G,7,FALSE)),""))</f>
        <v/>
      </c>
      <c r="D352" s="387" t="str">
        <f>IF(A352="","",IFERROR(IF(VLOOKUP(A352,'1. Inbound Leads'!A:L,12,FALSE)=0,"",VLOOKUP(A352,'1. Inbound Leads'!A:L,12,FALSE)),""))</f>
        <v/>
      </c>
      <c r="E352" s="388"/>
      <c r="F352" s="389"/>
      <c r="G352" s="387"/>
      <c r="H352" s="387"/>
      <c r="I352" s="387"/>
      <c r="J352" s="387"/>
      <c r="K352" s="387"/>
      <c r="L352" s="387"/>
      <c r="M352" s="388"/>
      <c r="N352" s="388"/>
      <c r="O352" s="390"/>
      <c r="P352" s="391"/>
      <c r="Q352" s="389"/>
      <c r="R352" s="390"/>
      <c r="S352" s="390"/>
      <c r="T352" s="391"/>
      <c r="U352" s="392"/>
      <c r="V352" s="391"/>
      <c r="W352" s="391"/>
      <c r="X352" s="388"/>
      <c r="Y352" s="391"/>
      <c r="Z352" s="393"/>
      <c r="AA352" s="355" t="str">
        <f t="shared" si="1"/>
        <v/>
      </c>
      <c r="AB352" s="391"/>
      <c r="AC352" s="394" t="str">
        <f t="shared" si="2"/>
        <v/>
      </c>
      <c r="AD352" s="389"/>
      <c r="AE352" s="399"/>
      <c r="AF352" s="395"/>
      <c r="AG352" s="396" t="str">
        <f t="shared" si="3"/>
        <v/>
      </c>
      <c r="AH352" s="396" t="str">
        <f t="shared" si="4"/>
        <v/>
      </c>
      <c r="AI352" s="388"/>
      <c r="AJ352" s="388"/>
      <c r="AK352" s="397"/>
    </row>
    <row r="353">
      <c r="A353" s="398"/>
      <c r="B353" s="386"/>
      <c r="C353" s="387" t="str">
        <f>IF(A353="","",IFERROR(IF(VLOOKUP(A353,'1. Inbound Leads'!A:G,7,FALSE)=0,"",VLOOKUP(A353,'1. Inbound Leads'!A:G,7,FALSE)),""))</f>
        <v/>
      </c>
      <c r="D353" s="387" t="str">
        <f>IF(A353="","",IFERROR(IF(VLOOKUP(A353,'1. Inbound Leads'!A:L,12,FALSE)=0,"",VLOOKUP(A353,'1. Inbound Leads'!A:L,12,FALSE)),""))</f>
        <v/>
      </c>
      <c r="E353" s="388"/>
      <c r="F353" s="389"/>
      <c r="G353" s="387"/>
      <c r="H353" s="387"/>
      <c r="I353" s="387"/>
      <c r="J353" s="387"/>
      <c r="K353" s="387"/>
      <c r="L353" s="387"/>
      <c r="M353" s="388"/>
      <c r="N353" s="388"/>
      <c r="O353" s="390"/>
      <c r="P353" s="391"/>
      <c r="Q353" s="389"/>
      <c r="R353" s="390"/>
      <c r="S353" s="390"/>
      <c r="T353" s="391"/>
      <c r="U353" s="392"/>
      <c r="V353" s="391"/>
      <c r="W353" s="391"/>
      <c r="X353" s="388"/>
      <c r="Y353" s="391"/>
      <c r="Z353" s="393"/>
      <c r="AA353" s="355" t="str">
        <f t="shared" si="1"/>
        <v/>
      </c>
      <c r="AB353" s="391"/>
      <c r="AC353" s="394" t="str">
        <f t="shared" si="2"/>
        <v/>
      </c>
      <c r="AD353" s="389"/>
      <c r="AE353" s="399"/>
      <c r="AF353" s="395"/>
      <c r="AG353" s="396" t="str">
        <f t="shared" si="3"/>
        <v/>
      </c>
      <c r="AH353" s="396" t="str">
        <f t="shared" si="4"/>
        <v/>
      </c>
      <c r="AI353" s="388"/>
      <c r="AJ353" s="388"/>
      <c r="AK353" s="397"/>
    </row>
    <row r="354">
      <c r="A354" s="398"/>
      <c r="B354" s="386"/>
      <c r="C354" s="387" t="str">
        <f>IF(A354="","",IFERROR(IF(VLOOKUP(A354,'1. Inbound Leads'!A:G,7,FALSE)=0,"",VLOOKUP(A354,'1. Inbound Leads'!A:G,7,FALSE)),""))</f>
        <v/>
      </c>
      <c r="D354" s="387" t="str">
        <f>IF(A354="","",IFERROR(IF(VLOOKUP(A354,'1. Inbound Leads'!A:L,12,FALSE)=0,"",VLOOKUP(A354,'1. Inbound Leads'!A:L,12,FALSE)),""))</f>
        <v/>
      </c>
      <c r="E354" s="388"/>
      <c r="F354" s="389"/>
      <c r="G354" s="387"/>
      <c r="H354" s="387"/>
      <c r="I354" s="387"/>
      <c r="J354" s="387"/>
      <c r="K354" s="387"/>
      <c r="L354" s="387"/>
      <c r="M354" s="388"/>
      <c r="N354" s="388"/>
      <c r="O354" s="390"/>
      <c r="P354" s="391"/>
      <c r="Q354" s="389"/>
      <c r="R354" s="390"/>
      <c r="S354" s="390"/>
      <c r="T354" s="391"/>
      <c r="U354" s="392"/>
      <c r="V354" s="391"/>
      <c r="W354" s="391"/>
      <c r="X354" s="388"/>
      <c r="Y354" s="391"/>
      <c r="Z354" s="393"/>
      <c r="AA354" s="355" t="str">
        <f t="shared" si="1"/>
        <v/>
      </c>
      <c r="AB354" s="391"/>
      <c r="AC354" s="394" t="str">
        <f t="shared" si="2"/>
        <v/>
      </c>
      <c r="AD354" s="389"/>
      <c r="AE354" s="399"/>
      <c r="AF354" s="395"/>
      <c r="AG354" s="396" t="str">
        <f t="shared" si="3"/>
        <v/>
      </c>
      <c r="AH354" s="396" t="str">
        <f t="shared" si="4"/>
        <v/>
      </c>
      <c r="AI354" s="388"/>
      <c r="AJ354" s="388"/>
      <c r="AK354" s="397"/>
    </row>
    <row r="355">
      <c r="A355" s="398"/>
      <c r="B355" s="386"/>
      <c r="C355" s="387" t="str">
        <f>IF(A355="","",IFERROR(IF(VLOOKUP(A355,'1. Inbound Leads'!A:G,7,FALSE)=0,"",VLOOKUP(A355,'1. Inbound Leads'!A:G,7,FALSE)),""))</f>
        <v/>
      </c>
      <c r="D355" s="387" t="str">
        <f>IF(A355="","",IFERROR(IF(VLOOKUP(A355,'1. Inbound Leads'!A:L,12,FALSE)=0,"",VLOOKUP(A355,'1. Inbound Leads'!A:L,12,FALSE)),""))</f>
        <v/>
      </c>
      <c r="E355" s="388"/>
      <c r="F355" s="389"/>
      <c r="G355" s="387"/>
      <c r="H355" s="387"/>
      <c r="I355" s="387"/>
      <c r="J355" s="387"/>
      <c r="K355" s="387"/>
      <c r="L355" s="387"/>
      <c r="M355" s="388"/>
      <c r="N355" s="388"/>
      <c r="O355" s="390"/>
      <c r="P355" s="391"/>
      <c r="Q355" s="389"/>
      <c r="R355" s="390"/>
      <c r="S355" s="390"/>
      <c r="T355" s="391"/>
      <c r="U355" s="392"/>
      <c r="V355" s="391"/>
      <c r="W355" s="391"/>
      <c r="X355" s="388"/>
      <c r="Y355" s="391"/>
      <c r="Z355" s="393"/>
      <c r="AA355" s="355" t="str">
        <f t="shared" si="1"/>
        <v/>
      </c>
      <c r="AB355" s="391"/>
      <c r="AC355" s="394" t="str">
        <f t="shared" si="2"/>
        <v/>
      </c>
      <c r="AD355" s="389"/>
      <c r="AE355" s="399"/>
      <c r="AF355" s="395"/>
      <c r="AG355" s="396" t="str">
        <f t="shared" si="3"/>
        <v/>
      </c>
      <c r="AH355" s="396" t="str">
        <f t="shared" si="4"/>
        <v/>
      </c>
      <c r="AI355" s="388"/>
      <c r="AJ355" s="388"/>
      <c r="AK355" s="397"/>
    </row>
    <row r="356">
      <c r="A356" s="398"/>
      <c r="B356" s="386"/>
      <c r="C356" s="387" t="str">
        <f>IF(A356="","",IFERROR(IF(VLOOKUP(A356,'1. Inbound Leads'!A:G,7,FALSE)=0,"",VLOOKUP(A356,'1. Inbound Leads'!A:G,7,FALSE)),""))</f>
        <v/>
      </c>
      <c r="D356" s="387" t="str">
        <f>IF(A356="","",IFERROR(IF(VLOOKUP(A356,'1. Inbound Leads'!A:L,12,FALSE)=0,"",VLOOKUP(A356,'1. Inbound Leads'!A:L,12,FALSE)),""))</f>
        <v/>
      </c>
      <c r="E356" s="388"/>
      <c r="F356" s="389"/>
      <c r="G356" s="387"/>
      <c r="H356" s="387"/>
      <c r="I356" s="387"/>
      <c r="J356" s="387"/>
      <c r="K356" s="387"/>
      <c r="L356" s="387"/>
      <c r="M356" s="388"/>
      <c r="N356" s="388"/>
      <c r="O356" s="390"/>
      <c r="P356" s="391"/>
      <c r="Q356" s="389"/>
      <c r="R356" s="390"/>
      <c r="S356" s="390"/>
      <c r="T356" s="391"/>
      <c r="U356" s="392"/>
      <c r="V356" s="391"/>
      <c r="W356" s="391"/>
      <c r="X356" s="388"/>
      <c r="Y356" s="391"/>
      <c r="Z356" s="393"/>
      <c r="AA356" s="355" t="str">
        <f t="shared" si="1"/>
        <v/>
      </c>
      <c r="AB356" s="391"/>
      <c r="AC356" s="394" t="str">
        <f t="shared" si="2"/>
        <v/>
      </c>
      <c r="AD356" s="389"/>
      <c r="AE356" s="399"/>
      <c r="AF356" s="395"/>
      <c r="AG356" s="396" t="str">
        <f t="shared" si="3"/>
        <v/>
      </c>
      <c r="AH356" s="396" t="str">
        <f t="shared" si="4"/>
        <v/>
      </c>
      <c r="AI356" s="388"/>
      <c r="AJ356" s="388"/>
      <c r="AK356" s="397"/>
    </row>
    <row r="357">
      <c r="A357" s="398"/>
      <c r="B357" s="386"/>
      <c r="C357" s="387" t="str">
        <f>IF(A357="","",IFERROR(IF(VLOOKUP(A357,'1. Inbound Leads'!A:G,7,FALSE)=0,"",VLOOKUP(A357,'1. Inbound Leads'!A:G,7,FALSE)),""))</f>
        <v/>
      </c>
      <c r="D357" s="387" t="str">
        <f>IF(A357="","",IFERROR(IF(VLOOKUP(A357,'1. Inbound Leads'!A:L,12,FALSE)=0,"",VLOOKUP(A357,'1. Inbound Leads'!A:L,12,FALSE)),""))</f>
        <v/>
      </c>
      <c r="E357" s="388"/>
      <c r="F357" s="389"/>
      <c r="G357" s="387"/>
      <c r="H357" s="387"/>
      <c r="I357" s="387"/>
      <c r="J357" s="387"/>
      <c r="K357" s="387"/>
      <c r="L357" s="387"/>
      <c r="M357" s="388"/>
      <c r="N357" s="388"/>
      <c r="O357" s="390"/>
      <c r="P357" s="391"/>
      <c r="Q357" s="389"/>
      <c r="R357" s="390"/>
      <c r="S357" s="390"/>
      <c r="T357" s="391"/>
      <c r="U357" s="392"/>
      <c r="V357" s="391"/>
      <c r="W357" s="391"/>
      <c r="X357" s="388"/>
      <c r="Y357" s="391"/>
      <c r="Z357" s="393"/>
      <c r="AA357" s="355" t="str">
        <f t="shared" si="1"/>
        <v/>
      </c>
      <c r="AB357" s="391"/>
      <c r="AC357" s="394" t="str">
        <f t="shared" si="2"/>
        <v/>
      </c>
      <c r="AD357" s="389"/>
      <c r="AE357" s="399"/>
      <c r="AF357" s="395"/>
      <c r="AG357" s="396" t="str">
        <f t="shared" si="3"/>
        <v/>
      </c>
      <c r="AH357" s="396" t="str">
        <f t="shared" si="4"/>
        <v/>
      </c>
      <c r="AI357" s="388"/>
      <c r="AJ357" s="388"/>
      <c r="AK357" s="397"/>
    </row>
    <row r="358">
      <c r="A358" s="398"/>
      <c r="B358" s="386"/>
      <c r="C358" s="387" t="str">
        <f>IF(A358="","",IFERROR(IF(VLOOKUP(A358,'1. Inbound Leads'!A:G,7,FALSE)=0,"",VLOOKUP(A358,'1. Inbound Leads'!A:G,7,FALSE)),""))</f>
        <v/>
      </c>
      <c r="D358" s="387" t="str">
        <f>IF(A358="","",IFERROR(IF(VLOOKUP(A358,'1. Inbound Leads'!A:L,12,FALSE)=0,"",VLOOKUP(A358,'1. Inbound Leads'!A:L,12,FALSE)),""))</f>
        <v/>
      </c>
      <c r="E358" s="388"/>
      <c r="F358" s="389"/>
      <c r="G358" s="387"/>
      <c r="H358" s="387"/>
      <c r="I358" s="387"/>
      <c r="J358" s="387"/>
      <c r="K358" s="387"/>
      <c r="L358" s="387"/>
      <c r="M358" s="388"/>
      <c r="N358" s="388"/>
      <c r="O358" s="390"/>
      <c r="P358" s="391"/>
      <c r="Q358" s="389"/>
      <c r="R358" s="390"/>
      <c r="S358" s="390"/>
      <c r="T358" s="391"/>
      <c r="U358" s="392"/>
      <c r="V358" s="391"/>
      <c r="W358" s="391"/>
      <c r="X358" s="388"/>
      <c r="Y358" s="391"/>
      <c r="Z358" s="393"/>
      <c r="AA358" s="355" t="str">
        <f t="shared" si="1"/>
        <v/>
      </c>
      <c r="AB358" s="391"/>
      <c r="AC358" s="394" t="str">
        <f t="shared" si="2"/>
        <v/>
      </c>
      <c r="AD358" s="389"/>
      <c r="AE358" s="399"/>
      <c r="AF358" s="395"/>
      <c r="AG358" s="396" t="str">
        <f t="shared" si="3"/>
        <v/>
      </c>
      <c r="AH358" s="396" t="str">
        <f t="shared" si="4"/>
        <v/>
      </c>
      <c r="AI358" s="388"/>
      <c r="AJ358" s="388"/>
      <c r="AK358" s="397"/>
    </row>
    <row r="359">
      <c r="A359" s="398"/>
      <c r="B359" s="386"/>
      <c r="C359" s="387" t="str">
        <f>IF(A359="","",IFERROR(IF(VLOOKUP(A359,'1. Inbound Leads'!A:G,7,FALSE)=0,"",VLOOKUP(A359,'1. Inbound Leads'!A:G,7,FALSE)),""))</f>
        <v/>
      </c>
      <c r="D359" s="387" t="str">
        <f>IF(A359="","",IFERROR(IF(VLOOKUP(A359,'1. Inbound Leads'!A:L,12,FALSE)=0,"",VLOOKUP(A359,'1. Inbound Leads'!A:L,12,FALSE)),""))</f>
        <v/>
      </c>
      <c r="E359" s="388"/>
      <c r="F359" s="389"/>
      <c r="G359" s="387"/>
      <c r="H359" s="387"/>
      <c r="I359" s="387"/>
      <c r="J359" s="387"/>
      <c r="K359" s="387"/>
      <c r="L359" s="387"/>
      <c r="M359" s="388"/>
      <c r="N359" s="388"/>
      <c r="O359" s="390"/>
      <c r="P359" s="391"/>
      <c r="Q359" s="389"/>
      <c r="R359" s="390"/>
      <c r="S359" s="390"/>
      <c r="T359" s="391"/>
      <c r="U359" s="392"/>
      <c r="V359" s="391"/>
      <c r="W359" s="391"/>
      <c r="X359" s="388"/>
      <c r="Y359" s="391"/>
      <c r="Z359" s="393"/>
      <c r="AA359" s="355" t="str">
        <f t="shared" si="1"/>
        <v/>
      </c>
      <c r="AB359" s="391"/>
      <c r="AC359" s="394" t="str">
        <f t="shared" si="2"/>
        <v/>
      </c>
      <c r="AD359" s="389"/>
      <c r="AE359" s="399"/>
      <c r="AF359" s="395"/>
      <c r="AG359" s="396" t="str">
        <f t="shared" si="3"/>
        <v/>
      </c>
      <c r="AH359" s="396" t="str">
        <f t="shared" si="4"/>
        <v/>
      </c>
      <c r="AI359" s="388"/>
      <c r="AJ359" s="388"/>
      <c r="AK359" s="397"/>
    </row>
    <row r="360">
      <c r="A360" s="398"/>
      <c r="B360" s="386"/>
      <c r="C360" s="387" t="str">
        <f>IF(A360="","",IFERROR(IF(VLOOKUP(A360,'1. Inbound Leads'!A:G,7,FALSE)=0,"",VLOOKUP(A360,'1. Inbound Leads'!A:G,7,FALSE)),""))</f>
        <v/>
      </c>
      <c r="D360" s="387" t="str">
        <f>IF(A360="","",IFERROR(IF(VLOOKUP(A360,'1. Inbound Leads'!A:L,12,FALSE)=0,"",VLOOKUP(A360,'1. Inbound Leads'!A:L,12,FALSE)),""))</f>
        <v/>
      </c>
      <c r="E360" s="388"/>
      <c r="F360" s="389"/>
      <c r="G360" s="387"/>
      <c r="H360" s="387"/>
      <c r="I360" s="387"/>
      <c r="J360" s="387"/>
      <c r="K360" s="387"/>
      <c r="L360" s="387"/>
      <c r="M360" s="388"/>
      <c r="N360" s="388"/>
      <c r="O360" s="390"/>
      <c r="P360" s="391"/>
      <c r="Q360" s="389"/>
      <c r="R360" s="390"/>
      <c r="S360" s="390"/>
      <c r="T360" s="391"/>
      <c r="U360" s="392"/>
      <c r="V360" s="391"/>
      <c r="W360" s="391"/>
      <c r="X360" s="388"/>
      <c r="Y360" s="391"/>
      <c r="Z360" s="393"/>
      <c r="AA360" s="355" t="str">
        <f t="shared" si="1"/>
        <v/>
      </c>
      <c r="AB360" s="391"/>
      <c r="AC360" s="394" t="str">
        <f t="shared" si="2"/>
        <v/>
      </c>
      <c r="AD360" s="389"/>
      <c r="AE360" s="399"/>
      <c r="AF360" s="395"/>
      <c r="AG360" s="396" t="str">
        <f t="shared" si="3"/>
        <v/>
      </c>
      <c r="AH360" s="396" t="str">
        <f t="shared" si="4"/>
        <v/>
      </c>
      <c r="AI360" s="388"/>
      <c r="AJ360" s="388"/>
      <c r="AK360" s="397"/>
    </row>
    <row r="361">
      <c r="A361" s="398"/>
      <c r="B361" s="386"/>
      <c r="C361" s="387" t="str">
        <f>IF(A361="","",IFERROR(IF(VLOOKUP(A361,'1. Inbound Leads'!A:G,7,FALSE)=0,"",VLOOKUP(A361,'1. Inbound Leads'!A:G,7,FALSE)),""))</f>
        <v/>
      </c>
      <c r="D361" s="387" t="str">
        <f>IF(A361="","",IFERROR(IF(VLOOKUP(A361,'1. Inbound Leads'!A:L,12,FALSE)=0,"",VLOOKUP(A361,'1. Inbound Leads'!A:L,12,FALSE)),""))</f>
        <v/>
      </c>
      <c r="E361" s="388"/>
      <c r="F361" s="389"/>
      <c r="G361" s="387"/>
      <c r="H361" s="387"/>
      <c r="I361" s="387"/>
      <c r="J361" s="387"/>
      <c r="K361" s="387"/>
      <c r="L361" s="387"/>
      <c r="M361" s="388"/>
      <c r="N361" s="388"/>
      <c r="O361" s="390"/>
      <c r="P361" s="391"/>
      <c r="Q361" s="389"/>
      <c r="R361" s="390"/>
      <c r="S361" s="390"/>
      <c r="T361" s="391"/>
      <c r="U361" s="392"/>
      <c r="V361" s="391"/>
      <c r="W361" s="391"/>
      <c r="X361" s="388"/>
      <c r="Y361" s="391"/>
      <c r="Z361" s="393"/>
      <c r="AA361" s="355" t="str">
        <f t="shared" si="1"/>
        <v/>
      </c>
      <c r="AB361" s="391"/>
      <c r="AC361" s="394" t="str">
        <f t="shared" si="2"/>
        <v/>
      </c>
      <c r="AD361" s="389"/>
      <c r="AE361" s="399"/>
      <c r="AF361" s="395"/>
      <c r="AG361" s="396" t="str">
        <f t="shared" si="3"/>
        <v/>
      </c>
      <c r="AH361" s="396" t="str">
        <f t="shared" si="4"/>
        <v/>
      </c>
      <c r="AI361" s="388"/>
      <c r="AJ361" s="388"/>
      <c r="AK361" s="397"/>
    </row>
    <row r="362">
      <c r="A362" s="398"/>
      <c r="B362" s="386"/>
      <c r="C362" s="387" t="str">
        <f>IF(A362="","",IFERROR(IF(VLOOKUP(A362,'1. Inbound Leads'!A:G,7,FALSE)=0,"",VLOOKUP(A362,'1. Inbound Leads'!A:G,7,FALSE)),""))</f>
        <v/>
      </c>
      <c r="D362" s="387" t="str">
        <f>IF(A362="","",IFERROR(IF(VLOOKUP(A362,'1. Inbound Leads'!A:L,12,FALSE)=0,"",VLOOKUP(A362,'1. Inbound Leads'!A:L,12,FALSE)),""))</f>
        <v/>
      </c>
      <c r="E362" s="388"/>
      <c r="F362" s="389"/>
      <c r="G362" s="387"/>
      <c r="H362" s="387"/>
      <c r="I362" s="387"/>
      <c r="J362" s="387"/>
      <c r="K362" s="387"/>
      <c r="L362" s="387"/>
      <c r="M362" s="388"/>
      <c r="N362" s="388"/>
      <c r="O362" s="390"/>
      <c r="P362" s="391"/>
      <c r="Q362" s="389"/>
      <c r="R362" s="390"/>
      <c r="S362" s="390"/>
      <c r="T362" s="391"/>
      <c r="U362" s="392"/>
      <c r="V362" s="391"/>
      <c r="W362" s="391"/>
      <c r="X362" s="388"/>
      <c r="Y362" s="391"/>
      <c r="Z362" s="393"/>
      <c r="AA362" s="355" t="str">
        <f t="shared" si="1"/>
        <v/>
      </c>
      <c r="AB362" s="391"/>
      <c r="AC362" s="394" t="str">
        <f t="shared" si="2"/>
        <v/>
      </c>
      <c r="AD362" s="389"/>
      <c r="AE362" s="399"/>
      <c r="AF362" s="395"/>
      <c r="AG362" s="396" t="str">
        <f t="shared" si="3"/>
        <v/>
      </c>
      <c r="AH362" s="396" t="str">
        <f t="shared" si="4"/>
        <v/>
      </c>
      <c r="AI362" s="388"/>
      <c r="AJ362" s="388"/>
      <c r="AK362" s="397"/>
    </row>
    <row r="363">
      <c r="A363" s="398"/>
      <c r="B363" s="386"/>
      <c r="C363" s="387" t="str">
        <f>IF(A363="","",IFERROR(IF(VLOOKUP(A363,'1. Inbound Leads'!A:G,7,FALSE)=0,"",VLOOKUP(A363,'1. Inbound Leads'!A:G,7,FALSE)),""))</f>
        <v/>
      </c>
      <c r="D363" s="387" t="str">
        <f>IF(A363="","",IFERROR(IF(VLOOKUP(A363,'1. Inbound Leads'!A:L,12,FALSE)=0,"",VLOOKUP(A363,'1. Inbound Leads'!A:L,12,FALSE)),""))</f>
        <v/>
      </c>
      <c r="E363" s="388"/>
      <c r="F363" s="389"/>
      <c r="G363" s="387"/>
      <c r="H363" s="387"/>
      <c r="I363" s="387"/>
      <c r="J363" s="387"/>
      <c r="K363" s="387"/>
      <c r="L363" s="387"/>
      <c r="M363" s="388"/>
      <c r="N363" s="388"/>
      <c r="O363" s="390"/>
      <c r="P363" s="391"/>
      <c r="Q363" s="389"/>
      <c r="R363" s="390"/>
      <c r="S363" s="390"/>
      <c r="T363" s="391"/>
      <c r="U363" s="392"/>
      <c r="V363" s="391"/>
      <c r="W363" s="391"/>
      <c r="X363" s="388"/>
      <c r="Y363" s="391"/>
      <c r="Z363" s="393"/>
      <c r="AA363" s="355" t="str">
        <f t="shared" si="1"/>
        <v/>
      </c>
      <c r="AB363" s="391"/>
      <c r="AC363" s="394" t="str">
        <f t="shared" si="2"/>
        <v/>
      </c>
      <c r="AD363" s="389"/>
      <c r="AE363" s="399"/>
      <c r="AF363" s="395"/>
      <c r="AG363" s="396" t="str">
        <f t="shared" si="3"/>
        <v/>
      </c>
      <c r="AH363" s="396" t="str">
        <f t="shared" si="4"/>
        <v/>
      </c>
      <c r="AI363" s="388"/>
      <c r="AJ363" s="388"/>
      <c r="AK363" s="397"/>
    </row>
    <row r="364">
      <c r="A364" s="398"/>
      <c r="B364" s="386"/>
      <c r="C364" s="387" t="str">
        <f>IF(A364="","",IFERROR(IF(VLOOKUP(A364,'1. Inbound Leads'!A:G,7,FALSE)=0,"",VLOOKUP(A364,'1. Inbound Leads'!A:G,7,FALSE)),""))</f>
        <v/>
      </c>
      <c r="D364" s="387" t="str">
        <f>IF(A364="","",IFERROR(IF(VLOOKUP(A364,'1. Inbound Leads'!A:L,12,FALSE)=0,"",VLOOKUP(A364,'1. Inbound Leads'!A:L,12,FALSE)),""))</f>
        <v/>
      </c>
      <c r="E364" s="388"/>
      <c r="F364" s="389"/>
      <c r="G364" s="387"/>
      <c r="H364" s="387"/>
      <c r="I364" s="387"/>
      <c r="J364" s="387"/>
      <c r="K364" s="387"/>
      <c r="L364" s="387"/>
      <c r="M364" s="388"/>
      <c r="N364" s="388"/>
      <c r="O364" s="390"/>
      <c r="P364" s="391"/>
      <c r="Q364" s="389"/>
      <c r="R364" s="390"/>
      <c r="S364" s="390"/>
      <c r="T364" s="391"/>
      <c r="U364" s="392"/>
      <c r="V364" s="391"/>
      <c r="W364" s="391"/>
      <c r="X364" s="388"/>
      <c r="Y364" s="391"/>
      <c r="Z364" s="393"/>
      <c r="AA364" s="355" t="str">
        <f t="shared" si="1"/>
        <v/>
      </c>
      <c r="AB364" s="391"/>
      <c r="AC364" s="394" t="str">
        <f t="shared" si="2"/>
        <v/>
      </c>
      <c r="AD364" s="389"/>
      <c r="AE364" s="399"/>
      <c r="AF364" s="395"/>
      <c r="AG364" s="396" t="str">
        <f t="shared" si="3"/>
        <v/>
      </c>
      <c r="AH364" s="396" t="str">
        <f t="shared" si="4"/>
        <v/>
      </c>
      <c r="AI364" s="388"/>
      <c r="AJ364" s="388"/>
      <c r="AK364" s="397"/>
    </row>
    <row r="365">
      <c r="A365" s="398"/>
      <c r="B365" s="386"/>
      <c r="C365" s="387" t="str">
        <f>IF(A365="","",IFERROR(IF(VLOOKUP(A365,'1. Inbound Leads'!A:G,7,FALSE)=0,"",VLOOKUP(A365,'1. Inbound Leads'!A:G,7,FALSE)),""))</f>
        <v/>
      </c>
      <c r="D365" s="387" t="str">
        <f>IF(A365="","",IFERROR(IF(VLOOKUP(A365,'1. Inbound Leads'!A:L,12,FALSE)=0,"",VLOOKUP(A365,'1. Inbound Leads'!A:L,12,FALSE)),""))</f>
        <v/>
      </c>
      <c r="E365" s="388"/>
      <c r="F365" s="389"/>
      <c r="G365" s="387"/>
      <c r="H365" s="387"/>
      <c r="I365" s="387"/>
      <c r="J365" s="387"/>
      <c r="K365" s="387"/>
      <c r="L365" s="387"/>
      <c r="M365" s="388"/>
      <c r="N365" s="388"/>
      <c r="O365" s="390"/>
      <c r="P365" s="391"/>
      <c r="Q365" s="389"/>
      <c r="R365" s="390"/>
      <c r="S365" s="390"/>
      <c r="T365" s="391"/>
      <c r="U365" s="392"/>
      <c r="V365" s="391"/>
      <c r="W365" s="391"/>
      <c r="X365" s="388"/>
      <c r="Y365" s="391"/>
      <c r="Z365" s="393"/>
      <c r="AA365" s="355" t="str">
        <f t="shared" si="1"/>
        <v/>
      </c>
      <c r="AB365" s="391"/>
      <c r="AC365" s="394" t="str">
        <f t="shared" si="2"/>
        <v/>
      </c>
      <c r="AD365" s="389"/>
      <c r="AE365" s="399"/>
      <c r="AF365" s="395"/>
      <c r="AG365" s="396" t="str">
        <f t="shared" si="3"/>
        <v/>
      </c>
      <c r="AH365" s="396" t="str">
        <f t="shared" si="4"/>
        <v/>
      </c>
      <c r="AI365" s="388"/>
      <c r="AJ365" s="388"/>
      <c r="AK365" s="397"/>
    </row>
    <row r="366">
      <c r="A366" s="398"/>
      <c r="B366" s="386"/>
      <c r="C366" s="387" t="str">
        <f>IF(A366="","",IFERROR(IF(VLOOKUP(A366,'1. Inbound Leads'!A:G,7,FALSE)=0,"",VLOOKUP(A366,'1. Inbound Leads'!A:G,7,FALSE)),""))</f>
        <v/>
      </c>
      <c r="D366" s="387" t="str">
        <f>IF(A366="","",IFERROR(IF(VLOOKUP(A366,'1. Inbound Leads'!A:L,12,FALSE)=0,"",VLOOKUP(A366,'1. Inbound Leads'!A:L,12,FALSE)),""))</f>
        <v/>
      </c>
      <c r="E366" s="388"/>
      <c r="F366" s="389"/>
      <c r="G366" s="387"/>
      <c r="H366" s="387"/>
      <c r="I366" s="387"/>
      <c r="J366" s="387"/>
      <c r="K366" s="387"/>
      <c r="L366" s="387"/>
      <c r="M366" s="388"/>
      <c r="N366" s="388"/>
      <c r="O366" s="390"/>
      <c r="P366" s="391"/>
      <c r="Q366" s="389"/>
      <c r="R366" s="390"/>
      <c r="S366" s="390"/>
      <c r="T366" s="391"/>
      <c r="U366" s="392"/>
      <c r="V366" s="391"/>
      <c r="W366" s="391"/>
      <c r="X366" s="388"/>
      <c r="Y366" s="391"/>
      <c r="Z366" s="393"/>
      <c r="AA366" s="355" t="str">
        <f t="shared" si="1"/>
        <v/>
      </c>
      <c r="AB366" s="391"/>
      <c r="AC366" s="394" t="str">
        <f t="shared" si="2"/>
        <v/>
      </c>
      <c r="AD366" s="389"/>
      <c r="AE366" s="399"/>
      <c r="AF366" s="395"/>
      <c r="AG366" s="396" t="str">
        <f t="shared" si="3"/>
        <v/>
      </c>
      <c r="AH366" s="396" t="str">
        <f t="shared" si="4"/>
        <v/>
      </c>
      <c r="AI366" s="388"/>
      <c r="AJ366" s="388"/>
      <c r="AK366" s="397"/>
    </row>
    <row r="367">
      <c r="A367" s="398"/>
      <c r="B367" s="386"/>
      <c r="C367" s="387" t="str">
        <f>IF(A367="","",IFERROR(IF(VLOOKUP(A367,'1. Inbound Leads'!A:G,7,FALSE)=0,"",VLOOKUP(A367,'1. Inbound Leads'!A:G,7,FALSE)),""))</f>
        <v/>
      </c>
      <c r="D367" s="387" t="str">
        <f>IF(A367="","",IFERROR(IF(VLOOKUP(A367,'1. Inbound Leads'!A:L,12,FALSE)=0,"",VLOOKUP(A367,'1. Inbound Leads'!A:L,12,FALSE)),""))</f>
        <v/>
      </c>
      <c r="E367" s="388"/>
      <c r="F367" s="389"/>
      <c r="G367" s="387"/>
      <c r="H367" s="387"/>
      <c r="I367" s="387"/>
      <c r="J367" s="387"/>
      <c r="K367" s="387"/>
      <c r="L367" s="387"/>
      <c r="M367" s="388"/>
      <c r="N367" s="388"/>
      <c r="O367" s="390"/>
      <c r="P367" s="391"/>
      <c r="Q367" s="389"/>
      <c r="R367" s="390"/>
      <c r="S367" s="390"/>
      <c r="T367" s="391"/>
      <c r="U367" s="392"/>
      <c r="V367" s="391"/>
      <c r="W367" s="391"/>
      <c r="X367" s="388"/>
      <c r="Y367" s="391"/>
      <c r="Z367" s="393"/>
      <c r="AA367" s="355" t="str">
        <f t="shared" si="1"/>
        <v/>
      </c>
      <c r="AB367" s="391"/>
      <c r="AC367" s="394" t="str">
        <f t="shared" si="2"/>
        <v/>
      </c>
      <c r="AD367" s="389"/>
      <c r="AE367" s="399"/>
      <c r="AF367" s="395"/>
      <c r="AG367" s="396" t="str">
        <f t="shared" si="3"/>
        <v/>
      </c>
      <c r="AH367" s="396" t="str">
        <f t="shared" si="4"/>
        <v/>
      </c>
      <c r="AI367" s="388"/>
      <c r="AJ367" s="388"/>
      <c r="AK367" s="397"/>
    </row>
    <row r="368">
      <c r="A368" s="398"/>
      <c r="B368" s="386"/>
      <c r="C368" s="387" t="str">
        <f>IF(A368="","",IFERROR(IF(VLOOKUP(A368,'1. Inbound Leads'!A:G,7,FALSE)=0,"",VLOOKUP(A368,'1. Inbound Leads'!A:G,7,FALSE)),""))</f>
        <v/>
      </c>
      <c r="D368" s="387" t="str">
        <f>IF(A368="","",IFERROR(IF(VLOOKUP(A368,'1. Inbound Leads'!A:L,12,FALSE)=0,"",VLOOKUP(A368,'1. Inbound Leads'!A:L,12,FALSE)),""))</f>
        <v/>
      </c>
      <c r="E368" s="388"/>
      <c r="F368" s="389"/>
      <c r="G368" s="387"/>
      <c r="H368" s="387"/>
      <c r="I368" s="387"/>
      <c r="J368" s="387"/>
      <c r="K368" s="387"/>
      <c r="L368" s="387"/>
      <c r="M368" s="388"/>
      <c r="N368" s="388"/>
      <c r="O368" s="390"/>
      <c r="P368" s="391"/>
      <c r="Q368" s="389"/>
      <c r="R368" s="390"/>
      <c r="S368" s="390"/>
      <c r="T368" s="391"/>
      <c r="U368" s="392"/>
      <c r="V368" s="391"/>
      <c r="W368" s="391"/>
      <c r="X368" s="388"/>
      <c r="Y368" s="391"/>
      <c r="Z368" s="393"/>
      <c r="AA368" s="355" t="str">
        <f t="shared" si="1"/>
        <v/>
      </c>
      <c r="AB368" s="391"/>
      <c r="AC368" s="394" t="str">
        <f t="shared" si="2"/>
        <v/>
      </c>
      <c r="AD368" s="389"/>
      <c r="AE368" s="399"/>
      <c r="AF368" s="395"/>
      <c r="AG368" s="396" t="str">
        <f t="shared" si="3"/>
        <v/>
      </c>
      <c r="AH368" s="396" t="str">
        <f t="shared" si="4"/>
        <v/>
      </c>
      <c r="AI368" s="388"/>
      <c r="AJ368" s="388"/>
      <c r="AK368" s="397"/>
    </row>
    <row r="369">
      <c r="A369" s="398"/>
      <c r="B369" s="386"/>
      <c r="C369" s="387" t="str">
        <f>IF(A369="","",IFERROR(IF(VLOOKUP(A369,'1. Inbound Leads'!A:G,7,FALSE)=0,"",VLOOKUP(A369,'1. Inbound Leads'!A:G,7,FALSE)),""))</f>
        <v/>
      </c>
      <c r="D369" s="387" t="str">
        <f>IF(A369="","",IFERROR(IF(VLOOKUP(A369,'1. Inbound Leads'!A:L,12,FALSE)=0,"",VLOOKUP(A369,'1. Inbound Leads'!A:L,12,FALSE)),""))</f>
        <v/>
      </c>
      <c r="E369" s="388"/>
      <c r="F369" s="389"/>
      <c r="G369" s="387"/>
      <c r="H369" s="387"/>
      <c r="I369" s="387"/>
      <c r="J369" s="387"/>
      <c r="K369" s="387"/>
      <c r="L369" s="387"/>
      <c r="M369" s="388"/>
      <c r="N369" s="388"/>
      <c r="O369" s="390"/>
      <c r="P369" s="391"/>
      <c r="Q369" s="389"/>
      <c r="R369" s="390"/>
      <c r="S369" s="390"/>
      <c r="T369" s="391"/>
      <c r="U369" s="392"/>
      <c r="V369" s="391"/>
      <c r="W369" s="391"/>
      <c r="X369" s="388"/>
      <c r="Y369" s="391"/>
      <c r="Z369" s="393"/>
      <c r="AA369" s="355" t="str">
        <f t="shared" si="1"/>
        <v/>
      </c>
      <c r="AB369" s="391"/>
      <c r="AC369" s="394" t="str">
        <f t="shared" si="2"/>
        <v/>
      </c>
      <c r="AD369" s="389"/>
      <c r="AE369" s="399"/>
      <c r="AF369" s="395"/>
      <c r="AG369" s="396" t="str">
        <f t="shared" si="3"/>
        <v/>
      </c>
      <c r="AH369" s="396" t="str">
        <f t="shared" si="4"/>
        <v/>
      </c>
      <c r="AI369" s="388"/>
      <c r="AJ369" s="388"/>
      <c r="AK369" s="397"/>
    </row>
    <row r="370">
      <c r="A370" s="398"/>
      <c r="B370" s="386"/>
      <c r="C370" s="387" t="str">
        <f>IF(A370="","",IFERROR(IF(VLOOKUP(A370,'1. Inbound Leads'!A:G,7,FALSE)=0,"",VLOOKUP(A370,'1. Inbound Leads'!A:G,7,FALSE)),""))</f>
        <v/>
      </c>
      <c r="D370" s="387" t="str">
        <f>IF(A370="","",IFERROR(IF(VLOOKUP(A370,'1. Inbound Leads'!A:L,12,FALSE)=0,"",VLOOKUP(A370,'1. Inbound Leads'!A:L,12,FALSE)),""))</f>
        <v/>
      </c>
      <c r="E370" s="388"/>
      <c r="F370" s="389"/>
      <c r="G370" s="387"/>
      <c r="H370" s="387"/>
      <c r="I370" s="387"/>
      <c r="J370" s="387"/>
      <c r="K370" s="387"/>
      <c r="L370" s="387"/>
      <c r="M370" s="388"/>
      <c r="N370" s="388"/>
      <c r="O370" s="390"/>
      <c r="P370" s="391"/>
      <c r="Q370" s="389"/>
      <c r="R370" s="390"/>
      <c r="S370" s="390"/>
      <c r="T370" s="391"/>
      <c r="U370" s="392"/>
      <c r="V370" s="391"/>
      <c r="W370" s="391"/>
      <c r="X370" s="388"/>
      <c r="Y370" s="391"/>
      <c r="Z370" s="393"/>
      <c r="AA370" s="355" t="str">
        <f t="shared" si="1"/>
        <v/>
      </c>
      <c r="AB370" s="391"/>
      <c r="AC370" s="394" t="str">
        <f t="shared" si="2"/>
        <v/>
      </c>
      <c r="AD370" s="389"/>
      <c r="AE370" s="399"/>
      <c r="AF370" s="395"/>
      <c r="AG370" s="396" t="str">
        <f t="shared" si="3"/>
        <v/>
      </c>
      <c r="AH370" s="396" t="str">
        <f t="shared" si="4"/>
        <v/>
      </c>
      <c r="AI370" s="388"/>
      <c r="AJ370" s="388"/>
      <c r="AK370" s="397"/>
    </row>
    <row r="371">
      <c r="A371" s="398"/>
      <c r="B371" s="386"/>
      <c r="C371" s="387" t="str">
        <f>IF(A371="","",IFERROR(IF(VLOOKUP(A371,'1. Inbound Leads'!A:G,7,FALSE)=0,"",VLOOKUP(A371,'1. Inbound Leads'!A:G,7,FALSE)),""))</f>
        <v/>
      </c>
      <c r="D371" s="387" t="str">
        <f>IF(A371="","",IFERROR(IF(VLOOKUP(A371,'1. Inbound Leads'!A:L,12,FALSE)=0,"",VLOOKUP(A371,'1. Inbound Leads'!A:L,12,FALSE)),""))</f>
        <v/>
      </c>
      <c r="E371" s="388"/>
      <c r="F371" s="389"/>
      <c r="G371" s="387"/>
      <c r="H371" s="387"/>
      <c r="I371" s="387"/>
      <c r="J371" s="387"/>
      <c r="K371" s="387"/>
      <c r="L371" s="387"/>
      <c r="M371" s="388"/>
      <c r="N371" s="388"/>
      <c r="O371" s="390"/>
      <c r="P371" s="391"/>
      <c r="Q371" s="389"/>
      <c r="R371" s="390"/>
      <c r="S371" s="390"/>
      <c r="T371" s="391"/>
      <c r="U371" s="392"/>
      <c r="V371" s="391"/>
      <c r="W371" s="391"/>
      <c r="X371" s="388"/>
      <c r="Y371" s="391"/>
      <c r="Z371" s="393"/>
      <c r="AA371" s="355" t="str">
        <f t="shared" si="1"/>
        <v/>
      </c>
      <c r="AB371" s="391"/>
      <c r="AC371" s="394" t="str">
        <f t="shared" si="2"/>
        <v/>
      </c>
      <c r="AD371" s="389"/>
      <c r="AE371" s="399"/>
      <c r="AF371" s="395"/>
      <c r="AG371" s="396" t="str">
        <f t="shared" si="3"/>
        <v/>
      </c>
      <c r="AH371" s="396" t="str">
        <f t="shared" si="4"/>
        <v/>
      </c>
      <c r="AI371" s="388"/>
      <c r="AJ371" s="388"/>
      <c r="AK371" s="397"/>
    </row>
    <row r="372">
      <c r="A372" s="398"/>
      <c r="B372" s="386"/>
      <c r="C372" s="387" t="str">
        <f>IF(A372="","",IFERROR(IF(VLOOKUP(A372,'1. Inbound Leads'!A:G,7,FALSE)=0,"",VLOOKUP(A372,'1. Inbound Leads'!A:G,7,FALSE)),""))</f>
        <v/>
      </c>
      <c r="D372" s="387" t="str">
        <f>IF(A372="","",IFERROR(IF(VLOOKUP(A372,'1. Inbound Leads'!A:L,12,FALSE)=0,"",VLOOKUP(A372,'1. Inbound Leads'!A:L,12,FALSE)),""))</f>
        <v/>
      </c>
      <c r="E372" s="388"/>
      <c r="F372" s="389"/>
      <c r="G372" s="387"/>
      <c r="H372" s="387"/>
      <c r="I372" s="387"/>
      <c r="J372" s="387"/>
      <c r="K372" s="387"/>
      <c r="L372" s="387"/>
      <c r="M372" s="388"/>
      <c r="N372" s="388"/>
      <c r="O372" s="390"/>
      <c r="P372" s="391"/>
      <c r="Q372" s="389"/>
      <c r="R372" s="390"/>
      <c r="S372" s="390"/>
      <c r="T372" s="391"/>
      <c r="U372" s="392"/>
      <c r="V372" s="391"/>
      <c r="W372" s="391"/>
      <c r="X372" s="388"/>
      <c r="Y372" s="391"/>
      <c r="Z372" s="393"/>
      <c r="AA372" s="355" t="str">
        <f t="shared" si="1"/>
        <v/>
      </c>
      <c r="AB372" s="391"/>
      <c r="AC372" s="394" t="str">
        <f t="shared" si="2"/>
        <v/>
      </c>
      <c r="AD372" s="389"/>
      <c r="AE372" s="399"/>
      <c r="AF372" s="395"/>
      <c r="AG372" s="396" t="str">
        <f t="shared" si="3"/>
        <v/>
      </c>
      <c r="AH372" s="396" t="str">
        <f t="shared" si="4"/>
        <v/>
      </c>
      <c r="AI372" s="388"/>
      <c r="AJ372" s="388"/>
      <c r="AK372" s="397"/>
    </row>
    <row r="373">
      <c r="A373" s="398"/>
      <c r="B373" s="386"/>
      <c r="C373" s="387" t="str">
        <f>IF(A373="","",IFERROR(IF(VLOOKUP(A373,'1. Inbound Leads'!A:G,7,FALSE)=0,"",VLOOKUP(A373,'1. Inbound Leads'!A:G,7,FALSE)),""))</f>
        <v/>
      </c>
      <c r="D373" s="387" t="str">
        <f>IF(A373="","",IFERROR(IF(VLOOKUP(A373,'1. Inbound Leads'!A:L,12,FALSE)=0,"",VLOOKUP(A373,'1. Inbound Leads'!A:L,12,FALSE)),""))</f>
        <v/>
      </c>
      <c r="E373" s="388"/>
      <c r="F373" s="389"/>
      <c r="G373" s="387"/>
      <c r="H373" s="387"/>
      <c r="I373" s="387"/>
      <c r="J373" s="387"/>
      <c r="K373" s="387"/>
      <c r="L373" s="387"/>
      <c r="M373" s="388"/>
      <c r="N373" s="388"/>
      <c r="O373" s="390"/>
      <c r="P373" s="391"/>
      <c r="Q373" s="389"/>
      <c r="R373" s="390"/>
      <c r="S373" s="390"/>
      <c r="T373" s="391"/>
      <c r="U373" s="392"/>
      <c r="V373" s="391"/>
      <c r="W373" s="391"/>
      <c r="X373" s="388"/>
      <c r="Y373" s="391"/>
      <c r="Z373" s="393"/>
      <c r="AA373" s="355" t="str">
        <f t="shared" si="1"/>
        <v/>
      </c>
      <c r="AB373" s="391"/>
      <c r="AC373" s="394" t="str">
        <f t="shared" si="2"/>
        <v/>
      </c>
      <c r="AD373" s="389"/>
      <c r="AE373" s="399"/>
      <c r="AF373" s="395"/>
      <c r="AG373" s="396" t="str">
        <f t="shared" si="3"/>
        <v/>
      </c>
      <c r="AH373" s="396" t="str">
        <f t="shared" si="4"/>
        <v/>
      </c>
      <c r="AI373" s="388"/>
      <c r="AJ373" s="388"/>
      <c r="AK373" s="397"/>
    </row>
    <row r="374">
      <c r="A374" s="398"/>
      <c r="B374" s="386"/>
      <c r="C374" s="387" t="str">
        <f>IF(A374="","",IFERROR(IF(VLOOKUP(A374,'1. Inbound Leads'!A:G,7,FALSE)=0,"",VLOOKUP(A374,'1. Inbound Leads'!A:G,7,FALSE)),""))</f>
        <v/>
      </c>
      <c r="D374" s="387" t="str">
        <f>IF(A374="","",IFERROR(IF(VLOOKUP(A374,'1. Inbound Leads'!A:L,12,FALSE)=0,"",VLOOKUP(A374,'1. Inbound Leads'!A:L,12,FALSE)),""))</f>
        <v/>
      </c>
      <c r="E374" s="388"/>
      <c r="F374" s="389"/>
      <c r="G374" s="387"/>
      <c r="H374" s="387"/>
      <c r="I374" s="387"/>
      <c r="J374" s="387"/>
      <c r="K374" s="387"/>
      <c r="L374" s="387"/>
      <c r="M374" s="388"/>
      <c r="N374" s="388"/>
      <c r="O374" s="390"/>
      <c r="P374" s="391"/>
      <c r="Q374" s="389"/>
      <c r="R374" s="390"/>
      <c r="S374" s="390"/>
      <c r="T374" s="391"/>
      <c r="U374" s="392"/>
      <c r="V374" s="391"/>
      <c r="W374" s="391"/>
      <c r="X374" s="388"/>
      <c r="Y374" s="391"/>
      <c r="Z374" s="393"/>
      <c r="AA374" s="355" t="str">
        <f t="shared" si="1"/>
        <v/>
      </c>
      <c r="AB374" s="391"/>
      <c r="AC374" s="394" t="str">
        <f t="shared" si="2"/>
        <v/>
      </c>
      <c r="AD374" s="389"/>
      <c r="AE374" s="399"/>
      <c r="AF374" s="395"/>
      <c r="AG374" s="396" t="str">
        <f t="shared" si="3"/>
        <v/>
      </c>
      <c r="AH374" s="396" t="str">
        <f t="shared" si="4"/>
        <v/>
      </c>
      <c r="AI374" s="388"/>
      <c r="AJ374" s="388"/>
      <c r="AK374" s="397"/>
    </row>
    <row r="375">
      <c r="A375" s="398"/>
      <c r="B375" s="386"/>
      <c r="C375" s="387" t="str">
        <f>IF(A375="","",IFERROR(IF(VLOOKUP(A375,'1. Inbound Leads'!A:G,7,FALSE)=0,"",VLOOKUP(A375,'1. Inbound Leads'!A:G,7,FALSE)),""))</f>
        <v/>
      </c>
      <c r="D375" s="387" t="str">
        <f>IF(A375="","",IFERROR(IF(VLOOKUP(A375,'1. Inbound Leads'!A:L,12,FALSE)=0,"",VLOOKUP(A375,'1. Inbound Leads'!A:L,12,FALSE)),""))</f>
        <v/>
      </c>
      <c r="E375" s="388"/>
      <c r="F375" s="389"/>
      <c r="G375" s="387"/>
      <c r="H375" s="387"/>
      <c r="I375" s="387"/>
      <c r="J375" s="387"/>
      <c r="K375" s="387"/>
      <c r="L375" s="387"/>
      <c r="M375" s="388"/>
      <c r="N375" s="388"/>
      <c r="O375" s="390"/>
      <c r="P375" s="391"/>
      <c r="Q375" s="389"/>
      <c r="R375" s="390"/>
      <c r="S375" s="390"/>
      <c r="T375" s="391"/>
      <c r="U375" s="392"/>
      <c r="V375" s="391"/>
      <c r="W375" s="391"/>
      <c r="X375" s="388"/>
      <c r="Y375" s="391"/>
      <c r="Z375" s="393"/>
      <c r="AA375" s="355" t="str">
        <f t="shared" si="1"/>
        <v/>
      </c>
      <c r="AB375" s="391"/>
      <c r="AC375" s="394" t="str">
        <f t="shared" si="2"/>
        <v/>
      </c>
      <c r="AD375" s="389"/>
      <c r="AE375" s="399"/>
      <c r="AF375" s="395"/>
      <c r="AG375" s="396" t="str">
        <f t="shared" si="3"/>
        <v/>
      </c>
      <c r="AH375" s="396" t="str">
        <f t="shared" si="4"/>
        <v/>
      </c>
      <c r="AI375" s="388"/>
      <c r="AJ375" s="388"/>
      <c r="AK375" s="397"/>
    </row>
    <row r="376">
      <c r="A376" s="398"/>
      <c r="B376" s="386"/>
      <c r="C376" s="387" t="str">
        <f>IF(A376="","",IFERROR(IF(VLOOKUP(A376,'1. Inbound Leads'!A:G,7,FALSE)=0,"",VLOOKUP(A376,'1. Inbound Leads'!A:G,7,FALSE)),""))</f>
        <v/>
      </c>
      <c r="D376" s="387" t="str">
        <f>IF(A376="","",IFERROR(IF(VLOOKUP(A376,'1. Inbound Leads'!A:L,12,FALSE)=0,"",VLOOKUP(A376,'1. Inbound Leads'!A:L,12,FALSE)),""))</f>
        <v/>
      </c>
      <c r="E376" s="388"/>
      <c r="F376" s="389"/>
      <c r="G376" s="387"/>
      <c r="H376" s="387"/>
      <c r="I376" s="387"/>
      <c r="J376" s="387"/>
      <c r="K376" s="387"/>
      <c r="L376" s="387"/>
      <c r="M376" s="388"/>
      <c r="N376" s="388"/>
      <c r="O376" s="390"/>
      <c r="P376" s="391"/>
      <c r="Q376" s="389"/>
      <c r="R376" s="390"/>
      <c r="S376" s="390"/>
      <c r="T376" s="391"/>
      <c r="U376" s="392"/>
      <c r="V376" s="391"/>
      <c r="W376" s="391"/>
      <c r="X376" s="388"/>
      <c r="Y376" s="391"/>
      <c r="Z376" s="393"/>
      <c r="AA376" s="355" t="str">
        <f t="shared" si="1"/>
        <v/>
      </c>
      <c r="AB376" s="391"/>
      <c r="AC376" s="394" t="str">
        <f t="shared" si="2"/>
        <v/>
      </c>
      <c r="AD376" s="389"/>
      <c r="AE376" s="399"/>
      <c r="AF376" s="395"/>
      <c r="AG376" s="396" t="str">
        <f t="shared" si="3"/>
        <v/>
      </c>
      <c r="AH376" s="396" t="str">
        <f t="shared" si="4"/>
        <v/>
      </c>
      <c r="AI376" s="388"/>
      <c r="AJ376" s="388"/>
      <c r="AK376" s="397"/>
    </row>
    <row r="377">
      <c r="A377" s="398"/>
      <c r="B377" s="386"/>
      <c r="C377" s="387" t="str">
        <f>IF(A377="","",IFERROR(IF(VLOOKUP(A377,'1. Inbound Leads'!A:G,7,FALSE)=0,"",VLOOKUP(A377,'1. Inbound Leads'!A:G,7,FALSE)),""))</f>
        <v/>
      </c>
      <c r="D377" s="387" t="str">
        <f>IF(A377="","",IFERROR(IF(VLOOKUP(A377,'1. Inbound Leads'!A:L,12,FALSE)=0,"",VLOOKUP(A377,'1. Inbound Leads'!A:L,12,FALSE)),""))</f>
        <v/>
      </c>
      <c r="E377" s="388"/>
      <c r="F377" s="389"/>
      <c r="G377" s="387"/>
      <c r="H377" s="387"/>
      <c r="I377" s="387"/>
      <c r="J377" s="387"/>
      <c r="K377" s="387"/>
      <c r="L377" s="387"/>
      <c r="M377" s="388"/>
      <c r="N377" s="388"/>
      <c r="O377" s="390"/>
      <c r="P377" s="391"/>
      <c r="Q377" s="389"/>
      <c r="R377" s="390"/>
      <c r="S377" s="390"/>
      <c r="T377" s="391"/>
      <c r="U377" s="392"/>
      <c r="V377" s="391"/>
      <c r="W377" s="391"/>
      <c r="X377" s="388"/>
      <c r="Y377" s="391"/>
      <c r="Z377" s="393"/>
      <c r="AA377" s="355" t="str">
        <f t="shared" si="1"/>
        <v/>
      </c>
      <c r="AB377" s="391"/>
      <c r="AC377" s="394" t="str">
        <f t="shared" si="2"/>
        <v/>
      </c>
      <c r="AD377" s="389"/>
      <c r="AE377" s="399"/>
      <c r="AF377" s="395"/>
      <c r="AG377" s="396" t="str">
        <f t="shared" si="3"/>
        <v/>
      </c>
      <c r="AH377" s="396" t="str">
        <f t="shared" si="4"/>
        <v/>
      </c>
      <c r="AI377" s="388"/>
      <c r="AJ377" s="388"/>
      <c r="AK377" s="397"/>
    </row>
    <row r="378">
      <c r="A378" s="398"/>
      <c r="B378" s="386"/>
      <c r="C378" s="387" t="str">
        <f>IF(A378="","",IFERROR(IF(VLOOKUP(A378,'1. Inbound Leads'!A:G,7,FALSE)=0,"",VLOOKUP(A378,'1. Inbound Leads'!A:G,7,FALSE)),""))</f>
        <v/>
      </c>
      <c r="D378" s="387" t="str">
        <f>IF(A378="","",IFERROR(IF(VLOOKUP(A378,'1. Inbound Leads'!A:L,12,FALSE)=0,"",VLOOKUP(A378,'1. Inbound Leads'!A:L,12,FALSE)),""))</f>
        <v/>
      </c>
      <c r="E378" s="388"/>
      <c r="F378" s="389"/>
      <c r="G378" s="387"/>
      <c r="H378" s="387"/>
      <c r="I378" s="387"/>
      <c r="J378" s="387"/>
      <c r="K378" s="387"/>
      <c r="L378" s="387"/>
      <c r="M378" s="388"/>
      <c r="N378" s="388"/>
      <c r="O378" s="390"/>
      <c r="P378" s="391"/>
      <c r="Q378" s="389"/>
      <c r="R378" s="390"/>
      <c r="S378" s="390"/>
      <c r="T378" s="391"/>
      <c r="U378" s="392"/>
      <c r="V378" s="391"/>
      <c r="W378" s="391"/>
      <c r="X378" s="388"/>
      <c r="Y378" s="391"/>
      <c r="Z378" s="393"/>
      <c r="AA378" s="355" t="str">
        <f t="shared" si="1"/>
        <v/>
      </c>
      <c r="AB378" s="391"/>
      <c r="AC378" s="394" t="str">
        <f t="shared" si="2"/>
        <v/>
      </c>
      <c r="AD378" s="389"/>
      <c r="AE378" s="399"/>
      <c r="AF378" s="395"/>
      <c r="AG378" s="396" t="str">
        <f t="shared" si="3"/>
        <v/>
      </c>
      <c r="AH378" s="396" t="str">
        <f t="shared" si="4"/>
        <v/>
      </c>
      <c r="AI378" s="388"/>
      <c r="AJ378" s="388"/>
      <c r="AK378" s="397"/>
    </row>
    <row r="379">
      <c r="A379" s="398"/>
      <c r="B379" s="386"/>
      <c r="C379" s="387" t="str">
        <f>IF(A379="","",IFERROR(IF(VLOOKUP(A379,'1. Inbound Leads'!A:G,7,FALSE)=0,"",VLOOKUP(A379,'1. Inbound Leads'!A:G,7,FALSE)),""))</f>
        <v/>
      </c>
      <c r="D379" s="387" t="str">
        <f>IF(A379="","",IFERROR(IF(VLOOKUP(A379,'1. Inbound Leads'!A:L,12,FALSE)=0,"",VLOOKUP(A379,'1. Inbound Leads'!A:L,12,FALSE)),""))</f>
        <v/>
      </c>
      <c r="E379" s="388"/>
      <c r="F379" s="389"/>
      <c r="G379" s="387"/>
      <c r="H379" s="387"/>
      <c r="I379" s="387"/>
      <c r="J379" s="387"/>
      <c r="K379" s="387"/>
      <c r="L379" s="387"/>
      <c r="M379" s="388"/>
      <c r="N379" s="388"/>
      <c r="O379" s="390"/>
      <c r="P379" s="391"/>
      <c r="Q379" s="389"/>
      <c r="R379" s="390"/>
      <c r="S379" s="390"/>
      <c r="T379" s="391"/>
      <c r="U379" s="392"/>
      <c r="V379" s="391"/>
      <c r="W379" s="391"/>
      <c r="X379" s="388"/>
      <c r="Y379" s="391"/>
      <c r="Z379" s="393"/>
      <c r="AA379" s="355" t="str">
        <f t="shared" si="1"/>
        <v/>
      </c>
      <c r="AB379" s="391"/>
      <c r="AC379" s="394" t="str">
        <f t="shared" si="2"/>
        <v/>
      </c>
      <c r="AD379" s="389"/>
      <c r="AE379" s="399"/>
      <c r="AF379" s="395"/>
      <c r="AG379" s="396" t="str">
        <f t="shared" si="3"/>
        <v/>
      </c>
      <c r="AH379" s="396" t="str">
        <f t="shared" si="4"/>
        <v/>
      </c>
      <c r="AI379" s="388"/>
      <c r="AJ379" s="388"/>
      <c r="AK379" s="397"/>
    </row>
    <row r="380">
      <c r="A380" s="398"/>
      <c r="B380" s="386"/>
      <c r="C380" s="387" t="str">
        <f>IF(A380="","",IFERROR(IF(VLOOKUP(A380,'1. Inbound Leads'!A:G,7,FALSE)=0,"",VLOOKUP(A380,'1. Inbound Leads'!A:G,7,FALSE)),""))</f>
        <v/>
      </c>
      <c r="D380" s="387" t="str">
        <f>IF(A380="","",IFERROR(IF(VLOOKUP(A380,'1. Inbound Leads'!A:L,12,FALSE)=0,"",VLOOKUP(A380,'1. Inbound Leads'!A:L,12,FALSE)),""))</f>
        <v/>
      </c>
      <c r="E380" s="388"/>
      <c r="F380" s="389"/>
      <c r="G380" s="387"/>
      <c r="H380" s="387"/>
      <c r="I380" s="387"/>
      <c r="J380" s="387"/>
      <c r="K380" s="387"/>
      <c r="L380" s="387"/>
      <c r="M380" s="388"/>
      <c r="N380" s="388"/>
      <c r="O380" s="390"/>
      <c r="P380" s="391"/>
      <c r="Q380" s="389"/>
      <c r="R380" s="390"/>
      <c r="S380" s="390"/>
      <c r="T380" s="391"/>
      <c r="U380" s="392"/>
      <c r="V380" s="391"/>
      <c r="W380" s="391"/>
      <c r="X380" s="388"/>
      <c r="Y380" s="391"/>
      <c r="Z380" s="393"/>
      <c r="AA380" s="355" t="str">
        <f t="shared" si="1"/>
        <v/>
      </c>
      <c r="AB380" s="391"/>
      <c r="AC380" s="394" t="str">
        <f t="shared" si="2"/>
        <v/>
      </c>
      <c r="AD380" s="389"/>
      <c r="AE380" s="399"/>
      <c r="AF380" s="395"/>
      <c r="AG380" s="396" t="str">
        <f t="shared" si="3"/>
        <v/>
      </c>
      <c r="AH380" s="396" t="str">
        <f t="shared" si="4"/>
        <v/>
      </c>
      <c r="AI380" s="388"/>
      <c r="AJ380" s="388"/>
      <c r="AK380" s="397"/>
    </row>
    <row r="381">
      <c r="A381" s="398"/>
      <c r="B381" s="386"/>
      <c r="C381" s="387" t="str">
        <f>IF(A381="","",IFERROR(IF(VLOOKUP(A381,'1. Inbound Leads'!A:G,7,FALSE)=0,"",VLOOKUP(A381,'1. Inbound Leads'!A:G,7,FALSE)),""))</f>
        <v/>
      </c>
      <c r="D381" s="387" t="str">
        <f>IF(A381="","",IFERROR(IF(VLOOKUP(A381,'1. Inbound Leads'!A:L,12,FALSE)=0,"",VLOOKUP(A381,'1. Inbound Leads'!A:L,12,FALSE)),""))</f>
        <v/>
      </c>
      <c r="E381" s="388"/>
      <c r="F381" s="389"/>
      <c r="G381" s="387"/>
      <c r="H381" s="387"/>
      <c r="I381" s="387"/>
      <c r="J381" s="387"/>
      <c r="K381" s="387"/>
      <c r="L381" s="387"/>
      <c r="M381" s="388"/>
      <c r="N381" s="388"/>
      <c r="O381" s="390"/>
      <c r="P381" s="391"/>
      <c r="Q381" s="389"/>
      <c r="R381" s="390"/>
      <c r="S381" s="390"/>
      <c r="T381" s="391"/>
      <c r="U381" s="392"/>
      <c r="V381" s="391"/>
      <c r="W381" s="391"/>
      <c r="X381" s="388"/>
      <c r="Y381" s="391"/>
      <c r="Z381" s="393"/>
      <c r="AA381" s="355" t="str">
        <f t="shared" si="1"/>
        <v/>
      </c>
      <c r="AB381" s="391"/>
      <c r="AC381" s="394" t="str">
        <f t="shared" si="2"/>
        <v/>
      </c>
      <c r="AD381" s="389"/>
      <c r="AE381" s="399"/>
      <c r="AF381" s="395"/>
      <c r="AG381" s="396" t="str">
        <f t="shared" si="3"/>
        <v/>
      </c>
      <c r="AH381" s="396" t="str">
        <f t="shared" si="4"/>
        <v/>
      </c>
      <c r="AI381" s="388"/>
      <c r="AJ381" s="388"/>
      <c r="AK381" s="397"/>
    </row>
    <row r="382">
      <c r="A382" s="398"/>
      <c r="B382" s="386"/>
      <c r="C382" s="387" t="str">
        <f>IF(A382="","",IFERROR(IF(VLOOKUP(A382,'1. Inbound Leads'!A:G,7,FALSE)=0,"",VLOOKUP(A382,'1. Inbound Leads'!A:G,7,FALSE)),""))</f>
        <v/>
      </c>
      <c r="D382" s="387" t="str">
        <f>IF(A382="","",IFERROR(IF(VLOOKUP(A382,'1. Inbound Leads'!A:L,12,FALSE)=0,"",VLOOKUP(A382,'1. Inbound Leads'!A:L,12,FALSE)),""))</f>
        <v/>
      </c>
      <c r="E382" s="388"/>
      <c r="F382" s="389"/>
      <c r="G382" s="387"/>
      <c r="H382" s="387"/>
      <c r="I382" s="387"/>
      <c r="J382" s="387"/>
      <c r="K382" s="387"/>
      <c r="L382" s="387"/>
      <c r="M382" s="388"/>
      <c r="N382" s="388"/>
      <c r="O382" s="390"/>
      <c r="P382" s="391"/>
      <c r="Q382" s="389"/>
      <c r="R382" s="390"/>
      <c r="S382" s="390"/>
      <c r="T382" s="391"/>
      <c r="U382" s="392"/>
      <c r="V382" s="391"/>
      <c r="W382" s="391"/>
      <c r="X382" s="388"/>
      <c r="Y382" s="391"/>
      <c r="Z382" s="393"/>
      <c r="AA382" s="355" t="str">
        <f t="shared" si="1"/>
        <v/>
      </c>
      <c r="AB382" s="391"/>
      <c r="AC382" s="394" t="str">
        <f t="shared" si="2"/>
        <v/>
      </c>
      <c r="AD382" s="389"/>
      <c r="AE382" s="399"/>
      <c r="AF382" s="395"/>
      <c r="AG382" s="396" t="str">
        <f t="shared" si="3"/>
        <v/>
      </c>
      <c r="AH382" s="396" t="str">
        <f t="shared" si="4"/>
        <v/>
      </c>
      <c r="AI382" s="388"/>
      <c r="AJ382" s="388"/>
      <c r="AK382" s="397"/>
    </row>
    <row r="383">
      <c r="A383" s="398"/>
      <c r="B383" s="386"/>
      <c r="C383" s="387" t="str">
        <f>IF(A383="","",IFERROR(IF(VLOOKUP(A383,'1. Inbound Leads'!A:G,7,FALSE)=0,"",VLOOKUP(A383,'1. Inbound Leads'!A:G,7,FALSE)),""))</f>
        <v/>
      </c>
      <c r="D383" s="387" t="str">
        <f>IF(A383="","",IFERROR(IF(VLOOKUP(A383,'1. Inbound Leads'!A:L,12,FALSE)=0,"",VLOOKUP(A383,'1. Inbound Leads'!A:L,12,FALSE)),""))</f>
        <v/>
      </c>
      <c r="E383" s="388"/>
      <c r="F383" s="389"/>
      <c r="G383" s="387"/>
      <c r="H383" s="387"/>
      <c r="I383" s="387"/>
      <c r="J383" s="387"/>
      <c r="K383" s="387"/>
      <c r="L383" s="387"/>
      <c r="M383" s="388"/>
      <c r="N383" s="388"/>
      <c r="O383" s="390"/>
      <c r="P383" s="391"/>
      <c r="Q383" s="389"/>
      <c r="R383" s="390"/>
      <c r="S383" s="390"/>
      <c r="T383" s="391"/>
      <c r="U383" s="392"/>
      <c r="V383" s="391"/>
      <c r="W383" s="391"/>
      <c r="X383" s="388"/>
      <c r="Y383" s="391"/>
      <c r="Z383" s="393"/>
      <c r="AA383" s="355" t="str">
        <f t="shared" si="1"/>
        <v/>
      </c>
      <c r="AB383" s="391"/>
      <c r="AC383" s="394" t="str">
        <f t="shared" si="2"/>
        <v/>
      </c>
      <c r="AD383" s="389"/>
      <c r="AE383" s="399"/>
      <c r="AF383" s="395"/>
      <c r="AG383" s="396" t="str">
        <f t="shared" si="3"/>
        <v/>
      </c>
      <c r="AH383" s="396" t="str">
        <f t="shared" si="4"/>
        <v/>
      </c>
      <c r="AI383" s="388"/>
      <c r="AJ383" s="388"/>
      <c r="AK383" s="397"/>
    </row>
    <row r="384">
      <c r="A384" s="398"/>
      <c r="B384" s="386"/>
      <c r="C384" s="387" t="str">
        <f>IF(A384="","",IFERROR(IF(VLOOKUP(A384,'1. Inbound Leads'!A:G,7,FALSE)=0,"",VLOOKUP(A384,'1. Inbound Leads'!A:G,7,FALSE)),""))</f>
        <v/>
      </c>
      <c r="D384" s="387" t="str">
        <f>IF(A384="","",IFERROR(IF(VLOOKUP(A384,'1. Inbound Leads'!A:L,12,FALSE)=0,"",VLOOKUP(A384,'1. Inbound Leads'!A:L,12,FALSE)),""))</f>
        <v/>
      </c>
      <c r="E384" s="388"/>
      <c r="F384" s="389"/>
      <c r="G384" s="387"/>
      <c r="H384" s="387"/>
      <c r="I384" s="387"/>
      <c r="J384" s="387"/>
      <c r="K384" s="387"/>
      <c r="L384" s="387"/>
      <c r="M384" s="388"/>
      <c r="N384" s="388"/>
      <c r="O384" s="390"/>
      <c r="P384" s="391"/>
      <c r="Q384" s="389"/>
      <c r="R384" s="390"/>
      <c r="S384" s="390"/>
      <c r="T384" s="391"/>
      <c r="U384" s="392"/>
      <c r="V384" s="391"/>
      <c r="W384" s="391"/>
      <c r="X384" s="388"/>
      <c r="Y384" s="391"/>
      <c r="Z384" s="393"/>
      <c r="AA384" s="355" t="str">
        <f t="shared" si="1"/>
        <v/>
      </c>
      <c r="AB384" s="391"/>
      <c r="AC384" s="394" t="str">
        <f t="shared" si="2"/>
        <v/>
      </c>
      <c r="AD384" s="389"/>
      <c r="AE384" s="399"/>
      <c r="AF384" s="395"/>
      <c r="AG384" s="396" t="str">
        <f t="shared" si="3"/>
        <v/>
      </c>
      <c r="AH384" s="396" t="str">
        <f t="shared" si="4"/>
        <v/>
      </c>
      <c r="AI384" s="388"/>
      <c r="AJ384" s="388"/>
      <c r="AK384" s="397"/>
    </row>
    <row r="385">
      <c r="A385" s="398"/>
      <c r="B385" s="386"/>
      <c r="C385" s="387" t="str">
        <f>IF(A385="","",IFERROR(IF(VLOOKUP(A385,'1. Inbound Leads'!A:G,7,FALSE)=0,"",VLOOKUP(A385,'1. Inbound Leads'!A:G,7,FALSE)),""))</f>
        <v/>
      </c>
      <c r="D385" s="387" t="str">
        <f>IF(A385="","",IFERROR(IF(VLOOKUP(A385,'1. Inbound Leads'!A:L,12,FALSE)=0,"",VLOOKUP(A385,'1. Inbound Leads'!A:L,12,FALSE)),""))</f>
        <v/>
      </c>
      <c r="E385" s="388"/>
      <c r="F385" s="389"/>
      <c r="G385" s="387"/>
      <c r="H385" s="387"/>
      <c r="I385" s="387"/>
      <c r="J385" s="387"/>
      <c r="K385" s="387"/>
      <c r="L385" s="387"/>
      <c r="M385" s="388"/>
      <c r="N385" s="388"/>
      <c r="O385" s="390"/>
      <c r="P385" s="391"/>
      <c r="Q385" s="389"/>
      <c r="R385" s="390"/>
      <c r="S385" s="390"/>
      <c r="T385" s="391"/>
      <c r="U385" s="392"/>
      <c r="V385" s="391"/>
      <c r="W385" s="391"/>
      <c r="X385" s="388"/>
      <c r="Y385" s="391"/>
      <c r="Z385" s="393"/>
      <c r="AA385" s="355" t="str">
        <f t="shared" si="1"/>
        <v/>
      </c>
      <c r="AB385" s="391"/>
      <c r="AC385" s="394" t="str">
        <f t="shared" si="2"/>
        <v/>
      </c>
      <c r="AD385" s="389"/>
      <c r="AE385" s="399"/>
      <c r="AF385" s="395"/>
      <c r="AG385" s="396" t="str">
        <f t="shared" si="3"/>
        <v/>
      </c>
      <c r="AH385" s="396" t="str">
        <f t="shared" si="4"/>
        <v/>
      </c>
      <c r="AI385" s="388"/>
      <c r="AJ385" s="388"/>
      <c r="AK385" s="397"/>
    </row>
    <row r="386">
      <c r="A386" s="398"/>
      <c r="B386" s="386"/>
      <c r="C386" s="387" t="str">
        <f>IF(A386="","",IFERROR(IF(VLOOKUP(A386,'1. Inbound Leads'!A:G,7,FALSE)=0,"",VLOOKUP(A386,'1. Inbound Leads'!A:G,7,FALSE)),""))</f>
        <v/>
      </c>
      <c r="D386" s="387" t="str">
        <f>IF(A386="","",IFERROR(IF(VLOOKUP(A386,'1. Inbound Leads'!A:L,12,FALSE)=0,"",VLOOKUP(A386,'1. Inbound Leads'!A:L,12,FALSE)),""))</f>
        <v/>
      </c>
      <c r="E386" s="388"/>
      <c r="F386" s="389"/>
      <c r="G386" s="387"/>
      <c r="H386" s="387"/>
      <c r="I386" s="387"/>
      <c r="J386" s="387"/>
      <c r="K386" s="387"/>
      <c r="L386" s="387"/>
      <c r="M386" s="388"/>
      <c r="N386" s="388"/>
      <c r="O386" s="390"/>
      <c r="P386" s="391"/>
      <c r="Q386" s="389"/>
      <c r="R386" s="390"/>
      <c r="S386" s="390"/>
      <c r="T386" s="391"/>
      <c r="U386" s="392"/>
      <c r="V386" s="391"/>
      <c r="W386" s="391"/>
      <c r="X386" s="388"/>
      <c r="Y386" s="391"/>
      <c r="Z386" s="393"/>
      <c r="AA386" s="355" t="str">
        <f t="shared" si="1"/>
        <v/>
      </c>
      <c r="AB386" s="391"/>
      <c r="AC386" s="394" t="str">
        <f t="shared" si="2"/>
        <v/>
      </c>
      <c r="AD386" s="389"/>
      <c r="AE386" s="399"/>
      <c r="AF386" s="395"/>
      <c r="AG386" s="396" t="str">
        <f t="shared" si="3"/>
        <v/>
      </c>
      <c r="AH386" s="396" t="str">
        <f t="shared" si="4"/>
        <v/>
      </c>
      <c r="AI386" s="388"/>
      <c r="AJ386" s="388"/>
      <c r="AK386" s="397"/>
    </row>
    <row r="387">
      <c r="A387" s="398"/>
      <c r="B387" s="386"/>
      <c r="C387" s="387" t="str">
        <f>IF(A387="","",IFERROR(IF(VLOOKUP(A387,'1. Inbound Leads'!A:G,7,FALSE)=0,"",VLOOKUP(A387,'1. Inbound Leads'!A:G,7,FALSE)),""))</f>
        <v/>
      </c>
      <c r="D387" s="387" t="str">
        <f>IF(A387="","",IFERROR(IF(VLOOKUP(A387,'1. Inbound Leads'!A:L,12,FALSE)=0,"",VLOOKUP(A387,'1. Inbound Leads'!A:L,12,FALSE)),""))</f>
        <v/>
      </c>
      <c r="E387" s="388"/>
      <c r="F387" s="389"/>
      <c r="G387" s="387"/>
      <c r="H387" s="387"/>
      <c r="I387" s="387"/>
      <c r="J387" s="387"/>
      <c r="K387" s="387"/>
      <c r="L387" s="387"/>
      <c r="M387" s="388"/>
      <c r="N387" s="388"/>
      <c r="O387" s="390"/>
      <c r="P387" s="391"/>
      <c r="Q387" s="389"/>
      <c r="R387" s="390"/>
      <c r="S387" s="390"/>
      <c r="T387" s="391"/>
      <c r="U387" s="392"/>
      <c r="V387" s="391"/>
      <c r="W387" s="391"/>
      <c r="X387" s="388"/>
      <c r="Y387" s="391"/>
      <c r="Z387" s="393"/>
      <c r="AA387" s="355" t="str">
        <f t="shared" si="1"/>
        <v/>
      </c>
      <c r="AB387" s="391"/>
      <c r="AC387" s="394" t="str">
        <f t="shared" si="2"/>
        <v/>
      </c>
      <c r="AD387" s="389"/>
      <c r="AE387" s="399"/>
      <c r="AF387" s="395"/>
      <c r="AG387" s="396" t="str">
        <f t="shared" si="3"/>
        <v/>
      </c>
      <c r="AH387" s="396" t="str">
        <f t="shared" si="4"/>
        <v/>
      </c>
      <c r="AI387" s="388"/>
      <c r="AJ387" s="388"/>
      <c r="AK387" s="397"/>
    </row>
    <row r="388">
      <c r="A388" s="398"/>
      <c r="B388" s="386"/>
      <c r="C388" s="387" t="str">
        <f>IF(A388="","",IFERROR(IF(VLOOKUP(A388,'1. Inbound Leads'!A:G,7,FALSE)=0,"",VLOOKUP(A388,'1. Inbound Leads'!A:G,7,FALSE)),""))</f>
        <v/>
      </c>
      <c r="D388" s="387" t="str">
        <f>IF(A388="","",IFERROR(IF(VLOOKUP(A388,'1. Inbound Leads'!A:L,12,FALSE)=0,"",VLOOKUP(A388,'1. Inbound Leads'!A:L,12,FALSE)),""))</f>
        <v/>
      </c>
      <c r="E388" s="388"/>
      <c r="F388" s="389"/>
      <c r="G388" s="387"/>
      <c r="H388" s="387"/>
      <c r="I388" s="387"/>
      <c r="J388" s="387"/>
      <c r="K388" s="387"/>
      <c r="L388" s="387"/>
      <c r="M388" s="388"/>
      <c r="N388" s="388"/>
      <c r="O388" s="390"/>
      <c r="P388" s="391"/>
      <c r="Q388" s="389"/>
      <c r="R388" s="390"/>
      <c r="S388" s="390"/>
      <c r="T388" s="391"/>
      <c r="U388" s="392"/>
      <c r="V388" s="391"/>
      <c r="W388" s="391"/>
      <c r="X388" s="388"/>
      <c r="Y388" s="391"/>
      <c r="Z388" s="393"/>
      <c r="AA388" s="355" t="str">
        <f t="shared" si="1"/>
        <v/>
      </c>
      <c r="AB388" s="391"/>
      <c r="AC388" s="394" t="str">
        <f t="shared" si="2"/>
        <v/>
      </c>
      <c r="AD388" s="389"/>
      <c r="AE388" s="399"/>
      <c r="AF388" s="395"/>
      <c r="AG388" s="396" t="str">
        <f t="shared" si="3"/>
        <v/>
      </c>
      <c r="AH388" s="396" t="str">
        <f t="shared" si="4"/>
        <v/>
      </c>
      <c r="AI388" s="388"/>
      <c r="AJ388" s="388"/>
      <c r="AK388" s="397"/>
    </row>
    <row r="389">
      <c r="A389" s="398"/>
      <c r="B389" s="386"/>
      <c r="C389" s="387" t="str">
        <f>IF(A389="","",IFERROR(IF(VLOOKUP(A389,'1. Inbound Leads'!A:G,7,FALSE)=0,"",VLOOKUP(A389,'1. Inbound Leads'!A:G,7,FALSE)),""))</f>
        <v/>
      </c>
      <c r="D389" s="387" t="str">
        <f>IF(A389="","",IFERROR(IF(VLOOKUP(A389,'1. Inbound Leads'!A:L,12,FALSE)=0,"",VLOOKUP(A389,'1. Inbound Leads'!A:L,12,FALSE)),""))</f>
        <v/>
      </c>
      <c r="E389" s="388"/>
      <c r="F389" s="389"/>
      <c r="G389" s="387"/>
      <c r="H389" s="387"/>
      <c r="I389" s="387"/>
      <c r="J389" s="387"/>
      <c r="K389" s="387"/>
      <c r="L389" s="387"/>
      <c r="M389" s="388"/>
      <c r="N389" s="388"/>
      <c r="O389" s="390"/>
      <c r="P389" s="391"/>
      <c r="Q389" s="389"/>
      <c r="R389" s="390"/>
      <c r="S389" s="390"/>
      <c r="T389" s="391"/>
      <c r="U389" s="392"/>
      <c r="V389" s="391"/>
      <c r="W389" s="391"/>
      <c r="X389" s="388"/>
      <c r="Y389" s="391"/>
      <c r="Z389" s="393"/>
      <c r="AA389" s="355" t="str">
        <f t="shared" si="1"/>
        <v/>
      </c>
      <c r="AB389" s="391"/>
      <c r="AC389" s="394" t="str">
        <f t="shared" si="2"/>
        <v/>
      </c>
      <c r="AD389" s="389"/>
      <c r="AE389" s="399"/>
      <c r="AF389" s="395"/>
      <c r="AG389" s="396" t="str">
        <f t="shared" si="3"/>
        <v/>
      </c>
      <c r="AH389" s="396" t="str">
        <f t="shared" si="4"/>
        <v/>
      </c>
      <c r="AI389" s="388"/>
      <c r="AJ389" s="388"/>
      <c r="AK389" s="397"/>
    </row>
    <row r="390">
      <c r="A390" s="398"/>
      <c r="B390" s="386"/>
      <c r="C390" s="387" t="str">
        <f>IF(A390="","",IFERROR(IF(VLOOKUP(A390,'1. Inbound Leads'!A:G,7,FALSE)=0,"",VLOOKUP(A390,'1. Inbound Leads'!A:G,7,FALSE)),""))</f>
        <v/>
      </c>
      <c r="D390" s="387" t="str">
        <f>IF(A390="","",IFERROR(IF(VLOOKUP(A390,'1. Inbound Leads'!A:L,12,FALSE)=0,"",VLOOKUP(A390,'1. Inbound Leads'!A:L,12,FALSE)),""))</f>
        <v/>
      </c>
      <c r="E390" s="388"/>
      <c r="F390" s="389"/>
      <c r="G390" s="387"/>
      <c r="H390" s="387"/>
      <c r="I390" s="387"/>
      <c r="J390" s="387"/>
      <c r="K390" s="387"/>
      <c r="L390" s="387"/>
      <c r="M390" s="388"/>
      <c r="N390" s="388"/>
      <c r="O390" s="390"/>
      <c r="P390" s="391"/>
      <c r="Q390" s="389"/>
      <c r="R390" s="390"/>
      <c r="S390" s="390"/>
      <c r="T390" s="391"/>
      <c r="U390" s="392"/>
      <c r="V390" s="391"/>
      <c r="W390" s="391"/>
      <c r="X390" s="388"/>
      <c r="Y390" s="391"/>
      <c r="Z390" s="393"/>
      <c r="AA390" s="355" t="str">
        <f t="shared" si="1"/>
        <v/>
      </c>
      <c r="AB390" s="391"/>
      <c r="AC390" s="394" t="str">
        <f t="shared" si="2"/>
        <v/>
      </c>
      <c r="AD390" s="389"/>
      <c r="AE390" s="399"/>
      <c r="AF390" s="395"/>
      <c r="AG390" s="396" t="str">
        <f t="shared" si="3"/>
        <v/>
      </c>
      <c r="AH390" s="396" t="str">
        <f t="shared" si="4"/>
        <v/>
      </c>
      <c r="AI390" s="388"/>
      <c r="AJ390" s="388"/>
      <c r="AK390" s="397"/>
    </row>
    <row r="391">
      <c r="A391" s="398"/>
      <c r="B391" s="386"/>
      <c r="C391" s="387" t="str">
        <f>IF(A391="","",IFERROR(IF(VLOOKUP(A391,'1. Inbound Leads'!A:G,7,FALSE)=0,"",VLOOKUP(A391,'1. Inbound Leads'!A:G,7,FALSE)),""))</f>
        <v/>
      </c>
      <c r="D391" s="387" t="str">
        <f>IF(A391="","",IFERROR(IF(VLOOKUP(A391,'1. Inbound Leads'!A:L,12,FALSE)=0,"",VLOOKUP(A391,'1. Inbound Leads'!A:L,12,FALSE)),""))</f>
        <v/>
      </c>
      <c r="E391" s="388"/>
      <c r="F391" s="389"/>
      <c r="G391" s="387"/>
      <c r="H391" s="387"/>
      <c r="I391" s="387"/>
      <c r="J391" s="387"/>
      <c r="K391" s="387"/>
      <c r="L391" s="387"/>
      <c r="M391" s="388"/>
      <c r="N391" s="388"/>
      <c r="O391" s="390"/>
      <c r="P391" s="391"/>
      <c r="Q391" s="389"/>
      <c r="R391" s="390"/>
      <c r="S391" s="390"/>
      <c r="T391" s="391"/>
      <c r="U391" s="392"/>
      <c r="V391" s="391"/>
      <c r="W391" s="391"/>
      <c r="X391" s="388"/>
      <c r="Y391" s="391"/>
      <c r="Z391" s="393"/>
      <c r="AA391" s="355" t="str">
        <f t="shared" si="1"/>
        <v/>
      </c>
      <c r="AB391" s="391"/>
      <c r="AC391" s="394" t="str">
        <f t="shared" si="2"/>
        <v/>
      </c>
      <c r="AD391" s="389"/>
      <c r="AE391" s="399"/>
      <c r="AF391" s="395"/>
      <c r="AG391" s="396" t="str">
        <f t="shared" si="3"/>
        <v/>
      </c>
      <c r="AH391" s="396" t="str">
        <f t="shared" si="4"/>
        <v/>
      </c>
      <c r="AI391" s="388"/>
      <c r="AJ391" s="388"/>
      <c r="AK391" s="397"/>
    </row>
    <row r="392">
      <c r="A392" s="398"/>
      <c r="B392" s="386"/>
      <c r="C392" s="387" t="str">
        <f>IF(A392="","",IFERROR(IF(VLOOKUP(A392,'1. Inbound Leads'!A:G,7,FALSE)=0,"",VLOOKUP(A392,'1. Inbound Leads'!A:G,7,FALSE)),""))</f>
        <v/>
      </c>
      <c r="D392" s="387" t="str">
        <f>IF(A392="","",IFERROR(IF(VLOOKUP(A392,'1. Inbound Leads'!A:L,12,FALSE)=0,"",VLOOKUP(A392,'1. Inbound Leads'!A:L,12,FALSE)),""))</f>
        <v/>
      </c>
      <c r="E392" s="388"/>
      <c r="F392" s="389"/>
      <c r="G392" s="387"/>
      <c r="H392" s="387"/>
      <c r="I392" s="387"/>
      <c r="J392" s="387"/>
      <c r="K392" s="387"/>
      <c r="L392" s="387"/>
      <c r="M392" s="388"/>
      <c r="N392" s="388"/>
      <c r="O392" s="390"/>
      <c r="P392" s="391"/>
      <c r="Q392" s="389"/>
      <c r="R392" s="390"/>
      <c r="S392" s="390"/>
      <c r="T392" s="391"/>
      <c r="U392" s="392"/>
      <c r="V392" s="391"/>
      <c r="W392" s="391"/>
      <c r="X392" s="388"/>
      <c r="Y392" s="391"/>
      <c r="Z392" s="393"/>
      <c r="AA392" s="355" t="str">
        <f t="shared" si="1"/>
        <v/>
      </c>
      <c r="AB392" s="391"/>
      <c r="AC392" s="394" t="str">
        <f t="shared" si="2"/>
        <v/>
      </c>
      <c r="AD392" s="389"/>
      <c r="AE392" s="399"/>
      <c r="AF392" s="395"/>
      <c r="AG392" s="396" t="str">
        <f t="shared" si="3"/>
        <v/>
      </c>
      <c r="AH392" s="396" t="str">
        <f t="shared" si="4"/>
        <v/>
      </c>
      <c r="AI392" s="388"/>
      <c r="AJ392" s="388"/>
      <c r="AK392" s="397"/>
    </row>
    <row r="393">
      <c r="A393" s="398"/>
      <c r="B393" s="386"/>
      <c r="C393" s="387" t="str">
        <f>IF(A393="","",IFERROR(IF(VLOOKUP(A393,'1. Inbound Leads'!A:G,7,FALSE)=0,"",VLOOKUP(A393,'1. Inbound Leads'!A:G,7,FALSE)),""))</f>
        <v/>
      </c>
      <c r="D393" s="387" t="str">
        <f>IF(A393="","",IFERROR(IF(VLOOKUP(A393,'1. Inbound Leads'!A:L,12,FALSE)=0,"",VLOOKUP(A393,'1. Inbound Leads'!A:L,12,FALSE)),""))</f>
        <v/>
      </c>
      <c r="E393" s="388"/>
      <c r="F393" s="389"/>
      <c r="G393" s="387"/>
      <c r="H393" s="387"/>
      <c r="I393" s="387"/>
      <c r="J393" s="387"/>
      <c r="K393" s="387"/>
      <c r="L393" s="387"/>
      <c r="M393" s="388"/>
      <c r="N393" s="388"/>
      <c r="O393" s="390"/>
      <c r="P393" s="391"/>
      <c r="Q393" s="389"/>
      <c r="R393" s="390"/>
      <c r="S393" s="390"/>
      <c r="T393" s="391"/>
      <c r="U393" s="392"/>
      <c r="V393" s="391"/>
      <c r="W393" s="391"/>
      <c r="X393" s="388"/>
      <c r="Y393" s="391"/>
      <c r="Z393" s="393"/>
      <c r="AA393" s="355" t="str">
        <f t="shared" si="1"/>
        <v/>
      </c>
      <c r="AB393" s="391"/>
      <c r="AC393" s="394" t="str">
        <f t="shared" si="2"/>
        <v/>
      </c>
      <c r="AD393" s="389"/>
      <c r="AE393" s="399"/>
      <c r="AF393" s="395"/>
      <c r="AG393" s="396" t="str">
        <f t="shared" si="3"/>
        <v/>
      </c>
      <c r="AH393" s="396" t="str">
        <f t="shared" si="4"/>
        <v/>
      </c>
      <c r="AI393" s="388"/>
      <c r="AJ393" s="388"/>
      <c r="AK393" s="397"/>
    </row>
    <row r="394">
      <c r="A394" s="398"/>
      <c r="B394" s="386"/>
      <c r="C394" s="387" t="str">
        <f>IF(A394="","",IFERROR(IF(VLOOKUP(A394,'1. Inbound Leads'!A:G,7,FALSE)=0,"",VLOOKUP(A394,'1. Inbound Leads'!A:G,7,FALSE)),""))</f>
        <v/>
      </c>
      <c r="D394" s="387" t="str">
        <f>IF(A394="","",IFERROR(IF(VLOOKUP(A394,'1. Inbound Leads'!A:L,12,FALSE)=0,"",VLOOKUP(A394,'1. Inbound Leads'!A:L,12,FALSE)),""))</f>
        <v/>
      </c>
      <c r="E394" s="388"/>
      <c r="F394" s="389"/>
      <c r="G394" s="387"/>
      <c r="H394" s="387"/>
      <c r="I394" s="387"/>
      <c r="J394" s="387"/>
      <c r="K394" s="387"/>
      <c r="L394" s="387"/>
      <c r="M394" s="388"/>
      <c r="N394" s="388"/>
      <c r="O394" s="390"/>
      <c r="P394" s="391"/>
      <c r="Q394" s="389"/>
      <c r="R394" s="390"/>
      <c r="S394" s="390"/>
      <c r="T394" s="391"/>
      <c r="U394" s="392"/>
      <c r="V394" s="391"/>
      <c r="W394" s="391"/>
      <c r="X394" s="388"/>
      <c r="Y394" s="391"/>
      <c r="Z394" s="393"/>
      <c r="AA394" s="355" t="str">
        <f t="shared" si="1"/>
        <v/>
      </c>
      <c r="AB394" s="391"/>
      <c r="AC394" s="394" t="str">
        <f t="shared" si="2"/>
        <v/>
      </c>
      <c r="AD394" s="389"/>
      <c r="AE394" s="399"/>
      <c r="AF394" s="395"/>
      <c r="AG394" s="396" t="str">
        <f t="shared" si="3"/>
        <v/>
      </c>
      <c r="AH394" s="396" t="str">
        <f t="shared" si="4"/>
        <v/>
      </c>
      <c r="AI394" s="388"/>
      <c r="AJ394" s="388"/>
      <c r="AK394" s="397"/>
    </row>
    <row r="395">
      <c r="A395" s="398"/>
      <c r="B395" s="386"/>
      <c r="C395" s="387" t="str">
        <f>IF(A395="","",IFERROR(IF(VLOOKUP(A395,'1. Inbound Leads'!A:G,7,FALSE)=0,"",VLOOKUP(A395,'1. Inbound Leads'!A:G,7,FALSE)),""))</f>
        <v/>
      </c>
      <c r="D395" s="387" t="str">
        <f>IF(A395="","",IFERROR(IF(VLOOKUP(A395,'1. Inbound Leads'!A:L,12,FALSE)=0,"",VLOOKUP(A395,'1. Inbound Leads'!A:L,12,FALSE)),""))</f>
        <v/>
      </c>
      <c r="E395" s="388"/>
      <c r="F395" s="389"/>
      <c r="G395" s="387"/>
      <c r="H395" s="387"/>
      <c r="I395" s="387"/>
      <c r="J395" s="387"/>
      <c r="K395" s="387"/>
      <c r="L395" s="387"/>
      <c r="M395" s="388"/>
      <c r="N395" s="388"/>
      <c r="O395" s="390"/>
      <c r="P395" s="391"/>
      <c r="Q395" s="389"/>
      <c r="R395" s="390"/>
      <c r="S395" s="390"/>
      <c r="T395" s="391"/>
      <c r="U395" s="392"/>
      <c r="V395" s="391"/>
      <c r="W395" s="391"/>
      <c r="X395" s="388"/>
      <c r="Y395" s="391"/>
      <c r="Z395" s="393"/>
      <c r="AA395" s="355" t="str">
        <f t="shared" si="1"/>
        <v/>
      </c>
      <c r="AB395" s="391"/>
      <c r="AC395" s="394" t="str">
        <f t="shared" si="2"/>
        <v/>
      </c>
      <c r="AD395" s="389"/>
      <c r="AE395" s="399"/>
      <c r="AF395" s="395"/>
      <c r="AG395" s="396" t="str">
        <f t="shared" si="3"/>
        <v/>
      </c>
      <c r="AH395" s="396" t="str">
        <f t="shared" si="4"/>
        <v/>
      </c>
      <c r="AI395" s="388"/>
      <c r="AJ395" s="388"/>
      <c r="AK395" s="397"/>
    </row>
    <row r="396">
      <c r="A396" s="398"/>
      <c r="B396" s="386"/>
      <c r="C396" s="387" t="str">
        <f>IF(A396="","",IFERROR(IF(VLOOKUP(A396,'1. Inbound Leads'!A:G,7,FALSE)=0,"",VLOOKUP(A396,'1. Inbound Leads'!A:G,7,FALSE)),""))</f>
        <v/>
      </c>
      <c r="D396" s="387" t="str">
        <f>IF(A396="","",IFERROR(IF(VLOOKUP(A396,'1. Inbound Leads'!A:L,12,FALSE)=0,"",VLOOKUP(A396,'1. Inbound Leads'!A:L,12,FALSE)),""))</f>
        <v/>
      </c>
      <c r="E396" s="388"/>
      <c r="F396" s="389"/>
      <c r="G396" s="387"/>
      <c r="H396" s="387"/>
      <c r="I396" s="387"/>
      <c r="J396" s="387"/>
      <c r="K396" s="387"/>
      <c r="L396" s="387"/>
      <c r="M396" s="388"/>
      <c r="N396" s="388"/>
      <c r="O396" s="390"/>
      <c r="P396" s="391"/>
      <c r="Q396" s="389"/>
      <c r="R396" s="390"/>
      <c r="S396" s="390"/>
      <c r="T396" s="391"/>
      <c r="U396" s="392"/>
      <c r="V396" s="391"/>
      <c r="W396" s="391"/>
      <c r="X396" s="388"/>
      <c r="Y396" s="391"/>
      <c r="Z396" s="393"/>
      <c r="AA396" s="355" t="str">
        <f t="shared" si="1"/>
        <v/>
      </c>
      <c r="AB396" s="391"/>
      <c r="AC396" s="394" t="str">
        <f t="shared" si="2"/>
        <v/>
      </c>
      <c r="AD396" s="389"/>
      <c r="AE396" s="399"/>
      <c r="AF396" s="395"/>
      <c r="AG396" s="396" t="str">
        <f t="shared" si="3"/>
        <v/>
      </c>
      <c r="AH396" s="396" t="str">
        <f t="shared" si="4"/>
        <v/>
      </c>
      <c r="AI396" s="388"/>
      <c r="AJ396" s="388"/>
      <c r="AK396" s="397"/>
    </row>
    <row r="397">
      <c r="A397" s="398"/>
      <c r="B397" s="386"/>
      <c r="C397" s="387" t="str">
        <f>IF(A397="","",IFERROR(IF(VLOOKUP(A397,'1. Inbound Leads'!A:G,7,FALSE)=0,"",VLOOKUP(A397,'1. Inbound Leads'!A:G,7,FALSE)),""))</f>
        <v/>
      </c>
      <c r="D397" s="387" t="str">
        <f>IF(A397="","",IFERROR(IF(VLOOKUP(A397,'1. Inbound Leads'!A:L,12,FALSE)=0,"",VLOOKUP(A397,'1. Inbound Leads'!A:L,12,FALSE)),""))</f>
        <v/>
      </c>
      <c r="E397" s="388"/>
      <c r="F397" s="389"/>
      <c r="G397" s="387"/>
      <c r="H397" s="387"/>
      <c r="I397" s="387"/>
      <c r="J397" s="387"/>
      <c r="K397" s="387"/>
      <c r="L397" s="387"/>
      <c r="M397" s="388"/>
      <c r="N397" s="388"/>
      <c r="O397" s="390"/>
      <c r="P397" s="391"/>
      <c r="Q397" s="389"/>
      <c r="R397" s="390"/>
      <c r="S397" s="390"/>
      <c r="T397" s="391"/>
      <c r="U397" s="392"/>
      <c r="V397" s="391"/>
      <c r="W397" s="391"/>
      <c r="X397" s="388"/>
      <c r="Y397" s="391"/>
      <c r="Z397" s="393"/>
      <c r="AA397" s="355" t="str">
        <f t="shared" si="1"/>
        <v/>
      </c>
      <c r="AB397" s="391"/>
      <c r="AC397" s="394" t="str">
        <f t="shared" si="2"/>
        <v/>
      </c>
      <c r="AD397" s="389"/>
      <c r="AE397" s="399"/>
      <c r="AF397" s="395"/>
      <c r="AG397" s="396" t="str">
        <f t="shared" si="3"/>
        <v/>
      </c>
      <c r="AH397" s="396" t="str">
        <f t="shared" si="4"/>
        <v/>
      </c>
      <c r="AI397" s="388"/>
      <c r="AJ397" s="388"/>
      <c r="AK397" s="397"/>
    </row>
    <row r="398">
      <c r="A398" s="398"/>
      <c r="B398" s="386"/>
      <c r="C398" s="387" t="str">
        <f>IF(A398="","",IFERROR(IF(VLOOKUP(A398,'1. Inbound Leads'!A:G,7,FALSE)=0,"",VLOOKUP(A398,'1. Inbound Leads'!A:G,7,FALSE)),""))</f>
        <v/>
      </c>
      <c r="D398" s="387" t="str">
        <f>IF(A398="","",IFERROR(IF(VLOOKUP(A398,'1. Inbound Leads'!A:L,12,FALSE)=0,"",VLOOKUP(A398,'1. Inbound Leads'!A:L,12,FALSE)),""))</f>
        <v/>
      </c>
      <c r="E398" s="388"/>
      <c r="F398" s="389"/>
      <c r="G398" s="387"/>
      <c r="H398" s="387"/>
      <c r="I398" s="387"/>
      <c r="J398" s="387"/>
      <c r="K398" s="387"/>
      <c r="L398" s="387"/>
      <c r="M398" s="388"/>
      <c r="N398" s="388"/>
      <c r="O398" s="390"/>
      <c r="P398" s="391"/>
      <c r="Q398" s="389"/>
      <c r="R398" s="390"/>
      <c r="S398" s="390"/>
      <c r="T398" s="391"/>
      <c r="U398" s="392"/>
      <c r="V398" s="391"/>
      <c r="W398" s="391"/>
      <c r="X398" s="388"/>
      <c r="Y398" s="391"/>
      <c r="Z398" s="393"/>
      <c r="AA398" s="355" t="str">
        <f t="shared" si="1"/>
        <v/>
      </c>
      <c r="AB398" s="391"/>
      <c r="AC398" s="394" t="str">
        <f t="shared" si="2"/>
        <v/>
      </c>
      <c r="AD398" s="389"/>
      <c r="AE398" s="399"/>
      <c r="AF398" s="395"/>
      <c r="AG398" s="396" t="str">
        <f t="shared" si="3"/>
        <v/>
      </c>
      <c r="AH398" s="396" t="str">
        <f t="shared" si="4"/>
        <v/>
      </c>
      <c r="AI398" s="388"/>
      <c r="AJ398" s="388"/>
      <c r="AK398" s="397"/>
    </row>
    <row r="399">
      <c r="A399" s="398"/>
      <c r="B399" s="386"/>
      <c r="C399" s="387" t="str">
        <f>IF(A399="","",IFERROR(IF(VLOOKUP(A399,'1. Inbound Leads'!A:G,7,FALSE)=0,"",VLOOKUP(A399,'1. Inbound Leads'!A:G,7,FALSE)),""))</f>
        <v/>
      </c>
      <c r="D399" s="387" t="str">
        <f>IF(A399="","",IFERROR(IF(VLOOKUP(A399,'1. Inbound Leads'!A:L,12,FALSE)=0,"",VLOOKUP(A399,'1. Inbound Leads'!A:L,12,FALSE)),""))</f>
        <v/>
      </c>
      <c r="E399" s="388"/>
      <c r="F399" s="389"/>
      <c r="G399" s="387"/>
      <c r="H399" s="387"/>
      <c r="I399" s="387"/>
      <c r="J399" s="387"/>
      <c r="K399" s="387"/>
      <c r="L399" s="387"/>
      <c r="M399" s="388"/>
      <c r="N399" s="388"/>
      <c r="O399" s="390"/>
      <c r="P399" s="391"/>
      <c r="Q399" s="389"/>
      <c r="R399" s="390"/>
      <c r="S399" s="390"/>
      <c r="T399" s="391"/>
      <c r="U399" s="392"/>
      <c r="V399" s="391"/>
      <c r="W399" s="391"/>
      <c r="X399" s="388"/>
      <c r="Y399" s="391"/>
      <c r="Z399" s="393"/>
      <c r="AA399" s="355" t="str">
        <f t="shared" si="1"/>
        <v/>
      </c>
      <c r="AB399" s="391"/>
      <c r="AC399" s="394" t="str">
        <f t="shared" si="2"/>
        <v/>
      </c>
      <c r="AD399" s="389"/>
      <c r="AE399" s="399"/>
      <c r="AF399" s="395"/>
      <c r="AG399" s="396" t="str">
        <f t="shared" si="3"/>
        <v/>
      </c>
      <c r="AH399" s="396" t="str">
        <f t="shared" si="4"/>
        <v/>
      </c>
      <c r="AI399" s="388"/>
      <c r="AJ399" s="388"/>
      <c r="AK399" s="397"/>
    </row>
    <row r="400">
      <c r="A400" s="398"/>
      <c r="B400" s="386"/>
      <c r="C400" s="387" t="str">
        <f>IF(A400="","",IFERROR(IF(VLOOKUP(A400,'1. Inbound Leads'!A:G,7,FALSE)=0,"",VLOOKUP(A400,'1. Inbound Leads'!A:G,7,FALSE)),""))</f>
        <v/>
      </c>
      <c r="D400" s="387" t="str">
        <f>IF(A400="","",IFERROR(IF(VLOOKUP(A400,'1. Inbound Leads'!A:L,12,FALSE)=0,"",VLOOKUP(A400,'1. Inbound Leads'!A:L,12,FALSE)),""))</f>
        <v/>
      </c>
      <c r="E400" s="388"/>
      <c r="F400" s="389"/>
      <c r="G400" s="387"/>
      <c r="H400" s="387"/>
      <c r="I400" s="387"/>
      <c r="J400" s="387"/>
      <c r="K400" s="387"/>
      <c r="L400" s="387"/>
      <c r="M400" s="388"/>
      <c r="N400" s="388"/>
      <c r="O400" s="390"/>
      <c r="P400" s="391"/>
      <c r="Q400" s="389"/>
      <c r="R400" s="390"/>
      <c r="S400" s="390"/>
      <c r="T400" s="391"/>
      <c r="U400" s="392"/>
      <c r="V400" s="391"/>
      <c r="W400" s="391"/>
      <c r="X400" s="388"/>
      <c r="Y400" s="391"/>
      <c r="Z400" s="393"/>
      <c r="AA400" s="355" t="str">
        <f t="shared" si="1"/>
        <v/>
      </c>
      <c r="AB400" s="391"/>
      <c r="AC400" s="394" t="str">
        <f t="shared" si="2"/>
        <v/>
      </c>
      <c r="AD400" s="389"/>
      <c r="AE400" s="399"/>
      <c r="AF400" s="395"/>
      <c r="AG400" s="396" t="str">
        <f t="shared" si="3"/>
        <v/>
      </c>
      <c r="AH400" s="396" t="str">
        <f t="shared" si="4"/>
        <v/>
      </c>
      <c r="AI400" s="388"/>
      <c r="AJ400" s="388"/>
      <c r="AK400" s="397"/>
    </row>
    <row r="401">
      <c r="A401" s="398"/>
      <c r="B401" s="386"/>
      <c r="C401" s="387" t="str">
        <f>IF(A401="","",IFERROR(IF(VLOOKUP(A401,'1. Inbound Leads'!A:G,7,FALSE)=0,"",VLOOKUP(A401,'1. Inbound Leads'!A:G,7,FALSE)),""))</f>
        <v/>
      </c>
      <c r="D401" s="387" t="str">
        <f>IF(A401="","",IFERROR(IF(VLOOKUP(A401,'1. Inbound Leads'!A:L,12,FALSE)=0,"",VLOOKUP(A401,'1. Inbound Leads'!A:L,12,FALSE)),""))</f>
        <v/>
      </c>
      <c r="E401" s="388"/>
      <c r="F401" s="389"/>
      <c r="G401" s="387"/>
      <c r="H401" s="387"/>
      <c r="I401" s="387"/>
      <c r="J401" s="387"/>
      <c r="K401" s="387"/>
      <c r="L401" s="387"/>
      <c r="M401" s="388"/>
      <c r="N401" s="388"/>
      <c r="O401" s="390"/>
      <c r="P401" s="391"/>
      <c r="Q401" s="389"/>
      <c r="R401" s="390"/>
      <c r="S401" s="390"/>
      <c r="T401" s="391"/>
      <c r="U401" s="392"/>
      <c r="V401" s="391"/>
      <c r="W401" s="391"/>
      <c r="X401" s="388"/>
      <c r="Y401" s="391"/>
      <c r="Z401" s="393"/>
      <c r="AA401" s="355" t="str">
        <f t="shared" si="1"/>
        <v/>
      </c>
      <c r="AB401" s="391"/>
      <c r="AC401" s="394" t="str">
        <f t="shared" si="2"/>
        <v/>
      </c>
      <c r="AD401" s="389"/>
      <c r="AE401" s="399"/>
      <c r="AF401" s="395"/>
      <c r="AG401" s="396" t="str">
        <f t="shared" si="3"/>
        <v/>
      </c>
      <c r="AH401" s="396" t="str">
        <f t="shared" si="4"/>
        <v/>
      </c>
      <c r="AI401" s="388"/>
      <c r="AJ401" s="388"/>
      <c r="AK401" s="397"/>
    </row>
    <row r="402">
      <c r="A402" s="398"/>
      <c r="B402" s="386"/>
      <c r="C402" s="387" t="str">
        <f>IF(A402="","",IFERROR(IF(VLOOKUP(A402,'1. Inbound Leads'!A:G,7,FALSE)=0,"",VLOOKUP(A402,'1. Inbound Leads'!A:G,7,FALSE)),""))</f>
        <v/>
      </c>
      <c r="D402" s="387" t="str">
        <f>IF(A402="","",IFERROR(IF(VLOOKUP(A402,'1. Inbound Leads'!A:L,12,FALSE)=0,"",VLOOKUP(A402,'1. Inbound Leads'!A:L,12,FALSE)),""))</f>
        <v/>
      </c>
      <c r="E402" s="388"/>
      <c r="F402" s="389"/>
      <c r="G402" s="387"/>
      <c r="H402" s="387"/>
      <c r="I402" s="387"/>
      <c r="J402" s="387"/>
      <c r="K402" s="387"/>
      <c r="L402" s="387"/>
      <c r="M402" s="388"/>
      <c r="N402" s="388"/>
      <c r="O402" s="390"/>
      <c r="P402" s="391"/>
      <c r="Q402" s="389"/>
      <c r="R402" s="390"/>
      <c r="S402" s="390"/>
      <c r="T402" s="391"/>
      <c r="U402" s="392"/>
      <c r="V402" s="391"/>
      <c r="W402" s="391"/>
      <c r="X402" s="388"/>
      <c r="Y402" s="391"/>
      <c r="Z402" s="393"/>
      <c r="AA402" s="355" t="str">
        <f t="shared" si="1"/>
        <v/>
      </c>
      <c r="AB402" s="391"/>
      <c r="AC402" s="394" t="str">
        <f t="shared" si="2"/>
        <v/>
      </c>
      <c r="AD402" s="389"/>
      <c r="AE402" s="399"/>
      <c r="AF402" s="395"/>
      <c r="AG402" s="396" t="str">
        <f t="shared" si="3"/>
        <v/>
      </c>
      <c r="AH402" s="396" t="str">
        <f t="shared" si="4"/>
        <v/>
      </c>
      <c r="AI402" s="388"/>
      <c r="AJ402" s="388"/>
      <c r="AK402" s="397"/>
    </row>
    <row r="403">
      <c r="A403" s="398"/>
      <c r="B403" s="386"/>
      <c r="C403" s="387" t="str">
        <f>IF(A403="","",IFERROR(IF(VLOOKUP(A403,'1. Inbound Leads'!A:G,7,FALSE)=0,"",VLOOKUP(A403,'1. Inbound Leads'!A:G,7,FALSE)),""))</f>
        <v/>
      </c>
      <c r="D403" s="387" t="str">
        <f>IF(A403="","",IFERROR(IF(VLOOKUP(A403,'1. Inbound Leads'!A:L,12,FALSE)=0,"",VLOOKUP(A403,'1. Inbound Leads'!A:L,12,FALSE)),""))</f>
        <v/>
      </c>
      <c r="E403" s="388"/>
      <c r="F403" s="389"/>
      <c r="G403" s="387"/>
      <c r="H403" s="387"/>
      <c r="I403" s="387"/>
      <c r="J403" s="387"/>
      <c r="K403" s="387"/>
      <c r="L403" s="387"/>
      <c r="M403" s="388"/>
      <c r="N403" s="388"/>
      <c r="O403" s="390"/>
      <c r="P403" s="391"/>
      <c r="Q403" s="389"/>
      <c r="R403" s="390"/>
      <c r="S403" s="390"/>
      <c r="T403" s="391"/>
      <c r="U403" s="392"/>
      <c r="V403" s="391"/>
      <c r="W403" s="391"/>
      <c r="X403" s="388"/>
      <c r="Y403" s="391"/>
      <c r="Z403" s="393"/>
      <c r="AA403" s="355" t="str">
        <f t="shared" si="1"/>
        <v/>
      </c>
      <c r="AB403" s="391"/>
      <c r="AC403" s="394" t="str">
        <f t="shared" si="2"/>
        <v/>
      </c>
      <c r="AD403" s="389"/>
      <c r="AE403" s="399"/>
      <c r="AF403" s="395"/>
      <c r="AG403" s="396" t="str">
        <f t="shared" si="3"/>
        <v/>
      </c>
      <c r="AH403" s="396" t="str">
        <f t="shared" si="4"/>
        <v/>
      </c>
      <c r="AI403" s="388"/>
      <c r="AJ403" s="388"/>
      <c r="AK403" s="397"/>
    </row>
    <row r="404">
      <c r="A404" s="398"/>
      <c r="B404" s="386"/>
      <c r="C404" s="387" t="str">
        <f>IF(A404="","",IFERROR(IF(VLOOKUP(A404,'1. Inbound Leads'!A:G,7,FALSE)=0,"",VLOOKUP(A404,'1. Inbound Leads'!A:G,7,FALSE)),""))</f>
        <v/>
      </c>
      <c r="D404" s="387" t="str">
        <f>IF(A404="","",IFERROR(IF(VLOOKUP(A404,'1. Inbound Leads'!A:L,12,FALSE)=0,"",VLOOKUP(A404,'1. Inbound Leads'!A:L,12,FALSE)),""))</f>
        <v/>
      </c>
      <c r="E404" s="388"/>
      <c r="F404" s="389"/>
      <c r="G404" s="387"/>
      <c r="H404" s="387"/>
      <c r="I404" s="387"/>
      <c r="J404" s="387"/>
      <c r="K404" s="387"/>
      <c r="L404" s="387"/>
      <c r="M404" s="388"/>
      <c r="N404" s="388"/>
      <c r="O404" s="390"/>
      <c r="P404" s="391"/>
      <c r="Q404" s="389"/>
      <c r="R404" s="390"/>
      <c r="S404" s="390"/>
      <c r="T404" s="391"/>
      <c r="U404" s="392"/>
      <c r="V404" s="391"/>
      <c r="W404" s="391"/>
      <c r="X404" s="388"/>
      <c r="Y404" s="391"/>
      <c r="Z404" s="393"/>
      <c r="AA404" s="355" t="str">
        <f t="shared" si="1"/>
        <v/>
      </c>
      <c r="AB404" s="391"/>
      <c r="AC404" s="394" t="str">
        <f t="shared" si="2"/>
        <v/>
      </c>
      <c r="AD404" s="389"/>
      <c r="AE404" s="399"/>
      <c r="AF404" s="395"/>
      <c r="AG404" s="396" t="str">
        <f t="shared" si="3"/>
        <v/>
      </c>
      <c r="AH404" s="396" t="str">
        <f t="shared" si="4"/>
        <v/>
      </c>
      <c r="AI404" s="388"/>
      <c r="AJ404" s="388"/>
      <c r="AK404" s="397"/>
    </row>
    <row r="405">
      <c r="A405" s="398"/>
      <c r="B405" s="386"/>
      <c r="C405" s="387" t="str">
        <f>IF(A405="","",IFERROR(IF(VLOOKUP(A405,'1. Inbound Leads'!A:G,7,FALSE)=0,"",VLOOKUP(A405,'1. Inbound Leads'!A:G,7,FALSE)),""))</f>
        <v/>
      </c>
      <c r="D405" s="387" t="str">
        <f>IF(A405="","",IFERROR(IF(VLOOKUP(A405,'1. Inbound Leads'!A:L,12,FALSE)=0,"",VLOOKUP(A405,'1. Inbound Leads'!A:L,12,FALSE)),""))</f>
        <v/>
      </c>
      <c r="E405" s="388"/>
      <c r="F405" s="389"/>
      <c r="G405" s="387"/>
      <c r="H405" s="387"/>
      <c r="I405" s="387"/>
      <c r="J405" s="387"/>
      <c r="K405" s="387"/>
      <c r="L405" s="387"/>
      <c r="M405" s="388"/>
      <c r="N405" s="388"/>
      <c r="O405" s="390"/>
      <c r="P405" s="391"/>
      <c r="Q405" s="389"/>
      <c r="R405" s="390"/>
      <c r="S405" s="390"/>
      <c r="T405" s="391"/>
      <c r="U405" s="392"/>
      <c r="V405" s="391"/>
      <c r="W405" s="391"/>
      <c r="X405" s="388"/>
      <c r="Y405" s="391"/>
      <c r="Z405" s="393"/>
      <c r="AA405" s="355" t="str">
        <f t="shared" si="1"/>
        <v/>
      </c>
      <c r="AB405" s="391"/>
      <c r="AC405" s="394" t="str">
        <f t="shared" si="2"/>
        <v/>
      </c>
      <c r="AD405" s="389"/>
      <c r="AE405" s="399"/>
      <c r="AF405" s="395"/>
      <c r="AG405" s="396" t="str">
        <f t="shared" si="3"/>
        <v/>
      </c>
      <c r="AH405" s="396" t="str">
        <f t="shared" si="4"/>
        <v/>
      </c>
      <c r="AI405" s="388"/>
      <c r="AJ405" s="388"/>
      <c r="AK405" s="397"/>
    </row>
    <row r="406">
      <c r="A406" s="398"/>
      <c r="B406" s="386"/>
      <c r="C406" s="387" t="str">
        <f>IF(A406="","",IFERROR(IF(VLOOKUP(A406,'1. Inbound Leads'!A:G,7,FALSE)=0,"",VLOOKUP(A406,'1. Inbound Leads'!A:G,7,FALSE)),""))</f>
        <v/>
      </c>
      <c r="D406" s="387" t="str">
        <f>IF(A406="","",IFERROR(IF(VLOOKUP(A406,'1. Inbound Leads'!A:L,12,FALSE)=0,"",VLOOKUP(A406,'1. Inbound Leads'!A:L,12,FALSE)),""))</f>
        <v/>
      </c>
      <c r="E406" s="388"/>
      <c r="F406" s="389"/>
      <c r="G406" s="387"/>
      <c r="H406" s="387"/>
      <c r="I406" s="387"/>
      <c r="J406" s="387"/>
      <c r="K406" s="387"/>
      <c r="L406" s="387"/>
      <c r="M406" s="388"/>
      <c r="N406" s="388"/>
      <c r="O406" s="390"/>
      <c r="P406" s="391"/>
      <c r="Q406" s="389"/>
      <c r="R406" s="390"/>
      <c r="S406" s="390"/>
      <c r="T406" s="391"/>
      <c r="U406" s="392"/>
      <c r="V406" s="391"/>
      <c r="W406" s="391"/>
      <c r="X406" s="388"/>
      <c r="Y406" s="391"/>
      <c r="Z406" s="393"/>
      <c r="AA406" s="355" t="str">
        <f t="shared" si="1"/>
        <v/>
      </c>
      <c r="AB406" s="391"/>
      <c r="AC406" s="394" t="str">
        <f t="shared" si="2"/>
        <v/>
      </c>
      <c r="AD406" s="389"/>
      <c r="AE406" s="399"/>
      <c r="AF406" s="395"/>
      <c r="AG406" s="396" t="str">
        <f t="shared" si="3"/>
        <v/>
      </c>
      <c r="AH406" s="396" t="str">
        <f t="shared" si="4"/>
        <v/>
      </c>
      <c r="AI406" s="388"/>
      <c r="AJ406" s="388"/>
      <c r="AK406" s="397"/>
    </row>
    <row r="407">
      <c r="A407" s="398"/>
      <c r="B407" s="386"/>
      <c r="C407" s="387" t="str">
        <f>IF(A407="","",IFERROR(IF(VLOOKUP(A407,'1. Inbound Leads'!A:G,7,FALSE)=0,"",VLOOKUP(A407,'1. Inbound Leads'!A:G,7,FALSE)),""))</f>
        <v/>
      </c>
      <c r="D407" s="387" t="str">
        <f>IF(A407="","",IFERROR(IF(VLOOKUP(A407,'1. Inbound Leads'!A:L,12,FALSE)=0,"",VLOOKUP(A407,'1. Inbound Leads'!A:L,12,FALSE)),""))</f>
        <v/>
      </c>
      <c r="E407" s="388"/>
      <c r="F407" s="389"/>
      <c r="G407" s="387"/>
      <c r="H407" s="387"/>
      <c r="I407" s="387"/>
      <c r="J407" s="387"/>
      <c r="K407" s="387"/>
      <c r="L407" s="387"/>
      <c r="M407" s="388"/>
      <c r="N407" s="388"/>
      <c r="O407" s="390"/>
      <c r="P407" s="391"/>
      <c r="Q407" s="389"/>
      <c r="R407" s="390"/>
      <c r="S407" s="390"/>
      <c r="T407" s="391"/>
      <c r="U407" s="392"/>
      <c r="V407" s="391"/>
      <c r="W407" s="391"/>
      <c r="X407" s="388"/>
      <c r="Y407" s="391"/>
      <c r="Z407" s="393"/>
      <c r="AA407" s="355" t="str">
        <f t="shared" si="1"/>
        <v/>
      </c>
      <c r="AB407" s="391"/>
      <c r="AC407" s="394" t="str">
        <f t="shared" si="2"/>
        <v/>
      </c>
      <c r="AD407" s="389"/>
      <c r="AE407" s="399"/>
      <c r="AF407" s="395"/>
      <c r="AG407" s="396" t="str">
        <f t="shared" si="3"/>
        <v/>
      </c>
      <c r="AH407" s="396" t="str">
        <f t="shared" si="4"/>
        <v/>
      </c>
      <c r="AI407" s="388"/>
      <c r="AJ407" s="388"/>
      <c r="AK407" s="397"/>
    </row>
    <row r="408">
      <c r="A408" s="398"/>
      <c r="B408" s="386"/>
      <c r="C408" s="387" t="str">
        <f>IF(A408="","",IFERROR(IF(VLOOKUP(A408,'1. Inbound Leads'!A:G,7,FALSE)=0,"",VLOOKUP(A408,'1. Inbound Leads'!A:G,7,FALSE)),""))</f>
        <v/>
      </c>
      <c r="D408" s="387" t="str">
        <f>IF(A408="","",IFERROR(IF(VLOOKUP(A408,'1. Inbound Leads'!A:L,12,FALSE)=0,"",VLOOKUP(A408,'1. Inbound Leads'!A:L,12,FALSE)),""))</f>
        <v/>
      </c>
      <c r="E408" s="388"/>
      <c r="F408" s="389"/>
      <c r="G408" s="387"/>
      <c r="H408" s="387"/>
      <c r="I408" s="387"/>
      <c r="J408" s="387"/>
      <c r="K408" s="387"/>
      <c r="L408" s="387"/>
      <c r="M408" s="388"/>
      <c r="N408" s="388"/>
      <c r="O408" s="390"/>
      <c r="P408" s="391"/>
      <c r="Q408" s="389"/>
      <c r="R408" s="390"/>
      <c r="S408" s="390"/>
      <c r="T408" s="391"/>
      <c r="U408" s="392"/>
      <c r="V408" s="391"/>
      <c r="W408" s="391"/>
      <c r="X408" s="388"/>
      <c r="Y408" s="391"/>
      <c r="Z408" s="393"/>
      <c r="AA408" s="355" t="str">
        <f t="shared" si="1"/>
        <v/>
      </c>
      <c r="AB408" s="391"/>
      <c r="AC408" s="394" t="str">
        <f t="shared" si="2"/>
        <v/>
      </c>
      <c r="AD408" s="389"/>
      <c r="AE408" s="399"/>
      <c r="AF408" s="395"/>
      <c r="AG408" s="396" t="str">
        <f t="shared" si="3"/>
        <v/>
      </c>
      <c r="AH408" s="396" t="str">
        <f t="shared" si="4"/>
        <v/>
      </c>
      <c r="AI408" s="388"/>
      <c r="AJ408" s="388"/>
      <c r="AK408" s="397"/>
    </row>
    <row r="409">
      <c r="A409" s="398"/>
      <c r="B409" s="386"/>
      <c r="C409" s="387" t="str">
        <f>IF(A409="","",IFERROR(IF(VLOOKUP(A409,'1. Inbound Leads'!A:G,7,FALSE)=0,"",VLOOKUP(A409,'1. Inbound Leads'!A:G,7,FALSE)),""))</f>
        <v/>
      </c>
      <c r="D409" s="387" t="str">
        <f>IF(A409="","",IFERROR(IF(VLOOKUP(A409,'1. Inbound Leads'!A:L,12,FALSE)=0,"",VLOOKUP(A409,'1. Inbound Leads'!A:L,12,FALSE)),""))</f>
        <v/>
      </c>
      <c r="E409" s="388"/>
      <c r="F409" s="389"/>
      <c r="G409" s="387"/>
      <c r="H409" s="387"/>
      <c r="I409" s="387"/>
      <c r="J409" s="387"/>
      <c r="K409" s="387"/>
      <c r="L409" s="387"/>
      <c r="M409" s="388"/>
      <c r="N409" s="388"/>
      <c r="O409" s="390"/>
      <c r="P409" s="391"/>
      <c r="Q409" s="389"/>
      <c r="R409" s="390"/>
      <c r="S409" s="390"/>
      <c r="T409" s="391"/>
      <c r="U409" s="392"/>
      <c r="V409" s="391"/>
      <c r="W409" s="391"/>
      <c r="X409" s="388"/>
      <c r="Y409" s="391"/>
      <c r="Z409" s="393"/>
      <c r="AA409" s="355" t="str">
        <f t="shared" si="1"/>
        <v/>
      </c>
      <c r="AB409" s="391"/>
      <c r="AC409" s="394" t="str">
        <f t="shared" si="2"/>
        <v/>
      </c>
      <c r="AD409" s="389"/>
      <c r="AE409" s="399"/>
      <c r="AF409" s="395"/>
      <c r="AG409" s="396" t="str">
        <f t="shared" si="3"/>
        <v/>
      </c>
      <c r="AH409" s="396" t="str">
        <f t="shared" si="4"/>
        <v/>
      </c>
      <c r="AI409" s="388"/>
      <c r="AJ409" s="388"/>
      <c r="AK409" s="397"/>
    </row>
    <row r="410">
      <c r="A410" s="398"/>
      <c r="B410" s="386"/>
      <c r="C410" s="387" t="str">
        <f>IF(A410="","",IFERROR(IF(VLOOKUP(A410,'1. Inbound Leads'!A:G,7,FALSE)=0,"",VLOOKUP(A410,'1. Inbound Leads'!A:G,7,FALSE)),""))</f>
        <v/>
      </c>
      <c r="D410" s="387" t="str">
        <f>IF(A410="","",IFERROR(IF(VLOOKUP(A410,'1. Inbound Leads'!A:L,12,FALSE)=0,"",VLOOKUP(A410,'1. Inbound Leads'!A:L,12,FALSE)),""))</f>
        <v/>
      </c>
      <c r="E410" s="388"/>
      <c r="F410" s="389"/>
      <c r="G410" s="387"/>
      <c r="H410" s="387"/>
      <c r="I410" s="387"/>
      <c r="J410" s="387"/>
      <c r="K410" s="387"/>
      <c r="L410" s="387"/>
      <c r="M410" s="388"/>
      <c r="N410" s="388"/>
      <c r="O410" s="390"/>
      <c r="P410" s="391"/>
      <c r="Q410" s="389"/>
      <c r="R410" s="390"/>
      <c r="S410" s="390"/>
      <c r="T410" s="391"/>
      <c r="U410" s="392"/>
      <c r="V410" s="391"/>
      <c r="W410" s="391"/>
      <c r="X410" s="388"/>
      <c r="Y410" s="391"/>
      <c r="Z410" s="393"/>
      <c r="AA410" s="355" t="str">
        <f t="shared" si="1"/>
        <v/>
      </c>
      <c r="AB410" s="391"/>
      <c r="AC410" s="394" t="str">
        <f t="shared" si="2"/>
        <v/>
      </c>
      <c r="AD410" s="389"/>
      <c r="AE410" s="399"/>
      <c r="AF410" s="395"/>
      <c r="AG410" s="396" t="str">
        <f t="shared" si="3"/>
        <v/>
      </c>
      <c r="AH410" s="396" t="str">
        <f t="shared" si="4"/>
        <v/>
      </c>
      <c r="AI410" s="388"/>
      <c r="AJ410" s="388"/>
      <c r="AK410" s="397"/>
    </row>
    <row r="411">
      <c r="A411" s="398"/>
      <c r="B411" s="386"/>
      <c r="C411" s="387" t="str">
        <f>IF(A411="","",IFERROR(IF(VLOOKUP(A411,'1. Inbound Leads'!A:G,7,FALSE)=0,"",VLOOKUP(A411,'1. Inbound Leads'!A:G,7,FALSE)),""))</f>
        <v/>
      </c>
      <c r="D411" s="387" t="str">
        <f>IF(A411="","",IFERROR(IF(VLOOKUP(A411,'1. Inbound Leads'!A:L,12,FALSE)=0,"",VLOOKUP(A411,'1. Inbound Leads'!A:L,12,FALSE)),""))</f>
        <v/>
      </c>
      <c r="E411" s="388"/>
      <c r="F411" s="389"/>
      <c r="G411" s="387"/>
      <c r="H411" s="387"/>
      <c r="I411" s="387"/>
      <c r="J411" s="387"/>
      <c r="K411" s="387"/>
      <c r="L411" s="387"/>
      <c r="M411" s="388"/>
      <c r="N411" s="388"/>
      <c r="O411" s="390"/>
      <c r="P411" s="391"/>
      <c r="Q411" s="389"/>
      <c r="R411" s="390"/>
      <c r="S411" s="390"/>
      <c r="T411" s="391"/>
      <c r="U411" s="392"/>
      <c r="V411" s="391"/>
      <c r="W411" s="391"/>
      <c r="X411" s="388"/>
      <c r="Y411" s="391"/>
      <c r="Z411" s="393"/>
      <c r="AA411" s="355" t="str">
        <f t="shared" si="1"/>
        <v/>
      </c>
      <c r="AB411" s="391"/>
      <c r="AC411" s="394" t="str">
        <f t="shared" si="2"/>
        <v/>
      </c>
      <c r="AD411" s="389"/>
      <c r="AE411" s="399"/>
      <c r="AF411" s="395"/>
      <c r="AG411" s="396" t="str">
        <f t="shared" si="3"/>
        <v/>
      </c>
      <c r="AH411" s="396" t="str">
        <f t="shared" si="4"/>
        <v/>
      </c>
      <c r="AI411" s="388"/>
      <c r="AJ411" s="388"/>
      <c r="AK411" s="397"/>
    </row>
    <row r="412">
      <c r="A412" s="398"/>
      <c r="B412" s="386"/>
      <c r="C412" s="387" t="str">
        <f>IF(A412="","",IFERROR(IF(VLOOKUP(A412,'1. Inbound Leads'!A:G,7,FALSE)=0,"",VLOOKUP(A412,'1. Inbound Leads'!A:G,7,FALSE)),""))</f>
        <v/>
      </c>
      <c r="D412" s="387" t="str">
        <f>IF(A412="","",IFERROR(IF(VLOOKUP(A412,'1. Inbound Leads'!A:L,12,FALSE)=0,"",VLOOKUP(A412,'1. Inbound Leads'!A:L,12,FALSE)),""))</f>
        <v/>
      </c>
      <c r="E412" s="388"/>
      <c r="F412" s="389"/>
      <c r="G412" s="387"/>
      <c r="H412" s="387"/>
      <c r="I412" s="387"/>
      <c r="J412" s="387"/>
      <c r="K412" s="387"/>
      <c r="L412" s="387"/>
      <c r="M412" s="388"/>
      <c r="N412" s="388"/>
      <c r="O412" s="390"/>
      <c r="P412" s="391"/>
      <c r="Q412" s="389"/>
      <c r="R412" s="390"/>
      <c r="S412" s="390"/>
      <c r="T412" s="391"/>
      <c r="U412" s="392"/>
      <c r="V412" s="391"/>
      <c r="W412" s="391"/>
      <c r="X412" s="388"/>
      <c r="Y412" s="391"/>
      <c r="Z412" s="393"/>
      <c r="AA412" s="355" t="str">
        <f t="shared" si="1"/>
        <v/>
      </c>
      <c r="AB412" s="391"/>
      <c r="AC412" s="394" t="str">
        <f t="shared" si="2"/>
        <v/>
      </c>
      <c r="AD412" s="389"/>
      <c r="AE412" s="399"/>
      <c r="AF412" s="395"/>
      <c r="AG412" s="396" t="str">
        <f t="shared" si="3"/>
        <v/>
      </c>
      <c r="AH412" s="396" t="str">
        <f t="shared" si="4"/>
        <v/>
      </c>
      <c r="AI412" s="388"/>
      <c r="AJ412" s="388"/>
      <c r="AK412" s="397"/>
    </row>
    <row r="413">
      <c r="A413" s="398"/>
      <c r="B413" s="386"/>
      <c r="C413" s="387" t="str">
        <f>IF(A413="","",IFERROR(IF(VLOOKUP(A413,'1. Inbound Leads'!A:G,7,FALSE)=0,"",VLOOKUP(A413,'1. Inbound Leads'!A:G,7,FALSE)),""))</f>
        <v/>
      </c>
      <c r="D413" s="387" t="str">
        <f>IF(A413="","",IFERROR(IF(VLOOKUP(A413,'1. Inbound Leads'!A:L,12,FALSE)=0,"",VLOOKUP(A413,'1. Inbound Leads'!A:L,12,FALSE)),""))</f>
        <v/>
      </c>
      <c r="E413" s="388"/>
      <c r="F413" s="389"/>
      <c r="G413" s="387"/>
      <c r="H413" s="387"/>
      <c r="I413" s="387"/>
      <c r="J413" s="387"/>
      <c r="K413" s="387"/>
      <c r="L413" s="387"/>
      <c r="M413" s="388"/>
      <c r="N413" s="388"/>
      <c r="O413" s="390"/>
      <c r="P413" s="391"/>
      <c r="Q413" s="389"/>
      <c r="R413" s="390"/>
      <c r="S413" s="390"/>
      <c r="T413" s="391"/>
      <c r="U413" s="392"/>
      <c r="V413" s="391"/>
      <c r="W413" s="391"/>
      <c r="X413" s="388"/>
      <c r="Y413" s="391"/>
      <c r="Z413" s="393"/>
      <c r="AA413" s="355" t="str">
        <f t="shared" si="1"/>
        <v/>
      </c>
      <c r="AB413" s="391"/>
      <c r="AC413" s="394" t="str">
        <f t="shared" si="2"/>
        <v/>
      </c>
      <c r="AD413" s="389"/>
      <c r="AE413" s="399"/>
      <c r="AF413" s="395"/>
      <c r="AG413" s="396" t="str">
        <f t="shared" si="3"/>
        <v/>
      </c>
      <c r="AH413" s="396" t="str">
        <f t="shared" si="4"/>
        <v/>
      </c>
      <c r="AI413" s="388"/>
      <c r="AJ413" s="388"/>
      <c r="AK413" s="397"/>
    </row>
    <row r="414">
      <c r="A414" s="398"/>
      <c r="B414" s="386"/>
      <c r="C414" s="387" t="str">
        <f>IF(A414="","",IFERROR(IF(VLOOKUP(A414,'1. Inbound Leads'!A:G,7,FALSE)=0,"",VLOOKUP(A414,'1. Inbound Leads'!A:G,7,FALSE)),""))</f>
        <v/>
      </c>
      <c r="D414" s="387" t="str">
        <f>IF(A414="","",IFERROR(IF(VLOOKUP(A414,'1. Inbound Leads'!A:L,12,FALSE)=0,"",VLOOKUP(A414,'1. Inbound Leads'!A:L,12,FALSE)),""))</f>
        <v/>
      </c>
      <c r="E414" s="388"/>
      <c r="F414" s="389"/>
      <c r="G414" s="387"/>
      <c r="H414" s="387"/>
      <c r="I414" s="387"/>
      <c r="J414" s="387"/>
      <c r="K414" s="387"/>
      <c r="L414" s="387"/>
      <c r="M414" s="388"/>
      <c r="N414" s="388"/>
      <c r="O414" s="390"/>
      <c r="P414" s="391"/>
      <c r="Q414" s="389"/>
      <c r="R414" s="390"/>
      <c r="S414" s="390"/>
      <c r="T414" s="391"/>
      <c r="U414" s="392"/>
      <c r="V414" s="391"/>
      <c r="W414" s="391"/>
      <c r="X414" s="388"/>
      <c r="Y414" s="391"/>
      <c r="Z414" s="393"/>
      <c r="AA414" s="355" t="str">
        <f t="shared" si="1"/>
        <v/>
      </c>
      <c r="AB414" s="391"/>
      <c r="AC414" s="394" t="str">
        <f t="shared" si="2"/>
        <v/>
      </c>
      <c r="AD414" s="389"/>
      <c r="AE414" s="399"/>
      <c r="AF414" s="395"/>
      <c r="AG414" s="396" t="str">
        <f t="shared" si="3"/>
        <v/>
      </c>
      <c r="AH414" s="396" t="str">
        <f t="shared" si="4"/>
        <v/>
      </c>
      <c r="AI414" s="388"/>
      <c r="AJ414" s="388"/>
      <c r="AK414" s="397"/>
    </row>
    <row r="415">
      <c r="A415" s="398"/>
      <c r="B415" s="386"/>
      <c r="C415" s="387" t="str">
        <f>IF(A415="","",IFERROR(IF(VLOOKUP(A415,'1. Inbound Leads'!A:G,7,FALSE)=0,"",VLOOKUP(A415,'1. Inbound Leads'!A:G,7,FALSE)),""))</f>
        <v/>
      </c>
      <c r="D415" s="387" t="str">
        <f>IF(A415="","",IFERROR(IF(VLOOKUP(A415,'1. Inbound Leads'!A:L,12,FALSE)=0,"",VLOOKUP(A415,'1. Inbound Leads'!A:L,12,FALSE)),""))</f>
        <v/>
      </c>
      <c r="E415" s="388"/>
      <c r="F415" s="389"/>
      <c r="G415" s="387"/>
      <c r="H415" s="387"/>
      <c r="I415" s="387"/>
      <c r="J415" s="387"/>
      <c r="K415" s="387"/>
      <c r="L415" s="387"/>
      <c r="M415" s="388"/>
      <c r="N415" s="388"/>
      <c r="O415" s="390"/>
      <c r="P415" s="391"/>
      <c r="Q415" s="389"/>
      <c r="R415" s="390"/>
      <c r="S415" s="390"/>
      <c r="T415" s="391"/>
      <c r="U415" s="392"/>
      <c r="V415" s="391"/>
      <c r="W415" s="391"/>
      <c r="X415" s="388"/>
      <c r="Y415" s="391"/>
      <c r="Z415" s="393"/>
      <c r="AA415" s="355" t="str">
        <f t="shared" si="1"/>
        <v/>
      </c>
      <c r="AB415" s="391"/>
      <c r="AC415" s="394" t="str">
        <f t="shared" si="2"/>
        <v/>
      </c>
      <c r="AD415" s="389"/>
      <c r="AE415" s="399"/>
      <c r="AF415" s="395"/>
      <c r="AG415" s="396" t="str">
        <f t="shared" si="3"/>
        <v/>
      </c>
      <c r="AH415" s="396" t="str">
        <f t="shared" si="4"/>
        <v/>
      </c>
      <c r="AI415" s="388"/>
      <c r="AJ415" s="388"/>
      <c r="AK415" s="397"/>
    </row>
    <row r="416">
      <c r="A416" s="398"/>
      <c r="B416" s="386"/>
      <c r="C416" s="387" t="str">
        <f>IF(A416="","",IFERROR(IF(VLOOKUP(A416,'1. Inbound Leads'!A:G,7,FALSE)=0,"",VLOOKUP(A416,'1. Inbound Leads'!A:G,7,FALSE)),""))</f>
        <v/>
      </c>
      <c r="D416" s="387" t="str">
        <f>IF(A416="","",IFERROR(IF(VLOOKUP(A416,'1. Inbound Leads'!A:L,12,FALSE)=0,"",VLOOKUP(A416,'1. Inbound Leads'!A:L,12,FALSE)),""))</f>
        <v/>
      </c>
      <c r="E416" s="388"/>
      <c r="F416" s="389"/>
      <c r="G416" s="387"/>
      <c r="H416" s="387"/>
      <c r="I416" s="387"/>
      <c r="J416" s="387"/>
      <c r="K416" s="387"/>
      <c r="L416" s="387"/>
      <c r="M416" s="388"/>
      <c r="N416" s="388"/>
      <c r="O416" s="390"/>
      <c r="P416" s="391"/>
      <c r="Q416" s="389"/>
      <c r="R416" s="390"/>
      <c r="S416" s="390"/>
      <c r="T416" s="391"/>
      <c r="U416" s="392"/>
      <c r="V416" s="391"/>
      <c r="W416" s="391"/>
      <c r="X416" s="388"/>
      <c r="Y416" s="391"/>
      <c r="Z416" s="393"/>
      <c r="AA416" s="355" t="str">
        <f t="shared" si="1"/>
        <v/>
      </c>
      <c r="AB416" s="391"/>
      <c r="AC416" s="394" t="str">
        <f t="shared" si="2"/>
        <v/>
      </c>
      <c r="AD416" s="389"/>
      <c r="AE416" s="399"/>
      <c r="AF416" s="395"/>
      <c r="AG416" s="396" t="str">
        <f t="shared" si="3"/>
        <v/>
      </c>
      <c r="AH416" s="396" t="str">
        <f t="shared" si="4"/>
        <v/>
      </c>
      <c r="AI416" s="388"/>
      <c r="AJ416" s="388"/>
      <c r="AK416" s="397"/>
    </row>
    <row r="417">
      <c r="A417" s="398"/>
      <c r="B417" s="386"/>
      <c r="C417" s="387" t="str">
        <f>IF(A417="","",IFERROR(IF(VLOOKUP(A417,'1. Inbound Leads'!A:G,7,FALSE)=0,"",VLOOKUP(A417,'1. Inbound Leads'!A:G,7,FALSE)),""))</f>
        <v/>
      </c>
      <c r="D417" s="387" t="str">
        <f>IF(A417="","",IFERROR(IF(VLOOKUP(A417,'1. Inbound Leads'!A:L,12,FALSE)=0,"",VLOOKUP(A417,'1. Inbound Leads'!A:L,12,FALSE)),""))</f>
        <v/>
      </c>
      <c r="E417" s="388"/>
      <c r="F417" s="389"/>
      <c r="G417" s="387"/>
      <c r="H417" s="387"/>
      <c r="I417" s="387"/>
      <c r="J417" s="387"/>
      <c r="K417" s="387"/>
      <c r="L417" s="387"/>
      <c r="M417" s="388"/>
      <c r="N417" s="388"/>
      <c r="O417" s="390"/>
      <c r="P417" s="391"/>
      <c r="Q417" s="389"/>
      <c r="R417" s="390"/>
      <c r="S417" s="390"/>
      <c r="T417" s="391"/>
      <c r="U417" s="392"/>
      <c r="V417" s="391"/>
      <c r="W417" s="391"/>
      <c r="X417" s="388"/>
      <c r="Y417" s="391"/>
      <c r="Z417" s="393"/>
      <c r="AA417" s="355" t="str">
        <f t="shared" si="1"/>
        <v/>
      </c>
      <c r="AB417" s="391"/>
      <c r="AC417" s="394" t="str">
        <f t="shared" si="2"/>
        <v/>
      </c>
      <c r="AD417" s="389"/>
      <c r="AE417" s="399"/>
      <c r="AF417" s="395"/>
      <c r="AG417" s="396" t="str">
        <f t="shared" si="3"/>
        <v/>
      </c>
      <c r="AH417" s="396" t="str">
        <f t="shared" si="4"/>
        <v/>
      </c>
      <c r="AI417" s="388"/>
      <c r="AJ417" s="388"/>
      <c r="AK417" s="397"/>
    </row>
    <row r="418">
      <c r="A418" s="398"/>
      <c r="B418" s="386"/>
      <c r="C418" s="387" t="str">
        <f>IF(A418="","",IFERROR(IF(VLOOKUP(A418,'1. Inbound Leads'!A:G,7,FALSE)=0,"",VLOOKUP(A418,'1. Inbound Leads'!A:G,7,FALSE)),""))</f>
        <v/>
      </c>
      <c r="D418" s="387" t="str">
        <f>IF(A418="","",IFERROR(IF(VLOOKUP(A418,'1. Inbound Leads'!A:L,12,FALSE)=0,"",VLOOKUP(A418,'1. Inbound Leads'!A:L,12,FALSE)),""))</f>
        <v/>
      </c>
      <c r="E418" s="388"/>
      <c r="F418" s="389"/>
      <c r="G418" s="387"/>
      <c r="H418" s="387"/>
      <c r="I418" s="387"/>
      <c r="J418" s="387"/>
      <c r="K418" s="387"/>
      <c r="L418" s="387"/>
      <c r="M418" s="388"/>
      <c r="N418" s="388"/>
      <c r="O418" s="390"/>
      <c r="P418" s="391"/>
      <c r="Q418" s="389"/>
      <c r="R418" s="390"/>
      <c r="S418" s="390"/>
      <c r="T418" s="391"/>
      <c r="U418" s="392"/>
      <c r="V418" s="391"/>
      <c r="W418" s="391"/>
      <c r="X418" s="388"/>
      <c r="Y418" s="391"/>
      <c r="Z418" s="393"/>
      <c r="AA418" s="355" t="str">
        <f t="shared" si="1"/>
        <v/>
      </c>
      <c r="AB418" s="391"/>
      <c r="AC418" s="394" t="str">
        <f t="shared" si="2"/>
        <v/>
      </c>
      <c r="AD418" s="389"/>
      <c r="AE418" s="399"/>
      <c r="AF418" s="395"/>
      <c r="AG418" s="396" t="str">
        <f t="shared" si="3"/>
        <v/>
      </c>
      <c r="AH418" s="396" t="str">
        <f t="shared" si="4"/>
        <v/>
      </c>
      <c r="AI418" s="388"/>
      <c r="AJ418" s="388"/>
      <c r="AK418" s="397"/>
    </row>
    <row r="419">
      <c r="A419" s="398"/>
      <c r="B419" s="386"/>
      <c r="C419" s="387" t="str">
        <f>IF(A419="","",IFERROR(IF(VLOOKUP(A419,'1. Inbound Leads'!A:G,7,FALSE)=0,"",VLOOKUP(A419,'1. Inbound Leads'!A:G,7,FALSE)),""))</f>
        <v/>
      </c>
      <c r="D419" s="387" t="str">
        <f>IF(A419="","",IFERROR(IF(VLOOKUP(A419,'1. Inbound Leads'!A:L,12,FALSE)=0,"",VLOOKUP(A419,'1. Inbound Leads'!A:L,12,FALSE)),""))</f>
        <v/>
      </c>
      <c r="E419" s="388"/>
      <c r="F419" s="389"/>
      <c r="G419" s="387"/>
      <c r="H419" s="387"/>
      <c r="I419" s="387"/>
      <c r="J419" s="387"/>
      <c r="K419" s="387"/>
      <c r="L419" s="387"/>
      <c r="M419" s="388"/>
      <c r="N419" s="388"/>
      <c r="O419" s="390"/>
      <c r="P419" s="391"/>
      <c r="Q419" s="389"/>
      <c r="R419" s="390"/>
      <c r="S419" s="390"/>
      <c r="T419" s="391"/>
      <c r="U419" s="392"/>
      <c r="V419" s="391"/>
      <c r="W419" s="391"/>
      <c r="X419" s="388"/>
      <c r="Y419" s="391"/>
      <c r="Z419" s="393"/>
      <c r="AA419" s="355" t="str">
        <f t="shared" si="1"/>
        <v/>
      </c>
      <c r="AB419" s="391"/>
      <c r="AC419" s="394" t="str">
        <f t="shared" si="2"/>
        <v/>
      </c>
      <c r="AD419" s="389"/>
      <c r="AE419" s="399"/>
      <c r="AF419" s="395"/>
      <c r="AG419" s="396" t="str">
        <f t="shared" si="3"/>
        <v/>
      </c>
      <c r="AH419" s="396" t="str">
        <f t="shared" si="4"/>
        <v/>
      </c>
      <c r="AI419" s="388"/>
      <c r="AJ419" s="388"/>
      <c r="AK419" s="397"/>
    </row>
    <row r="420">
      <c r="A420" s="398"/>
      <c r="B420" s="386"/>
      <c r="C420" s="387" t="str">
        <f>IF(A420="","",IFERROR(IF(VLOOKUP(A420,'1. Inbound Leads'!A:G,7,FALSE)=0,"",VLOOKUP(A420,'1. Inbound Leads'!A:G,7,FALSE)),""))</f>
        <v/>
      </c>
      <c r="D420" s="387" t="str">
        <f>IF(A420="","",IFERROR(IF(VLOOKUP(A420,'1. Inbound Leads'!A:L,12,FALSE)=0,"",VLOOKUP(A420,'1. Inbound Leads'!A:L,12,FALSE)),""))</f>
        <v/>
      </c>
      <c r="E420" s="388"/>
      <c r="F420" s="389"/>
      <c r="G420" s="387"/>
      <c r="H420" s="387"/>
      <c r="I420" s="387"/>
      <c r="J420" s="387"/>
      <c r="K420" s="387"/>
      <c r="L420" s="387"/>
      <c r="M420" s="388"/>
      <c r="N420" s="388"/>
      <c r="O420" s="390"/>
      <c r="P420" s="391"/>
      <c r="Q420" s="389"/>
      <c r="R420" s="390"/>
      <c r="S420" s="390"/>
      <c r="T420" s="391"/>
      <c r="U420" s="392"/>
      <c r="V420" s="391"/>
      <c r="W420" s="391"/>
      <c r="X420" s="388"/>
      <c r="Y420" s="391"/>
      <c r="Z420" s="393"/>
      <c r="AA420" s="355" t="str">
        <f t="shared" si="1"/>
        <v/>
      </c>
      <c r="AB420" s="391"/>
      <c r="AC420" s="394" t="str">
        <f t="shared" si="2"/>
        <v/>
      </c>
      <c r="AD420" s="389"/>
      <c r="AE420" s="399"/>
      <c r="AF420" s="395"/>
      <c r="AG420" s="396" t="str">
        <f t="shared" si="3"/>
        <v/>
      </c>
      <c r="AH420" s="396" t="str">
        <f t="shared" si="4"/>
        <v/>
      </c>
      <c r="AI420" s="388"/>
      <c r="AJ420" s="388"/>
      <c r="AK420" s="397"/>
    </row>
    <row r="421">
      <c r="A421" s="398"/>
      <c r="B421" s="386"/>
      <c r="C421" s="387" t="str">
        <f>IF(A421="","",IFERROR(IF(VLOOKUP(A421,'1. Inbound Leads'!A:G,7,FALSE)=0,"",VLOOKUP(A421,'1. Inbound Leads'!A:G,7,FALSE)),""))</f>
        <v/>
      </c>
      <c r="D421" s="387" t="str">
        <f>IF(A421="","",IFERROR(IF(VLOOKUP(A421,'1. Inbound Leads'!A:L,12,FALSE)=0,"",VLOOKUP(A421,'1. Inbound Leads'!A:L,12,FALSE)),""))</f>
        <v/>
      </c>
      <c r="E421" s="388"/>
      <c r="F421" s="389"/>
      <c r="G421" s="387"/>
      <c r="H421" s="387"/>
      <c r="I421" s="387"/>
      <c r="J421" s="387"/>
      <c r="K421" s="387"/>
      <c r="L421" s="387"/>
      <c r="M421" s="388"/>
      <c r="N421" s="388"/>
      <c r="O421" s="390"/>
      <c r="P421" s="391"/>
      <c r="Q421" s="389"/>
      <c r="R421" s="390"/>
      <c r="S421" s="390"/>
      <c r="T421" s="391"/>
      <c r="U421" s="392"/>
      <c r="V421" s="391"/>
      <c r="W421" s="391"/>
      <c r="X421" s="388"/>
      <c r="Y421" s="391"/>
      <c r="Z421" s="393"/>
      <c r="AA421" s="355" t="str">
        <f t="shared" si="1"/>
        <v/>
      </c>
      <c r="AB421" s="391"/>
      <c r="AC421" s="394" t="str">
        <f t="shared" si="2"/>
        <v/>
      </c>
      <c r="AD421" s="389"/>
      <c r="AE421" s="399"/>
      <c r="AF421" s="395"/>
      <c r="AG421" s="396" t="str">
        <f t="shared" si="3"/>
        <v/>
      </c>
      <c r="AH421" s="396" t="str">
        <f t="shared" si="4"/>
        <v/>
      </c>
      <c r="AI421" s="388"/>
      <c r="AJ421" s="388"/>
      <c r="AK421" s="397"/>
    </row>
    <row r="422">
      <c r="A422" s="398"/>
      <c r="B422" s="386"/>
      <c r="C422" s="387" t="str">
        <f>IF(A422="","",IFERROR(IF(VLOOKUP(A422,'1. Inbound Leads'!A:G,7,FALSE)=0,"",VLOOKUP(A422,'1. Inbound Leads'!A:G,7,FALSE)),""))</f>
        <v/>
      </c>
      <c r="D422" s="387" t="str">
        <f>IF(A422="","",IFERROR(IF(VLOOKUP(A422,'1. Inbound Leads'!A:L,12,FALSE)=0,"",VLOOKUP(A422,'1. Inbound Leads'!A:L,12,FALSE)),""))</f>
        <v/>
      </c>
      <c r="E422" s="388"/>
      <c r="F422" s="389"/>
      <c r="G422" s="387"/>
      <c r="H422" s="387"/>
      <c r="I422" s="387"/>
      <c r="J422" s="387"/>
      <c r="K422" s="387"/>
      <c r="L422" s="387"/>
      <c r="M422" s="388"/>
      <c r="N422" s="388"/>
      <c r="O422" s="390"/>
      <c r="P422" s="391"/>
      <c r="Q422" s="389"/>
      <c r="R422" s="390"/>
      <c r="S422" s="390"/>
      <c r="T422" s="391"/>
      <c r="U422" s="392"/>
      <c r="V422" s="391"/>
      <c r="W422" s="391"/>
      <c r="X422" s="388"/>
      <c r="Y422" s="391"/>
      <c r="Z422" s="393"/>
      <c r="AA422" s="355" t="str">
        <f t="shared" si="1"/>
        <v/>
      </c>
      <c r="AB422" s="391"/>
      <c r="AC422" s="394" t="str">
        <f t="shared" si="2"/>
        <v/>
      </c>
      <c r="AD422" s="389"/>
      <c r="AE422" s="399"/>
      <c r="AF422" s="395"/>
      <c r="AG422" s="396" t="str">
        <f t="shared" si="3"/>
        <v/>
      </c>
      <c r="AH422" s="396" t="str">
        <f t="shared" si="4"/>
        <v/>
      </c>
      <c r="AI422" s="388"/>
      <c r="AJ422" s="388"/>
      <c r="AK422" s="397"/>
    </row>
    <row r="423">
      <c r="A423" s="398"/>
      <c r="B423" s="386"/>
      <c r="C423" s="387" t="str">
        <f>IF(A423="","",IFERROR(IF(VLOOKUP(A423,'1. Inbound Leads'!A:G,7,FALSE)=0,"",VLOOKUP(A423,'1. Inbound Leads'!A:G,7,FALSE)),""))</f>
        <v/>
      </c>
      <c r="D423" s="387" t="str">
        <f>IF(A423="","",IFERROR(IF(VLOOKUP(A423,'1. Inbound Leads'!A:L,12,FALSE)=0,"",VLOOKUP(A423,'1. Inbound Leads'!A:L,12,FALSE)),""))</f>
        <v/>
      </c>
      <c r="E423" s="388"/>
      <c r="F423" s="389"/>
      <c r="G423" s="387"/>
      <c r="H423" s="387"/>
      <c r="I423" s="387"/>
      <c r="J423" s="387"/>
      <c r="K423" s="387"/>
      <c r="L423" s="387"/>
      <c r="M423" s="388"/>
      <c r="N423" s="388"/>
      <c r="O423" s="390"/>
      <c r="P423" s="391"/>
      <c r="Q423" s="389"/>
      <c r="R423" s="390"/>
      <c r="S423" s="390"/>
      <c r="T423" s="391"/>
      <c r="U423" s="392"/>
      <c r="V423" s="391"/>
      <c r="W423" s="391"/>
      <c r="X423" s="388"/>
      <c r="Y423" s="391"/>
      <c r="Z423" s="393"/>
      <c r="AA423" s="355" t="str">
        <f t="shared" si="1"/>
        <v/>
      </c>
      <c r="AB423" s="391"/>
      <c r="AC423" s="394" t="str">
        <f t="shared" si="2"/>
        <v/>
      </c>
      <c r="AD423" s="389"/>
      <c r="AE423" s="399"/>
      <c r="AF423" s="395"/>
      <c r="AG423" s="396" t="str">
        <f t="shared" si="3"/>
        <v/>
      </c>
      <c r="AH423" s="396" t="str">
        <f t="shared" si="4"/>
        <v/>
      </c>
      <c r="AI423" s="388"/>
      <c r="AJ423" s="388"/>
      <c r="AK423" s="397"/>
    </row>
    <row r="424">
      <c r="A424" s="398"/>
      <c r="B424" s="386"/>
      <c r="C424" s="387" t="str">
        <f>IF(A424="","",IFERROR(IF(VLOOKUP(A424,'1. Inbound Leads'!A:G,7,FALSE)=0,"",VLOOKUP(A424,'1. Inbound Leads'!A:G,7,FALSE)),""))</f>
        <v/>
      </c>
      <c r="D424" s="387" t="str">
        <f>IF(A424="","",IFERROR(IF(VLOOKUP(A424,'1. Inbound Leads'!A:L,12,FALSE)=0,"",VLOOKUP(A424,'1. Inbound Leads'!A:L,12,FALSE)),""))</f>
        <v/>
      </c>
      <c r="E424" s="388"/>
      <c r="F424" s="389"/>
      <c r="G424" s="387"/>
      <c r="H424" s="387"/>
      <c r="I424" s="387"/>
      <c r="J424" s="387"/>
      <c r="K424" s="387"/>
      <c r="L424" s="387"/>
      <c r="M424" s="388"/>
      <c r="N424" s="388"/>
      <c r="O424" s="390"/>
      <c r="P424" s="391"/>
      <c r="Q424" s="389"/>
      <c r="R424" s="390"/>
      <c r="S424" s="390"/>
      <c r="T424" s="391"/>
      <c r="U424" s="392"/>
      <c r="V424" s="391"/>
      <c r="W424" s="391"/>
      <c r="X424" s="388"/>
      <c r="Y424" s="391"/>
      <c r="Z424" s="393"/>
      <c r="AA424" s="355" t="str">
        <f t="shared" si="1"/>
        <v/>
      </c>
      <c r="AB424" s="391"/>
      <c r="AC424" s="394" t="str">
        <f t="shared" si="2"/>
        <v/>
      </c>
      <c r="AD424" s="389"/>
      <c r="AE424" s="399"/>
      <c r="AF424" s="395"/>
      <c r="AG424" s="396" t="str">
        <f t="shared" si="3"/>
        <v/>
      </c>
      <c r="AH424" s="396" t="str">
        <f t="shared" si="4"/>
        <v/>
      </c>
      <c r="AI424" s="388"/>
      <c r="AJ424" s="388"/>
      <c r="AK424" s="397"/>
    </row>
    <row r="425">
      <c r="A425" s="398"/>
      <c r="B425" s="386"/>
      <c r="C425" s="387" t="str">
        <f>IF(A425="","",IFERROR(IF(VLOOKUP(A425,'1. Inbound Leads'!A:G,7,FALSE)=0,"",VLOOKUP(A425,'1. Inbound Leads'!A:G,7,FALSE)),""))</f>
        <v/>
      </c>
      <c r="D425" s="387" t="str">
        <f>IF(A425="","",IFERROR(IF(VLOOKUP(A425,'1. Inbound Leads'!A:L,12,FALSE)=0,"",VLOOKUP(A425,'1. Inbound Leads'!A:L,12,FALSE)),""))</f>
        <v/>
      </c>
      <c r="E425" s="388"/>
      <c r="F425" s="389"/>
      <c r="G425" s="387"/>
      <c r="H425" s="387"/>
      <c r="I425" s="387"/>
      <c r="J425" s="387"/>
      <c r="K425" s="387"/>
      <c r="L425" s="387"/>
      <c r="M425" s="388"/>
      <c r="N425" s="388"/>
      <c r="O425" s="390"/>
      <c r="P425" s="391"/>
      <c r="Q425" s="389"/>
      <c r="R425" s="390"/>
      <c r="S425" s="390"/>
      <c r="T425" s="391"/>
      <c r="U425" s="392"/>
      <c r="V425" s="391"/>
      <c r="W425" s="391"/>
      <c r="X425" s="388"/>
      <c r="Y425" s="391"/>
      <c r="Z425" s="393"/>
      <c r="AA425" s="355" t="str">
        <f t="shared" si="1"/>
        <v/>
      </c>
      <c r="AB425" s="391"/>
      <c r="AC425" s="394" t="str">
        <f t="shared" si="2"/>
        <v/>
      </c>
      <c r="AD425" s="389"/>
      <c r="AE425" s="399"/>
      <c r="AF425" s="395"/>
      <c r="AG425" s="396" t="str">
        <f t="shared" si="3"/>
        <v/>
      </c>
      <c r="AH425" s="396" t="str">
        <f t="shared" si="4"/>
        <v/>
      </c>
      <c r="AI425" s="388"/>
      <c r="AJ425" s="388"/>
      <c r="AK425" s="397"/>
    </row>
    <row r="426">
      <c r="A426" s="398"/>
      <c r="B426" s="386"/>
      <c r="C426" s="387" t="str">
        <f>IF(A426="","",IFERROR(IF(VLOOKUP(A426,'1. Inbound Leads'!A:G,7,FALSE)=0,"",VLOOKUP(A426,'1. Inbound Leads'!A:G,7,FALSE)),""))</f>
        <v/>
      </c>
      <c r="D426" s="387" t="str">
        <f>IF(A426="","",IFERROR(IF(VLOOKUP(A426,'1. Inbound Leads'!A:L,12,FALSE)=0,"",VLOOKUP(A426,'1. Inbound Leads'!A:L,12,FALSE)),""))</f>
        <v/>
      </c>
      <c r="E426" s="388"/>
      <c r="F426" s="389"/>
      <c r="G426" s="387"/>
      <c r="H426" s="387"/>
      <c r="I426" s="387"/>
      <c r="J426" s="387"/>
      <c r="K426" s="387"/>
      <c r="L426" s="387"/>
      <c r="M426" s="388"/>
      <c r="N426" s="388"/>
      <c r="O426" s="390"/>
      <c r="P426" s="391"/>
      <c r="Q426" s="389"/>
      <c r="R426" s="390"/>
      <c r="S426" s="390"/>
      <c r="T426" s="391"/>
      <c r="U426" s="392"/>
      <c r="V426" s="391"/>
      <c r="W426" s="391"/>
      <c r="X426" s="388"/>
      <c r="Y426" s="391"/>
      <c r="Z426" s="393"/>
      <c r="AA426" s="355" t="str">
        <f t="shared" si="1"/>
        <v/>
      </c>
      <c r="AB426" s="391"/>
      <c r="AC426" s="394" t="str">
        <f t="shared" si="2"/>
        <v/>
      </c>
      <c r="AD426" s="389"/>
      <c r="AE426" s="399"/>
      <c r="AF426" s="395"/>
      <c r="AG426" s="396" t="str">
        <f t="shared" si="3"/>
        <v/>
      </c>
      <c r="AH426" s="396" t="str">
        <f t="shared" si="4"/>
        <v/>
      </c>
      <c r="AI426" s="388"/>
      <c r="AJ426" s="388"/>
      <c r="AK426" s="397"/>
    </row>
    <row r="427">
      <c r="A427" s="398"/>
      <c r="B427" s="386"/>
      <c r="C427" s="387" t="str">
        <f>IF(A427="","",IFERROR(IF(VLOOKUP(A427,'1. Inbound Leads'!A:G,7,FALSE)=0,"",VLOOKUP(A427,'1. Inbound Leads'!A:G,7,FALSE)),""))</f>
        <v/>
      </c>
      <c r="D427" s="387" t="str">
        <f>IF(A427="","",IFERROR(IF(VLOOKUP(A427,'1. Inbound Leads'!A:L,12,FALSE)=0,"",VLOOKUP(A427,'1. Inbound Leads'!A:L,12,FALSE)),""))</f>
        <v/>
      </c>
      <c r="E427" s="388"/>
      <c r="F427" s="389"/>
      <c r="G427" s="387"/>
      <c r="H427" s="387"/>
      <c r="I427" s="387"/>
      <c r="J427" s="387"/>
      <c r="K427" s="387"/>
      <c r="L427" s="387"/>
      <c r="M427" s="388"/>
      <c r="N427" s="388"/>
      <c r="O427" s="390"/>
      <c r="P427" s="391"/>
      <c r="Q427" s="389"/>
      <c r="R427" s="390"/>
      <c r="S427" s="390"/>
      <c r="T427" s="391"/>
      <c r="U427" s="392"/>
      <c r="V427" s="391"/>
      <c r="W427" s="391"/>
      <c r="X427" s="388"/>
      <c r="Y427" s="391"/>
      <c r="Z427" s="393"/>
      <c r="AA427" s="355" t="str">
        <f t="shared" si="1"/>
        <v/>
      </c>
      <c r="AB427" s="391"/>
      <c r="AC427" s="394" t="str">
        <f t="shared" si="2"/>
        <v/>
      </c>
      <c r="AD427" s="389"/>
      <c r="AE427" s="399"/>
      <c r="AF427" s="395"/>
      <c r="AG427" s="396" t="str">
        <f t="shared" si="3"/>
        <v/>
      </c>
      <c r="AH427" s="396" t="str">
        <f t="shared" si="4"/>
        <v/>
      </c>
      <c r="AI427" s="388"/>
      <c r="AJ427" s="388"/>
      <c r="AK427" s="397"/>
    </row>
    <row r="428">
      <c r="A428" s="398"/>
      <c r="B428" s="386"/>
      <c r="C428" s="387" t="str">
        <f>IF(A428="","",IFERROR(IF(VLOOKUP(A428,'1. Inbound Leads'!A:G,7,FALSE)=0,"",VLOOKUP(A428,'1. Inbound Leads'!A:G,7,FALSE)),""))</f>
        <v/>
      </c>
      <c r="D428" s="387" t="str">
        <f>IF(A428="","",IFERROR(IF(VLOOKUP(A428,'1. Inbound Leads'!A:L,12,FALSE)=0,"",VLOOKUP(A428,'1. Inbound Leads'!A:L,12,FALSE)),""))</f>
        <v/>
      </c>
      <c r="E428" s="388"/>
      <c r="F428" s="389"/>
      <c r="G428" s="387"/>
      <c r="H428" s="387"/>
      <c r="I428" s="387"/>
      <c r="J428" s="387"/>
      <c r="K428" s="387"/>
      <c r="L428" s="387"/>
      <c r="M428" s="388"/>
      <c r="N428" s="388"/>
      <c r="O428" s="390"/>
      <c r="P428" s="391"/>
      <c r="Q428" s="389"/>
      <c r="R428" s="390"/>
      <c r="S428" s="390"/>
      <c r="T428" s="391"/>
      <c r="U428" s="392"/>
      <c r="V428" s="391"/>
      <c r="W428" s="391"/>
      <c r="X428" s="388"/>
      <c r="Y428" s="391"/>
      <c r="Z428" s="393"/>
      <c r="AA428" s="355" t="str">
        <f t="shared" si="1"/>
        <v/>
      </c>
      <c r="AB428" s="391"/>
      <c r="AC428" s="394" t="str">
        <f t="shared" si="2"/>
        <v/>
      </c>
      <c r="AD428" s="389"/>
      <c r="AE428" s="399"/>
      <c r="AF428" s="395"/>
      <c r="AG428" s="396" t="str">
        <f t="shared" si="3"/>
        <v/>
      </c>
      <c r="AH428" s="396" t="str">
        <f t="shared" si="4"/>
        <v/>
      </c>
      <c r="AI428" s="388"/>
      <c r="AJ428" s="388"/>
      <c r="AK428" s="397"/>
    </row>
    <row r="429">
      <c r="A429" s="398"/>
      <c r="B429" s="386"/>
      <c r="C429" s="387" t="str">
        <f>IF(A429="","",IFERROR(IF(VLOOKUP(A429,'1. Inbound Leads'!A:G,7,FALSE)=0,"",VLOOKUP(A429,'1. Inbound Leads'!A:G,7,FALSE)),""))</f>
        <v/>
      </c>
      <c r="D429" s="387" t="str">
        <f>IF(A429="","",IFERROR(IF(VLOOKUP(A429,'1. Inbound Leads'!A:L,12,FALSE)=0,"",VLOOKUP(A429,'1. Inbound Leads'!A:L,12,FALSE)),""))</f>
        <v/>
      </c>
      <c r="E429" s="388"/>
      <c r="F429" s="389"/>
      <c r="G429" s="387"/>
      <c r="H429" s="387"/>
      <c r="I429" s="387"/>
      <c r="J429" s="387"/>
      <c r="K429" s="387"/>
      <c r="L429" s="387"/>
      <c r="M429" s="388"/>
      <c r="N429" s="388"/>
      <c r="O429" s="390"/>
      <c r="P429" s="391"/>
      <c r="Q429" s="389"/>
      <c r="R429" s="390"/>
      <c r="S429" s="390"/>
      <c r="T429" s="391"/>
      <c r="U429" s="392"/>
      <c r="V429" s="391"/>
      <c r="W429" s="391"/>
      <c r="X429" s="388"/>
      <c r="Y429" s="391"/>
      <c r="Z429" s="393"/>
      <c r="AA429" s="355" t="str">
        <f t="shared" si="1"/>
        <v/>
      </c>
      <c r="AB429" s="391"/>
      <c r="AC429" s="394" t="str">
        <f t="shared" si="2"/>
        <v/>
      </c>
      <c r="AD429" s="389"/>
      <c r="AE429" s="399"/>
      <c r="AF429" s="395"/>
      <c r="AG429" s="396" t="str">
        <f t="shared" si="3"/>
        <v/>
      </c>
      <c r="AH429" s="396" t="str">
        <f t="shared" si="4"/>
        <v/>
      </c>
      <c r="AI429" s="388"/>
      <c r="AJ429" s="388"/>
      <c r="AK429" s="397"/>
    </row>
    <row r="430">
      <c r="A430" s="398"/>
      <c r="B430" s="386"/>
      <c r="C430" s="387" t="str">
        <f>IF(A430="","",IFERROR(IF(VLOOKUP(A430,'1. Inbound Leads'!A:G,7,FALSE)=0,"",VLOOKUP(A430,'1. Inbound Leads'!A:G,7,FALSE)),""))</f>
        <v/>
      </c>
      <c r="D430" s="387" t="str">
        <f>IF(A430="","",IFERROR(IF(VLOOKUP(A430,'1. Inbound Leads'!A:L,12,FALSE)=0,"",VLOOKUP(A430,'1. Inbound Leads'!A:L,12,FALSE)),""))</f>
        <v/>
      </c>
      <c r="E430" s="388"/>
      <c r="F430" s="389"/>
      <c r="G430" s="387"/>
      <c r="H430" s="387"/>
      <c r="I430" s="387"/>
      <c r="J430" s="387"/>
      <c r="K430" s="387"/>
      <c r="L430" s="387"/>
      <c r="M430" s="388"/>
      <c r="N430" s="388"/>
      <c r="O430" s="390"/>
      <c r="P430" s="391"/>
      <c r="Q430" s="389"/>
      <c r="R430" s="390"/>
      <c r="S430" s="390"/>
      <c r="T430" s="391"/>
      <c r="U430" s="392"/>
      <c r="V430" s="391"/>
      <c r="W430" s="391"/>
      <c r="X430" s="388"/>
      <c r="Y430" s="391"/>
      <c r="Z430" s="393"/>
      <c r="AA430" s="355" t="str">
        <f t="shared" si="1"/>
        <v/>
      </c>
      <c r="AB430" s="391"/>
      <c r="AC430" s="394" t="str">
        <f t="shared" si="2"/>
        <v/>
      </c>
      <c r="AD430" s="389"/>
      <c r="AE430" s="399"/>
      <c r="AF430" s="395"/>
      <c r="AG430" s="396" t="str">
        <f t="shared" si="3"/>
        <v/>
      </c>
      <c r="AH430" s="396" t="str">
        <f t="shared" si="4"/>
        <v/>
      </c>
      <c r="AI430" s="388"/>
      <c r="AJ430" s="388"/>
      <c r="AK430" s="397"/>
    </row>
    <row r="431">
      <c r="A431" s="398"/>
      <c r="B431" s="386"/>
      <c r="C431" s="387" t="str">
        <f>IF(A431="","",IFERROR(IF(VLOOKUP(A431,'1. Inbound Leads'!A:G,7,FALSE)=0,"",VLOOKUP(A431,'1. Inbound Leads'!A:G,7,FALSE)),""))</f>
        <v/>
      </c>
      <c r="D431" s="387" t="str">
        <f>IF(A431="","",IFERROR(IF(VLOOKUP(A431,'1. Inbound Leads'!A:L,12,FALSE)=0,"",VLOOKUP(A431,'1. Inbound Leads'!A:L,12,FALSE)),""))</f>
        <v/>
      </c>
      <c r="E431" s="388"/>
      <c r="F431" s="389"/>
      <c r="G431" s="387"/>
      <c r="H431" s="387"/>
      <c r="I431" s="387"/>
      <c r="J431" s="387"/>
      <c r="K431" s="387"/>
      <c r="L431" s="387"/>
      <c r="M431" s="388"/>
      <c r="N431" s="388"/>
      <c r="O431" s="390"/>
      <c r="P431" s="391"/>
      <c r="Q431" s="389"/>
      <c r="R431" s="390"/>
      <c r="S431" s="390"/>
      <c r="T431" s="391"/>
      <c r="U431" s="392"/>
      <c r="V431" s="391"/>
      <c r="W431" s="391"/>
      <c r="X431" s="388"/>
      <c r="Y431" s="391"/>
      <c r="Z431" s="393"/>
      <c r="AA431" s="355" t="str">
        <f t="shared" si="1"/>
        <v/>
      </c>
      <c r="AB431" s="391"/>
      <c r="AC431" s="394" t="str">
        <f t="shared" si="2"/>
        <v/>
      </c>
      <c r="AD431" s="389"/>
      <c r="AE431" s="399"/>
      <c r="AF431" s="395"/>
      <c r="AG431" s="396" t="str">
        <f t="shared" si="3"/>
        <v/>
      </c>
      <c r="AH431" s="396" t="str">
        <f t="shared" si="4"/>
        <v/>
      </c>
      <c r="AI431" s="388"/>
      <c r="AJ431" s="388"/>
      <c r="AK431" s="397"/>
    </row>
    <row r="432">
      <c r="A432" s="398"/>
      <c r="B432" s="386"/>
      <c r="C432" s="387" t="str">
        <f>IF(A432="","",IFERROR(IF(VLOOKUP(A432,'1. Inbound Leads'!A:G,7,FALSE)=0,"",VLOOKUP(A432,'1. Inbound Leads'!A:G,7,FALSE)),""))</f>
        <v/>
      </c>
      <c r="D432" s="387" t="str">
        <f>IF(A432="","",IFERROR(IF(VLOOKUP(A432,'1. Inbound Leads'!A:L,12,FALSE)=0,"",VLOOKUP(A432,'1. Inbound Leads'!A:L,12,FALSE)),""))</f>
        <v/>
      </c>
      <c r="E432" s="388"/>
      <c r="F432" s="389"/>
      <c r="G432" s="387"/>
      <c r="H432" s="387"/>
      <c r="I432" s="387"/>
      <c r="J432" s="387"/>
      <c r="K432" s="387"/>
      <c r="L432" s="387"/>
      <c r="M432" s="388"/>
      <c r="N432" s="388"/>
      <c r="O432" s="390"/>
      <c r="P432" s="391"/>
      <c r="Q432" s="389"/>
      <c r="R432" s="390"/>
      <c r="S432" s="390"/>
      <c r="T432" s="391"/>
      <c r="U432" s="392"/>
      <c r="V432" s="391"/>
      <c r="W432" s="391"/>
      <c r="X432" s="388"/>
      <c r="Y432" s="391"/>
      <c r="Z432" s="393"/>
      <c r="AA432" s="355" t="str">
        <f t="shared" si="1"/>
        <v/>
      </c>
      <c r="AB432" s="391"/>
      <c r="AC432" s="394" t="str">
        <f t="shared" si="2"/>
        <v/>
      </c>
      <c r="AD432" s="389"/>
      <c r="AE432" s="399"/>
      <c r="AF432" s="395"/>
      <c r="AG432" s="396" t="str">
        <f t="shared" si="3"/>
        <v/>
      </c>
      <c r="AH432" s="396" t="str">
        <f t="shared" si="4"/>
        <v/>
      </c>
      <c r="AI432" s="388"/>
      <c r="AJ432" s="388"/>
      <c r="AK432" s="397"/>
    </row>
    <row r="433">
      <c r="A433" s="398"/>
      <c r="B433" s="386"/>
      <c r="C433" s="387" t="str">
        <f>IF(A433="","",IFERROR(IF(VLOOKUP(A433,'1. Inbound Leads'!A:G,7,FALSE)=0,"",VLOOKUP(A433,'1. Inbound Leads'!A:G,7,FALSE)),""))</f>
        <v/>
      </c>
      <c r="D433" s="387" t="str">
        <f>IF(A433="","",IFERROR(IF(VLOOKUP(A433,'1. Inbound Leads'!A:L,12,FALSE)=0,"",VLOOKUP(A433,'1. Inbound Leads'!A:L,12,FALSE)),""))</f>
        <v/>
      </c>
      <c r="E433" s="388"/>
      <c r="F433" s="389"/>
      <c r="G433" s="387"/>
      <c r="H433" s="387"/>
      <c r="I433" s="387"/>
      <c r="J433" s="387"/>
      <c r="K433" s="387"/>
      <c r="L433" s="387"/>
      <c r="M433" s="388"/>
      <c r="N433" s="388"/>
      <c r="O433" s="390"/>
      <c r="P433" s="391"/>
      <c r="Q433" s="389"/>
      <c r="R433" s="390"/>
      <c r="S433" s="390"/>
      <c r="T433" s="391"/>
      <c r="U433" s="392"/>
      <c r="V433" s="391"/>
      <c r="W433" s="391"/>
      <c r="X433" s="388"/>
      <c r="Y433" s="391"/>
      <c r="Z433" s="393"/>
      <c r="AA433" s="355" t="str">
        <f t="shared" si="1"/>
        <v/>
      </c>
      <c r="AB433" s="391"/>
      <c r="AC433" s="394" t="str">
        <f t="shared" si="2"/>
        <v/>
      </c>
      <c r="AD433" s="389"/>
      <c r="AE433" s="399"/>
      <c r="AF433" s="395"/>
      <c r="AG433" s="396" t="str">
        <f t="shared" si="3"/>
        <v/>
      </c>
      <c r="AH433" s="396" t="str">
        <f t="shared" si="4"/>
        <v/>
      </c>
      <c r="AI433" s="388"/>
      <c r="AJ433" s="388"/>
      <c r="AK433" s="397"/>
    </row>
    <row r="434">
      <c r="A434" s="398"/>
      <c r="B434" s="386"/>
      <c r="C434" s="387" t="str">
        <f>IF(A434="","",IFERROR(IF(VLOOKUP(A434,'1. Inbound Leads'!A:G,7,FALSE)=0,"",VLOOKUP(A434,'1. Inbound Leads'!A:G,7,FALSE)),""))</f>
        <v/>
      </c>
      <c r="D434" s="387" t="str">
        <f>IF(A434="","",IFERROR(IF(VLOOKUP(A434,'1. Inbound Leads'!A:L,12,FALSE)=0,"",VLOOKUP(A434,'1. Inbound Leads'!A:L,12,FALSE)),""))</f>
        <v/>
      </c>
      <c r="E434" s="388"/>
      <c r="F434" s="389"/>
      <c r="G434" s="387"/>
      <c r="H434" s="387"/>
      <c r="I434" s="387"/>
      <c r="J434" s="387"/>
      <c r="K434" s="387"/>
      <c r="L434" s="387"/>
      <c r="M434" s="388"/>
      <c r="N434" s="388"/>
      <c r="O434" s="390"/>
      <c r="P434" s="391"/>
      <c r="Q434" s="389"/>
      <c r="R434" s="390"/>
      <c r="S434" s="390"/>
      <c r="T434" s="391"/>
      <c r="U434" s="392"/>
      <c r="V434" s="391"/>
      <c r="W434" s="391"/>
      <c r="X434" s="388"/>
      <c r="Y434" s="391"/>
      <c r="Z434" s="393"/>
      <c r="AA434" s="355" t="str">
        <f t="shared" si="1"/>
        <v/>
      </c>
      <c r="AB434" s="391"/>
      <c r="AC434" s="394" t="str">
        <f t="shared" si="2"/>
        <v/>
      </c>
      <c r="AD434" s="389"/>
      <c r="AE434" s="399"/>
      <c r="AF434" s="395"/>
      <c r="AG434" s="396" t="str">
        <f t="shared" si="3"/>
        <v/>
      </c>
      <c r="AH434" s="396" t="str">
        <f t="shared" si="4"/>
        <v/>
      </c>
      <c r="AI434" s="388"/>
      <c r="AJ434" s="388"/>
      <c r="AK434" s="397"/>
    </row>
    <row r="435">
      <c r="A435" s="398"/>
      <c r="B435" s="386"/>
      <c r="C435" s="387" t="str">
        <f>IF(A435="","",IFERROR(IF(VLOOKUP(A435,'1. Inbound Leads'!A:G,7,FALSE)=0,"",VLOOKUP(A435,'1. Inbound Leads'!A:G,7,FALSE)),""))</f>
        <v/>
      </c>
      <c r="D435" s="387" t="str">
        <f>IF(A435="","",IFERROR(IF(VLOOKUP(A435,'1. Inbound Leads'!A:L,12,FALSE)=0,"",VLOOKUP(A435,'1. Inbound Leads'!A:L,12,FALSE)),""))</f>
        <v/>
      </c>
      <c r="E435" s="388"/>
      <c r="F435" s="389"/>
      <c r="G435" s="387"/>
      <c r="H435" s="387"/>
      <c r="I435" s="387"/>
      <c r="J435" s="387"/>
      <c r="K435" s="387"/>
      <c r="L435" s="387"/>
      <c r="M435" s="388"/>
      <c r="N435" s="388"/>
      <c r="O435" s="390"/>
      <c r="P435" s="391"/>
      <c r="Q435" s="389"/>
      <c r="R435" s="390"/>
      <c r="S435" s="390"/>
      <c r="T435" s="391"/>
      <c r="U435" s="392"/>
      <c r="V435" s="391"/>
      <c r="W435" s="391"/>
      <c r="X435" s="388"/>
      <c r="Y435" s="391"/>
      <c r="Z435" s="393"/>
      <c r="AA435" s="355" t="str">
        <f t="shared" si="1"/>
        <v/>
      </c>
      <c r="AB435" s="391"/>
      <c r="AC435" s="394" t="str">
        <f t="shared" si="2"/>
        <v/>
      </c>
      <c r="AD435" s="389"/>
      <c r="AE435" s="399"/>
      <c r="AF435" s="395"/>
      <c r="AG435" s="396" t="str">
        <f t="shared" si="3"/>
        <v/>
      </c>
      <c r="AH435" s="396" t="str">
        <f t="shared" si="4"/>
        <v/>
      </c>
      <c r="AI435" s="388"/>
      <c r="AJ435" s="388"/>
      <c r="AK435" s="397"/>
    </row>
    <row r="436">
      <c r="A436" s="398"/>
      <c r="B436" s="386"/>
      <c r="C436" s="387" t="str">
        <f>IF(A436="","",IFERROR(IF(VLOOKUP(A436,'1. Inbound Leads'!A:G,7,FALSE)=0,"",VLOOKUP(A436,'1. Inbound Leads'!A:G,7,FALSE)),""))</f>
        <v/>
      </c>
      <c r="D436" s="387" t="str">
        <f>IF(A436="","",IFERROR(IF(VLOOKUP(A436,'1. Inbound Leads'!A:L,12,FALSE)=0,"",VLOOKUP(A436,'1. Inbound Leads'!A:L,12,FALSE)),""))</f>
        <v/>
      </c>
      <c r="E436" s="388"/>
      <c r="F436" s="389"/>
      <c r="G436" s="387"/>
      <c r="H436" s="387"/>
      <c r="I436" s="387"/>
      <c r="J436" s="387"/>
      <c r="K436" s="387"/>
      <c r="L436" s="387"/>
      <c r="M436" s="388"/>
      <c r="N436" s="388"/>
      <c r="O436" s="390"/>
      <c r="P436" s="391"/>
      <c r="Q436" s="389"/>
      <c r="R436" s="390"/>
      <c r="S436" s="390"/>
      <c r="T436" s="391"/>
      <c r="U436" s="392"/>
      <c r="V436" s="391"/>
      <c r="W436" s="391"/>
      <c r="X436" s="388"/>
      <c r="Y436" s="391"/>
      <c r="Z436" s="393"/>
      <c r="AA436" s="355" t="str">
        <f t="shared" si="1"/>
        <v/>
      </c>
      <c r="AB436" s="391"/>
      <c r="AC436" s="394" t="str">
        <f t="shared" si="2"/>
        <v/>
      </c>
      <c r="AD436" s="389"/>
      <c r="AE436" s="399"/>
      <c r="AF436" s="395"/>
      <c r="AG436" s="396" t="str">
        <f t="shared" si="3"/>
        <v/>
      </c>
      <c r="AH436" s="396" t="str">
        <f t="shared" si="4"/>
        <v/>
      </c>
      <c r="AI436" s="388"/>
      <c r="AJ436" s="388"/>
      <c r="AK436" s="397"/>
    </row>
    <row r="437">
      <c r="A437" s="398"/>
      <c r="B437" s="386"/>
      <c r="C437" s="387" t="str">
        <f>IF(A437="","",IFERROR(IF(VLOOKUP(A437,'1. Inbound Leads'!A:G,7,FALSE)=0,"",VLOOKUP(A437,'1. Inbound Leads'!A:G,7,FALSE)),""))</f>
        <v/>
      </c>
      <c r="D437" s="387" t="str">
        <f>IF(A437="","",IFERROR(IF(VLOOKUP(A437,'1. Inbound Leads'!A:L,12,FALSE)=0,"",VLOOKUP(A437,'1. Inbound Leads'!A:L,12,FALSE)),""))</f>
        <v/>
      </c>
      <c r="E437" s="388"/>
      <c r="F437" s="389"/>
      <c r="G437" s="387"/>
      <c r="H437" s="387"/>
      <c r="I437" s="387"/>
      <c r="J437" s="387"/>
      <c r="K437" s="387"/>
      <c r="L437" s="387"/>
      <c r="M437" s="388"/>
      <c r="N437" s="388"/>
      <c r="O437" s="390"/>
      <c r="P437" s="391"/>
      <c r="Q437" s="389"/>
      <c r="R437" s="390"/>
      <c r="S437" s="390"/>
      <c r="T437" s="391"/>
      <c r="U437" s="392"/>
      <c r="V437" s="391"/>
      <c r="W437" s="391"/>
      <c r="X437" s="388"/>
      <c r="Y437" s="391"/>
      <c r="Z437" s="393"/>
      <c r="AA437" s="355" t="str">
        <f t="shared" si="1"/>
        <v/>
      </c>
      <c r="AB437" s="391"/>
      <c r="AC437" s="394" t="str">
        <f t="shared" si="2"/>
        <v/>
      </c>
      <c r="AD437" s="389"/>
      <c r="AE437" s="399"/>
      <c r="AF437" s="395"/>
      <c r="AG437" s="396" t="str">
        <f t="shared" si="3"/>
        <v/>
      </c>
      <c r="AH437" s="396" t="str">
        <f t="shared" si="4"/>
        <v/>
      </c>
      <c r="AI437" s="388"/>
      <c r="AJ437" s="388"/>
      <c r="AK437" s="397"/>
    </row>
    <row r="438">
      <c r="A438" s="398"/>
      <c r="B438" s="386"/>
      <c r="C438" s="387" t="str">
        <f>IF(A438="","",IFERROR(IF(VLOOKUP(A438,'1. Inbound Leads'!A:G,7,FALSE)=0,"",VLOOKUP(A438,'1. Inbound Leads'!A:G,7,FALSE)),""))</f>
        <v/>
      </c>
      <c r="D438" s="387" t="str">
        <f>IF(A438="","",IFERROR(IF(VLOOKUP(A438,'1. Inbound Leads'!A:L,12,FALSE)=0,"",VLOOKUP(A438,'1. Inbound Leads'!A:L,12,FALSE)),""))</f>
        <v/>
      </c>
      <c r="E438" s="388"/>
      <c r="F438" s="389"/>
      <c r="G438" s="387"/>
      <c r="H438" s="387"/>
      <c r="I438" s="387"/>
      <c r="J438" s="387"/>
      <c r="K438" s="387"/>
      <c r="L438" s="387"/>
      <c r="M438" s="388"/>
      <c r="N438" s="388"/>
      <c r="O438" s="390"/>
      <c r="P438" s="391"/>
      <c r="Q438" s="389"/>
      <c r="R438" s="390"/>
      <c r="S438" s="390"/>
      <c r="T438" s="391"/>
      <c r="U438" s="392"/>
      <c r="V438" s="391"/>
      <c r="W438" s="391"/>
      <c r="X438" s="388"/>
      <c r="Y438" s="391"/>
      <c r="Z438" s="393"/>
      <c r="AA438" s="355" t="str">
        <f t="shared" si="1"/>
        <v/>
      </c>
      <c r="AB438" s="391"/>
      <c r="AC438" s="394" t="str">
        <f t="shared" si="2"/>
        <v/>
      </c>
      <c r="AD438" s="389"/>
      <c r="AE438" s="399"/>
      <c r="AF438" s="395"/>
      <c r="AG438" s="396" t="str">
        <f t="shared" si="3"/>
        <v/>
      </c>
      <c r="AH438" s="396" t="str">
        <f t="shared" si="4"/>
        <v/>
      </c>
      <c r="AI438" s="388"/>
      <c r="AJ438" s="388"/>
      <c r="AK438" s="397"/>
    </row>
    <row r="439">
      <c r="A439" s="398"/>
      <c r="B439" s="386"/>
      <c r="C439" s="387" t="str">
        <f>IF(A439="","",IFERROR(IF(VLOOKUP(A439,'1. Inbound Leads'!A:G,7,FALSE)=0,"",VLOOKUP(A439,'1. Inbound Leads'!A:G,7,FALSE)),""))</f>
        <v/>
      </c>
      <c r="D439" s="387" t="str">
        <f>IF(A439="","",IFERROR(IF(VLOOKUP(A439,'1. Inbound Leads'!A:L,12,FALSE)=0,"",VLOOKUP(A439,'1. Inbound Leads'!A:L,12,FALSE)),""))</f>
        <v/>
      </c>
      <c r="E439" s="388"/>
      <c r="F439" s="389"/>
      <c r="G439" s="387"/>
      <c r="H439" s="387"/>
      <c r="I439" s="387"/>
      <c r="J439" s="387"/>
      <c r="K439" s="387"/>
      <c r="L439" s="387"/>
      <c r="M439" s="388"/>
      <c r="N439" s="388"/>
      <c r="O439" s="390"/>
      <c r="P439" s="391"/>
      <c r="Q439" s="389"/>
      <c r="R439" s="390"/>
      <c r="S439" s="390"/>
      <c r="T439" s="391"/>
      <c r="U439" s="392"/>
      <c r="V439" s="391"/>
      <c r="W439" s="391"/>
      <c r="X439" s="388"/>
      <c r="Y439" s="391"/>
      <c r="Z439" s="393"/>
      <c r="AA439" s="355" t="str">
        <f t="shared" si="1"/>
        <v/>
      </c>
      <c r="AB439" s="391"/>
      <c r="AC439" s="394" t="str">
        <f t="shared" si="2"/>
        <v/>
      </c>
      <c r="AD439" s="389"/>
      <c r="AE439" s="399"/>
      <c r="AF439" s="395"/>
      <c r="AG439" s="396" t="str">
        <f t="shared" si="3"/>
        <v/>
      </c>
      <c r="AH439" s="396" t="str">
        <f t="shared" si="4"/>
        <v/>
      </c>
      <c r="AI439" s="388"/>
      <c r="AJ439" s="388"/>
      <c r="AK439" s="397"/>
    </row>
    <row r="440">
      <c r="A440" s="398"/>
      <c r="B440" s="386"/>
      <c r="C440" s="387" t="str">
        <f>IF(A440="","",IFERROR(IF(VLOOKUP(A440,'1. Inbound Leads'!A:G,7,FALSE)=0,"",VLOOKUP(A440,'1. Inbound Leads'!A:G,7,FALSE)),""))</f>
        <v/>
      </c>
      <c r="D440" s="387" t="str">
        <f>IF(A440="","",IFERROR(IF(VLOOKUP(A440,'1. Inbound Leads'!A:L,12,FALSE)=0,"",VLOOKUP(A440,'1. Inbound Leads'!A:L,12,FALSE)),""))</f>
        <v/>
      </c>
      <c r="E440" s="388"/>
      <c r="F440" s="389"/>
      <c r="G440" s="387"/>
      <c r="H440" s="387"/>
      <c r="I440" s="387"/>
      <c r="J440" s="387"/>
      <c r="K440" s="387"/>
      <c r="L440" s="387"/>
      <c r="M440" s="388"/>
      <c r="N440" s="388"/>
      <c r="O440" s="390"/>
      <c r="P440" s="391"/>
      <c r="Q440" s="389"/>
      <c r="R440" s="390"/>
      <c r="S440" s="390"/>
      <c r="T440" s="391"/>
      <c r="U440" s="392"/>
      <c r="V440" s="391"/>
      <c r="W440" s="391"/>
      <c r="X440" s="388"/>
      <c r="Y440" s="391"/>
      <c r="Z440" s="393"/>
      <c r="AA440" s="355" t="str">
        <f t="shared" si="1"/>
        <v/>
      </c>
      <c r="AB440" s="391"/>
      <c r="AC440" s="394" t="str">
        <f t="shared" si="2"/>
        <v/>
      </c>
      <c r="AD440" s="389"/>
      <c r="AE440" s="399"/>
      <c r="AF440" s="395"/>
      <c r="AG440" s="396" t="str">
        <f t="shared" si="3"/>
        <v/>
      </c>
      <c r="AH440" s="396" t="str">
        <f t="shared" si="4"/>
        <v/>
      </c>
      <c r="AI440" s="388"/>
      <c r="AJ440" s="388"/>
      <c r="AK440" s="397"/>
    </row>
    <row r="441">
      <c r="A441" s="398"/>
      <c r="B441" s="386"/>
      <c r="C441" s="387" t="str">
        <f>IF(A441="","",IFERROR(IF(VLOOKUP(A441,'1. Inbound Leads'!A:G,7,FALSE)=0,"",VLOOKUP(A441,'1. Inbound Leads'!A:G,7,FALSE)),""))</f>
        <v/>
      </c>
      <c r="D441" s="387" t="str">
        <f>IF(A441="","",IFERROR(IF(VLOOKUP(A441,'1. Inbound Leads'!A:L,12,FALSE)=0,"",VLOOKUP(A441,'1. Inbound Leads'!A:L,12,FALSE)),""))</f>
        <v/>
      </c>
      <c r="E441" s="388"/>
      <c r="F441" s="389"/>
      <c r="G441" s="387"/>
      <c r="H441" s="387"/>
      <c r="I441" s="387"/>
      <c r="J441" s="387"/>
      <c r="K441" s="387"/>
      <c r="L441" s="387"/>
      <c r="M441" s="388"/>
      <c r="N441" s="388"/>
      <c r="O441" s="390"/>
      <c r="P441" s="391"/>
      <c r="Q441" s="389"/>
      <c r="R441" s="390"/>
      <c r="S441" s="390"/>
      <c r="T441" s="391"/>
      <c r="U441" s="392"/>
      <c r="V441" s="391"/>
      <c r="W441" s="391"/>
      <c r="X441" s="388"/>
      <c r="Y441" s="391"/>
      <c r="Z441" s="393"/>
      <c r="AA441" s="355" t="str">
        <f t="shared" si="1"/>
        <v/>
      </c>
      <c r="AB441" s="391"/>
      <c r="AC441" s="394" t="str">
        <f t="shared" si="2"/>
        <v/>
      </c>
      <c r="AD441" s="389"/>
      <c r="AE441" s="399"/>
      <c r="AF441" s="395"/>
      <c r="AG441" s="396" t="str">
        <f t="shared" si="3"/>
        <v/>
      </c>
      <c r="AH441" s="396" t="str">
        <f t="shared" si="4"/>
        <v/>
      </c>
      <c r="AI441" s="388"/>
      <c r="AJ441" s="388"/>
      <c r="AK441" s="397"/>
    </row>
    <row r="442">
      <c r="A442" s="398"/>
      <c r="B442" s="386"/>
      <c r="C442" s="387" t="str">
        <f>IF(A442="","",IFERROR(IF(VLOOKUP(A442,'1. Inbound Leads'!A:G,7,FALSE)=0,"",VLOOKUP(A442,'1. Inbound Leads'!A:G,7,FALSE)),""))</f>
        <v/>
      </c>
      <c r="D442" s="387" t="str">
        <f>IF(A442="","",IFERROR(IF(VLOOKUP(A442,'1. Inbound Leads'!A:L,12,FALSE)=0,"",VLOOKUP(A442,'1. Inbound Leads'!A:L,12,FALSE)),""))</f>
        <v/>
      </c>
      <c r="E442" s="388"/>
      <c r="F442" s="389"/>
      <c r="G442" s="387"/>
      <c r="H442" s="387"/>
      <c r="I442" s="387"/>
      <c r="J442" s="387"/>
      <c r="K442" s="387"/>
      <c r="L442" s="387"/>
      <c r="M442" s="388"/>
      <c r="N442" s="388"/>
      <c r="O442" s="390"/>
      <c r="P442" s="391"/>
      <c r="Q442" s="389"/>
      <c r="R442" s="390"/>
      <c r="S442" s="390"/>
      <c r="T442" s="391"/>
      <c r="U442" s="392"/>
      <c r="V442" s="391"/>
      <c r="W442" s="391"/>
      <c r="X442" s="388"/>
      <c r="Y442" s="391"/>
      <c r="Z442" s="393"/>
      <c r="AA442" s="355" t="str">
        <f t="shared" si="1"/>
        <v/>
      </c>
      <c r="AB442" s="391"/>
      <c r="AC442" s="394" t="str">
        <f t="shared" si="2"/>
        <v/>
      </c>
      <c r="AD442" s="389"/>
      <c r="AE442" s="399"/>
      <c r="AF442" s="395"/>
      <c r="AG442" s="396" t="str">
        <f t="shared" si="3"/>
        <v/>
      </c>
      <c r="AH442" s="396" t="str">
        <f t="shared" si="4"/>
        <v/>
      </c>
      <c r="AI442" s="388"/>
      <c r="AJ442" s="388"/>
      <c r="AK442" s="397"/>
    </row>
    <row r="443">
      <c r="A443" s="398"/>
      <c r="B443" s="386"/>
      <c r="C443" s="387" t="str">
        <f>IF(A443="","",IFERROR(IF(VLOOKUP(A443,'1. Inbound Leads'!A:G,7,FALSE)=0,"",VLOOKUP(A443,'1. Inbound Leads'!A:G,7,FALSE)),""))</f>
        <v/>
      </c>
      <c r="D443" s="387" t="str">
        <f>IF(A443="","",IFERROR(IF(VLOOKUP(A443,'1. Inbound Leads'!A:L,12,FALSE)=0,"",VLOOKUP(A443,'1. Inbound Leads'!A:L,12,FALSE)),""))</f>
        <v/>
      </c>
      <c r="E443" s="388"/>
      <c r="F443" s="389"/>
      <c r="G443" s="387"/>
      <c r="H443" s="387"/>
      <c r="I443" s="387"/>
      <c r="J443" s="387"/>
      <c r="K443" s="387"/>
      <c r="L443" s="387"/>
      <c r="M443" s="388"/>
      <c r="N443" s="388"/>
      <c r="O443" s="390"/>
      <c r="P443" s="391"/>
      <c r="Q443" s="389"/>
      <c r="R443" s="390"/>
      <c r="S443" s="390"/>
      <c r="T443" s="391"/>
      <c r="U443" s="392"/>
      <c r="V443" s="391"/>
      <c r="W443" s="391"/>
      <c r="X443" s="388"/>
      <c r="Y443" s="391"/>
      <c r="Z443" s="393"/>
      <c r="AA443" s="355" t="str">
        <f t="shared" si="1"/>
        <v/>
      </c>
      <c r="AB443" s="391"/>
      <c r="AC443" s="394" t="str">
        <f t="shared" si="2"/>
        <v/>
      </c>
      <c r="AD443" s="389"/>
      <c r="AE443" s="399"/>
      <c r="AF443" s="395"/>
      <c r="AG443" s="396" t="str">
        <f t="shared" si="3"/>
        <v/>
      </c>
      <c r="AH443" s="396" t="str">
        <f t="shared" si="4"/>
        <v/>
      </c>
      <c r="AI443" s="388"/>
      <c r="AJ443" s="388"/>
      <c r="AK443" s="397"/>
    </row>
    <row r="444">
      <c r="A444" s="398"/>
      <c r="B444" s="386"/>
      <c r="C444" s="387" t="str">
        <f>IF(A444="","",IFERROR(IF(VLOOKUP(A444,'1. Inbound Leads'!A:G,7,FALSE)=0,"",VLOOKUP(A444,'1. Inbound Leads'!A:G,7,FALSE)),""))</f>
        <v/>
      </c>
      <c r="D444" s="387" t="str">
        <f>IF(A444="","",IFERROR(IF(VLOOKUP(A444,'1. Inbound Leads'!A:L,12,FALSE)=0,"",VLOOKUP(A444,'1. Inbound Leads'!A:L,12,FALSE)),""))</f>
        <v/>
      </c>
      <c r="E444" s="388"/>
      <c r="F444" s="389"/>
      <c r="G444" s="387"/>
      <c r="H444" s="387"/>
      <c r="I444" s="387"/>
      <c r="J444" s="387"/>
      <c r="K444" s="387"/>
      <c r="L444" s="387"/>
      <c r="M444" s="388"/>
      <c r="N444" s="388"/>
      <c r="O444" s="390"/>
      <c r="P444" s="391"/>
      <c r="Q444" s="389"/>
      <c r="R444" s="390"/>
      <c r="S444" s="390"/>
      <c r="T444" s="391"/>
      <c r="U444" s="392"/>
      <c r="V444" s="391"/>
      <c r="W444" s="391"/>
      <c r="X444" s="388"/>
      <c r="Y444" s="391"/>
      <c r="Z444" s="393"/>
      <c r="AA444" s="355" t="str">
        <f t="shared" si="1"/>
        <v/>
      </c>
      <c r="AB444" s="391"/>
      <c r="AC444" s="394" t="str">
        <f t="shared" si="2"/>
        <v/>
      </c>
      <c r="AD444" s="389"/>
      <c r="AE444" s="399"/>
      <c r="AF444" s="395"/>
      <c r="AG444" s="396" t="str">
        <f t="shared" si="3"/>
        <v/>
      </c>
      <c r="AH444" s="396" t="str">
        <f t="shared" si="4"/>
        <v/>
      </c>
      <c r="AI444" s="388"/>
      <c r="AJ444" s="388"/>
      <c r="AK444" s="397"/>
    </row>
    <row r="445">
      <c r="A445" s="398"/>
      <c r="B445" s="386"/>
      <c r="C445" s="387" t="str">
        <f>IF(A445="","",IFERROR(IF(VLOOKUP(A445,'1. Inbound Leads'!A:G,7,FALSE)=0,"",VLOOKUP(A445,'1. Inbound Leads'!A:G,7,FALSE)),""))</f>
        <v/>
      </c>
      <c r="D445" s="387" t="str">
        <f>IF(A445="","",IFERROR(IF(VLOOKUP(A445,'1. Inbound Leads'!A:L,12,FALSE)=0,"",VLOOKUP(A445,'1. Inbound Leads'!A:L,12,FALSE)),""))</f>
        <v/>
      </c>
      <c r="E445" s="388"/>
      <c r="F445" s="389"/>
      <c r="G445" s="387"/>
      <c r="H445" s="387"/>
      <c r="I445" s="387"/>
      <c r="J445" s="387"/>
      <c r="K445" s="387"/>
      <c r="L445" s="387"/>
      <c r="M445" s="388"/>
      <c r="N445" s="388"/>
      <c r="O445" s="390"/>
      <c r="P445" s="391"/>
      <c r="Q445" s="389"/>
      <c r="R445" s="390"/>
      <c r="S445" s="390"/>
      <c r="T445" s="391"/>
      <c r="U445" s="392"/>
      <c r="V445" s="391"/>
      <c r="W445" s="391"/>
      <c r="X445" s="388"/>
      <c r="Y445" s="391"/>
      <c r="Z445" s="393"/>
      <c r="AA445" s="355" t="str">
        <f t="shared" si="1"/>
        <v/>
      </c>
      <c r="AB445" s="391"/>
      <c r="AC445" s="394" t="str">
        <f t="shared" si="2"/>
        <v/>
      </c>
      <c r="AD445" s="389"/>
      <c r="AE445" s="399"/>
      <c r="AF445" s="395"/>
      <c r="AG445" s="396" t="str">
        <f t="shared" si="3"/>
        <v/>
      </c>
      <c r="AH445" s="396" t="str">
        <f t="shared" si="4"/>
        <v/>
      </c>
      <c r="AI445" s="388"/>
      <c r="AJ445" s="388"/>
      <c r="AK445" s="397"/>
    </row>
    <row r="446">
      <c r="A446" s="398"/>
      <c r="B446" s="386"/>
      <c r="C446" s="387" t="str">
        <f>IF(A446="","",IFERROR(IF(VLOOKUP(A446,'1. Inbound Leads'!A:G,7,FALSE)=0,"",VLOOKUP(A446,'1. Inbound Leads'!A:G,7,FALSE)),""))</f>
        <v/>
      </c>
      <c r="D446" s="387" t="str">
        <f>IF(A446="","",IFERROR(IF(VLOOKUP(A446,'1. Inbound Leads'!A:L,12,FALSE)=0,"",VLOOKUP(A446,'1. Inbound Leads'!A:L,12,FALSE)),""))</f>
        <v/>
      </c>
      <c r="E446" s="388"/>
      <c r="F446" s="389"/>
      <c r="G446" s="387"/>
      <c r="H446" s="387"/>
      <c r="I446" s="387"/>
      <c r="J446" s="387"/>
      <c r="K446" s="387"/>
      <c r="L446" s="387"/>
      <c r="M446" s="388"/>
      <c r="N446" s="388"/>
      <c r="O446" s="390"/>
      <c r="P446" s="391"/>
      <c r="Q446" s="389"/>
      <c r="R446" s="390"/>
      <c r="S446" s="390"/>
      <c r="T446" s="391"/>
      <c r="U446" s="392"/>
      <c r="V446" s="391"/>
      <c r="W446" s="391"/>
      <c r="X446" s="388"/>
      <c r="Y446" s="391"/>
      <c r="Z446" s="393"/>
      <c r="AA446" s="355" t="str">
        <f t="shared" si="1"/>
        <v/>
      </c>
      <c r="AB446" s="391"/>
      <c r="AC446" s="394" t="str">
        <f t="shared" si="2"/>
        <v/>
      </c>
      <c r="AD446" s="389"/>
      <c r="AE446" s="399"/>
      <c r="AF446" s="395"/>
      <c r="AG446" s="396" t="str">
        <f t="shared" si="3"/>
        <v/>
      </c>
      <c r="AH446" s="396" t="str">
        <f t="shared" si="4"/>
        <v/>
      </c>
      <c r="AI446" s="388"/>
      <c r="AJ446" s="388"/>
      <c r="AK446" s="397"/>
    </row>
    <row r="447">
      <c r="A447" s="398"/>
      <c r="B447" s="386"/>
      <c r="C447" s="387" t="str">
        <f>IF(A447="","",IFERROR(IF(VLOOKUP(A447,'1. Inbound Leads'!A:G,7,FALSE)=0,"",VLOOKUP(A447,'1. Inbound Leads'!A:G,7,FALSE)),""))</f>
        <v/>
      </c>
      <c r="D447" s="387" t="str">
        <f>IF(A447="","",IFERROR(IF(VLOOKUP(A447,'1. Inbound Leads'!A:L,12,FALSE)=0,"",VLOOKUP(A447,'1. Inbound Leads'!A:L,12,FALSE)),""))</f>
        <v/>
      </c>
      <c r="E447" s="388"/>
      <c r="F447" s="389"/>
      <c r="G447" s="387"/>
      <c r="H447" s="387"/>
      <c r="I447" s="387"/>
      <c r="J447" s="387"/>
      <c r="K447" s="387"/>
      <c r="L447" s="387"/>
      <c r="M447" s="388"/>
      <c r="N447" s="388"/>
      <c r="O447" s="390"/>
      <c r="P447" s="391"/>
      <c r="Q447" s="389"/>
      <c r="R447" s="390"/>
      <c r="S447" s="390"/>
      <c r="T447" s="391"/>
      <c r="U447" s="392"/>
      <c r="V447" s="391"/>
      <c r="W447" s="391"/>
      <c r="X447" s="388"/>
      <c r="Y447" s="391"/>
      <c r="Z447" s="393"/>
      <c r="AA447" s="355" t="str">
        <f t="shared" si="1"/>
        <v/>
      </c>
      <c r="AB447" s="391"/>
      <c r="AC447" s="394" t="str">
        <f t="shared" si="2"/>
        <v/>
      </c>
      <c r="AD447" s="389"/>
      <c r="AE447" s="399"/>
      <c r="AF447" s="395"/>
      <c r="AG447" s="396" t="str">
        <f t="shared" si="3"/>
        <v/>
      </c>
      <c r="AH447" s="396" t="str">
        <f t="shared" si="4"/>
        <v/>
      </c>
      <c r="AI447" s="388"/>
      <c r="AJ447" s="388"/>
      <c r="AK447" s="397"/>
    </row>
    <row r="448">
      <c r="A448" s="398"/>
      <c r="B448" s="386"/>
      <c r="C448" s="387" t="str">
        <f>IF(A448="","",IFERROR(IF(VLOOKUP(A448,'1. Inbound Leads'!A:G,7,FALSE)=0,"",VLOOKUP(A448,'1. Inbound Leads'!A:G,7,FALSE)),""))</f>
        <v/>
      </c>
      <c r="D448" s="387" t="str">
        <f>IF(A448="","",IFERROR(IF(VLOOKUP(A448,'1. Inbound Leads'!A:L,12,FALSE)=0,"",VLOOKUP(A448,'1. Inbound Leads'!A:L,12,FALSE)),""))</f>
        <v/>
      </c>
      <c r="E448" s="388"/>
      <c r="F448" s="389"/>
      <c r="G448" s="387"/>
      <c r="H448" s="387"/>
      <c r="I448" s="387"/>
      <c r="J448" s="387"/>
      <c r="K448" s="387"/>
      <c r="L448" s="387"/>
      <c r="M448" s="388"/>
      <c r="N448" s="388"/>
      <c r="O448" s="390"/>
      <c r="P448" s="391"/>
      <c r="Q448" s="389"/>
      <c r="R448" s="390"/>
      <c r="S448" s="390"/>
      <c r="T448" s="391"/>
      <c r="U448" s="392"/>
      <c r="V448" s="391"/>
      <c r="W448" s="391"/>
      <c r="X448" s="388"/>
      <c r="Y448" s="391"/>
      <c r="Z448" s="393"/>
      <c r="AA448" s="355" t="str">
        <f t="shared" si="1"/>
        <v/>
      </c>
      <c r="AB448" s="391"/>
      <c r="AC448" s="394" t="str">
        <f t="shared" si="2"/>
        <v/>
      </c>
      <c r="AD448" s="389"/>
      <c r="AE448" s="399"/>
      <c r="AF448" s="395"/>
      <c r="AG448" s="396" t="str">
        <f t="shared" si="3"/>
        <v/>
      </c>
      <c r="AH448" s="396" t="str">
        <f t="shared" si="4"/>
        <v/>
      </c>
      <c r="AI448" s="388"/>
      <c r="AJ448" s="388"/>
      <c r="AK448" s="397"/>
    </row>
    <row r="449">
      <c r="A449" s="398"/>
      <c r="B449" s="386"/>
      <c r="C449" s="387" t="str">
        <f>IF(A449="","",IFERROR(IF(VLOOKUP(A449,'1. Inbound Leads'!A:G,7,FALSE)=0,"",VLOOKUP(A449,'1. Inbound Leads'!A:G,7,FALSE)),""))</f>
        <v/>
      </c>
      <c r="D449" s="387" t="str">
        <f>IF(A449="","",IFERROR(IF(VLOOKUP(A449,'1. Inbound Leads'!A:L,12,FALSE)=0,"",VLOOKUP(A449,'1. Inbound Leads'!A:L,12,FALSE)),""))</f>
        <v/>
      </c>
      <c r="E449" s="388"/>
      <c r="F449" s="389"/>
      <c r="G449" s="387"/>
      <c r="H449" s="387"/>
      <c r="I449" s="387"/>
      <c r="J449" s="387"/>
      <c r="K449" s="387"/>
      <c r="L449" s="387"/>
      <c r="M449" s="388"/>
      <c r="N449" s="388"/>
      <c r="O449" s="390"/>
      <c r="P449" s="391"/>
      <c r="Q449" s="389"/>
      <c r="R449" s="390"/>
      <c r="S449" s="390"/>
      <c r="T449" s="391"/>
      <c r="U449" s="392"/>
      <c r="V449" s="391"/>
      <c r="W449" s="391"/>
      <c r="X449" s="388"/>
      <c r="Y449" s="391"/>
      <c r="Z449" s="393"/>
      <c r="AA449" s="355" t="str">
        <f t="shared" si="1"/>
        <v/>
      </c>
      <c r="AB449" s="391"/>
      <c r="AC449" s="394" t="str">
        <f t="shared" si="2"/>
        <v/>
      </c>
      <c r="AD449" s="389"/>
      <c r="AE449" s="399"/>
      <c r="AF449" s="395"/>
      <c r="AG449" s="396" t="str">
        <f t="shared" si="3"/>
        <v/>
      </c>
      <c r="AH449" s="396" t="str">
        <f t="shared" si="4"/>
        <v/>
      </c>
      <c r="AI449" s="388"/>
      <c r="AJ449" s="388"/>
      <c r="AK449" s="397"/>
    </row>
    <row r="450">
      <c r="A450" s="398"/>
      <c r="B450" s="386"/>
      <c r="C450" s="387" t="str">
        <f>IF(A450="","",IFERROR(IF(VLOOKUP(A450,'1. Inbound Leads'!A:G,7,FALSE)=0,"",VLOOKUP(A450,'1. Inbound Leads'!A:G,7,FALSE)),""))</f>
        <v/>
      </c>
      <c r="D450" s="387" t="str">
        <f>IF(A450="","",IFERROR(IF(VLOOKUP(A450,'1. Inbound Leads'!A:L,12,FALSE)=0,"",VLOOKUP(A450,'1. Inbound Leads'!A:L,12,FALSE)),""))</f>
        <v/>
      </c>
      <c r="E450" s="388"/>
      <c r="F450" s="389"/>
      <c r="G450" s="387"/>
      <c r="H450" s="387"/>
      <c r="I450" s="387"/>
      <c r="J450" s="387"/>
      <c r="K450" s="387"/>
      <c r="L450" s="387"/>
      <c r="M450" s="388"/>
      <c r="N450" s="388"/>
      <c r="O450" s="390"/>
      <c r="P450" s="391"/>
      <c r="Q450" s="389"/>
      <c r="R450" s="390"/>
      <c r="S450" s="390"/>
      <c r="T450" s="391"/>
      <c r="U450" s="392"/>
      <c r="V450" s="391"/>
      <c r="W450" s="391"/>
      <c r="X450" s="388"/>
      <c r="Y450" s="391"/>
      <c r="Z450" s="393"/>
      <c r="AA450" s="355" t="str">
        <f t="shared" si="1"/>
        <v/>
      </c>
      <c r="AB450" s="391"/>
      <c r="AC450" s="394" t="str">
        <f t="shared" si="2"/>
        <v/>
      </c>
      <c r="AD450" s="389"/>
      <c r="AE450" s="399"/>
      <c r="AF450" s="395"/>
      <c r="AG450" s="396" t="str">
        <f t="shared" si="3"/>
        <v/>
      </c>
      <c r="AH450" s="396" t="str">
        <f t="shared" si="4"/>
        <v/>
      </c>
      <c r="AI450" s="388"/>
      <c r="AJ450" s="388"/>
      <c r="AK450" s="397"/>
    </row>
    <row r="451">
      <c r="A451" s="398"/>
      <c r="B451" s="386"/>
      <c r="C451" s="387" t="str">
        <f>IF(A451="","",IFERROR(IF(VLOOKUP(A451,'1. Inbound Leads'!A:G,7,FALSE)=0,"",VLOOKUP(A451,'1. Inbound Leads'!A:G,7,FALSE)),""))</f>
        <v/>
      </c>
      <c r="D451" s="387" t="str">
        <f>IF(A451="","",IFERROR(IF(VLOOKUP(A451,'1. Inbound Leads'!A:L,12,FALSE)=0,"",VLOOKUP(A451,'1. Inbound Leads'!A:L,12,FALSE)),""))</f>
        <v/>
      </c>
      <c r="E451" s="388"/>
      <c r="F451" s="389"/>
      <c r="G451" s="387"/>
      <c r="H451" s="387"/>
      <c r="I451" s="387"/>
      <c r="J451" s="387"/>
      <c r="K451" s="387"/>
      <c r="L451" s="387"/>
      <c r="M451" s="388"/>
      <c r="N451" s="388"/>
      <c r="O451" s="390"/>
      <c r="P451" s="391"/>
      <c r="Q451" s="389"/>
      <c r="R451" s="390"/>
      <c r="S451" s="390"/>
      <c r="T451" s="391"/>
      <c r="U451" s="392"/>
      <c r="V451" s="391"/>
      <c r="W451" s="391"/>
      <c r="X451" s="388"/>
      <c r="Y451" s="391"/>
      <c r="Z451" s="393"/>
      <c r="AA451" s="355" t="str">
        <f t="shared" si="1"/>
        <v/>
      </c>
      <c r="AB451" s="391"/>
      <c r="AC451" s="394" t="str">
        <f t="shared" si="2"/>
        <v/>
      </c>
      <c r="AD451" s="389"/>
      <c r="AE451" s="399"/>
      <c r="AF451" s="395"/>
      <c r="AG451" s="396" t="str">
        <f t="shared" si="3"/>
        <v/>
      </c>
      <c r="AH451" s="396" t="str">
        <f t="shared" si="4"/>
        <v/>
      </c>
      <c r="AI451" s="388"/>
      <c r="AJ451" s="388"/>
      <c r="AK451" s="397"/>
    </row>
    <row r="452">
      <c r="A452" s="398"/>
      <c r="B452" s="386"/>
      <c r="C452" s="387" t="str">
        <f>IF(A452="","",IFERROR(IF(VLOOKUP(A452,'1. Inbound Leads'!A:G,7,FALSE)=0,"",VLOOKUP(A452,'1. Inbound Leads'!A:G,7,FALSE)),""))</f>
        <v/>
      </c>
      <c r="D452" s="387" t="str">
        <f>IF(A452="","",IFERROR(IF(VLOOKUP(A452,'1. Inbound Leads'!A:L,12,FALSE)=0,"",VLOOKUP(A452,'1. Inbound Leads'!A:L,12,FALSE)),""))</f>
        <v/>
      </c>
      <c r="E452" s="388"/>
      <c r="F452" s="389"/>
      <c r="G452" s="387"/>
      <c r="H452" s="387"/>
      <c r="I452" s="387"/>
      <c r="J452" s="387"/>
      <c r="K452" s="387"/>
      <c r="L452" s="387"/>
      <c r="M452" s="388"/>
      <c r="N452" s="388"/>
      <c r="O452" s="390"/>
      <c r="P452" s="391"/>
      <c r="Q452" s="389"/>
      <c r="R452" s="390"/>
      <c r="S452" s="390"/>
      <c r="T452" s="391"/>
      <c r="U452" s="392"/>
      <c r="V452" s="391"/>
      <c r="W452" s="391"/>
      <c r="X452" s="388"/>
      <c r="Y452" s="391"/>
      <c r="Z452" s="393"/>
      <c r="AA452" s="355" t="str">
        <f t="shared" si="1"/>
        <v/>
      </c>
      <c r="AB452" s="391"/>
      <c r="AC452" s="394" t="str">
        <f t="shared" si="2"/>
        <v/>
      </c>
      <c r="AD452" s="389"/>
      <c r="AE452" s="399"/>
      <c r="AF452" s="395"/>
      <c r="AG452" s="396" t="str">
        <f t="shared" si="3"/>
        <v/>
      </c>
      <c r="AH452" s="396" t="str">
        <f t="shared" si="4"/>
        <v/>
      </c>
      <c r="AI452" s="388"/>
      <c r="AJ452" s="388"/>
      <c r="AK452" s="397"/>
    </row>
    <row r="453">
      <c r="A453" s="398"/>
      <c r="B453" s="386"/>
      <c r="C453" s="387" t="str">
        <f>IF(A453="","",IFERROR(IF(VLOOKUP(A453,'1. Inbound Leads'!A:G,7,FALSE)=0,"",VLOOKUP(A453,'1. Inbound Leads'!A:G,7,FALSE)),""))</f>
        <v/>
      </c>
      <c r="D453" s="387" t="str">
        <f>IF(A453="","",IFERROR(IF(VLOOKUP(A453,'1. Inbound Leads'!A:L,12,FALSE)=0,"",VLOOKUP(A453,'1. Inbound Leads'!A:L,12,FALSE)),""))</f>
        <v/>
      </c>
      <c r="E453" s="388"/>
      <c r="F453" s="389"/>
      <c r="G453" s="387"/>
      <c r="H453" s="387"/>
      <c r="I453" s="387"/>
      <c r="J453" s="387"/>
      <c r="K453" s="387"/>
      <c r="L453" s="387"/>
      <c r="M453" s="388"/>
      <c r="N453" s="388"/>
      <c r="O453" s="390"/>
      <c r="P453" s="391"/>
      <c r="Q453" s="389"/>
      <c r="R453" s="390"/>
      <c r="S453" s="390"/>
      <c r="T453" s="391"/>
      <c r="U453" s="392"/>
      <c r="V453" s="391"/>
      <c r="W453" s="391"/>
      <c r="X453" s="388"/>
      <c r="Y453" s="391"/>
      <c r="Z453" s="393"/>
      <c r="AA453" s="355" t="str">
        <f t="shared" si="1"/>
        <v/>
      </c>
      <c r="AB453" s="391"/>
      <c r="AC453" s="394" t="str">
        <f t="shared" si="2"/>
        <v/>
      </c>
      <c r="AD453" s="389"/>
      <c r="AE453" s="399"/>
      <c r="AF453" s="395"/>
      <c r="AG453" s="396" t="str">
        <f t="shared" si="3"/>
        <v/>
      </c>
      <c r="AH453" s="396" t="str">
        <f t="shared" si="4"/>
        <v/>
      </c>
      <c r="AI453" s="388"/>
      <c r="AJ453" s="388"/>
      <c r="AK453" s="397"/>
    </row>
    <row r="454">
      <c r="A454" s="398"/>
      <c r="B454" s="386"/>
      <c r="C454" s="387" t="str">
        <f>IF(A454="","",IFERROR(IF(VLOOKUP(A454,'1. Inbound Leads'!A:G,7,FALSE)=0,"",VLOOKUP(A454,'1. Inbound Leads'!A:G,7,FALSE)),""))</f>
        <v/>
      </c>
      <c r="D454" s="387" t="str">
        <f>IF(A454="","",IFERROR(IF(VLOOKUP(A454,'1. Inbound Leads'!A:L,12,FALSE)=0,"",VLOOKUP(A454,'1. Inbound Leads'!A:L,12,FALSE)),""))</f>
        <v/>
      </c>
      <c r="E454" s="388"/>
      <c r="F454" s="389"/>
      <c r="G454" s="387"/>
      <c r="H454" s="387"/>
      <c r="I454" s="387"/>
      <c r="J454" s="387"/>
      <c r="K454" s="387"/>
      <c r="L454" s="387"/>
      <c r="M454" s="388"/>
      <c r="N454" s="388"/>
      <c r="O454" s="390"/>
      <c r="P454" s="391"/>
      <c r="Q454" s="389"/>
      <c r="R454" s="390"/>
      <c r="S454" s="390"/>
      <c r="T454" s="391"/>
      <c r="U454" s="392"/>
      <c r="V454" s="391"/>
      <c r="W454" s="391"/>
      <c r="X454" s="388"/>
      <c r="Y454" s="391"/>
      <c r="Z454" s="393"/>
      <c r="AA454" s="355" t="str">
        <f t="shared" si="1"/>
        <v/>
      </c>
      <c r="AB454" s="391"/>
      <c r="AC454" s="394" t="str">
        <f t="shared" si="2"/>
        <v/>
      </c>
      <c r="AD454" s="389"/>
      <c r="AE454" s="399"/>
      <c r="AF454" s="395"/>
      <c r="AG454" s="396" t="str">
        <f t="shared" si="3"/>
        <v/>
      </c>
      <c r="AH454" s="396" t="str">
        <f t="shared" si="4"/>
        <v/>
      </c>
      <c r="AI454" s="388"/>
      <c r="AJ454" s="388"/>
      <c r="AK454" s="397"/>
    </row>
    <row r="455">
      <c r="A455" s="398"/>
      <c r="B455" s="386"/>
      <c r="C455" s="387" t="str">
        <f>IF(A455="","",IFERROR(IF(VLOOKUP(A455,'1. Inbound Leads'!A:G,7,FALSE)=0,"",VLOOKUP(A455,'1. Inbound Leads'!A:G,7,FALSE)),""))</f>
        <v/>
      </c>
      <c r="D455" s="387" t="str">
        <f>IF(A455="","",IFERROR(IF(VLOOKUP(A455,'1. Inbound Leads'!A:L,12,FALSE)=0,"",VLOOKUP(A455,'1. Inbound Leads'!A:L,12,FALSE)),""))</f>
        <v/>
      </c>
      <c r="E455" s="388"/>
      <c r="F455" s="389"/>
      <c r="G455" s="387"/>
      <c r="H455" s="387"/>
      <c r="I455" s="387"/>
      <c r="J455" s="387"/>
      <c r="K455" s="387"/>
      <c r="L455" s="387"/>
      <c r="M455" s="388"/>
      <c r="N455" s="388"/>
      <c r="O455" s="390"/>
      <c r="P455" s="391"/>
      <c r="Q455" s="389"/>
      <c r="R455" s="390"/>
      <c r="S455" s="390"/>
      <c r="T455" s="391"/>
      <c r="U455" s="392"/>
      <c r="V455" s="391"/>
      <c r="W455" s="391"/>
      <c r="X455" s="388"/>
      <c r="Y455" s="391"/>
      <c r="Z455" s="393"/>
      <c r="AA455" s="355" t="str">
        <f t="shared" si="1"/>
        <v/>
      </c>
      <c r="AB455" s="391"/>
      <c r="AC455" s="394" t="str">
        <f t="shared" si="2"/>
        <v/>
      </c>
      <c r="AD455" s="389"/>
      <c r="AE455" s="399"/>
      <c r="AF455" s="395"/>
      <c r="AG455" s="396" t="str">
        <f t="shared" si="3"/>
        <v/>
      </c>
      <c r="AH455" s="396" t="str">
        <f t="shared" si="4"/>
        <v/>
      </c>
      <c r="AI455" s="388"/>
      <c r="AJ455" s="388"/>
      <c r="AK455" s="397"/>
    </row>
    <row r="456">
      <c r="A456" s="398"/>
      <c r="B456" s="386"/>
      <c r="C456" s="387" t="str">
        <f>IF(A456="","",IFERROR(IF(VLOOKUP(A456,'1. Inbound Leads'!A:G,7,FALSE)=0,"",VLOOKUP(A456,'1. Inbound Leads'!A:G,7,FALSE)),""))</f>
        <v/>
      </c>
      <c r="D456" s="387" t="str">
        <f>IF(A456="","",IFERROR(IF(VLOOKUP(A456,'1. Inbound Leads'!A:L,12,FALSE)=0,"",VLOOKUP(A456,'1. Inbound Leads'!A:L,12,FALSE)),""))</f>
        <v/>
      </c>
      <c r="E456" s="388"/>
      <c r="F456" s="389"/>
      <c r="G456" s="387"/>
      <c r="H456" s="387"/>
      <c r="I456" s="387"/>
      <c r="J456" s="387"/>
      <c r="K456" s="387"/>
      <c r="L456" s="387"/>
      <c r="M456" s="388"/>
      <c r="N456" s="388"/>
      <c r="O456" s="390"/>
      <c r="P456" s="391"/>
      <c r="Q456" s="389"/>
      <c r="R456" s="390"/>
      <c r="S456" s="390"/>
      <c r="T456" s="391"/>
      <c r="U456" s="392"/>
      <c r="V456" s="391"/>
      <c r="W456" s="391"/>
      <c r="X456" s="388"/>
      <c r="Y456" s="391"/>
      <c r="Z456" s="393"/>
      <c r="AA456" s="355" t="str">
        <f t="shared" si="1"/>
        <v/>
      </c>
      <c r="AB456" s="391"/>
      <c r="AC456" s="394" t="str">
        <f t="shared" si="2"/>
        <v/>
      </c>
      <c r="AD456" s="389"/>
      <c r="AE456" s="399"/>
      <c r="AF456" s="395"/>
      <c r="AG456" s="396" t="str">
        <f t="shared" si="3"/>
        <v/>
      </c>
      <c r="AH456" s="396" t="str">
        <f t="shared" si="4"/>
        <v/>
      </c>
      <c r="AI456" s="388"/>
      <c r="AJ456" s="388"/>
      <c r="AK456" s="397"/>
    </row>
    <row r="457">
      <c r="A457" s="398"/>
      <c r="B457" s="386"/>
      <c r="C457" s="387" t="str">
        <f>IF(A457="","",IFERROR(IF(VLOOKUP(A457,'1. Inbound Leads'!A:G,7,FALSE)=0,"",VLOOKUP(A457,'1. Inbound Leads'!A:G,7,FALSE)),""))</f>
        <v/>
      </c>
      <c r="D457" s="387" t="str">
        <f>IF(A457="","",IFERROR(IF(VLOOKUP(A457,'1. Inbound Leads'!A:L,12,FALSE)=0,"",VLOOKUP(A457,'1. Inbound Leads'!A:L,12,FALSE)),""))</f>
        <v/>
      </c>
      <c r="E457" s="388"/>
      <c r="F457" s="389"/>
      <c r="G457" s="387"/>
      <c r="H457" s="387"/>
      <c r="I457" s="387"/>
      <c r="J457" s="387"/>
      <c r="K457" s="387"/>
      <c r="L457" s="387"/>
      <c r="M457" s="388"/>
      <c r="N457" s="388"/>
      <c r="O457" s="390"/>
      <c r="P457" s="391"/>
      <c r="Q457" s="389"/>
      <c r="R457" s="390"/>
      <c r="S457" s="390"/>
      <c r="T457" s="391"/>
      <c r="U457" s="392"/>
      <c r="V457" s="391"/>
      <c r="W457" s="391"/>
      <c r="X457" s="388"/>
      <c r="Y457" s="391"/>
      <c r="Z457" s="393"/>
      <c r="AA457" s="355" t="str">
        <f t="shared" si="1"/>
        <v/>
      </c>
      <c r="AB457" s="391"/>
      <c r="AC457" s="394" t="str">
        <f t="shared" si="2"/>
        <v/>
      </c>
      <c r="AD457" s="389"/>
      <c r="AE457" s="399"/>
      <c r="AF457" s="395"/>
      <c r="AG457" s="396" t="str">
        <f t="shared" si="3"/>
        <v/>
      </c>
      <c r="AH457" s="396" t="str">
        <f t="shared" si="4"/>
        <v/>
      </c>
      <c r="AI457" s="388"/>
      <c r="AJ457" s="388"/>
      <c r="AK457" s="397"/>
    </row>
    <row r="458">
      <c r="A458" s="398"/>
      <c r="B458" s="386"/>
      <c r="C458" s="387" t="str">
        <f>IF(A458="","",IFERROR(IF(VLOOKUP(A458,'1. Inbound Leads'!A:G,7,FALSE)=0,"",VLOOKUP(A458,'1. Inbound Leads'!A:G,7,FALSE)),""))</f>
        <v/>
      </c>
      <c r="D458" s="387" t="str">
        <f>IF(A458="","",IFERROR(IF(VLOOKUP(A458,'1. Inbound Leads'!A:L,12,FALSE)=0,"",VLOOKUP(A458,'1. Inbound Leads'!A:L,12,FALSE)),""))</f>
        <v/>
      </c>
      <c r="E458" s="388"/>
      <c r="F458" s="389"/>
      <c r="G458" s="387"/>
      <c r="H458" s="387"/>
      <c r="I458" s="387"/>
      <c r="J458" s="387"/>
      <c r="K458" s="387"/>
      <c r="L458" s="387"/>
      <c r="M458" s="388"/>
      <c r="N458" s="388"/>
      <c r="O458" s="390"/>
      <c r="P458" s="391"/>
      <c r="Q458" s="389"/>
      <c r="R458" s="390"/>
      <c r="S458" s="390"/>
      <c r="T458" s="391"/>
      <c r="U458" s="392"/>
      <c r="V458" s="391"/>
      <c r="W458" s="391"/>
      <c r="X458" s="388"/>
      <c r="Y458" s="391"/>
      <c r="Z458" s="393"/>
      <c r="AA458" s="355" t="str">
        <f t="shared" si="1"/>
        <v/>
      </c>
      <c r="AB458" s="391"/>
      <c r="AC458" s="394" t="str">
        <f t="shared" si="2"/>
        <v/>
      </c>
      <c r="AD458" s="389"/>
      <c r="AE458" s="399"/>
      <c r="AF458" s="395"/>
      <c r="AG458" s="396" t="str">
        <f t="shared" si="3"/>
        <v/>
      </c>
      <c r="AH458" s="396" t="str">
        <f t="shared" si="4"/>
        <v/>
      </c>
      <c r="AI458" s="388"/>
      <c r="AJ458" s="388"/>
      <c r="AK458" s="397"/>
    </row>
    <row r="459">
      <c r="A459" s="398"/>
      <c r="B459" s="386"/>
      <c r="C459" s="387" t="str">
        <f>IF(A459="","",IFERROR(IF(VLOOKUP(A459,'1. Inbound Leads'!A:G,7,FALSE)=0,"",VLOOKUP(A459,'1. Inbound Leads'!A:G,7,FALSE)),""))</f>
        <v/>
      </c>
      <c r="D459" s="387" t="str">
        <f>IF(A459="","",IFERROR(IF(VLOOKUP(A459,'1. Inbound Leads'!A:L,12,FALSE)=0,"",VLOOKUP(A459,'1. Inbound Leads'!A:L,12,FALSE)),""))</f>
        <v/>
      </c>
      <c r="E459" s="388"/>
      <c r="F459" s="389"/>
      <c r="G459" s="387"/>
      <c r="H459" s="387"/>
      <c r="I459" s="387"/>
      <c r="J459" s="387"/>
      <c r="K459" s="387"/>
      <c r="L459" s="387"/>
      <c r="M459" s="388"/>
      <c r="N459" s="388"/>
      <c r="O459" s="390"/>
      <c r="P459" s="391"/>
      <c r="Q459" s="389"/>
      <c r="R459" s="390"/>
      <c r="S459" s="390"/>
      <c r="T459" s="391"/>
      <c r="U459" s="392"/>
      <c r="V459" s="391"/>
      <c r="W459" s="391"/>
      <c r="X459" s="388"/>
      <c r="Y459" s="391"/>
      <c r="Z459" s="393"/>
      <c r="AA459" s="355" t="str">
        <f t="shared" si="1"/>
        <v/>
      </c>
      <c r="AB459" s="391"/>
      <c r="AC459" s="394" t="str">
        <f t="shared" si="2"/>
        <v/>
      </c>
      <c r="AD459" s="389"/>
      <c r="AE459" s="399"/>
      <c r="AF459" s="395"/>
      <c r="AG459" s="396" t="str">
        <f t="shared" si="3"/>
        <v/>
      </c>
      <c r="AH459" s="396" t="str">
        <f t="shared" si="4"/>
        <v/>
      </c>
      <c r="AI459" s="388"/>
      <c r="AJ459" s="388"/>
      <c r="AK459" s="397"/>
    </row>
    <row r="460">
      <c r="A460" s="398"/>
      <c r="B460" s="386"/>
      <c r="C460" s="387" t="str">
        <f>IF(A460="","",IFERROR(IF(VLOOKUP(A460,'1. Inbound Leads'!A:G,7,FALSE)=0,"",VLOOKUP(A460,'1. Inbound Leads'!A:G,7,FALSE)),""))</f>
        <v/>
      </c>
      <c r="D460" s="387" t="str">
        <f>IF(A460="","",IFERROR(IF(VLOOKUP(A460,'1. Inbound Leads'!A:L,12,FALSE)=0,"",VLOOKUP(A460,'1. Inbound Leads'!A:L,12,FALSE)),""))</f>
        <v/>
      </c>
      <c r="E460" s="388"/>
      <c r="F460" s="389"/>
      <c r="G460" s="387"/>
      <c r="H460" s="387"/>
      <c r="I460" s="387"/>
      <c r="J460" s="387"/>
      <c r="K460" s="387"/>
      <c r="L460" s="387"/>
      <c r="M460" s="388"/>
      <c r="N460" s="388"/>
      <c r="O460" s="390"/>
      <c r="P460" s="391"/>
      <c r="Q460" s="389"/>
      <c r="R460" s="390"/>
      <c r="S460" s="390"/>
      <c r="T460" s="391"/>
      <c r="U460" s="392"/>
      <c r="V460" s="391"/>
      <c r="W460" s="391"/>
      <c r="X460" s="388"/>
      <c r="Y460" s="391"/>
      <c r="Z460" s="393"/>
      <c r="AA460" s="355" t="str">
        <f t="shared" si="1"/>
        <v/>
      </c>
      <c r="AB460" s="391"/>
      <c r="AC460" s="394" t="str">
        <f t="shared" si="2"/>
        <v/>
      </c>
      <c r="AD460" s="389"/>
      <c r="AE460" s="399"/>
      <c r="AF460" s="395"/>
      <c r="AG460" s="396" t="str">
        <f t="shared" si="3"/>
        <v/>
      </c>
      <c r="AH460" s="396" t="str">
        <f t="shared" si="4"/>
        <v/>
      </c>
      <c r="AI460" s="388"/>
      <c r="AJ460" s="388"/>
      <c r="AK460" s="397"/>
    </row>
    <row r="461">
      <c r="A461" s="398"/>
      <c r="B461" s="386"/>
      <c r="C461" s="387" t="str">
        <f>IF(A461="","",IFERROR(IF(VLOOKUP(A461,'1. Inbound Leads'!A:G,7,FALSE)=0,"",VLOOKUP(A461,'1. Inbound Leads'!A:G,7,FALSE)),""))</f>
        <v/>
      </c>
      <c r="D461" s="387" t="str">
        <f>IF(A461="","",IFERROR(IF(VLOOKUP(A461,'1. Inbound Leads'!A:L,12,FALSE)=0,"",VLOOKUP(A461,'1. Inbound Leads'!A:L,12,FALSE)),""))</f>
        <v/>
      </c>
      <c r="E461" s="388"/>
      <c r="F461" s="389"/>
      <c r="G461" s="387"/>
      <c r="H461" s="387"/>
      <c r="I461" s="387"/>
      <c r="J461" s="387"/>
      <c r="K461" s="387"/>
      <c r="L461" s="387"/>
      <c r="M461" s="388"/>
      <c r="N461" s="388"/>
      <c r="O461" s="390"/>
      <c r="P461" s="391"/>
      <c r="Q461" s="389"/>
      <c r="R461" s="390"/>
      <c r="S461" s="390"/>
      <c r="T461" s="391"/>
      <c r="U461" s="392"/>
      <c r="V461" s="391"/>
      <c r="W461" s="391"/>
      <c r="X461" s="388"/>
      <c r="Y461" s="391"/>
      <c r="Z461" s="393"/>
      <c r="AA461" s="355" t="str">
        <f t="shared" si="1"/>
        <v/>
      </c>
      <c r="AB461" s="391"/>
      <c r="AC461" s="394" t="str">
        <f t="shared" si="2"/>
        <v/>
      </c>
      <c r="AD461" s="389"/>
      <c r="AE461" s="399"/>
      <c r="AF461" s="395"/>
      <c r="AG461" s="396" t="str">
        <f t="shared" si="3"/>
        <v/>
      </c>
      <c r="AH461" s="396" t="str">
        <f t="shared" si="4"/>
        <v/>
      </c>
      <c r="AI461" s="388"/>
      <c r="AJ461" s="388"/>
      <c r="AK461" s="397"/>
    </row>
    <row r="462">
      <c r="A462" s="398"/>
      <c r="B462" s="386"/>
      <c r="C462" s="387" t="str">
        <f>IF(A462="","",IFERROR(IF(VLOOKUP(A462,'1. Inbound Leads'!A:G,7,FALSE)=0,"",VLOOKUP(A462,'1. Inbound Leads'!A:G,7,FALSE)),""))</f>
        <v/>
      </c>
      <c r="D462" s="387" t="str">
        <f>IF(A462="","",IFERROR(IF(VLOOKUP(A462,'1. Inbound Leads'!A:L,12,FALSE)=0,"",VLOOKUP(A462,'1. Inbound Leads'!A:L,12,FALSE)),""))</f>
        <v/>
      </c>
      <c r="E462" s="388"/>
      <c r="F462" s="389"/>
      <c r="G462" s="387"/>
      <c r="H462" s="387"/>
      <c r="I462" s="387"/>
      <c r="J462" s="387"/>
      <c r="K462" s="387"/>
      <c r="L462" s="387"/>
      <c r="M462" s="388"/>
      <c r="N462" s="388"/>
      <c r="O462" s="390"/>
      <c r="P462" s="391"/>
      <c r="Q462" s="389"/>
      <c r="R462" s="390"/>
      <c r="S462" s="390"/>
      <c r="T462" s="391"/>
      <c r="U462" s="392"/>
      <c r="V462" s="391"/>
      <c r="W462" s="391"/>
      <c r="X462" s="388"/>
      <c r="Y462" s="391"/>
      <c r="Z462" s="393"/>
      <c r="AA462" s="355" t="str">
        <f t="shared" si="1"/>
        <v/>
      </c>
      <c r="AB462" s="391"/>
      <c r="AC462" s="394" t="str">
        <f t="shared" si="2"/>
        <v/>
      </c>
      <c r="AD462" s="389"/>
      <c r="AE462" s="399"/>
      <c r="AF462" s="395"/>
      <c r="AG462" s="396" t="str">
        <f t="shared" si="3"/>
        <v/>
      </c>
      <c r="AH462" s="396" t="str">
        <f t="shared" si="4"/>
        <v/>
      </c>
      <c r="AI462" s="388"/>
      <c r="AJ462" s="388"/>
      <c r="AK462" s="397"/>
    </row>
    <row r="463">
      <c r="A463" s="398"/>
      <c r="B463" s="386"/>
      <c r="C463" s="387" t="str">
        <f>IF(A463="","",IFERROR(IF(VLOOKUP(A463,'1. Inbound Leads'!A:G,7,FALSE)=0,"",VLOOKUP(A463,'1. Inbound Leads'!A:G,7,FALSE)),""))</f>
        <v/>
      </c>
      <c r="D463" s="387" t="str">
        <f>IF(A463="","",IFERROR(IF(VLOOKUP(A463,'1. Inbound Leads'!A:L,12,FALSE)=0,"",VLOOKUP(A463,'1. Inbound Leads'!A:L,12,FALSE)),""))</f>
        <v/>
      </c>
      <c r="E463" s="388"/>
      <c r="F463" s="389"/>
      <c r="G463" s="387"/>
      <c r="H463" s="387"/>
      <c r="I463" s="387"/>
      <c r="J463" s="387"/>
      <c r="K463" s="387"/>
      <c r="L463" s="387"/>
      <c r="M463" s="388"/>
      <c r="N463" s="388"/>
      <c r="O463" s="390"/>
      <c r="P463" s="391"/>
      <c r="Q463" s="389"/>
      <c r="R463" s="390"/>
      <c r="S463" s="390"/>
      <c r="T463" s="391"/>
      <c r="U463" s="392"/>
      <c r="V463" s="391"/>
      <c r="W463" s="391"/>
      <c r="X463" s="388"/>
      <c r="Y463" s="391"/>
      <c r="Z463" s="393"/>
      <c r="AA463" s="355" t="str">
        <f t="shared" si="1"/>
        <v/>
      </c>
      <c r="AB463" s="391"/>
      <c r="AC463" s="394" t="str">
        <f t="shared" si="2"/>
        <v/>
      </c>
      <c r="AD463" s="389"/>
      <c r="AE463" s="399"/>
      <c r="AF463" s="395"/>
      <c r="AG463" s="396" t="str">
        <f t="shared" si="3"/>
        <v/>
      </c>
      <c r="AH463" s="396" t="str">
        <f t="shared" si="4"/>
        <v/>
      </c>
      <c r="AI463" s="388"/>
      <c r="AJ463" s="388"/>
      <c r="AK463" s="397"/>
    </row>
    <row r="464">
      <c r="A464" s="398"/>
      <c r="B464" s="386"/>
      <c r="C464" s="387" t="str">
        <f>IF(A464="","",IFERROR(IF(VLOOKUP(A464,'1. Inbound Leads'!A:G,7,FALSE)=0,"",VLOOKUP(A464,'1. Inbound Leads'!A:G,7,FALSE)),""))</f>
        <v/>
      </c>
      <c r="D464" s="387" t="str">
        <f>IF(A464="","",IFERROR(IF(VLOOKUP(A464,'1. Inbound Leads'!A:L,12,FALSE)=0,"",VLOOKUP(A464,'1. Inbound Leads'!A:L,12,FALSE)),""))</f>
        <v/>
      </c>
      <c r="E464" s="388"/>
      <c r="F464" s="389"/>
      <c r="G464" s="387"/>
      <c r="H464" s="387"/>
      <c r="I464" s="387"/>
      <c r="J464" s="387"/>
      <c r="K464" s="387"/>
      <c r="L464" s="387"/>
      <c r="M464" s="388"/>
      <c r="N464" s="388"/>
      <c r="O464" s="390"/>
      <c r="P464" s="391"/>
      <c r="Q464" s="389"/>
      <c r="R464" s="390"/>
      <c r="S464" s="390"/>
      <c r="T464" s="391"/>
      <c r="U464" s="392"/>
      <c r="V464" s="391"/>
      <c r="W464" s="391"/>
      <c r="X464" s="388"/>
      <c r="Y464" s="391"/>
      <c r="Z464" s="393"/>
      <c r="AA464" s="355" t="str">
        <f t="shared" si="1"/>
        <v/>
      </c>
      <c r="AB464" s="391"/>
      <c r="AC464" s="394" t="str">
        <f t="shared" si="2"/>
        <v/>
      </c>
      <c r="AD464" s="389"/>
      <c r="AE464" s="399"/>
      <c r="AF464" s="395"/>
      <c r="AG464" s="396" t="str">
        <f t="shared" si="3"/>
        <v/>
      </c>
      <c r="AH464" s="396" t="str">
        <f t="shared" si="4"/>
        <v/>
      </c>
      <c r="AI464" s="388"/>
      <c r="AJ464" s="388"/>
      <c r="AK464" s="397"/>
    </row>
    <row r="465">
      <c r="A465" s="398"/>
      <c r="B465" s="386"/>
      <c r="C465" s="387" t="str">
        <f>IF(A465="","",IFERROR(IF(VLOOKUP(A465,'1. Inbound Leads'!A:G,7,FALSE)=0,"",VLOOKUP(A465,'1. Inbound Leads'!A:G,7,FALSE)),""))</f>
        <v/>
      </c>
      <c r="D465" s="387" t="str">
        <f>IF(A465="","",IFERROR(IF(VLOOKUP(A465,'1. Inbound Leads'!A:L,12,FALSE)=0,"",VLOOKUP(A465,'1. Inbound Leads'!A:L,12,FALSE)),""))</f>
        <v/>
      </c>
      <c r="E465" s="388"/>
      <c r="F465" s="389"/>
      <c r="G465" s="387"/>
      <c r="H465" s="387"/>
      <c r="I465" s="387"/>
      <c r="J465" s="387"/>
      <c r="K465" s="387"/>
      <c r="L465" s="387"/>
      <c r="M465" s="388"/>
      <c r="N465" s="388"/>
      <c r="O465" s="390"/>
      <c r="P465" s="391"/>
      <c r="Q465" s="389"/>
      <c r="R465" s="390"/>
      <c r="S465" s="390"/>
      <c r="T465" s="391"/>
      <c r="U465" s="392"/>
      <c r="V465" s="391"/>
      <c r="W465" s="391"/>
      <c r="X465" s="388"/>
      <c r="Y465" s="391"/>
      <c r="Z465" s="393"/>
      <c r="AA465" s="355" t="str">
        <f t="shared" si="1"/>
        <v/>
      </c>
      <c r="AB465" s="391"/>
      <c r="AC465" s="394" t="str">
        <f t="shared" si="2"/>
        <v/>
      </c>
      <c r="AD465" s="389"/>
      <c r="AE465" s="399"/>
      <c r="AF465" s="395"/>
      <c r="AG465" s="396" t="str">
        <f t="shared" si="3"/>
        <v/>
      </c>
      <c r="AH465" s="396" t="str">
        <f t="shared" si="4"/>
        <v/>
      </c>
      <c r="AI465" s="388"/>
      <c r="AJ465" s="388"/>
      <c r="AK465" s="397"/>
    </row>
    <row r="466">
      <c r="A466" s="398"/>
      <c r="B466" s="386"/>
      <c r="C466" s="387" t="str">
        <f>IF(A466="","",IFERROR(IF(VLOOKUP(A466,'1. Inbound Leads'!A:G,7,FALSE)=0,"",VLOOKUP(A466,'1. Inbound Leads'!A:G,7,FALSE)),""))</f>
        <v/>
      </c>
      <c r="D466" s="387" t="str">
        <f>IF(A466="","",IFERROR(IF(VLOOKUP(A466,'1. Inbound Leads'!A:L,12,FALSE)=0,"",VLOOKUP(A466,'1. Inbound Leads'!A:L,12,FALSE)),""))</f>
        <v/>
      </c>
      <c r="E466" s="388"/>
      <c r="F466" s="389"/>
      <c r="G466" s="387"/>
      <c r="H466" s="387"/>
      <c r="I466" s="387"/>
      <c r="J466" s="387"/>
      <c r="K466" s="387"/>
      <c r="L466" s="387"/>
      <c r="M466" s="388"/>
      <c r="N466" s="388"/>
      <c r="O466" s="390"/>
      <c r="P466" s="391"/>
      <c r="Q466" s="389"/>
      <c r="R466" s="390"/>
      <c r="S466" s="390"/>
      <c r="T466" s="391"/>
      <c r="U466" s="392"/>
      <c r="V466" s="391"/>
      <c r="W466" s="391"/>
      <c r="X466" s="388"/>
      <c r="Y466" s="391"/>
      <c r="Z466" s="393"/>
      <c r="AA466" s="355" t="str">
        <f t="shared" si="1"/>
        <v/>
      </c>
      <c r="AB466" s="391"/>
      <c r="AC466" s="394" t="str">
        <f t="shared" si="2"/>
        <v/>
      </c>
      <c r="AD466" s="389"/>
      <c r="AE466" s="399"/>
      <c r="AF466" s="395"/>
      <c r="AG466" s="396" t="str">
        <f t="shared" si="3"/>
        <v/>
      </c>
      <c r="AH466" s="396" t="str">
        <f t="shared" si="4"/>
        <v/>
      </c>
      <c r="AI466" s="388"/>
      <c r="AJ466" s="388"/>
      <c r="AK466" s="397"/>
    </row>
    <row r="467">
      <c r="A467" s="398"/>
      <c r="B467" s="386"/>
      <c r="C467" s="387" t="str">
        <f>IF(A467="","",IFERROR(IF(VLOOKUP(A467,'1. Inbound Leads'!A:G,7,FALSE)=0,"",VLOOKUP(A467,'1. Inbound Leads'!A:G,7,FALSE)),""))</f>
        <v/>
      </c>
      <c r="D467" s="387" t="str">
        <f>IF(A467="","",IFERROR(IF(VLOOKUP(A467,'1. Inbound Leads'!A:L,12,FALSE)=0,"",VLOOKUP(A467,'1. Inbound Leads'!A:L,12,FALSE)),""))</f>
        <v/>
      </c>
      <c r="E467" s="388"/>
      <c r="F467" s="389"/>
      <c r="G467" s="387"/>
      <c r="H467" s="387"/>
      <c r="I467" s="387"/>
      <c r="J467" s="387"/>
      <c r="K467" s="387"/>
      <c r="L467" s="387"/>
      <c r="M467" s="388"/>
      <c r="N467" s="388"/>
      <c r="O467" s="390"/>
      <c r="P467" s="391"/>
      <c r="Q467" s="389"/>
      <c r="R467" s="390"/>
      <c r="S467" s="390"/>
      <c r="T467" s="391"/>
      <c r="U467" s="392"/>
      <c r="V467" s="391"/>
      <c r="W467" s="391"/>
      <c r="X467" s="388"/>
      <c r="Y467" s="391"/>
      <c r="Z467" s="393"/>
      <c r="AA467" s="355" t="str">
        <f t="shared" si="1"/>
        <v/>
      </c>
      <c r="AB467" s="391"/>
      <c r="AC467" s="394" t="str">
        <f t="shared" si="2"/>
        <v/>
      </c>
      <c r="AD467" s="389"/>
      <c r="AE467" s="399"/>
      <c r="AF467" s="395"/>
      <c r="AG467" s="396" t="str">
        <f t="shared" si="3"/>
        <v/>
      </c>
      <c r="AH467" s="396" t="str">
        <f t="shared" si="4"/>
        <v/>
      </c>
      <c r="AI467" s="388"/>
      <c r="AJ467" s="388"/>
      <c r="AK467" s="397"/>
    </row>
    <row r="468">
      <c r="A468" s="398"/>
      <c r="B468" s="386"/>
      <c r="C468" s="387" t="str">
        <f>IF(A468="","",IFERROR(IF(VLOOKUP(A468,'1. Inbound Leads'!A:G,7,FALSE)=0,"",VLOOKUP(A468,'1. Inbound Leads'!A:G,7,FALSE)),""))</f>
        <v/>
      </c>
      <c r="D468" s="387" t="str">
        <f>IF(A468="","",IFERROR(IF(VLOOKUP(A468,'1. Inbound Leads'!A:L,12,FALSE)=0,"",VLOOKUP(A468,'1. Inbound Leads'!A:L,12,FALSE)),""))</f>
        <v/>
      </c>
      <c r="E468" s="388"/>
      <c r="F468" s="389"/>
      <c r="G468" s="387"/>
      <c r="H468" s="387"/>
      <c r="I468" s="387"/>
      <c r="J468" s="387"/>
      <c r="K468" s="387"/>
      <c r="L468" s="387"/>
      <c r="M468" s="388"/>
      <c r="N468" s="388"/>
      <c r="O468" s="390"/>
      <c r="P468" s="391"/>
      <c r="Q468" s="389"/>
      <c r="R468" s="390"/>
      <c r="S468" s="390"/>
      <c r="T468" s="391"/>
      <c r="U468" s="392"/>
      <c r="V468" s="391"/>
      <c r="W468" s="391"/>
      <c r="X468" s="388"/>
      <c r="Y468" s="391"/>
      <c r="Z468" s="393"/>
      <c r="AA468" s="355" t="str">
        <f t="shared" si="1"/>
        <v/>
      </c>
      <c r="AB468" s="391"/>
      <c r="AC468" s="394" t="str">
        <f t="shared" si="2"/>
        <v/>
      </c>
      <c r="AD468" s="389"/>
      <c r="AE468" s="399"/>
      <c r="AF468" s="395"/>
      <c r="AG468" s="396" t="str">
        <f t="shared" si="3"/>
        <v/>
      </c>
      <c r="AH468" s="396" t="str">
        <f t="shared" si="4"/>
        <v/>
      </c>
      <c r="AI468" s="388"/>
      <c r="AJ468" s="388"/>
      <c r="AK468" s="397"/>
    </row>
    <row r="469">
      <c r="A469" s="398"/>
      <c r="B469" s="386"/>
      <c r="C469" s="387" t="str">
        <f>IF(A469="","",IFERROR(IF(VLOOKUP(A469,'1. Inbound Leads'!A:G,7,FALSE)=0,"",VLOOKUP(A469,'1. Inbound Leads'!A:G,7,FALSE)),""))</f>
        <v/>
      </c>
      <c r="D469" s="387" t="str">
        <f>IF(A469="","",IFERROR(IF(VLOOKUP(A469,'1. Inbound Leads'!A:L,12,FALSE)=0,"",VLOOKUP(A469,'1. Inbound Leads'!A:L,12,FALSE)),""))</f>
        <v/>
      </c>
      <c r="E469" s="388"/>
      <c r="F469" s="389"/>
      <c r="G469" s="387"/>
      <c r="H469" s="387"/>
      <c r="I469" s="387"/>
      <c r="J469" s="387"/>
      <c r="K469" s="387"/>
      <c r="L469" s="387"/>
      <c r="M469" s="388"/>
      <c r="N469" s="388"/>
      <c r="O469" s="390"/>
      <c r="P469" s="391"/>
      <c r="Q469" s="389"/>
      <c r="R469" s="390"/>
      <c r="S469" s="390"/>
      <c r="T469" s="391"/>
      <c r="U469" s="392"/>
      <c r="V469" s="391"/>
      <c r="W469" s="391"/>
      <c r="X469" s="388"/>
      <c r="Y469" s="391"/>
      <c r="Z469" s="393"/>
      <c r="AA469" s="355" t="str">
        <f t="shared" si="1"/>
        <v/>
      </c>
      <c r="AB469" s="391"/>
      <c r="AC469" s="394" t="str">
        <f t="shared" si="2"/>
        <v/>
      </c>
      <c r="AD469" s="389"/>
      <c r="AE469" s="399"/>
      <c r="AF469" s="395"/>
      <c r="AG469" s="396" t="str">
        <f t="shared" si="3"/>
        <v/>
      </c>
      <c r="AH469" s="396" t="str">
        <f t="shared" si="4"/>
        <v/>
      </c>
      <c r="AI469" s="388"/>
      <c r="AJ469" s="388"/>
      <c r="AK469" s="397"/>
    </row>
    <row r="470">
      <c r="A470" s="398"/>
      <c r="B470" s="386"/>
      <c r="C470" s="387" t="str">
        <f>IF(A470="","",IFERROR(IF(VLOOKUP(A470,'1. Inbound Leads'!A:G,7,FALSE)=0,"",VLOOKUP(A470,'1. Inbound Leads'!A:G,7,FALSE)),""))</f>
        <v/>
      </c>
      <c r="D470" s="387" t="str">
        <f>IF(A470="","",IFERROR(IF(VLOOKUP(A470,'1. Inbound Leads'!A:L,12,FALSE)=0,"",VLOOKUP(A470,'1. Inbound Leads'!A:L,12,FALSE)),""))</f>
        <v/>
      </c>
      <c r="E470" s="388"/>
      <c r="F470" s="389"/>
      <c r="G470" s="387"/>
      <c r="H470" s="387"/>
      <c r="I470" s="387"/>
      <c r="J470" s="387"/>
      <c r="K470" s="387"/>
      <c r="L470" s="387"/>
      <c r="M470" s="388"/>
      <c r="N470" s="388"/>
      <c r="O470" s="390"/>
      <c r="P470" s="391"/>
      <c r="Q470" s="389"/>
      <c r="R470" s="390"/>
      <c r="S470" s="390"/>
      <c r="T470" s="391"/>
      <c r="U470" s="392"/>
      <c r="V470" s="391"/>
      <c r="W470" s="391"/>
      <c r="X470" s="388"/>
      <c r="Y470" s="391"/>
      <c r="Z470" s="393"/>
      <c r="AA470" s="355" t="str">
        <f t="shared" si="1"/>
        <v/>
      </c>
      <c r="AB470" s="391"/>
      <c r="AC470" s="394" t="str">
        <f t="shared" si="2"/>
        <v/>
      </c>
      <c r="AD470" s="389"/>
      <c r="AE470" s="399"/>
      <c r="AF470" s="395"/>
      <c r="AG470" s="396" t="str">
        <f t="shared" si="3"/>
        <v/>
      </c>
      <c r="AH470" s="396" t="str">
        <f t="shared" si="4"/>
        <v/>
      </c>
      <c r="AI470" s="388"/>
      <c r="AJ470" s="388"/>
      <c r="AK470" s="397"/>
    </row>
    <row r="471">
      <c r="A471" s="398"/>
      <c r="B471" s="386"/>
      <c r="C471" s="387" t="str">
        <f>IF(A471="","",IFERROR(IF(VLOOKUP(A471,'1. Inbound Leads'!A:G,7,FALSE)=0,"",VLOOKUP(A471,'1. Inbound Leads'!A:G,7,FALSE)),""))</f>
        <v/>
      </c>
      <c r="D471" s="387" t="str">
        <f>IF(A471="","",IFERROR(IF(VLOOKUP(A471,'1. Inbound Leads'!A:L,12,FALSE)=0,"",VLOOKUP(A471,'1. Inbound Leads'!A:L,12,FALSE)),""))</f>
        <v/>
      </c>
      <c r="E471" s="388"/>
      <c r="F471" s="389"/>
      <c r="G471" s="387"/>
      <c r="H471" s="387"/>
      <c r="I471" s="387"/>
      <c r="J471" s="387"/>
      <c r="K471" s="387"/>
      <c r="L471" s="387"/>
      <c r="M471" s="388"/>
      <c r="N471" s="388"/>
      <c r="O471" s="390"/>
      <c r="P471" s="391"/>
      <c r="Q471" s="389"/>
      <c r="R471" s="390"/>
      <c r="S471" s="390"/>
      <c r="T471" s="391"/>
      <c r="U471" s="392"/>
      <c r="V471" s="391"/>
      <c r="W471" s="391"/>
      <c r="X471" s="388"/>
      <c r="Y471" s="391"/>
      <c r="Z471" s="393"/>
      <c r="AA471" s="355" t="str">
        <f t="shared" si="1"/>
        <v/>
      </c>
      <c r="AB471" s="391"/>
      <c r="AC471" s="394" t="str">
        <f t="shared" si="2"/>
        <v/>
      </c>
      <c r="AD471" s="389"/>
      <c r="AE471" s="399"/>
      <c r="AF471" s="395"/>
      <c r="AG471" s="396" t="str">
        <f t="shared" si="3"/>
        <v/>
      </c>
      <c r="AH471" s="396" t="str">
        <f t="shared" si="4"/>
        <v/>
      </c>
      <c r="AI471" s="388"/>
      <c r="AJ471" s="388"/>
      <c r="AK471" s="397"/>
    </row>
    <row r="472">
      <c r="A472" s="398"/>
      <c r="B472" s="386"/>
      <c r="C472" s="387" t="str">
        <f>IF(A472="","",IFERROR(IF(VLOOKUP(A472,'1. Inbound Leads'!A:G,7,FALSE)=0,"",VLOOKUP(A472,'1. Inbound Leads'!A:G,7,FALSE)),""))</f>
        <v/>
      </c>
      <c r="D472" s="387" t="str">
        <f>IF(A472="","",IFERROR(IF(VLOOKUP(A472,'1. Inbound Leads'!A:L,12,FALSE)=0,"",VLOOKUP(A472,'1. Inbound Leads'!A:L,12,FALSE)),""))</f>
        <v/>
      </c>
      <c r="E472" s="388"/>
      <c r="F472" s="389"/>
      <c r="G472" s="387"/>
      <c r="H472" s="387"/>
      <c r="I472" s="387"/>
      <c r="J472" s="387"/>
      <c r="K472" s="387"/>
      <c r="L472" s="387"/>
      <c r="M472" s="388"/>
      <c r="N472" s="388"/>
      <c r="O472" s="390"/>
      <c r="P472" s="391"/>
      <c r="Q472" s="389"/>
      <c r="R472" s="390"/>
      <c r="S472" s="390"/>
      <c r="T472" s="391"/>
      <c r="U472" s="392"/>
      <c r="V472" s="391"/>
      <c r="W472" s="391"/>
      <c r="X472" s="388"/>
      <c r="Y472" s="391"/>
      <c r="Z472" s="393"/>
      <c r="AA472" s="355" t="str">
        <f t="shared" si="1"/>
        <v/>
      </c>
      <c r="AB472" s="391"/>
      <c r="AC472" s="394" t="str">
        <f t="shared" si="2"/>
        <v/>
      </c>
      <c r="AD472" s="389"/>
      <c r="AE472" s="399"/>
      <c r="AF472" s="395"/>
      <c r="AG472" s="396" t="str">
        <f t="shared" si="3"/>
        <v/>
      </c>
      <c r="AH472" s="396" t="str">
        <f t="shared" si="4"/>
        <v/>
      </c>
      <c r="AI472" s="388"/>
      <c r="AJ472" s="388"/>
      <c r="AK472" s="397"/>
    </row>
    <row r="473">
      <c r="A473" s="398"/>
      <c r="B473" s="386"/>
      <c r="C473" s="387" t="str">
        <f>IF(A473="","",IFERROR(IF(VLOOKUP(A473,'1. Inbound Leads'!A:G,7,FALSE)=0,"",VLOOKUP(A473,'1. Inbound Leads'!A:G,7,FALSE)),""))</f>
        <v/>
      </c>
      <c r="D473" s="387" t="str">
        <f>IF(A473="","",IFERROR(IF(VLOOKUP(A473,'1. Inbound Leads'!A:L,12,FALSE)=0,"",VLOOKUP(A473,'1. Inbound Leads'!A:L,12,FALSE)),""))</f>
        <v/>
      </c>
      <c r="E473" s="388"/>
      <c r="F473" s="389"/>
      <c r="G473" s="387"/>
      <c r="H473" s="387"/>
      <c r="I473" s="387"/>
      <c r="J473" s="387"/>
      <c r="K473" s="387"/>
      <c r="L473" s="387"/>
      <c r="M473" s="388"/>
      <c r="N473" s="388"/>
      <c r="O473" s="390"/>
      <c r="P473" s="391"/>
      <c r="Q473" s="389"/>
      <c r="R473" s="390"/>
      <c r="S473" s="390"/>
      <c r="T473" s="391"/>
      <c r="U473" s="392"/>
      <c r="V473" s="391"/>
      <c r="W473" s="391"/>
      <c r="X473" s="388"/>
      <c r="Y473" s="391"/>
      <c r="Z473" s="393"/>
      <c r="AA473" s="355" t="str">
        <f t="shared" si="1"/>
        <v/>
      </c>
      <c r="AB473" s="391"/>
      <c r="AC473" s="394" t="str">
        <f t="shared" si="2"/>
        <v/>
      </c>
      <c r="AD473" s="389"/>
      <c r="AE473" s="399"/>
      <c r="AF473" s="395"/>
      <c r="AG473" s="396" t="str">
        <f t="shared" si="3"/>
        <v/>
      </c>
      <c r="AH473" s="396" t="str">
        <f t="shared" si="4"/>
        <v/>
      </c>
      <c r="AI473" s="388"/>
      <c r="AJ473" s="388"/>
      <c r="AK473" s="397"/>
    </row>
    <row r="474">
      <c r="A474" s="398"/>
      <c r="B474" s="386"/>
      <c r="C474" s="387" t="str">
        <f>IF(A474="","",IFERROR(IF(VLOOKUP(A474,'1. Inbound Leads'!A:G,7,FALSE)=0,"",VLOOKUP(A474,'1. Inbound Leads'!A:G,7,FALSE)),""))</f>
        <v/>
      </c>
      <c r="D474" s="387" t="str">
        <f>IF(A474="","",IFERROR(IF(VLOOKUP(A474,'1. Inbound Leads'!A:L,12,FALSE)=0,"",VLOOKUP(A474,'1. Inbound Leads'!A:L,12,FALSE)),""))</f>
        <v/>
      </c>
      <c r="E474" s="388"/>
      <c r="F474" s="389"/>
      <c r="G474" s="387"/>
      <c r="H474" s="387"/>
      <c r="I474" s="387"/>
      <c r="J474" s="387"/>
      <c r="K474" s="387"/>
      <c r="L474" s="387"/>
      <c r="M474" s="388"/>
      <c r="N474" s="388"/>
      <c r="O474" s="390"/>
      <c r="P474" s="391"/>
      <c r="Q474" s="389"/>
      <c r="R474" s="390"/>
      <c r="S474" s="390"/>
      <c r="T474" s="391"/>
      <c r="U474" s="392"/>
      <c r="V474" s="391"/>
      <c r="W474" s="391"/>
      <c r="X474" s="388"/>
      <c r="Y474" s="391"/>
      <c r="Z474" s="393"/>
      <c r="AA474" s="355" t="str">
        <f t="shared" si="1"/>
        <v/>
      </c>
      <c r="AB474" s="391"/>
      <c r="AC474" s="394" t="str">
        <f t="shared" si="2"/>
        <v/>
      </c>
      <c r="AD474" s="389"/>
      <c r="AE474" s="399"/>
      <c r="AF474" s="395"/>
      <c r="AG474" s="396" t="str">
        <f t="shared" si="3"/>
        <v/>
      </c>
      <c r="AH474" s="396" t="str">
        <f t="shared" si="4"/>
        <v/>
      </c>
      <c r="AI474" s="388"/>
      <c r="AJ474" s="388"/>
      <c r="AK474" s="397"/>
    </row>
    <row r="475">
      <c r="A475" s="398"/>
      <c r="B475" s="386"/>
      <c r="C475" s="387" t="str">
        <f>IF(A475="","",IFERROR(IF(VLOOKUP(A475,'1. Inbound Leads'!A:G,7,FALSE)=0,"",VLOOKUP(A475,'1. Inbound Leads'!A:G,7,FALSE)),""))</f>
        <v/>
      </c>
      <c r="D475" s="387" t="str">
        <f>IF(A475="","",IFERROR(IF(VLOOKUP(A475,'1. Inbound Leads'!A:L,12,FALSE)=0,"",VLOOKUP(A475,'1. Inbound Leads'!A:L,12,FALSE)),""))</f>
        <v/>
      </c>
      <c r="E475" s="388"/>
      <c r="F475" s="389"/>
      <c r="G475" s="387"/>
      <c r="H475" s="387"/>
      <c r="I475" s="387"/>
      <c r="J475" s="387"/>
      <c r="K475" s="387"/>
      <c r="L475" s="387"/>
      <c r="M475" s="388"/>
      <c r="N475" s="388"/>
      <c r="O475" s="390"/>
      <c r="P475" s="391"/>
      <c r="Q475" s="389"/>
      <c r="R475" s="390"/>
      <c r="S475" s="390"/>
      <c r="T475" s="391"/>
      <c r="U475" s="392"/>
      <c r="V475" s="391"/>
      <c r="W475" s="391"/>
      <c r="X475" s="388"/>
      <c r="Y475" s="391"/>
      <c r="Z475" s="393"/>
      <c r="AA475" s="355" t="str">
        <f t="shared" si="1"/>
        <v/>
      </c>
      <c r="AB475" s="391"/>
      <c r="AC475" s="394" t="str">
        <f t="shared" si="2"/>
        <v/>
      </c>
      <c r="AD475" s="389"/>
      <c r="AE475" s="399"/>
      <c r="AF475" s="395"/>
      <c r="AG475" s="396" t="str">
        <f t="shared" si="3"/>
        <v/>
      </c>
      <c r="AH475" s="396" t="str">
        <f t="shared" si="4"/>
        <v/>
      </c>
      <c r="AI475" s="388"/>
      <c r="AJ475" s="388"/>
      <c r="AK475" s="397"/>
    </row>
    <row r="476">
      <c r="A476" s="398"/>
      <c r="B476" s="386"/>
      <c r="C476" s="387" t="str">
        <f>IF(A476="","",IFERROR(IF(VLOOKUP(A476,'1. Inbound Leads'!A:G,7,FALSE)=0,"",VLOOKUP(A476,'1. Inbound Leads'!A:G,7,FALSE)),""))</f>
        <v/>
      </c>
      <c r="D476" s="387" t="str">
        <f>IF(A476="","",IFERROR(IF(VLOOKUP(A476,'1. Inbound Leads'!A:L,12,FALSE)=0,"",VLOOKUP(A476,'1. Inbound Leads'!A:L,12,FALSE)),""))</f>
        <v/>
      </c>
      <c r="E476" s="388"/>
      <c r="F476" s="389"/>
      <c r="G476" s="387"/>
      <c r="H476" s="387"/>
      <c r="I476" s="387"/>
      <c r="J476" s="387"/>
      <c r="K476" s="387"/>
      <c r="L476" s="387"/>
      <c r="M476" s="388"/>
      <c r="N476" s="388"/>
      <c r="O476" s="390"/>
      <c r="P476" s="391"/>
      <c r="Q476" s="389"/>
      <c r="R476" s="390"/>
      <c r="S476" s="390"/>
      <c r="T476" s="391"/>
      <c r="U476" s="392"/>
      <c r="V476" s="391"/>
      <c r="W476" s="391"/>
      <c r="X476" s="388"/>
      <c r="Y476" s="391"/>
      <c r="Z476" s="393"/>
      <c r="AA476" s="355" t="str">
        <f t="shared" si="1"/>
        <v/>
      </c>
      <c r="AB476" s="391"/>
      <c r="AC476" s="394" t="str">
        <f t="shared" si="2"/>
        <v/>
      </c>
      <c r="AD476" s="389"/>
      <c r="AE476" s="399"/>
      <c r="AF476" s="395"/>
      <c r="AG476" s="396" t="str">
        <f t="shared" si="3"/>
        <v/>
      </c>
      <c r="AH476" s="396" t="str">
        <f t="shared" si="4"/>
        <v/>
      </c>
      <c r="AI476" s="388"/>
      <c r="AJ476" s="388"/>
      <c r="AK476" s="397"/>
    </row>
    <row r="477">
      <c r="A477" s="398"/>
      <c r="B477" s="386"/>
      <c r="C477" s="387" t="str">
        <f>IF(A477="","",IFERROR(IF(VLOOKUP(A477,'1. Inbound Leads'!A:G,7,FALSE)=0,"",VLOOKUP(A477,'1. Inbound Leads'!A:G,7,FALSE)),""))</f>
        <v/>
      </c>
      <c r="D477" s="387" t="str">
        <f>IF(A477="","",IFERROR(IF(VLOOKUP(A477,'1. Inbound Leads'!A:L,12,FALSE)=0,"",VLOOKUP(A477,'1. Inbound Leads'!A:L,12,FALSE)),""))</f>
        <v/>
      </c>
      <c r="E477" s="388"/>
      <c r="F477" s="389"/>
      <c r="G477" s="387"/>
      <c r="H477" s="387"/>
      <c r="I477" s="387"/>
      <c r="J477" s="387"/>
      <c r="K477" s="387"/>
      <c r="L477" s="387"/>
      <c r="M477" s="388"/>
      <c r="N477" s="388"/>
      <c r="O477" s="390"/>
      <c r="P477" s="391"/>
      <c r="Q477" s="389"/>
      <c r="R477" s="390"/>
      <c r="S477" s="390"/>
      <c r="T477" s="391"/>
      <c r="U477" s="392"/>
      <c r="V477" s="391"/>
      <c r="W477" s="391"/>
      <c r="X477" s="388"/>
      <c r="Y477" s="391"/>
      <c r="Z477" s="393"/>
      <c r="AA477" s="355" t="str">
        <f t="shared" si="1"/>
        <v/>
      </c>
      <c r="AB477" s="391"/>
      <c r="AC477" s="394" t="str">
        <f t="shared" si="2"/>
        <v/>
      </c>
      <c r="AD477" s="389"/>
      <c r="AE477" s="399"/>
      <c r="AF477" s="395"/>
      <c r="AG477" s="396" t="str">
        <f t="shared" si="3"/>
        <v/>
      </c>
      <c r="AH477" s="396" t="str">
        <f t="shared" si="4"/>
        <v/>
      </c>
      <c r="AI477" s="388"/>
      <c r="AJ477" s="388"/>
      <c r="AK477" s="397"/>
    </row>
    <row r="478">
      <c r="A478" s="398"/>
      <c r="B478" s="386"/>
      <c r="C478" s="387" t="str">
        <f>IF(A478="","",IFERROR(IF(VLOOKUP(A478,'1. Inbound Leads'!A:G,7,FALSE)=0,"",VLOOKUP(A478,'1. Inbound Leads'!A:G,7,FALSE)),""))</f>
        <v/>
      </c>
      <c r="D478" s="387" t="str">
        <f>IF(A478="","",IFERROR(IF(VLOOKUP(A478,'1. Inbound Leads'!A:L,12,FALSE)=0,"",VLOOKUP(A478,'1. Inbound Leads'!A:L,12,FALSE)),""))</f>
        <v/>
      </c>
      <c r="E478" s="388"/>
      <c r="F478" s="389"/>
      <c r="G478" s="387"/>
      <c r="H478" s="387"/>
      <c r="I478" s="387"/>
      <c r="J478" s="387"/>
      <c r="K478" s="387"/>
      <c r="L478" s="387"/>
      <c r="M478" s="388"/>
      <c r="N478" s="388"/>
      <c r="O478" s="390"/>
      <c r="P478" s="391"/>
      <c r="Q478" s="389"/>
      <c r="R478" s="390"/>
      <c r="S478" s="390"/>
      <c r="T478" s="391"/>
      <c r="U478" s="392"/>
      <c r="V478" s="391"/>
      <c r="W478" s="391"/>
      <c r="X478" s="388"/>
      <c r="Y478" s="391"/>
      <c r="Z478" s="393"/>
      <c r="AA478" s="355" t="str">
        <f t="shared" si="1"/>
        <v/>
      </c>
      <c r="AB478" s="391"/>
      <c r="AC478" s="394" t="str">
        <f t="shared" si="2"/>
        <v/>
      </c>
      <c r="AD478" s="389"/>
      <c r="AE478" s="399"/>
      <c r="AF478" s="395"/>
      <c r="AG478" s="396" t="str">
        <f t="shared" si="3"/>
        <v/>
      </c>
      <c r="AH478" s="396" t="str">
        <f t="shared" si="4"/>
        <v/>
      </c>
      <c r="AI478" s="388"/>
      <c r="AJ478" s="388"/>
      <c r="AK478" s="397"/>
    </row>
    <row r="479">
      <c r="A479" s="398"/>
      <c r="B479" s="386"/>
      <c r="C479" s="387" t="str">
        <f>IF(A479="","",IFERROR(IF(VLOOKUP(A479,'1. Inbound Leads'!A:G,7,FALSE)=0,"",VLOOKUP(A479,'1. Inbound Leads'!A:G,7,FALSE)),""))</f>
        <v/>
      </c>
      <c r="D479" s="387" t="str">
        <f>IF(A479="","",IFERROR(IF(VLOOKUP(A479,'1. Inbound Leads'!A:L,12,FALSE)=0,"",VLOOKUP(A479,'1. Inbound Leads'!A:L,12,FALSE)),""))</f>
        <v/>
      </c>
      <c r="E479" s="388"/>
      <c r="F479" s="389"/>
      <c r="G479" s="387"/>
      <c r="H479" s="387"/>
      <c r="I479" s="387"/>
      <c r="J479" s="387"/>
      <c r="K479" s="387"/>
      <c r="L479" s="387"/>
      <c r="M479" s="388"/>
      <c r="N479" s="388"/>
      <c r="O479" s="390"/>
      <c r="P479" s="391"/>
      <c r="Q479" s="389"/>
      <c r="R479" s="390"/>
      <c r="S479" s="390"/>
      <c r="T479" s="391"/>
      <c r="U479" s="392"/>
      <c r="V479" s="391"/>
      <c r="W479" s="391"/>
      <c r="X479" s="388"/>
      <c r="Y479" s="391"/>
      <c r="Z479" s="393"/>
      <c r="AA479" s="355" t="str">
        <f t="shared" si="1"/>
        <v/>
      </c>
      <c r="AB479" s="391"/>
      <c r="AC479" s="394" t="str">
        <f t="shared" si="2"/>
        <v/>
      </c>
      <c r="AD479" s="389"/>
      <c r="AE479" s="399"/>
      <c r="AF479" s="395"/>
      <c r="AG479" s="396" t="str">
        <f t="shared" si="3"/>
        <v/>
      </c>
      <c r="AH479" s="396" t="str">
        <f t="shared" si="4"/>
        <v/>
      </c>
      <c r="AI479" s="388"/>
      <c r="AJ479" s="388"/>
      <c r="AK479" s="397"/>
    </row>
    <row r="480">
      <c r="A480" s="398"/>
      <c r="B480" s="386"/>
      <c r="C480" s="387" t="str">
        <f>IF(A480="","",IFERROR(IF(VLOOKUP(A480,'1. Inbound Leads'!A:G,7,FALSE)=0,"",VLOOKUP(A480,'1. Inbound Leads'!A:G,7,FALSE)),""))</f>
        <v/>
      </c>
      <c r="D480" s="387" t="str">
        <f>IF(A480="","",IFERROR(IF(VLOOKUP(A480,'1. Inbound Leads'!A:L,12,FALSE)=0,"",VLOOKUP(A480,'1. Inbound Leads'!A:L,12,FALSE)),""))</f>
        <v/>
      </c>
      <c r="E480" s="388"/>
      <c r="F480" s="389"/>
      <c r="G480" s="387"/>
      <c r="H480" s="387"/>
      <c r="I480" s="387"/>
      <c r="J480" s="387"/>
      <c r="K480" s="387"/>
      <c r="L480" s="387"/>
      <c r="M480" s="388"/>
      <c r="N480" s="388"/>
      <c r="O480" s="390"/>
      <c r="P480" s="391"/>
      <c r="Q480" s="389"/>
      <c r="R480" s="390"/>
      <c r="S480" s="390"/>
      <c r="T480" s="391"/>
      <c r="U480" s="392"/>
      <c r="V480" s="391"/>
      <c r="W480" s="391"/>
      <c r="X480" s="388"/>
      <c r="Y480" s="391"/>
      <c r="Z480" s="393"/>
      <c r="AA480" s="355" t="str">
        <f t="shared" si="1"/>
        <v/>
      </c>
      <c r="AB480" s="391"/>
      <c r="AC480" s="394" t="str">
        <f t="shared" si="2"/>
        <v/>
      </c>
      <c r="AD480" s="389"/>
      <c r="AE480" s="399"/>
      <c r="AF480" s="395"/>
      <c r="AG480" s="396" t="str">
        <f t="shared" si="3"/>
        <v/>
      </c>
      <c r="AH480" s="396" t="str">
        <f t="shared" si="4"/>
        <v/>
      </c>
      <c r="AI480" s="388"/>
      <c r="AJ480" s="388"/>
      <c r="AK480" s="397"/>
    </row>
    <row r="481">
      <c r="A481" s="398"/>
      <c r="B481" s="386"/>
      <c r="C481" s="387" t="str">
        <f>IF(A481="","",IFERROR(IF(VLOOKUP(A481,'1. Inbound Leads'!A:G,7,FALSE)=0,"",VLOOKUP(A481,'1. Inbound Leads'!A:G,7,FALSE)),""))</f>
        <v/>
      </c>
      <c r="D481" s="387" t="str">
        <f>IF(A481="","",IFERROR(IF(VLOOKUP(A481,'1. Inbound Leads'!A:L,12,FALSE)=0,"",VLOOKUP(A481,'1. Inbound Leads'!A:L,12,FALSE)),""))</f>
        <v/>
      </c>
      <c r="E481" s="388"/>
      <c r="F481" s="389"/>
      <c r="G481" s="387"/>
      <c r="H481" s="387"/>
      <c r="I481" s="387"/>
      <c r="J481" s="387"/>
      <c r="K481" s="387"/>
      <c r="L481" s="387"/>
      <c r="M481" s="388"/>
      <c r="N481" s="388"/>
      <c r="O481" s="390"/>
      <c r="P481" s="391"/>
      <c r="Q481" s="389"/>
      <c r="R481" s="390"/>
      <c r="S481" s="390"/>
      <c r="T481" s="391"/>
      <c r="U481" s="392"/>
      <c r="V481" s="391"/>
      <c r="W481" s="391"/>
      <c r="X481" s="388"/>
      <c r="Y481" s="391"/>
      <c r="Z481" s="393"/>
      <c r="AA481" s="355" t="str">
        <f t="shared" si="1"/>
        <v/>
      </c>
      <c r="AB481" s="391"/>
      <c r="AC481" s="394" t="str">
        <f t="shared" si="2"/>
        <v/>
      </c>
      <c r="AD481" s="389"/>
      <c r="AE481" s="399"/>
      <c r="AF481" s="395"/>
      <c r="AG481" s="396" t="str">
        <f t="shared" si="3"/>
        <v/>
      </c>
      <c r="AH481" s="396" t="str">
        <f t="shared" si="4"/>
        <v/>
      </c>
      <c r="AI481" s="388"/>
      <c r="AJ481" s="388"/>
      <c r="AK481" s="397"/>
    </row>
    <row r="482">
      <c r="A482" s="398"/>
      <c r="B482" s="386"/>
      <c r="C482" s="387" t="str">
        <f>IF(A482="","",IFERROR(IF(VLOOKUP(A482,'1. Inbound Leads'!A:G,7,FALSE)=0,"",VLOOKUP(A482,'1. Inbound Leads'!A:G,7,FALSE)),""))</f>
        <v/>
      </c>
      <c r="D482" s="387" t="str">
        <f>IF(A482="","",IFERROR(IF(VLOOKUP(A482,'1. Inbound Leads'!A:L,12,FALSE)=0,"",VLOOKUP(A482,'1. Inbound Leads'!A:L,12,FALSE)),""))</f>
        <v/>
      </c>
      <c r="E482" s="388"/>
      <c r="F482" s="389"/>
      <c r="G482" s="387"/>
      <c r="H482" s="387"/>
      <c r="I482" s="387"/>
      <c r="J482" s="387"/>
      <c r="K482" s="387"/>
      <c r="L482" s="387"/>
      <c r="M482" s="388"/>
      <c r="N482" s="388"/>
      <c r="O482" s="390"/>
      <c r="P482" s="391"/>
      <c r="Q482" s="389"/>
      <c r="R482" s="390"/>
      <c r="S482" s="390"/>
      <c r="T482" s="391"/>
      <c r="U482" s="392"/>
      <c r="V482" s="391"/>
      <c r="W482" s="391"/>
      <c r="X482" s="388"/>
      <c r="Y482" s="391"/>
      <c r="Z482" s="393"/>
      <c r="AA482" s="355" t="str">
        <f t="shared" si="1"/>
        <v/>
      </c>
      <c r="AB482" s="391"/>
      <c r="AC482" s="394" t="str">
        <f t="shared" si="2"/>
        <v/>
      </c>
      <c r="AD482" s="389"/>
      <c r="AE482" s="399"/>
      <c r="AF482" s="395"/>
      <c r="AG482" s="396" t="str">
        <f t="shared" si="3"/>
        <v/>
      </c>
      <c r="AH482" s="396" t="str">
        <f t="shared" si="4"/>
        <v/>
      </c>
      <c r="AI482" s="388"/>
      <c r="AJ482" s="388"/>
      <c r="AK482" s="397"/>
    </row>
    <row r="483">
      <c r="A483" s="398"/>
      <c r="B483" s="386"/>
      <c r="C483" s="387" t="str">
        <f>IF(A483="","",IFERROR(IF(VLOOKUP(A483,'1. Inbound Leads'!A:G,7,FALSE)=0,"",VLOOKUP(A483,'1. Inbound Leads'!A:G,7,FALSE)),""))</f>
        <v/>
      </c>
      <c r="D483" s="387" t="str">
        <f>IF(A483="","",IFERROR(IF(VLOOKUP(A483,'1. Inbound Leads'!A:L,12,FALSE)=0,"",VLOOKUP(A483,'1. Inbound Leads'!A:L,12,FALSE)),""))</f>
        <v/>
      </c>
      <c r="E483" s="388"/>
      <c r="F483" s="389"/>
      <c r="G483" s="387"/>
      <c r="H483" s="387"/>
      <c r="I483" s="387"/>
      <c r="J483" s="387"/>
      <c r="K483" s="387"/>
      <c r="L483" s="387"/>
      <c r="M483" s="388"/>
      <c r="N483" s="388"/>
      <c r="O483" s="390"/>
      <c r="P483" s="391"/>
      <c r="Q483" s="389"/>
      <c r="R483" s="390"/>
      <c r="S483" s="390"/>
      <c r="T483" s="391"/>
      <c r="U483" s="392"/>
      <c r="V483" s="391"/>
      <c r="W483" s="391"/>
      <c r="X483" s="388"/>
      <c r="Y483" s="391"/>
      <c r="Z483" s="393"/>
      <c r="AA483" s="355" t="str">
        <f t="shared" si="1"/>
        <v/>
      </c>
      <c r="AB483" s="391"/>
      <c r="AC483" s="394" t="str">
        <f t="shared" si="2"/>
        <v/>
      </c>
      <c r="AD483" s="389"/>
      <c r="AE483" s="399"/>
      <c r="AF483" s="395"/>
      <c r="AG483" s="396" t="str">
        <f t="shared" si="3"/>
        <v/>
      </c>
      <c r="AH483" s="396" t="str">
        <f t="shared" si="4"/>
        <v/>
      </c>
      <c r="AI483" s="388"/>
      <c r="AJ483" s="388"/>
      <c r="AK483" s="397"/>
    </row>
    <row r="484">
      <c r="A484" s="398"/>
      <c r="B484" s="386"/>
      <c r="C484" s="387" t="str">
        <f>IF(A484="","",IFERROR(IF(VLOOKUP(A484,'1. Inbound Leads'!A:G,7,FALSE)=0,"",VLOOKUP(A484,'1. Inbound Leads'!A:G,7,FALSE)),""))</f>
        <v/>
      </c>
      <c r="D484" s="387" t="str">
        <f>IF(A484="","",IFERROR(IF(VLOOKUP(A484,'1. Inbound Leads'!A:L,12,FALSE)=0,"",VLOOKUP(A484,'1. Inbound Leads'!A:L,12,FALSE)),""))</f>
        <v/>
      </c>
      <c r="E484" s="388"/>
      <c r="F484" s="389"/>
      <c r="G484" s="387"/>
      <c r="H484" s="387"/>
      <c r="I484" s="387"/>
      <c r="J484" s="387"/>
      <c r="K484" s="387"/>
      <c r="L484" s="387"/>
      <c r="M484" s="388"/>
      <c r="N484" s="388"/>
      <c r="O484" s="390"/>
      <c r="P484" s="391"/>
      <c r="Q484" s="389"/>
      <c r="R484" s="390"/>
      <c r="S484" s="390"/>
      <c r="T484" s="391"/>
      <c r="U484" s="392"/>
      <c r="V484" s="391"/>
      <c r="W484" s="391"/>
      <c r="X484" s="388"/>
      <c r="Y484" s="391"/>
      <c r="Z484" s="393"/>
      <c r="AA484" s="355" t="str">
        <f t="shared" si="1"/>
        <v/>
      </c>
      <c r="AB484" s="391"/>
      <c r="AC484" s="394" t="str">
        <f t="shared" si="2"/>
        <v/>
      </c>
      <c r="AD484" s="389"/>
      <c r="AE484" s="399"/>
      <c r="AF484" s="395"/>
      <c r="AG484" s="396" t="str">
        <f t="shared" si="3"/>
        <v/>
      </c>
      <c r="AH484" s="396" t="str">
        <f t="shared" si="4"/>
        <v/>
      </c>
      <c r="AI484" s="388"/>
      <c r="AJ484" s="388"/>
      <c r="AK484" s="397"/>
    </row>
    <row r="485">
      <c r="A485" s="398"/>
      <c r="B485" s="386"/>
      <c r="C485" s="387" t="str">
        <f>IF(A485="","",IFERROR(IF(VLOOKUP(A485,'1. Inbound Leads'!A:G,7,FALSE)=0,"",VLOOKUP(A485,'1. Inbound Leads'!A:G,7,FALSE)),""))</f>
        <v/>
      </c>
      <c r="D485" s="387" t="str">
        <f>IF(A485="","",IFERROR(IF(VLOOKUP(A485,'1. Inbound Leads'!A:L,12,FALSE)=0,"",VLOOKUP(A485,'1. Inbound Leads'!A:L,12,FALSE)),""))</f>
        <v/>
      </c>
      <c r="E485" s="388"/>
      <c r="F485" s="389"/>
      <c r="G485" s="387"/>
      <c r="H485" s="387"/>
      <c r="I485" s="387"/>
      <c r="J485" s="387"/>
      <c r="K485" s="387"/>
      <c r="L485" s="387"/>
      <c r="M485" s="388"/>
      <c r="N485" s="388"/>
      <c r="O485" s="390"/>
      <c r="P485" s="391"/>
      <c r="Q485" s="389"/>
      <c r="R485" s="390"/>
      <c r="S485" s="390"/>
      <c r="T485" s="391"/>
      <c r="U485" s="392"/>
      <c r="V485" s="391"/>
      <c r="W485" s="391"/>
      <c r="X485" s="388"/>
      <c r="Y485" s="391"/>
      <c r="Z485" s="393"/>
      <c r="AA485" s="355" t="str">
        <f t="shared" si="1"/>
        <v/>
      </c>
      <c r="AB485" s="391"/>
      <c r="AC485" s="394" t="str">
        <f t="shared" si="2"/>
        <v/>
      </c>
      <c r="AD485" s="389"/>
      <c r="AE485" s="399"/>
      <c r="AF485" s="395"/>
      <c r="AG485" s="396" t="str">
        <f t="shared" si="3"/>
        <v/>
      </c>
      <c r="AH485" s="396" t="str">
        <f t="shared" si="4"/>
        <v/>
      </c>
      <c r="AI485" s="388"/>
      <c r="AJ485" s="388"/>
      <c r="AK485" s="397"/>
    </row>
    <row r="486">
      <c r="A486" s="398"/>
      <c r="B486" s="386"/>
      <c r="C486" s="387" t="str">
        <f>IF(A486="","",IFERROR(IF(VLOOKUP(A486,'1. Inbound Leads'!A:G,7,FALSE)=0,"",VLOOKUP(A486,'1. Inbound Leads'!A:G,7,FALSE)),""))</f>
        <v/>
      </c>
      <c r="D486" s="387" t="str">
        <f>IF(A486="","",IFERROR(IF(VLOOKUP(A486,'1. Inbound Leads'!A:L,12,FALSE)=0,"",VLOOKUP(A486,'1. Inbound Leads'!A:L,12,FALSE)),""))</f>
        <v/>
      </c>
      <c r="E486" s="388"/>
      <c r="F486" s="389"/>
      <c r="G486" s="387"/>
      <c r="H486" s="387"/>
      <c r="I486" s="387"/>
      <c r="J486" s="387"/>
      <c r="K486" s="387"/>
      <c r="L486" s="387"/>
      <c r="M486" s="388"/>
      <c r="N486" s="388"/>
      <c r="O486" s="390"/>
      <c r="P486" s="391"/>
      <c r="Q486" s="389"/>
      <c r="R486" s="390"/>
      <c r="S486" s="390"/>
      <c r="T486" s="391"/>
      <c r="U486" s="392"/>
      <c r="V486" s="391"/>
      <c r="W486" s="391"/>
      <c r="X486" s="388"/>
      <c r="Y486" s="391"/>
      <c r="Z486" s="393"/>
      <c r="AA486" s="355" t="str">
        <f t="shared" si="1"/>
        <v/>
      </c>
      <c r="AB486" s="391"/>
      <c r="AC486" s="394" t="str">
        <f t="shared" si="2"/>
        <v/>
      </c>
      <c r="AD486" s="389"/>
      <c r="AE486" s="399"/>
      <c r="AF486" s="395"/>
      <c r="AG486" s="396" t="str">
        <f t="shared" si="3"/>
        <v/>
      </c>
      <c r="AH486" s="396" t="str">
        <f t="shared" si="4"/>
        <v/>
      </c>
      <c r="AI486" s="388"/>
      <c r="AJ486" s="388"/>
      <c r="AK486" s="397"/>
    </row>
    <row r="487">
      <c r="A487" s="398"/>
      <c r="B487" s="386"/>
      <c r="C487" s="387" t="str">
        <f>IF(A487="","",IFERROR(IF(VLOOKUP(A487,'1. Inbound Leads'!A:G,7,FALSE)=0,"",VLOOKUP(A487,'1. Inbound Leads'!A:G,7,FALSE)),""))</f>
        <v/>
      </c>
      <c r="D487" s="387" t="str">
        <f>IF(A487="","",IFERROR(IF(VLOOKUP(A487,'1. Inbound Leads'!A:L,12,FALSE)=0,"",VLOOKUP(A487,'1. Inbound Leads'!A:L,12,FALSE)),""))</f>
        <v/>
      </c>
      <c r="E487" s="388"/>
      <c r="F487" s="389"/>
      <c r="G487" s="387"/>
      <c r="H487" s="387"/>
      <c r="I487" s="387"/>
      <c r="J487" s="387"/>
      <c r="K487" s="387"/>
      <c r="L487" s="387"/>
      <c r="M487" s="388"/>
      <c r="N487" s="388"/>
      <c r="O487" s="390"/>
      <c r="P487" s="391"/>
      <c r="Q487" s="389"/>
      <c r="R487" s="390"/>
      <c r="S487" s="390"/>
      <c r="T487" s="391"/>
      <c r="U487" s="392"/>
      <c r="V487" s="391"/>
      <c r="W487" s="391"/>
      <c r="X487" s="388"/>
      <c r="Y487" s="391"/>
      <c r="Z487" s="393"/>
      <c r="AA487" s="355" t="str">
        <f t="shared" si="1"/>
        <v/>
      </c>
      <c r="AB487" s="391"/>
      <c r="AC487" s="394" t="str">
        <f t="shared" si="2"/>
        <v/>
      </c>
      <c r="AD487" s="389"/>
      <c r="AE487" s="399"/>
      <c r="AF487" s="395"/>
      <c r="AG487" s="396" t="str">
        <f t="shared" si="3"/>
        <v/>
      </c>
      <c r="AH487" s="396" t="str">
        <f t="shared" si="4"/>
        <v/>
      </c>
      <c r="AI487" s="388"/>
      <c r="AJ487" s="388"/>
      <c r="AK487" s="397"/>
    </row>
    <row r="488">
      <c r="A488" s="398"/>
      <c r="B488" s="386"/>
      <c r="C488" s="387" t="str">
        <f>IF(A488="","",IFERROR(IF(VLOOKUP(A488,'1. Inbound Leads'!A:G,7,FALSE)=0,"",VLOOKUP(A488,'1. Inbound Leads'!A:G,7,FALSE)),""))</f>
        <v/>
      </c>
      <c r="D488" s="387" t="str">
        <f>IF(A488="","",IFERROR(IF(VLOOKUP(A488,'1. Inbound Leads'!A:L,12,FALSE)=0,"",VLOOKUP(A488,'1. Inbound Leads'!A:L,12,FALSE)),""))</f>
        <v/>
      </c>
      <c r="E488" s="388"/>
      <c r="F488" s="389"/>
      <c r="G488" s="387"/>
      <c r="H488" s="387"/>
      <c r="I488" s="387"/>
      <c r="J488" s="387"/>
      <c r="K488" s="387"/>
      <c r="L488" s="387"/>
      <c r="M488" s="388"/>
      <c r="N488" s="388"/>
      <c r="O488" s="390"/>
      <c r="P488" s="391"/>
      <c r="Q488" s="389"/>
      <c r="R488" s="390"/>
      <c r="S488" s="390"/>
      <c r="T488" s="391"/>
      <c r="U488" s="392"/>
      <c r="V488" s="391"/>
      <c r="W488" s="391"/>
      <c r="X488" s="388"/>
      <c r="Y488" s="391"/>
      <c r="Z488" s="393"/>
      <c r="AA488" s="355" t="str">
        <f t="shared" si="1"/>
        <v/>
      </c>
      <c r="AB488" s="391"/>
      <c r="AC488" s="394" t="str">
        <f t="shared" si="2"/>
        <v/>
      </c>
      <c r="AD488" s="389"/>
      <c r="AE488" s="399"/>
      <c r="AF488" s="395"/>
      <c r="AG488" s="396" t="str">
        <f t="shared" si="3"/>
        <v/>
      </c>
      <c r="AH488" s="396" t="str">
        <f t="shared" si="4"/>
        <v/>
      </c>
      <c r="AI488" s="388"/>
      <c r="AJ488" s="388"/>
      <c r="AK488" s="397"/>
    </row>
    <row r="489">
      <c r="A489" s="398"/>
      <c r="B489" s="386"/>
      <c r="C489" s="387" t="str">
        <f>IF(A489="","",IFERROR(IF(VLOOKUP(A489,'1. Inbound Leads'!A:G,7,FALSE)=0,"",VLOOKUP(A489,'1. Inbound Leads'!A:G,7,FALSE)),""))</f>
        <v/>
      </c>
      <c r="D489" s="387" t="str">
        <f>IF(A489="","",IFERROR(IF(VLOOKUP(A489,'1. Inbound Leads'!A:L,12,FALSE)=0,"",VLOOKUP(A489,'1. Inbound Leads'!A:L,12,FALSE)),""))</f>
        <v/>
      </c>
      <c r="E489" s="388"/>
      <c r="F489" s="389"/>
      <c r="G489" s="387"/>
      <c r="H489" s="387"/>
      <c r="I489" s="387"/>
      <c r="J489" s="387"/>
      <c r="K489" s="387"/>
      <c r="L489" s="387"/>
      <c r="M489" s="388"/>
      <c r="N489" s="388"/>
      <c r="O489" s="390"/>
      <c r="P489" s="391"/>
      <c r="Q489" s="389"/>
      <c r="R489" s="390"/>
      <c r="S489" s="390"/>
      <c r="T489" s="391"/>
      <c r="U489" s="392"/>
      <c r="V489" s="391"/>
      <c r="W489" s="391"/>
      <c r="X489" s="388"/>
      <c r="Y489" s="391"/>
      <c r="Z489" s="393"/>
      <c r="AA489" s="355" t="str">
        <f t="shared" si="1"/>
        <v/>
      </c>
      <c r="AB489" s="391"/>
      <c r="AC489" s="394" t="str">
        <f t="shared" si="2"/>
        <v/>
      </c>
      <c r="AD489" s="389"/>
      <c r="AE489" s="399"/>
      <c r="AF489" s="395"/>
      <c r="AG489" s="396" t="str">
        <f t="shared" si="3"/>
        <v/>
      </c>
      <c r="AH489" s="396" t="str">
        <f t="shared" si="4"/>
        <v/>
      </c>
      <c r="AI489" s="388"/>
      <c r="AJ489" s="388"/>
      <c r="AK489" s="397"/>
    </row>
    <row r="490">
      <c r="A490" s="398"/>
      <c r="B490" s="386"/>
      <c r="C490" s="387" t="str">
        <f>IF(A490="","",IFERROR(IF(VLOOKUP(A490,'1. Inbound Leads'!A:G,7,FALSE)=0,"",VLOOKUP(A490,'1. Inbound Leads'!A:G,7,FALSE)),""))</f>
        <v/>
      </c>
      <c r="D490" s="387" t="str">
        <f>IF(A490="","",IFERROR(IF(VLOOKUP(A490,'1. Inbound Leads'!A:L,12,FALSE)=0,"",VLOOKUP(A490,'1. Inbound Leads'!A:L,12,FALSE)),""))</f>
        <v/>
      </c>
      <c r="E490" s="388"/>
      <c r="F490" s="389"/>
      <c r="G490" s="387"/>
      <c r="H490" s="387"/>
      <c r="I490" s="387"/>
      <c r="J490" s="387"/>
      <c r="K490" s="387"/>
      <c r="L490" s="387"/>
      <c r="M490" s="388"/>
      <c r="N490" s="388"/>
      <c r="O490" s="390"/>
      <c r="P490" s="391"/>
      <c r="Q490" s="389"/>
      <c r="R490" s="390"/>
      <c r="S490" s="390"/>
      <c r="T490" s="391"/>
      <c r="U490" s="392"/>
      <c r="V490" s="391"/>
      <c r="W490" s="391"/>
      <c r="X490" s="388"/>
      <c r="Y490" s="391"/>
      <c r="Z490" s="393"/>
      <c r="AA490" s="355" t="str">
        <f t="shared" si="1"/>
        <v/>
      </c>
      <c r="AB490" s="391"/>
      <c r="AC490" s="394" t="str">
        <f t="shared" si="2"/>
        <v/>
      </c>
      <c r="AD490" s="389"/>
      <c r="AE490" s="399"/>
      <c r="AF490" s="395"/>
      <c r="AG490" s="396" t="str">
        <f t="shared" si="3"/>
        <v/>
      </c>
      <c r="AH490" s="396" t="str">
        <f t="shared" si="4"/>
        <v/>
      </c>
      <c r="AI490" s="388"/>
      <c r="AJ490" s="388"/>
      <c r="AK490" s="397"/>
    </row>
    <row r="491">
      <c r="A491" s="398"/>
      <c r="B491" s="386"/>
      <c r="C491" s="387" t="str">
        <f>IF(A491="","",IFERROR(IF(VLOOKUP(A491,'1. Inbound Leads'!A:G,7,FALSE)=0,"",VLOOKUP(A491,'1. Inbound Leads'!A:G,7,FALSE)),""))</f>
        <v/>
      </c>
      <c r="D491" s="387" t="str">
        <f>IF(A491="","",IFERROR(IF(VLOOKUP(A491,'1. Inbound Leads'!A:L,12,FALSE)=0,"",VLOOKUP(A491,'1. Inbound Leads'!A:L,12,FALSE)),""))</f>
        <v/>
      </c>
      <c r="E491" s="388"/>
      <c r="F491" s="389"/>
      <c r="G491" s="387"/>
      <c r="H491" s="387"/>
      <c r="I491" s="387"/>
      <c r="J491" s="387"/>
      <c r="K491" s="387"/>
      <c r="L491" s="387"/>
      <c r="M491" s="388"/>
      <c r="N491" s="388"/>
      <c r="O491" s="390"/>
      <c r="P491" s="391"/>
      <c r="Q491" s="389"/>
      <c r="R491" s="390"/>
      <c r="S491" s="390"/>
      <c r="T491" s="391"/>
      <c r="U491" s="392"/>
      <c r="V491" s="391"/>
      <c r="W491" s="391"/>
      <c r="X491" s="388"/>
      <c r="Y491" s="391"/>
      <c r="Z491" s="393"/>
      <c r="AA491" s="355" t="str">
        <f t="shared" si="1"/>
        <v/>
      </c>
      <c r="AB491" s="391"/>
      <c r="AC491" s="394" t="str">
        <f t="shared" si="2"/>
        <v/>
      </c>
      <c r="AD491" s="389"/>
      <c r="AE491" s="399"/>
      <c r="AF491" s="395"/>
      <c r="AG491" s="396" t="str">
        <f t="shared" si="3"/>
        <v/>
      </c>
      <c r="AH491" s="396" t="str">
        <f t="shared" si="4"/>
        <v/>
      </c>
      <c r="AI491" s="388"/>
      <c r="AJ491" s="388"/>
      <c r="AK491" s="397"/>
    </row>
    <row r="492">
      <c r="A492" s="398"/>
      <c r="B492" s="386"/>
      <c r="C492" s="387" t="str">
        <f>IF(A492="","",IFERROR(IF(VLOOKUP(A492,'1. Inbound Leads'!A:G,7,FALSE)=0,"",VLOOKUP(A492,'1. Inbound Leads'!A:G,7,FALSE)),""))</f>
        <v/>
      </c>
      <c r="D492" s="387" t="str">
        <f>IF(A492="","",IFERROR(IF(VLOOKUP(A492,'1. Inbound Leads'!A:L,12,FALSE)=0,"",VLOOKUP(A492,'1. Inbound Leads'!A:L,12,FALSE)),""))</f>
        <v/>
      </c>
      <c r="E492" s="388"/>
      <c r="F492" s="389"/>
      <c r="G492" s="387"/>
      <c r="H492" s="387"/>
      <c r="I492" s="387"/>
      <c r="J492" s="387"/>
      <c r="K492" s="387"/>
      <c r="L492" s="387"/>
      <c r="M492" s="388"/>
      <c r="N492" s="388"/>
      <c r="O492" s="390"/>
      <c r="P492" s="391"/>
      <c r="Q492" s="389"/>
      <c r="R492" s="390"/>
      <c r="S492" s="390"/>
      <c r="T492" s="391"/>
      <c r="U492" s="392"/>
      <c r="V492" s="391"/>
      <c r="W492" s="391"/>
      <c r="X492" s="388"/>
      <c r="Y492" s="391"/>
      <c r="Z492" s="393"/>
      <c r="AA492" s="355" t="str">
        <f t="shared" si="1"/>
        <v/>
      </c>
      <c r="AB492" s="391"/>
      <c r="AC492" s="394" t="str">
        <f t="shared" si="2"/>
        <v/>
      </c>
      <c r="AD492" s="389"/>
      <c r="AE492" s="399"/>
      <c r="AF492" s="395"/>
      <c r="AG492" s="396" t="str">
        <f t="shared" si="3"/>
        <v/>
      </c>
      <c r="AH492" s="396" t="str">
        <f t="shared" si="4"/>
        <v/>
      </c>
      <c r="AI492" s="388"/>
      <c r="AJ492" s="388"/>
      <c r="AK492" s="397"/>
    </row>
    <row r="493">
      <c r="A493" s="398"/>
      <c r="B493" s="386"/>
      <c r="C493" s="387" t="str">
        <f>IF(A493="","",IFERROR(IF(VLOOKUP(A493,'1. Inbound Leads'!A:G,7,FALSE)=0,"",VLOOKUP(A493,'1. Inbound Leads'!A:G,7,FALSE)),""))</f>
        <v/>
      </c>
      <c r="D493" s="387" t="str">
        <f>IF(A493="","",IFERROR(IF(VLOOKUP(A493,'1. Inbound Leads'!A:L,12,FALSE)=0,"",VLOOKUP(A493,'1. Inbound Leads'!A:L,12,FALSE)),""))</f>
        <v/>
      </c>
      <c r="E493" s="388"/>
      <c r="F493" s="389"/>
      <c r="G493" s="387"/>
      <c r="H493" s="387"/>
      <c r="I493" s="387"/>
      <c r="J493" s="387"/>
      <c r="K493" s="387"/>
      <c r="L493" s="387"/>
      <c r="M493" s="388"/>
      <c r="N493" s="388"/>
      <c r="O493" s="390"/>
      <c r="P493" s="391"/>
      <c r="Q493" s="389"/>
      <c r="R493" s="390"/>
      <c r="S493" s="390"/>
      <c r="T493" s="391"/>
      <c r="U493" s="392"/>
      <c r="V493" s="391"/>
      <c r="W493" s="391"/>
      <c r="X493" s="388"/>
      <c r="Y493" s="391"/>
      <c r="Z493" s="393"/>
      <c r="AA493" s="355" t="str">
        <f t="shared" si="1"/>
        <v/>
      </c>
      <c r="AB493" s="391"/>
      <c r="AC493" s="394" t="str">
        <f t="shared" si="2"/>
        <v/>
      </c>
      <c r="AD493" s="389"/>
      <c r="AE493" s="399"/>
      <c r="AF493" s="395"/>
      <c r="AG493" s="396" t="str">
        <f t="shared" si="3"/>
        <v/>
      </c>
      <c r="AH493" s="396" t="str">
        <f t="shared" si="4"/>
        <v/>
      </c>
      <c r="AI493" s="388"/>
      <c r="AJ493" s="388"/>
      <c r="AK493" s="397"/>
    </row>
    <row r="494">
      <c r="A494" s="398"/>
      <c r="B494" s="386"/>
      <c r="C494" s="387" t="str">
        <f>IF(A494="","",IFERROR(IF(VLOOKUP(A494,'1. Inbound Leads'!A:G,7,FALSE)=0,"",VLOOKUP(A494,'1. Inbound Leads'!A:G,7,FALSE)),""))</f>
        <v/>
      </c>
      <c r="D494" s="387" t="str">
        <f>IF(A494="","",IFERROR(IF(VLOOKUP(A494,'1. Inbound Leads'!A:L,12,FALSE)=0,"",VLOOKUP(A494,'1. Inbound Leads'!A:L,12,FALSE)),""))</f>
        <v/>
      </c>
      <c r="E494" s="388"/>
      <c r="F494" s="389"/>
      <c r="G494" s="387"/>
      <c r="H494" s="387"/>
      <c r="I494" s="387"/>
      <c r="J494" s="387"/>
      <c r="K494" s="387"/>
      <c r="L494" s="387"/>
      <c r="M494" s="388"/>
      <c r="N494" s="388"/>
      <c r="O494" s="390"/>
      <c r="P494" s="391"/>
      <c r="Q494" s="389"/>
      <c r="R494" s="390"/>
      <c r="S494" s="390"/>
      <c r="T494" s="391"/>
      <c r="U494" s="392"/>
      <c r="V494" s="391"/>
      <c r="W494" s="391"/>
      <c r="X494" s="388"/>
      <c r="Y494" s="391"/>
      <c r="Z494" s="393"/>
      <c r="AA494" s="355" t="str">
        <f t="shared" si="1"/>
        <v/>
      </c>
      <c r="AB494" s="391"/>
      <c r="AC494" s="394" t="str">
        <f t="shared" si="2"/>
        <v/>
      </c>
      <c r="AD494" s="389"/>
      <c r="AE494" s="399"/>
      <c r="AF494" s="395"/>
      <c r="AG494" s="396" t="str">
        <f t="shared" si="3"/>
        <v/>
      </c>
      <c r="AH494" s="396" t="str">
        <f t="shared" si="4"/>
        <v/>
      </c>
      <c r="AI494" s="388"/>
      <c r="AJ494" s="388"/>
      <c r="AK494" s="397"/>
    </row>
    <row r="495">
      <c r="A495" s="398"/>
      <c r="B495" s="386"/>
      <c r="C495" s="387" t="str">
        <f>IF(A495="","",IFERROR(IF(VLOOKUP(A495,'1. Inbound Leads'!A:G,7,FALSE)=0,"",VLOOKUP(A495,'1. Inbound Leads'!A:G,7,FALSE)),""))</f>
        <v/>
      </c>
      <c r="D495" s="387" t="str">
        <f>IF(A495="","",IFERROR(IF(VLOOKUP(A495,'1. Inbound Leads'!A:L,12,FALSE)=0,"",VLOOKUP(A495,'1. Inbound Leads'!A:L,12,FALSE)),""))</f>
        <v/>
      </c>
      <c r="E495" s="388"/>
      <c r="F495" s="389"/>
      <c r="G495" s="387"/>
      <c r="H495" s="387"/>
      <c r="I495" s="387"/>
      <c r="J495" s="387"/>
      <c r="K495" s="387"/>
      <c r="L495" s="387"/>
      <c r="M495" s="388"/>
      <c r="N495" s="388"/>
      <c r="O495" s="390"/>
      <c r="P495" s="391"/>
      <c r="Q495" s="389"/>
      <c r="R495" s="390"/>
      <c r="S495" s="390"/>
      <c r="T495" s="391"/>
      <c r="U495" s="392"/>
      <c r="V495" s="391"/>
      <c r="W495" s="391"/>
      <c r="X495" s="388"/>
      <c r="Y495" s="391"/>
      <c r="Z495" s="393"/>
      <c r="AA495" s="355" t="str">
        <f t="shared" si="1"/>
        <v/>
      </c>
      <c r="AB495" s="391"/>
      <c r="AC495" s="394" t="str">
        <f t="shared" si="2"/>
        <v/>
      </c>
      <c r="AD495" s="389"/>
      <c r="AE495" s="399"/>
      <c r="AF495" s="395"/>
      <c r="AG495" s="396" t="str">
        <f t="shared" si="3"/>
        <v/>
      </c>
      <c r="AH495" s="396" t="str">
        <f t="shared" si="4"/>
        <v/>
      </c>
      <c r="AI495" s="388"/>
      <c r="AJ495" s="388"/>
      <c r="AK495" s="397"/>
    </row>
    <row r="496">
      <c r="A496" s="398"/>
      <c r="B496" s="386"/>
      <c r="C496" s="387" t="str">
        <f>IF(A496="","",IFERROR(IF(VLOOKUP(A496,'1. Inbound Leads'!A:G,7,FALSE)=0,"",VLOOKUP(A496,'1. Inbound Leads'!A:G,7,FALSE)),""))</f>
        <v/>
      </c>
      <c r="D496" s="387" t="str">
        <f>IF(A496="","",IFERROR(IF(VLOOKUP(A496,'1. Inbound Leads'!A:L,12,FALSE)=0,"",VLOOKUP(A496,'1. Inbound Leads'!A:L,12,FALSE)),""))</f>
        <v/>
      </c>
      <c r="E496" s="388"/>
      <c r="F496" s="389"/>
      <c r="G496" s="387"/>
      <c r="H496" s="387"/>
      <c r="I496" s="387"/>
      <c r="J496" s="387"/>
      <c r="K496" s="387"/>
      <c r="L496" s="387"/>
      <c r="M496" s="388"/>
      <c r="N496" s="388"/>
      <c r="O496" s="390"/>
      <c r="P496" s="391"/>
      <c r="Q496" s="389"/>
      <c r="R496" s="390"/>
      <c r="S496" s="390"/>
      <c r="T496" s="391"/>
      <c r="U496" s="392"/>
      <c r="V496" s="391"/>
      <c r="W496" s="391"/>
      <c r="X496" s="388"/>
      <c r="Y496" s="391"/>
      <c r="Z496" s="393"/>
      <c r="AA496" s="355" t="str">
        <f t="shared" si="1"/>
        <v/>
      </c>
      <c r="AB496" s="391"/>
      <c r="AC496" s="394" t="str">
        <f t="shared" si="2"/>
        <v/>
      </c>
      <c r="AD496" s="389"/>
      <c r="AE496" s="399"/>
      <c r="AF496" s="395"/>
      <c r="AG496" s="396" t="str">
        <f t="shared" si="3"/>
        <v/>
      </c>
      <c r="AH496" s="396" t="str">
        <f t="shared" si="4"/>
        <v/>
      </c>
      <c r="AI496" s="388"/>
      <c r="AJ496" s="388"/>
      <c r="AK496" s="397"/>
    </row>
    <row r="497">
      <c r="A497" s="398"/>
      <c r="B497" s="386"/>
      <c r="C497" s="387" t="str">
        <f>IF(A497="","",IFERROR(IF(VLOOKUP(A497,'1. Inbound Leads'!A:G,7,FALSE)=0,"",VLOOKUP(A497,'1. Inbound Leads'!A:G,7,FALSE)),""))</f>
        <v/>
      </c>
      <c r="D497" s="387" t="str">
        <f>IF(A497="","",IFERROR(IF(VLOOKUP(A497,'1. Inbound Leads'!A:L,12,FALSE)=0,"",VLOOKUP(A497,'1. Inbound Leads'!A:L,12,FALSE)),""))</f>
        <v/>
      </c>
      <c r="E497" s="388"/>
      <c r="F497" s="389"/>
      <c r="G497" s="387"/>
      <c r="H497" s="387"/>
      <c r="I497" s="387"/>
      <c r="J497" s="387"/>
      <c r="K497" s="387"/>
      <c r="L497" s="387"/>
      <c r="M497" s="388"/>
      <c r="N497" s="388"/>
      <c r="O497" s="390"/>
      <c r="P497" s="391"/>
      <c r="Q497" s="389"/>
      <c r="R497" s="390"/>
      <c r="S497" s="390"/>
      <c r="T497" s="391"/>
      <c r="U497" s="392"/>
      <c r="V497" s="391"/>
      <c r="W497" s="391"/>
      <c r="X497" s="388"/>
      <c r="Y497" s="391"/>
      <c r="Z497" s="393"/>
      <c r="AA497" s="355" t="str">
        <f t="shared" si="1"/>
        <v/>
      </c>
      <c r="AB497" s="391"/>
      <c r="AC497" s="394" t="str">
        <f t="shared" si="2"/>
        <v/>
      </c>
      <c r="AD497" s="389"/>
      <c r="AE497" s="399"/>
      <c r="AF497" s="395"/>
      <c r="AG497" s="396" t="str">
        <f t="shared" si="3"/>
        <v/>
      </c>
      <c r="AH497" s="396" t="str">
        <f t="shared" si="4"/>
        <v/>
      </c>
      <c r="AI497" s="388"/>
      <c r="AJ497" s="388"/>
      <c r="AK497" s="397"/>
    </row>
    <row r="498">
      <c r="A498" s="398"/>
      <c r="B498" s="386"/>
      <c r="C498" s="387" t="str">
        <f>IF(A498="","",IFERROR(IF(VLOOKUP(A498,'1. Inbound Leads'!A:G,7,FALSE)=0,"",VLOOKUP(A498,'1. Inbound Leads'!A:G,7,FALSE)),""))</f>
        <v/>
      </c>
      <c r="D498" s="387" t="str">
        <f>IF(A498="","",IFERROR(IF(VLOOKUP(A498,'1. Inbound Leads'!A:L,12,FALSE)=0,"",VLOOKUP(A498,'1. Inbound Leads'!A:L,12,FALSE)),""))</f>
        <v/>
      </c>
      <c r="E498" s="388"/>
      <c r="F498" s="389"/>
      <c r="G498" s="387"/>
      <c r="H498" s="387"/>
      <c r="I498" s="387"/>
      <c r="J498" s="387"/>
      <c r="K498" s="387"/>
      <c r="L498" s="387"/>
      <c r="M498" s="388"/>
      <c r="N498" s="388"/>
      <c r="O498" s="390"/>
      <c r="P498" s="391"/>
      <c r="Q498" s="389"/>
      <c r="R498" s="390"/>
      <c r="S498" s="390"/>
      <c r="T498" s="391"/>
      <c r="U498" s="392"/>
      <c r="V498" s="391"/>
      <c r="W498" s="391"/>
      <c r="X498" s="388"/>
      <c r="Y498" s="391"/>
      <c r="Z498" s="393"/>
      <c r="AA498" s="355" t="str">
        <f t="shared" si="1"/>
        <v/>
      </c>
      <c r="AB498" s="391"/>
      <c r="AC498" s="394" t="str">
        <f t="shared" si="2"/>
        <v/>
      </c>
      <c r="AD498" s="389"/>
      <c r="AE498" s="399"/>
      <c r="AF498" s="395"/>
      <c r="AG498" s="396" t="str">
        <f t="shared" si="3"/>
        <v/>
      </c>
      <c r="AH498" s="396" t="str">
        <f t="shared" si="4"/>
        <v/>
      </c>
      <c r="AI498" s="388"/>
      <c r="AJ498" s="388"/>
      <c r="AK498" s="397"/>
    </row>
    <row r="499">
      <c r="A499" s="398"/>
      <c r="B499" s="386"/>
      <c r="C499" s="387" t="str">
        <f>IF(A499="","",IFERROR(IF(VLOOKUP(A499,'1. Inbound Leads'!A:G,7,FALSE)=0,"",VLOOKUP(A499,'1. Inbound Leads'!A:G,7,FALSE)),""))</f>
        <v/>
      </c>
      <c r="D499" s="387" t="str">
        <f>IF(A499="","",IFERROR(IF(VLOOKUP(A499,'1. Inbound Leads'!A:L,12,FALSE)=0,"",VLOOKUP(A499,'1. Inbound Leads'!A:L,12,FALSE)),""))</f>
        <v/>
      </c>
      <c r="E499" s="388"/>
      <c r="F499" s="389"/>
      <c r="G499" s="387"/>
      <c r="H499" s="387"/>
      <c r="I499" s="387"/>
      <c r="J499" s="387"/>
      <c r="K499" s="387"/>
      <c r="L499" s="387"/>
      <c r="M499" s="388"/>
      <c r="N499" s="388"/>
      <c r="O499" s="390"/>
      <c r="P499" s="391"/>
      <c r="Q499" s="389"/>
      <c r="R499" s="390"/>
      <c r="S499" s="390"/>
      <c r="T499" s="391"/>
      <c r="U499" s="392"/>
      <c r="V499" s="391"/>
      <c r="W499" s="391"/>
      <c r="X499" s="388"/>
      <c r="Y499" s="391"/>
      <c r="Z499" s="393"/>
      <c r="AA499" s="355" t="str">
        <f t="shared" si="1"/>
        <v/>
      </c>
      <c r="AB499" s="391"/>
      <c r="AC499" s="394" t="str">
        <f t="shared" si="2"/>
        <v/>
      </c>
      <c r="AD499" s="389"/>
      <c r="AE499" s="399"/>
      <c r="AF499" s="395"/>
      <c r="AG499" s="396" t="str">
        <f t="shared" si="3"/>
        <v/>
      </c>
      <c r="AH499" s="396" t="str">
        <f t="shared" si="4"/>
        <v/>
      </c>
      <c r="AI499" s="388"/>
      <c r="AJ499" s="388"/>
      <c r="AK499" s="397"/>
    </row>
    <row r="500">
      <c r="A500" s="398"/>
      <c r="B500" s="386"/>
      <c r="C500" s="387" t="str">
        <f>IF(A500="","",IFERROR(IF(VLOOKUP(A500,'1. Inbound Leads'!A:G,7,FALSE)=0,"",VLOOKUP(A500,'1. Inbound Leads'!A:G,7,FALSE)),""))</f>
        <v/>
      </c>
      <c r="D500" s="387" t="str">
        <f>IF(A500="","",IFERROR(IF(VLOOKUP(A500,'1. Inbound Leads'!A:L,12,FALSE)=0,"",VLOOKUP(A500,'1. Inbound Leads'!A:L,12,FALSE)),""))</f>
        <v/>
      </c>
      <c r="E500" s="388"/>
      <c r="F500" s="389"/>
      <c r="G500" s="387"/>
      <c r="H500" s="387"/>
      <c r="I500" s="387"/>
      <c r="J500" s="387"/>
      <c r="K500" s="387"/>
      <c r="L500" s="387"/>
      <c r="M500" s="388"/>
      <c r="N500" s="388"/>
      <c r="O500" s="390"/>
      <c r="P500" s="391"/>
      <c r="Q500" s="389"/>
      <c r="R500" s="390"/>
      <c r="S500" s="390"/>
      <c r="T500" s="391"/>
      <c r="U500" s="392"/>
      <c r="V500" s="391"/>
      <c r="W500" s="391"/>
      <c r="X500" s="388"/>
      <c r="Y500" s="391"/>
      <c r="Z500" s="393"/>
      <c r="AA500" s="355" t="str">
        <f t="shared" si="1"/>
        <v/>
      </c>
      <c r="AB500" s="391"/>
      <c r="AC500" s="394" t="str">
        <f t="shared" si="2"/>
        <v/>
      </c>
      <c r="AD500" s="389"/>
      <c r="AE500" s="399"/>
      <c r="AF500" s="395"/>
      <c r="AG500" s="396" t="str">
        <f t="shared" si="3"/>
        <v/>
      </c>
      <c r="AH500" s="396" t="str">
        <f t="shared" si="4"/>
        <v/>
      </c>
      <c r="AI500" s="388"/>
      <c r="AJ500" s="388"/>
      <c r="AK500" s="397"/>
    </row>
    <row r="501">
      <c r="A501" s="398"/>
      <c r="B501" s="386"/>
      <c r="C501" s="387" t="str">
        <f>IF(A501="","",IFERROR(IF(VLOOKUP(A501,'1. Inbound Leads'!A:G,7,FALSE)=0,"",VLOOKUP(A501,'1. Inbound Leads'!A:G,7,FALSE)),""))</f>
        <v/>
      </c>
      <c r="D501" s="387" t="str">
        <f>IF(A501="","",IFERROR(IF(VLOOKUP(A501,'1. Inbound Leads'!A:L,12,FALSE)=0,"",VLOOKUP(A501,'1. Inbound Leads'!A:L,12,FALSE)),""))</f>
        <v/>
      </c>
      <c r="E501" s="388"/>
      <c r="F501" s="389"/>
      <c r="G501" s="387"/>
      <c r="H501" s="387"/>
      <c r="I501" s="387"/>
      <c r="J501" s="387"/>
      <c r="K501" s="387"/>
      <c r="L501" s="387"/>
      <c r="M501" s="388"/>
      <c r="N501" s="388"/>
      <c r="O501" s="390"/>
      <c r="P501" s="391"/>
      <c r="Q501" s="389"/>
      <c r="R501" s="390"/>
      <c r="S501" s="390"/>
      <c r="T501" s="391"/>
      <c r="U501" s="392"/>
      <c r="V501" s="391"/>
      <c r="W501" s="391"/>
      <c r="X501" s="388"/>
      <c r="Y501" s="391"/>
      <c r="Z501" s="393"/>
      <c r="AA501" s="355" t="str">
        <f t="shared" si="1"/>
        <v/>
      </c>
      <c r="AB501" s="391"/>
      <c r="AC501" s="394" t="str">
        <f t="shared" si="2"/>
        <v/>
      </c>
      <c r="AD501" s="389"/>
      <c r="AE501" s="399"/>
      <c r="AF501" s="395"/>
      <c r="AG501" s="396" t="str">
        <f t="shared" si="3"/>
        <v/>
      </c>
      <c r="AH501" s="396" t="str">
        <f t="shared" si="4"/>
        <v/>
      </c>
      <c r="AI501" s="388"/>
      <c r="AJ501" s="388"/>
      <c r="AK501" s="397"/>
    </row>
    <row r="502">
      <c r="A502" s="398"/>
      <c r="B502" s="386"/>
      <c r="C502" s="387" t="str">
        <f>IF(A502="","",IFERROR(IF(VLOOKUP(A502,'1. Inbound Leads'!A:G,7,FALSE)=0,"",VLOOKUP(A502,'1. Inbound Leads'!A:G,7,FALSE)),""))</f>
        <v/>
      </c>
      <c r="D502" s="387" t="str">
        <f>IF(A502="","",IFERROR(IF(VLOOKUP(A502,'1. Inbound Leads'!A:L,12,FALSE)=0,"",VLOOKUP(A502,'1. Inbound Leads'!A:L,12,FALSE)),""))</f>
        <v/>
      </c>
      <c r="E502" s="388"/>
      <c r="F502" s="389"/>
      <c r="G502" s="387"/>
      <c r="H502" s="387"/>
      <c r="I502" s="387"/>
      <c r="J502" s="387"/>
      <c r="K502" s="387"/>
      <c r="L502" s="387"/>
      <c r="M502" s="388"/>
      <c r="N502" s="388"/>
      <c r="O502" s="390"/>
      <c r="P502" s="391"/>
      <c r="Q502" s="389"/>
      <c r="R502" s="390"/>
      <c r="S502" s="390"/>
      <c r="T502" s="391"/>
      <c r="U502" s="392"/>
      <c r="V502" s="391"/>
      <c r="W502" s="391"/>
      <c r="X502" s="388"/>
      <c r="Y502" s="391"/>
      <c r="Z502" s="393"/>
      <c r="AA502" s="355" t="str">
        <f t="shared" si="1"/>
        <v/>
      </c>
      <c r="AB502" s="391"/>
      <c r="AC502" s="394" t="str">
        <f t="shared" si="2"/>
        <v/>
      </c>
      <c r="AD502" s="389"/>
      <c r="AE502" s="399"/>
      <c r="AF502" s="395"/>
      <c r="AG502" s="396" t="str">
        <f t="shared" si="3"/>
        <v/>
      </c>
      <c r="AH502" s="396" t="str">
        <f t="shared" si="4"/>
        <v/>
      </c>
      <c r="AI502" s="388"/>
      <c r="AJ502" s="388"/>
      <c r="AK502" s="397"/>
    </row>
    <row r="503">
      <c r="A503" s="398"/>
      <c r="B503" s="386"/>
      <c r="C503" s="387" t="str">
        <f>IF(A503="","",IFERROR(IF(VLOOKUP(A503,'1. Inbound Leads'!A:G,7,FALSE)=0,"",VLOOKUP(A503,'1. Inbound Leads'!A:G,7,FALSE)),""))</f>
        <v/>
      </c>
      <c r="D503" s="387" t="str">
        <f>IF(A503="","",IFERROR(IF(VLOOKUP(A503,'1. Inbound Leads'!A:L,12,FALSE)=0,"",VLOOKUP(A503,'1. Inbound Leads'!A:L,12,FALSE)),""))</f>
        <v/>
      </c>
      <c r="E503" s="388"/>
      <c r="F503" s="389"/>
      <c r="G503" s="387"/>
      <c r="H503" s="387"/>
      <c r="I503" s="387"/>
      <c r="J503" s="387"/>
      <c r="K503" s="387"/>
      <c r="L503" s="387"/>
      <c r="M503" s="388"/>
      <c r="N503" s="388"/>
      <c r="O503" s="390"/>
      <c r="P503" s="391"/>
      <c r="Q503" s="389"/>
      <c r="R503" s="390"/>
      <c r="S503" s="390"/>
      <c r="T503" s="391"/>
      <c r="U503" s="392"/>
      <c r="V503" s="391"/>
      <c r="W503" s="391"/>
      <c r="X503" s="388"/>
      <c r="Y503" s="391"/>
      <c r="Z503" s="393"/>
      <c r="AA503" s="355" t="str">
        <f t="shared" si="1"/>
        <v/>
      </c>
      <c r="AB503" s="391"/>
      <c r="AC503" s="394" t="str">
        <f t="shared" si="2"/>
        <v/>
      </c>
      <c r="AD503" s="389"/>
      <c r="AE503" s="399"/>
      <c r="AF503" s="395"/>
      <c r="AG503" s="396" t="str">
        <f t="shared" si="3"/>
        <v/>
      </c>
      <c r="AH503" s="396" t="str">
        <f t="shared" si="4"/>
        <v/>
      </c>
      <c r="AI503" s="388"/>
      <c r="AJ503" s="388"/>
      <c r="AK503" s="397"/>
    </row>
    <row r="504">
      <c r="A504" s="398"/>
      <c r="B504" s="386"/>
      <c r="C504" s="387" t="str">
        <f>IF(A504="","",IFERROR(IF(VLOOKUP(A504,'1. Inbound Leads'!A:G,7,FALSE)=0,"",VLOOKUP(A504,'1. Inbound Leads'!A:G,7,FALSE)),""))</f>
        <v/>
      </c>
      <c r="D504" s="387" t="str">
        <f>IF(A504="","",IFERROR(IF(VLOOKUP(A504,'1. Inbound Leads'!A:L,12,FALSE)=0,"",VLOOKUP(A504,'1. Inbound Leads'!A:L,12,FALSE)),""))</f>
        <v/>
      </c>
      <c r="E504" s="388"/>
      <c r="F504" s="389"/>
      <c r="G504" s="387"/>
      <c r="H504" s="387"/>
      <c r="I504" s="387"/>
      <c r="J504" s="387"/>
      <c r="K504" s="387"/>
      <c r="L504" s="387"/>
      <c r="M504" s="388"/>
      <c r="N504" s="388"/>
      <c r="O504" s="390"/>
      <c r="P504" s="391"/>
      <c r="Q504" s="389"/>
      <c r="R504" s="390"/>
      <c r="S504" s="390"/>
      <c r="T504" s="391"/>
      <c r="U504" s="392"/>
      <c r="V504" s="391"/>
      <c r="W504" s="391"/>
      <c r="X504" s="388"/>
      <c r="Y504" s="391"/>
      <c r="Z504" s="393"/>
      <c r="AA504" s="355" t="str">
        <f t="shared" si="1"/>
        <v/>
      </c>
      <c r="AB504" s="391"/>
      <c r="AC504" s="394" t="str">
        <f t="shared" si="2"/>
        <v/>
      </c>
      <c r="AD504" s="389"/>
      <c r="AE504" s="399"/>
      <c r="AF504" s="395"/>
      <c r="AG504" s="396" t="str">
        <f t="shared" si="3"/>
        <v/>
      </c>
      <c r="AH504" s="396" t="str">
        <f t="shared" si="4"/>
        <v/>
      </c>
      <c r="AI504" s="388"/>
      <c r="AJ504" s="388"/>
      <c r="AK504" s="397"/>
    </row>
    <row r="505">
      <c r="A505" s="398"/>
      <c r="B505" s="386"/>
      <c r="C505" s="387" t="str">
        <f>IF(A505="","",IFERROR(IF(VLOOKUP(A505,'1. Inbound Leads'!A:G,7,FALSE)=0,"",VLOOKUP(A505,'1. Inbound Leads'!A:G,7,FALSE)),""))</f>
        <v/>
      </c>
      <c r="D505" s="387" t="str">
        <f>IF(A505="","",IFERROR(IF(VLOOKUP(A505,'1. Inbound Leads'!A:L,12,FALSE)=0,"",VLOOKUP(A505,'1. Inbound Leads'!A:L,12,FALSE)),""))</f>
        <v/>
      </c>
      <c r="E505" s="388"/>
      <c r="F505" s="389"/>
      <c r="G505" s="387"/>
      <c r="H505" s="387"/>
      <c r="I505" s="387"/>
      <c r="J505" s="387"/>
      <c r="K505" s="387"/>
      <c r="L505" s="387"/>
      <c r="M505" s="388"/>
      <c r="N505" s="388"/>
      <c r="O505" s="390"/>
      <c r="P505" s="391"/>
      <c r="Q505" s="389"/>
      <c r="R505" s="390"/>
      <c r="S505" s="390"/>
      <c r="T505" s="391"/>
      <c r="U505" s="392"/>
      <c r="V505" s="391"/>
      <c r="W505" s="391"/>
      <c r="X505" s="388"/>
      <c r="Y505" s="391"/>
      <c r="Z505" s="393"/>
      <c r="AA505" s="355" t="str">
        <f t="shared" si="1"/>
        <v/>
      </c>
      <c r="AB505" s="391"/>
      <c r="AC505" s="394" t="str">
        <f t="shared" si="2"/>
        <v/>
      </c>
      <c r="AD505" s="389"/>
      <c r="AE505" s="399"/>
      <c r="AF505" s="395"/>
      <c r="AG505" s="396" t="str">
        <f t="shared" si="3"/>
        <v/>
      </c>
      <c r="AH505" s="396" t="str">
        <f t="shared" si="4"/>
        <v/>
      </c>
      <c r="AI505" s="388"/>
      <c r="AJ505" s="388"/>
      <c r="AK505" s="397"/>
    </row>
    <row r="506">
      <c r="A506" s="398"/>
      <c r="B506" s="386"/>
      <c r="C506" s="387" t="str">
        <f>IF(A506="","",IFERROR(IF(VLOOKUP(A506,'1. Inbound Leads'!A:G,7,FALSE)=0,"",VLOOKUP(A506,'1. Inbound Leads'!A:G,7,FALSE)),""))</f>
        <v/>
      </c>
      <c r="D506" s="387" t="str">
        <f>IF(A506="","",IFERROR(IF(VLOOKUP(A506,'1. Inbound Leads'!A:L,12,FALSE)=0,"",VLOOKUP(A506,'1. Inbound Leads'!A:L,12,FALSE)),""))</f>
        <v/>
      </c>
      <c r="E506" s="388"/>
      <c r="F506" s="389"/>
      <c r="G506" s="387"/>
      <c r="H506" s="387"/>
      <c r="I506" s="387"/>
      <c r="J506" s="387"/>
      <c r="K506" s="387"/>
      <c r="L506" s="387"/>
      <c r="M506" s="388"/>
      <c r="N506" s="388"/>
      <c r="O506" s="390"/>
      <c r="P506" s="391"/>
      <c r="Q506" s="389"/>
      <c r="R506" s="390"/>
      <c r="S506" s="390"/>
      <c r="T506" s="391"/>
      <c r="U506" s="392"/>
      <c r="V506" s="391"/>
      <c r="W506" s="391"/>
      <c r="X506" s="388"/>
      <c r="Y506" s="391"/>
      <c r="Z506" s="393"/>
      <c r="AA506" s="355" t="str">
        <f t="shared" si="1"/>
        <v/>
      </c>
      <c r="AB506" s="391"/>
      <c r="AC506" s="394" t="str">
        <f t="shared" si="2"/>
        <v/>
      </c>
      <c r="AD506" s="389"/>
      <c r="AE506" s="399"/>
      <c r="AF506" s="395"/>
      <c r="AG506" s="396" t="str">
        <f t="shared" si="3"/>
        <v/>
      </c>
      <c r="AH506" s="396" t="str">
        <f t="shared" si="4"/>
        <v/>
      </c>
      <c r="AI506" s="388"/>
      <c r="AJ506" s="388"/>
      <c r="AK506" s="397"/>
    </row>
    <row r="507">
      <c r="A507" s="398"/>
      <c r="B507" s="386"/>
      <c r="C507" s="387" t="str">
        <f>IF(A507="","",IFERROR(IF(VLOOKUP(A507,'1. Inbound Leads'!A:G,7,FALSE)=0,"",VLOOKUP(A507,'1. Inbound Leads'!A:G,7,FALSE)),""))</f>
        <v/>
      </c>
      <c r="D507" s="387" t="str">
        <f>IF(A507="","",IFERROR(IF(VLOOKUP(A507,'1. Inbound Leads'!A:L,12,FALSE)=0,"",VLOOKUP(A507,'1. Inbound Leads'!A:L,12,FALSE)),""))</f>
        <v/>
      </c>
      <c r="E507" s="388"/>
      <c r="F507" s="389"/>
      <c r="G507" s="387"/>
      <c r="H507" s="387"/>
      <c r="I507" s="387"/>
      <c r="J507" s="387"/>
      <c r="K507" s="387"/>
      <c r="L507" s="387"/>
      <c r="M507" s="388"/>
      <c r="N507" s="388"/>
      <c r="O507" s="390"/>
      <c r="P507" s="391"/>
      <c r="Q507" s="389"/>
      <c r="R507" s="390"/>
      <c r="S507" s="390"/>
      <c r="T507" s="391"/>
      <c r="U507" s="392"/>
      <c r="V507" s="391"/>
      <c r="W507" s="391"/>
      <c r="X507" s="388"/>
      <c r="Y507" s="391"/>
      <c r="Z507" s="393"/>
      <c r="AA507" s="355" t="str">
        <f t="shared" si="1"/>
        <v/>
      </c>
      <c r="AB507" s="391"/>
      <c r="AC507" s="394" t="str">
        <f t="shared" si="2"/>
        <v/>
      </c>
      <c r="AD507" s="389"/>
      <c r="AE507" s="399"/>
      <c r="AF507" s="395"/>
      <c r="AG507" s="396" t="str">
        <f t="shared" si="3"/>
        <v/>
      </c>
      <c r="AH507" s="396" t="str">
        <f t="shared" si="4"/>
        <v/>
      </c>
      <c r="AI507" s="388"/>
      <c r="AJ507" s="388"/>
      <c r="AK507" s="397"/>
    </row>
    <row r="508">
      <c r="A508" s="398"/>
      <c r="B508" s="386"/>
      <c r="C508" s="387" t="str">
        <f>IF(A508="","",IFERROR(IF(VLOOKUP(A508,'1. Inbound Leads'!A:G,7,FALSE)=0,"",VLOOKUP(A508,'1. Inbound Leads'!A:G,7,FALSE)),""))</f>
        <v/>
      </c>
      <c r="D508" s="387" t="str">
        <f>IF(A508="","",IFERROR(IF(VLOOKUP(A508,'1. Inbound Leads'!A:L,12,FALSE)=0,"",VLOOKUP(A508,'1. Inbound Leads'!A:L,12,FALSE)),""))</f>
        <v/>
      </c>
      <c r="E508" s="388"/>
      <c r="F508" s="389"/>
      <c r="G508" s="387"/>
      <c r="H508" s="387"/>
      <c r="I508" s="387"/>
      <c r="J508" s="387"/>
      <c r="K508" s="387"/>
      <c r="L508" s="387"/>
      <c r="M508" s="388"/>
      <c r="N508" s="388"/>
      <c r="O508" s="390"/>
      <c r="P508" s="391"/>
      <c r="Q508" s="389"/>
      <c r="R508" s="390"/>
      <c r="S508" s="390"/>
      <c r="T508" s="391"/>
      <c r="U508" s="392"/>
      <c r="V508" s="391"/>
      <c r="W508" s="391"/>
      <c r="X508" s="388"/>
      <c r="Y508" s="391"/>
      <c r="Z508" s="393"/>
      <c r="AA508" s="355" t="str">
        <f t="shared" si="1"/>
        <v/>
      </c>
      <c r="AB508" s="391"/>
      <c r="AC508" s="394" t="str">
        <f t="shared" si="2"/>
        <v/>
      </c>
      <c r="AD508" s="389"/>
      <c r="AE508" s="399"/>
      <c r="AF508" s="395"/>
      <c r="AG508" s="396" t="str">
        <f t="shared" si="3"/>
        <v/>
      </c>
      <c r="AH508" s="396" t="str">
        <f t="shared" si="4"/>
        <v/>
      </c>
      <c r="AI508" s="388"/>
      <c r="AJ508" s="388"/>
      <c r="AK508" s="397"/>
    </row>
    <row r="509">
      <c r="A509" s="398"/>
      <c r="B509" s="386"/>
      <c r="C509" s="387" t="str">
        <f>IF(A509="","",IFERROR(IF(VLOOKUP(A509,'1. Inbound Leads'!A:G,7,FALSE)=0,"",VLOOKUP(A509,'1. Inbound Leads'!A:G,7,FALSE)),""))</f>
        <v/>
      </c>
      <c r="D509" s="387" t="str">
        <f>IF(A509="","",IFERROR(IF(VLOOKUP(A509,'1. Inbound Leads'!A:L,12,FALSE)=0,"",VLOOKUP(A509,'1. Inbound Leads'!A:L,12,FALSE)),""))</f>
        <v/>
      </c>
      <c r="E509" s="388"/>
      <c r="F509" s="389"/>
      <c r="G509" s="387"/>
      <c r="H509" s="387"/>
      <c r="I509" s="387"/>
      <c r="J509" s="387"/>
      <c r="K509" s="387"/>
      <c r="L509" s="387"/>
      <c r="M509" s="388"/>
      <c r="N509" s="388"/>
      <c r="O509" s="390"/>
      <c r="P509" s="391"/>
      <c r="Q509" s="389"/>
      <c r="R509" s="390"/>
      <c r="S509" s="390"/>
      <c r="T509" s="391"/>
      <c r="U509" s="392"/>
      <c r="V509" s="391"/>
      <c r="W509" s="391"/>
      <c r="X509" s="388"/>
      <c r="Y509" s="391"/>
      <c r="Z509" s="393"/>
      <c r="AA509" s="355" t="str">
        <f t="shared" si="1"/>
        <v/>
      </c>
      <c r="AB509" s="391"/>
      <c r="AC509" s="394" t="str">
        <f t="shared" si="2"/>
        <v/>
      </c>
      <c r="AD509" s="389"/>
      <c r="AE509" s="399"/>
      <c r="AF509" s="395"/>
      <c r="AG509" s="396" t="str">
        <f t="shared" si="3"/>
        <v/>
      </c>
      <c r="AH509" s="396" t="str">
        <f t="shared" si="4"/>
        <v/>
      </c>
      <c r="AI509" s="388"/>
      <c r="AJ509" s="388"/>
      <c r="AK509" s="397"/>
    </row>
    <row r="510">
      <c r="A510" s="398"/>
      <c r="B510" s="386"/>
      <c r="C510" s="387" t="str">
        <f>IF(A510="","",IFERROR(IF(VLOOKUP(A510,'1. Inbound Leads'!A:G,7,FALSE)=0,"",VLOOKUP(A510,'1. Inbound Leads'!A:G,7,FALSE)),""))</f>
        <v/>
      </c>
      <c r="D510" s="387" t="str">
        <f>IF(A510="","",IFERROR(IF(VLOOKUP(A510,'1. Inbound Leads'!A:L,12,FALSE)=0,"",VLOOKUP(A510,'1. Inbound Leads'!A:L,12,FALSE)),""))</f>
        <v/>
      </c>
      <c r="E510" s="388"/>
      <c r="F510" s="389"/>
      <c r="G510" s="387"/>
      <c r="H510" s="387"/>
      <c r="I510" s="387"/>
      <c r="J510" s="387"/>
      <c r="K510" s="387"/>
      <c r="L510" s="387"/>
      <c r="M510" s="388"/>
      <c r="N510" s="388"/>
      <c r="O510" s="390"/>
      <c r="P510" s="391"/>
      <c r="Q510" s="389"/>
      <c r="R510" s="390"/>
      <c r="S510" s="390"/>
      <c r="T510" s="391"/>
      <c r="U510" s="392"/>
      <c r="V510" s="391"/>
      <c r="W510" s="391"/>
      <c r="X510" s="388"/>
      <c r="Y510" s="391"/>
      <c r="Z510" s="393"/>
      <c r="AA510" s="355" t="str">
        <f t="shared" si="1"/>
        <v/>
      </c>
      <c r="AB510" s="391"/>
      <c r="AC510" s="394" t="str">
        <f t="shared" si="2"/>
        <v/>
      </c>
      <c r="AD510" s="389"/>
      <c r="AE510" s="399"/>
      <c r="AF510" s="395"/>
      <c r="AG510" s="396" t="str">
        <f t="shared" si="3"/>
        <v/>
      </c>
      <c r="AH510" s="396" t="str">
        <f t="shared" si="4"/>
        <v/>
      </c>
      <c r="AI510" s="388"/>
      <c r="AJ510" s="388"/>
      <c r="AK510" s="397"/>
    </row>
    <row r="511">
      <c r="A511" s="398"/>
      <c r="B511" s="386"/>
      <c r="C511" s="387" t="str">
        <f>IF(A511="","",IFERROR(IF(VLOOKUP(A511,'1. Inbound Leads'!A:G,7,FALSE)=0,"",VLOOKUP(A511,'1. Inbound Leads'!A:G,7,FALSE)),""))</f>
        <v/>
      </c>
      <c r="D511" s="387" t="str">
        <f>IF(A511="","",IFERROR(IF(VLOOKUP(A511,'1. Inbound Leads'!A:L,12,FALSE)=0,"",VLOOKUP(A511,'1. Inbound Leads'!A:L,12,FALSE)),""))</f>
        <v/>
      </c>
      <c r="E511" s="388"/>
      <c r="F511" s="389"/>
      <c r="G511" s="387"/>
      <c r="H511" s="387"/>
      <c r="I511" s="387"/>
      <c r="J511" s="387"/>
      <c r="K511" s="387"/>
      <c r="L511" s="387"/>
      <c r="M511" s="388"/>
      <c r="N511" s="388"/>
      <c r="O511" s="390"/>
      <c r="P511" s="391"/>
      <c r="Q511" s="389"/>
      <c r="R511" s="390"/>
      <c r="S511" s="390"/>
      <c r="T511" s="391"/>
      <c r="U511" s="392"/>
      <c r="V511" s="391"/>
      <c r="W511" s="391"/>
      <c r="X511" s="388"/>
      <c r="Y511" s="391"/>
      <c r="Z511" s="393"/>
      <c r="AA511" s="355" t="str">
        <f t="shared" si="1"/>
        <v/>
      </c>
      <c r="AB511" s="391"/>
      <c r="AC511" s="394" t="str">
        <f t="shared" si="2"/>
        <v/>
      </c>
      <c r="AD511" s="389"/>
      <c r="AE511" s="399"/>
      <c r="AF511" s="395"/>
      <c r="AG511" s="396" t="str">
        <f t="shared" si="3"/>
        <v/>
      </c>
      <c r="AH511" s="396" t="str">
        <f t="shared" si="4"/>
        <v/>
      </c>
      <c r="AI511" s="388"/>
      <c r="AJ511" s="388"/>
      <c r="AK511" s="397"/>
    </row>
    <row r="512">
      <c r="A512" s="398"/>
      <c r="B512" s="386"/>
      <c r="C512" s="387" t="str">
        <f>IF(A512="","",IFERROR(IF(VLOOKUP(A512,'1. Inbound Leads'!A:G,7,FALSE)=0,"",VLOOKUP(A512,'1. Inbound Leads'!A:G,7,FALSE)),""))</f>
        <v/>
      </c>
      <c r="D512" s="387" t="str">
        <f>IF(A512="","",IFERROR(IF(VLOOKUP(A512,'1. Inbound Leads'!A:L,12,FALSE)=0,"",VLOOKUP(A512,'1. Inbound Leads'!A:L,12,FALSE)),""))</f>
        <v/>
      </c>
      <c r="E512" s="388"/>
      <c r="F512" s="389"/>
      <c r="G512" s="387"/>
      <c r="H512" s="387"/>
      <c r="I512" s="387"/>
      <c r="J512" s="387"/>
      <c r="K512" s="387"/>
      <c r="L512" s="387"/>
      <c r="M512" s="388"/>
      <c r="N512" s="388"/>
      <c r="O512" s="390"/>
      <c r="P512" s="391"/>
      <c r="Q512" s="389"/>
      <c r="R512" s="390"/>
      <c r="S512" s="390"/>
      <c r="T512" s="391"/>
      <c r="U512" s="392"/>
      <c r="V512" s="391"/>
      <c r="W512" s="391"/>
      <c r="X512" s="388"/>
      <c r="Y512" s="391"/>
      <c r="Z512" s="393"/>
      <c r="AA512" s="355" t="str">
        <f t="shared" si="1"/>
        <v/>
      </c>
      <c r="AB512" s="391"/>
      <c r="AC512" s="394" t="str">
        <f t="shared" si="2"/>
        <v/>
      </c>
      <c r="AD512" s="389"/>
      <c r="AE512" s="399"/>
      <c r="AF512" s="395"/>
      <c r="AG512" s="396" t="str">
        <f t="shared" si="3"/>
        <v/>
      </c>
      <c r="AH512" s="396" t="str">
        <f t="shared" si="4"/>
        <v/>
      </c>
      <c r="AI512" s="388"/>
      <c r="AJ512" s="388"/>
      <c r="AK512" s="397"/>
    </row>
    <row r="513">
      <c r="A513" s="398"/>
      <c r="B513" s="386"/>
      <c r="C513" s="387" t="str">
        <f>IF(A513="","",IFERROR(IF(VLOOKUP(A513,'1. Inbound Leads'!A:G,7,FALSE)=0,"",VLOOKUP(A513,'1. Inbound Leads'!A:G,7,FALSE)),""))</f>
        <v/>
      </c>
      <c r="D513" s="387" t="str">
        <f>IF(A513="","",IFERROR(IF(VLOOKUP(A513,'1. Inbound Leads'!A:L,12,FALSE)=0,"",VLOOKUP(A513,'1. Inbound Leads'!A:L,12,FALSE)),""))</f>
        <v/>
      </c>
      <c r="E513" s="388"/>
      <c r="F513" s="389"/>
      <c r="G513" s="387"/>
      <c r="H513" s="387"/>
      <c r="I513" s="387"/>
      <c r="J513" s="387"/>
      <c r="K513" s="387"/>
      <c r="L513" s="387"/>
      <c r="M513" s="388"/>
      <c r="N513" s="388"/>
      <c r="O513" s="390"/>
      <c r="P513" s="391"/>
      <c r="Q513" s="389"/>
      <c r="R513" s="390"/>
      <c r="S513" s="390"/>
      <c r="T513" s="391"/>
      <c r="U513" s="392"/>
      <c r="V513" s="391"/>
      <c r="W513" s="391"/>
      <c r="X513" s="388"/>
      <c r="Y513" s="391"/>
      <c r="Z513" s="393"/>
      <c r="AA513" s="355" t="str">
        <f t="shared" si="1"/>
        <v/>
      </c>
      <c r="AB513" s="391"/>
      <c r="AC513" s="394" t="str">
        <f t="shared" si="2"/>
        <v/>
      </c>
      <c r="AD513" s="389"/>
      <c r="AE513" s="399"/>
      <c r="AF513" s="395"/>
      <c r="AG513" s="396" t="str">
        <f t="shared" si="3"/>
        <v/>
      </c>
      <c r="AH513" s="396" t="str">
        <f t="shared" si="4"/>
        <v/>
      </c>
      <c r="AI513" s="388"/>
      <c r="AJ513" s="388"/>
      <c r="AK513" s="397"/>
    </row>
    <row r="514">
      <c r="A514" s="398"/>
      <c r="B514" s="386"/>
      <c r="C514" s="387" t="str">
        <f>IF(A514="","",IFERROR(IF(VLOOKUP(A514,'1. Inbound Leads'!A:G,7,FALSE)=0,"",VLOOKUP(A514,'1. Inbound Leads'!A:G,7,FALSE)),""))</f>
        <v/>
      </c>
      <c r="D514" s="387" t="str">
        <f>IF(A514="","",IFERROR(IF(VLOOKUP(A514,'1. Inbound Leads'!A:L,12,FALSE)=0,"",VLOOKUP(A514,'1. Inbound Leads'!A:L,12,FALSE)),""))</f>
        <v/>
      </c>
      <c r="E514" s="388"/>
      <c r="F514" s="389"/>
      <c r="G514" s="387"/>
      <c r="H514" s="387"/>
      <c r="I514" s="387"/>
      <c r="J514" s="387"/>
      <c r="K514" s="387"/>
      <c r="L514" s="387"/>
      <c r="M514" s="388"/>
      <c r="N514" s="388"/>
      <c r="O514" s="390"/>
      <c r="P514" s="391"/>
      <c r="Q514" s="389"/>
      <c r="R514" s="390"/>
      <c r="S514" s="390"/>
      <c r="T514" s="391"/>
      <c r="U514" s="392"/>
      <c r="V514" s="391"/>
      <c r="W514" s="391"/>
      <c r="X514" s="388"/>
      <c r="Y514" s="391"/>
      <c r="Z514" s="393"/>
      <c r="AA514" s="355" t="str">
        <f t="shared" si="1"/>
        <v/>
      </c>
      <c r="AB514" s="391"/>
      <c r="AC514" s="394" t="str">
        <f t="shared" si="2"/>
        <v/>
      </c>
      <c r="AD514" s="389"/>
      <c r="AE514" s="399"/>
      <c r="AF514" s="395"/>
      <c r="AG514" s="396" t="str">
        <f t="shared" si="3"/>
        <v/>
      </c>
      <c r="AH514" s="396" t="str">
        <f t="shared" si="4"/>
        <v/>
      </c>
      <c r="AI514" s="388"/>
      <c r="AJ514" s="388"/>
      <c r="AK514" s="397"/>
    </row>
    <row r="515">
      <c r="A515" s="398"/>
      <c r="B515" s="386"/>
      <c r="C515" s="387" t="str">
        <f>IF(A515="","",IFERROR(IF(VLOOKUP(A515,'1. Inbound Leads'!A:G,7,FALSE)=0,"",VLOOKUP(A515,'1. Inbound Leads'!A:G,7,FALSE)),""))</f>
        <v/>
      </c>
      <c r="D515" s="387" t="str">
        <f>IF(A515="","",IFERROR(IF(VLOOKUP(A515,'1. Inbound Leads'!A:L,12,FALSE)=0,"",VLOOKUP(A515,'1. Inbound Leads'!A:L,12,FALSE)),""))</f>
        <v/>
      </c>
      <c r="E515" s="388"/>
      <c r="F515" s="389"/>
      <c r="G515" s="387"/>
      <c r="H515" s="387"/>
      <c r="I515" s="387"/>
      <c r="J515" s="387"/>
      <c r="K515" s="387"/>
      <c r="L515" s="387"/>
      <c r="M515" s="388"/>
      <c r="N515" s="388"/>
      <c r="O515" s="390"/>
      <c r="P515" s="391"/>
      <c r="Q515" s="389"/>
      <c r="R515" s="390"/>
      <c r="S515" s="390"/>
      <c r="T515" s="391"/>
      <c r="U515" s="392"/>
      <c r="V515" s="391"/>
      <c r="W515" s="391"/>
      <c r="X515" s="388"/>
      <c r="Y515" s="391"/>
      <c r="Z515" s="393"/>
      <c r="AA515" s="355" t="str">
        <f t="shared" si="1"/>
        <v/>
      </c>
      <c r="AB515" s="391"/>
      <c r="AC515" s="394" t="str">
        <f t="shared" si="2"/>
        <v/>
      </c>
      <c r="AD515" s="389"/>
      <c r="AE515" s="399"/>
      <c r="AF515" s="395"/>
      <c r="AG515" s="396" t="str">
        <f t="shared" si="3"/>
        <v/>
      </c>
      <c r="AH515" s="396" t="str">
        <f t="shared" si="4"/>
        <v/>
      </c>
      <c r="AI515" s="388"/>
      <c r="AJ515" s="388"/>
      <c r="AK515" s="397"/>
    </row>
    <row r="516">
      <c r="A516" s="398"/>
      <c r="B516" s="386"/>
      <c r="C516" s="387" t="str">
        <f>IF(A516="","",IFERROR(IF(VLOOKUP(A516,'1. Inbound Leads'!A:G,7,FALSE)=0,"",VLOOKUP(A516,'1. Inbound Leads'!A:G,7,FALSE)),""))</f>
        <v/>
      </c>
      <c r="D516" s="387" t="str">
        <f>IF(A516="","",IFERROR(IF(VLOOKUP(A516,'1. Inbound Leads'!A:L,12,FALSE)=0,"",VLOOKUP(A516,'1. Inbound Leads'!A:L,12,FALSE)),""))</f>
        <v/>
      </c>
      <c r="E516" s="388"/>
      <c r="F516" s="389"/>
      <c r="G516" s="387"/>
      <c r="H516" s="387"/>
      <c r="I516" s="387"/>
      <c r="J516" s="387"/>
      <c r="K516" s="387"/>
      <c r="L516" s="387"/>
      <c r="M516" s="388"/>
      <c r="N516" s="388"/>
      <c r="O516" s="390"/>
      <c r="P516" s="391"/>
      <c r="Q516" s="389"/>
      <c r="R516" s="390"/>
      <c r="S516" s="390"/>
      <c r="T516" s="391"/>
      <c r="U516" s="392"/>
      <c r="V516" s="391"/>
      <c r="W516" s="391"/>
      <c r="X516" s="388"/>
      <c r="Y516" s="391"/>
      <c r="Z516" s="393"/>
      <c r="AA516" s="355" t="str">
        <f t="shared" si="1"/>
        <v/>
      </c>
      <c r="AB516" s="391"/>
      <c r="AC516" s="394" t="str">
        <f t="shared" si="2"/>
        <v/>
      </c>
      <c r="AD516" s="389"/>
      <c r="AE516" s="399"/>
      <c r="AF516" s="395"/>
      <c r="AG516" s="396" t="str">
        <f t="shared" si="3"/>
        <v/>
      </c>
      <c r="AH516" s="396" t="str">
        <f t="shared" si="4"/>
        <v/>
      </c>
      <c r="AI516" s="388"/>
      <c r="AJ516" s="388"/>
      <c r="AK516" s="397"/>
    </row>
    <row r="517">
      <c r="A517" s="398"/>
      <c r="B517" s="386"/>
      <c r="C517" s="387" t="str">
        <f>IF(A517="","",IFERROR(IF(VLOOKUP(A517,'1. Inbound Leads'!A:G,7,FALSE)=0,"",VLOOKUP(A517,'1. Inbound Leads'!A:G,7,FALSE)),""))</f>
        <v/>
      </c>
      <c r="D517" s="387" t="str">
        <f>IF(A517="","",IFERROR(IF(VLOOKUP(A517,'1. Inbound Leads'!A:L,12,FALSE)=0,"",VLOOKUP(A517,'1. Inbound Leads'!A:L,12,FALSE)),""))</f>
        <v/>
      </c>
      <c r="E517" s="388"/>
      <c r="F517" s="389"/>
      <c r="G517" s="387"/>
      <c r="H517" s="387"/>
      <c r="I517" s="387"/>
      <c r="J517" s="387"/>
      <c r="K517" s="387"/>
      <c r="L517" s="387"/>
      <c r="M517" s="388"/>
      <c r="N517" s="388"/>
      <c r="O517" s="390"/>
      <c r="P517" s="391"/>
      <c r="Q517" s="389"/>
      <c r="R517" s="390"/>
      <c r="S517" s="390"/>
      <c r="T517" s="391"/>
      <c r="U517" s="392"/>
      <c r="V517" s="391"/>
      <c r="W517" s="391"/>
      <c r="X517" s="388"/>
      <c r="Y517" s="391"/>
      <c r="Z517" s="393"/>
      <c r="AA517" s="355" t="str">
        <f t="shared" si="1"/>
        <v/>
      </c>
      <c r="AB517" s="391"/>
      <c r="AC517" s="394" t="str">
        <f t="shared" si="2"/>
        <v/>
      </c>
      <c r="AD517" s="389"/>
      <c r="AE517" s="399"/>
      <c r="AF517" s="395"/>
      <c r="AG517" s="396" t="str">
        <f t="shared" si="3"/>
        <v/>
      </c>
      <c r="AH517" s="396" t="str">
        <f t="shared" si="4"/>
        <v/>
      </c>
      <c r="AI517" s="388"/>
      <c r="AJ517" s="388"/>
      <c r="AK517" s="397"/>
    </row>
    <row r="518">
      <c r="A518" s="398"/>
      <c r="B518" s="386"/>
      <c r="C518" s="387" t="str">
        <f>IF(A518="","",IFERROR(IF(VLOOKUP(A518,'1. Inbound Leads'!A:G,7,FALSE)=0,"",VLOOKUP(A518,'1. Inbound Leads'!A:G,7,FALSE)),""))</f>
        <v/>
      </c>
      <c r="D518" s="387" t="str">
        <f>IF(A518="","",IFERROR(IF(VLOOKUP(A518,'1. Inbound Leads'!A:L,12,FALSE)=0,"",VLOOKUP(A518,'1. Inbound Leads'!A:L,12,FALSE)),""))</f>
        <v/>
      </c>
      <c r="E518" s="388"/>
      <c r="F518" s="389"/>
      <c r="G518" s="387"/>
      <c r="H518" s="387"/>
      <c r="I518" s="387"/>
      <c r="J518" s="387"/>
      <c r="K518" s="387"/>
      <c r="L518" s="387"/>
      <c r="M518" s="388"/>
      <c r="N518" s="388"/>
      <c r="O518" s="390"/>
      <c r="P518" s="391"/>
      <c r="Q518" s="389"/>
      <c r="R518" s="390"/>
      <c r="S518" s="390"/>
      <c r="T518" s="391"/>
      <c r="U518" s="392"/>
      <c r="V518" s="391"/>
      <c r="W518" s="391"/>
      <c r="X518" s="388"/>
      <c r="Y518" s="391"/>
      <c r="Z518" s="393"/>
      <c r="AA518" s="355" t="str">
        <f t="shared" si="1"/>
        <v/>
      </c>
      <c r="AB518" s="391"/>
      <c r="AC518" s="394" t="str">
        <f t="shared" si="2"/>
        <v/>
      </c>
      <c r="AD518" s="389"/>
      <c r="AE518" s="399"/>
      <c r="AF518" s="395"/>
      <c r="AG518" s="396" t="str">
        <f t="shared" si="3"/>
        <v/>
      </c>
      <c r="AH518" s="396" t="str">
        <f t="shared" si="4"/>
        <v/>
      </c>
      <c r="AI518" s="388"/>
      <c r="AJ518" s="388"/>
      <c r="AK518" s="397"/>
    </row>
    <row r="519">
      <c r="A519" s="398"/>
      <c r="B519" s="386"/>
      <c r="C519" s="387" t="str">
        <f>IF(A519="","",IFERROR(IF(VLOOKUP(A519,'1. Inbound Leads'!A:G,7,FALSE)=0,"",VLOOKUP(A519,'1. Inbound Leads'!A:G,7,FALSE)),""))</f>
        <v/>
      </c>
      <c r="D519" s="387" t="str">
        <f>IF(A519="","",IFERROR(IF(VLOOKUP(A519,'1. Inbound Leads'!A:L,12,FALSE)=0,"",VLOOKUP(A519,'1. Inbound Leads'!A:L,12,FALSE)),""))</f>
        <v/>
      </c>
      <c r="E519" s="388"/>
      <c r="F519" s="389"/>
      <c r="G519" s="387"/>
      <c r="H519" s="387"/>
      <c r="I519" s="387"/>
      <c r="J519" s="387"/>
      <c r="K519" s="387"/>
      <c r="L519" s="387"/>
      <c r="M519" s="388"/>
      <c r="N519" s="388"/>
      <c r="O519" s="390"/>
      <c r="P519" s="391"/>
      <c r="Q519" s="389"/>
      <c r="R519" s="390"/>
      <c r="S519" s="390"/>
      <c r="T519" s="391"/>
      <c r="U519" s="392"/>
      <c r="V519" s="391"/>
      <c r="W519" s="391"/>
      <c r="X519" s="388"/>
      <c r="Y519" s="391"/>
      <c r="Z519" s="393"/>
      <c r="AA519" s="355" t="str">
        <f t="shared" si="1"/>
        <v/>
      </c>
      <c r="AB519" s="391"/>
      <c r="AC519" s="394" t="str">
        <f t="shared" si="2"/>
        <v/>
      </c>
      <c r="AD519" s="389"/>
      <c r="AE519" s="399"/>
      <c r="AF519" s="395"/>
      <c r="AG519" s="396" t="str">
        <f t="shared" si="3"/>
        <v/>
      </c>
      <c r="AH519" s="396" t="str">
        <f t="shared" si="4"/>
        <v/>
      </c>
      <c r="AI519" s="388"/>
      <c r="AJ519" s="388"/>
      <c r="AK519" s="397"/>
    </row>
    <row r="520">
      <c r="A520" s="398"/>
      <c r="B520" s="386"/>
      <c r="C520" s="387" t="str">
        <f>IF(A520="","",IFERROR(IF(VLOOKUP(A520,'1. Inbound Leads'!A:G,7,FALSE)=0,"",VLOOKUP(A520,'1. Inbound Leads'!A:G,7,FALSE)),""))</f>
        <v/>
      </c>
      <c r="D520" s="387" t="str">
        <f>IF(A520="","",IFERROR(IF(VLOOKUP(A520,'1. Inbound Leads'!A:L,12,FALSE)=0,"",VLOOKUP(A520,'1. Inbound Leads'!A:L,12,FALSE)),""))</f>
        <v/>
      </c>
      <c r="E520" s="388"/>
      <c r="F520" s="389"/>
      <c r="G520" s="387"/>
      <c r="H520" s="387"/>
      <c r="I520" s="387"/>
      <c r="J520" s="387"/>
      <c r="K520" s="387"/>
      <c r="L520" s="387"/>
      <c r="M520" s="388"/>
      <c r="N520" s="388"/>
      <c r="O520" s="390"/>
      <c r="P520" s="391"/>
      <c r="Q520" s="389"/>
      <c r="R520" s="390"/>
      <c r="S520" s="390"/>
      <c r="T520" s="391"/>
      <c r="U520" s="392"/>
      <c r="V520" s="391"/>
      <c r="W520" s="391"/>
      <c r="X520" s="388"/>
      <c r="Y520" s="391"/>
      <c r="Z520" s="393"/>
      <c r="AA520" s="355" t="str">
        <f t="shared" si="1"/>
        <v/>
      </c>
      <c r="AB520" s="391"/>
      <c r="AC520" s="394" t="str">
        <f t="shared" si="2"/>
        <v/>
      </c>
      <c r="AD520" s="389"/>
      <c r="AE520" s="399"/>
      <c r="AF520" s="395"/>
      <c r="AG520" s="396" t="str">
        <f t="shared" si="3"/>
        <v/>
      </c>
      <c r="AH520" s="396" t="str">
        <f t="shared" si="4"/>
        <v/>
      </c>
      <c r="AI520" s="388"/>
      <c r="AJ520" s="388"/>
      <c r="AK520" s="397"/>
    </row>
    <row r="521">
      <c r="A521" s="398"/>
      <c r="B521" s="386"/>
      <c r="C521" s="387" t="str">
        <f>IF(A521="","",IFERROR(IF(VLOOKUP(A521,'1. Inbound Leads'!A:G,7,FALSE)=0,"",VLOOKUP(A521,'1. Inbound Leads'!A:G,7,FALSE)),""))</f>
        <v/>
      </c>
      <c r="D521" s="387" t="str">
        <f>IF(A521="","",IFERROR(IF(VLOOKUP(A521,'1. Inbound Leads'!A:L,12,FALSE)=0,"",VLOOKUP(A521,'1. Inbound Leads'!A:L,12,FALSE)),""))</f>
        <v/>
      </c>
      <c r="E521" s="388"/>
      <c r="F521" s="389"/>
      <c r="G521" s="387"/>
      <c r="H521" s="387"/>
      <c r="I521" s="387"/>
      <c r="J521" s="387"/>
      <c r="K521" s="387"/>
      <c r="L521" s="387"/>
      <c r="M521" s="388"/>
      <c r="N521" s="388"/>
      <c r="O521" s="390"/>
      <c r="P521" s="391"/>
      <c r="Q521" s="389"/>
      <c r="R521" s="390"/>
      <c r="S521" s="390"/>
      <c r="T521" s="391"/>
      <c r="U521" s="392"/>
      <c r="V521" s="391"/>
      <c r="W521" s="391"/>
      <c r="X521" s="388"/>
      <c r="Y521" s="391"/>
      <c r="Z521" s="393"/>
      <c r="AA521" s="355" t="str">
        <f t="shared" si="1"/>
        <v/>
      </c>
      <c r="AB521" s="391"/>
      <c r="AC521" s="394" t="str">
        <f t="shared" si="2"/>
        <v/>
      </c>
      <c r="AD521" s="389"/>
      <c r="AE521" s="399"/>
      <c r="AF521" s="395"/>
      <c r="AG521" s="396" t="str">
        <f t="shared" si="3"/>
        <v/>
      </c>
      <c r="AH521" s="396" t="str">
        <f t="shared" si="4"/>
        <v/>
      </c>
      <c r="AI521" s="388"/>
      <c r="AJ521" s="388"/>
      <c r="AK521" s="397"/>
    </row>
    <row r="522">
      <c r="A522" s="398"/>
      <c r="B522" s="386"/>
      <c r="C522" s="387" t="str">
        <f>IF(A522="","",IFERROR(IF(VLOOKUP(A522,'1. Inbound Leads'!A:G,7,FALSE)=0,"",VLOOKUP(A522,'1. Inbound Leads'!A:G,7,FALSE)),""))</f>
        <v/>
      </c>
      <c r="D522" s="387" t="str">
        <f>IF(A522="","",IFERROR(IF(VLOOKUP(A522,'1. Inbound Leads'!A:L,12,FALSE)=0,"",VLOOKUP(A522,'1. Inbound Leads'!A:L,12,FALSE)),""))</f>
        <v/>
      </c>
      <c r="E522" s="388"/>
      <c r="F522" s="389"/>
      <c r="G522" s="387"/>
      <c r="H522" s="387"/>
      <c r="I522" s="387"/>
      <c r="J522" s="387"/>
      <c r="K522" s="387"/>
      <c r="L522" s="387"/>
      <c r="M522" s="388"/>
      <c r="N522" s="388"/>
      <c r="O522" s="390"/>
      <c r="P522" s="391"/>
      <c r="Q522" s="389"/>
      <c r="R522" s="390"/>
      <c r="S522" s="390"/>
      <c r="T522" s="391"/>
      <c r="U522" s="392"/>
      <c r="V522" s="391"/>
      <c r="W522" s="391"/>
      <c r="X522" s="388"/>
      <c r="Y522" s="391"/>
      <c r="Z522" s="393"/>
      <c r="AA522" s="355" t="str">
        <f t="shared" si="1"/>
        <v/>
      </c>
      <c r="AB522" s="391"/>
      <c r="AC522" s="394" t="str">
        <f t="shared" si="2"/>
        <v/>
      </c>
      <c r="AD522" s="389"/>
      <c r="AE522" s="399"/>
      <c r="AF522" s="395"/>
      <c r="AG522" s="396" t="str">
        <f t="shared" si="3"/>
        <v/>
      </c>
      <c r="AH522" s="396" t="str">
        <f t="shared" si="4"/>
        <v/>
      </c>
      <c r="AI522" s="388"/>
      <c r="AJ522" s="388"/>
      <c r="AK522" s="397"/>
    </row>
    <row r="523">
      <c r="A523" s="398"/>
      <c r="B523" s="386"/>
      <c r="C523" s="387" t="str">
        <f>IF(A523="","",IFERROR(IF(VLOOKUP(A523,'1. Inbound Leads'!A:G,7,FALSE)=0,"",VLOOKUP(A523,'1. Inbound Leads'!A:G,7,FALSE)),""))</f>
        <v/>
      </c>
      <c r="D523" s="387" t="str">
        <f>IF(A523="","",IFERROR(IF(VLOOKUP(A523,'1. Inbound Leads'!A:L,12,FALSE)=0,"",VLOOKUP(A523,'1. Inbound Leads'!A:L,12,FALSE)),""))</f>
        <v/>
      </c>
      <c r="E523" s="388"/>
      <c r="F523" s="389"/>
      <c r="G523" s="387"/>
      <c r="H523" s="387"/>
      <c r="I523" s="387"/>
      <c r="J523" s="387"/>
      <c r="K523" s="387"/>
      <c r="L523" s="387"/>
      <c r="M523" s="388"/>
      <c r="N523" s="388"/>
      <c r="O523" s="390"/>
      <c r="P523" s="391"/>
      <c r="Q523" s="389"/>
      <c r="R523" s="390"/>
      <c r="S523" s="390"/>
      <c r="T523" s="391"/>
      <c r="U523" s="392"/>
      <c r="V523" s="391"/>
      <c r="W523" s="391"/>
      <c r="X523" s="388"/>
      <c r="Y523" s="391"/>
      <c r="Z523" s="393"/>
      <c r="AA523" s="355" t="str">
        <f t="shared" si="1"/>
        <v/>
      </c>
      <c r="AB523" s="391"/>
      <c r="AC523" s="394" t="str">
        <f t="shared" si="2"/>
        <v/>
      </c>
      <c r="AD523" s="389"/>
      <c r="AE523" s="399"/>
      <c r="AF523" s="395"/>
      <c r="AG523" s="396" t="str">
        <f t="shared" si="3"/>
        <v/>
      </c>
      <c r="AH523" s="396" t="str">
        <f t="shared" si="4"/>
        <v/>
      </c>
      <c r="AI523" s="388"/>
      <c r="AJ523" s="388"/>
      <c r="AK523" s="397"/>
    </row>
    <row r="524">
      <c r="A524" s="398"/>
      <c r="B524" s="386"/>
      <c r="C524" s="387" t="str">
        <f>IF(A524="","",IFERROR(IF(VLOOKUP(A524,'1. Inbound Leads'!A:G,7,FALSE)=0,"",VLOOKUP(A524,'1. Inbound Leads'!A:G,7,FALSE)),""))</f>
        <v/>
      </c>
      <c r="D524" s="387" t="str">
        <f>IF(A524="","",IFERROR(IF(VLOOKUP(A524,'1. Inbound Leads'!A:L,12,FALSE)=0,"",VLOOKUP(A524,'1. Inbound Leads'!A:L,12,FALSE)),""))</f>
        <v/>
      </c>
      <c r="E524" s="388"/>
      <c r="F524" s="389"/>
      <c r="G524" s="387"/>
      <c r="H524" s="387"/>
      <c r="I524" s="387"/>
      <c r="J524" s="387"/>
      <c r="K524" s="387"/>
      <c r="L524" s="387"/>
      <c r="M524" s="388"/>
      <c r="N524" s="388"/>
      <c r="O524" s="390"/>
      <c r="P524" s="391"/>
      <c r="Q524" s="389"/>
      <c r="R524" s="390"/>
      <c r="S524" s="390"/>
      <c r="T524" s="391"/>
      <c r="U524" s="392"/>
      <c r="V524" s="391"/>
      <c r="W524" s="391"/>
      <c r="X524" s="388"/>
      <c r="Y524" s="391"/>
      <c r="Z524" s="393"/>
      <c r="AA524" s="355" t="str">
        <f t="shared" si="1"/>
        <v/>
      </c>
      <c r="AB524" s="391"/>
      <c r="AC524" s="394" t="str">
        <f t="shared" si="2"/>
        <v/>
      </c>
      <c r="AD524" s="389"/>
      <c r="AE524" s="399"/>
      <c r="AF524" s="395"/>
      <c r="AG524" s="396" t="str">
        <f t="shared" si="3"/>
        <v/>
      </c>
      <c r="AH524" s="396" t="str">
        <f t="shared" si="4"/>
        <v/>
      </c>
      <c r="AI524" s="388"/>
      <c r="AJ524" s="388"/>
      <c r="AK524" s="397"/>
    </row>
    <row r="525">
      <c r="A525" s="398"/>
      <c r="B525" s="386"/>
      <c r="C525" s="387" t="str">
        <f>IF(A525="","",IFERROR(IF(VLOOKUP(A525,'1. Inbound Leads'!A:G,7,FALSE)=0,"",VLOOKUP(A525,'1. Inbound Leads'!A:G,7,FALSE)),""))</f>
        <v/>
      </c>
      <c r="D525" s="387" t="str">
        <f>IF(A525="","",IFERROR(IF(VLOOKUP(A525,'1. Inbound Leads'!A:L,12,FALSE)=0,"",VLOOKUP(A525,'1. Inbound Leads'!A:L,12,FALSE)),""))</f>
        <v/>
      </c>
      <c r="E525" s="388"/>
      <c r="F525" s="389"/>
      <c r="G525" s="387"/>
      <c r="H525" s="387"/>
      <c r="I525" s="387"/>
      <c r="J525" s="387"/>
      <c r="K525" s="387"/>
      <c r="L525" s="387"/>
      <c r="M525" s="388"/>
      <c r="N525" s="388"/>
      <c r="O525" s="390"/>
      <c r="P525" s="391"/>
      <c r="Q525" s="389"/>
      <c r="R525" s="390"/>
      <c r="S525" s="390"/>
      <c r="T525" s="391"/>
      <c r="U525" s="392"/>
      <c r="V525" s="391"/>
      <c r="W525" s="391"/>
      <c r="X525" s="388"/>
      <c r="Y525" s="391"/>
      <c r="Z525" s="393"/>
      <c r="AA525" s="355" t="str">
        <f t="shared" si="1"/>
        <v/>
      </c>
      <c r="AB525" s="391"/>
      <c r="AC525" s="394" t="str">
        <f t="shared" si="2"/>
        <v/>
      </c>
      <c r="AD525" s="389"/>
      <c r="AE525" s="399"/>
      <c r="AF525" s="395"/>
      <c r="AG525" s="396" t="str">
        <f t="shared" si="3"/>
        <v/>
      </c>
      <c r="AH525" s="396" t="str">
        <f t="shared" si="4"/>
        <v/>
      </c>
      <c r="AI525" s="388"/>
      <c r="AJ525" s="388"/>
      <c r="AK525" s="397"/>
    </row>
    <row r="526">
      <c r="A526" s="398"/>
      <c r="B526" s="386"/>
      <c r="C526" s="387" t="str">
        <f>IF(A526="","",IFERROR(IF(VLOOKUP(A526,'1. Inbound Leads'!A:G,7,FALSE)=0,"",VLOOKUP(A526,'1. Inbound Leads'!A:G,7,FALSE)),""))</f>
        <v/>
      </c>
      <c r="D526" s="387" t="str">
        <f>IF(A526="","",IFERROR(IF(VLOOKUP(A526,'1. Inbound Leads'!A:L,12,FALSE)=0,"",VLOOKUP(A526,'1. Inbound Leads'!A:L,12,FALSE)),""))</f>
        <v/>
      </c>
      <c r="E526" s="388"/>
      <c r="F526" s="389"/>
      <c r="G526" s="387"/>
      <c r="H526" s="387"/>
      <c r="I526" s="387"/>
      <c r="J526" s="387"/>
      <c r="K526" s="387"/>
      <c r="L526" s="387"/>
      <c r="M526" s="388"/>
      <c r="N526" s="388"/>
      <c r="O526" s="390"/>
      <c r="P526" s="391"/>
      <c r="Q526" s="389"/>
      <c r="R526" s="390"/>
      <c r="S526" s="390"/>
      <c r="T526" s="391"/>
      <c r="U526" s="392"/>
      <c r="V526" s="391"/>
      <c r="W526" s="391"/>
      <c r="X526" s="388"/>
      <c r="Y526" s="391"/>
      <c r="Z526" s="393"/>
      <c r="AA526" s="355" t="str">
        <f t="shared" si="1"/>
        <v/>
      </c>
      <c r="AB526" s="391"/>
      <c r="AC526" s="394" t="str">
        <f t="shared" si="2"/>
        <v/>
      </c>
      <c r="AD526" s="389"/>
      <c r="AE526" s="399"/>
      <c r="AF526" s="395"/>
      <c r="AG526" s="396" t="str">
        <f t="shared" si="3"/>
        <v/>
      </c>
      <c r="AH526" s="396" t="str">
        <f t="shared" si="4"/>
        <v/>
      </c>
      <c r="AI526" s="388"/>
      <c r="AJ526" s="388"/>
      <c r="AK526" s="397"/>
    </row>
    <row r="527">
      <c r="A527" s="398"/>
      <c r="B527" s="386"/>
      <c r="C527" s="387" t="str">
        <f>IF(A527="","",IFERROR(IF(VLOOKUP(A527,'1. Inbound Leads'!A:G,7,FALSE)=0,"",VLOOKUP(A527,'1. Inbound Leads'!A:G,7,FALSE)),""))</f>
        <v/>
      </c>
      <c r="D527" s="387" t="str">
        <f>IF(A527="","",IFERROR(IF(VLOOKUP(A527,'1. Inbound Leads'!A:L,12,FALSE)=0,"",VLOOKUP(A527,'1. Inbound Leads'!A:L,12,FALSE)),""))</f>
        <v/>
      </c>
      <c r="E527" s="388"/>
      <c r="F527" s="389"/>
      <c r="G527" s="387"/>
      <c r="H527" s="387"/>
      <c r="I527" s="387"/>
      <c r="J527" s="387"/>
      <c r="K527" s="387"/>
      <c r="L527" s="387"/>
      <c r="M527" s="388"/>
      <c r="N527" s="388"/>
      <c r="O527" s="390"/>
      <c r="P527" s="391"/>
      <c r="Q527" s="389"/>
      <c r="R527" s="390"/>
      <c r="S527" s="390"/>
      <c r="T527" s="391"/>
      <c r="U527" s="392"/>
      <c r="V527" s="391"/>
      <c r="W527" s="391"/>
      <c r="X527" s="388"/>
      <c r="Y527" s="391"/>
      <c r="Z527" s="393"/>
      <c r="AA527" s="355" t="str">
        <f t="shared" si="1"/>
        <v/>
      </c>
      <c r="AB527" s="391"/>
      <c r="AC527" s="394" t="str">
        <f t="shared" si="2"/>
        <v/>
      </c>
      <c r="AD527" s="389"/>
      <c r="AE527" s="399"/>
      <c r="AF527" s="395"/>
      <c r="AG527" s="396" t="str">
        <f t="shared" si="3"/>
        <v/>
      </c>
      <c r="AH527" s="396" t="str">
        <f t="shared" si="4"/>
        <v/>
      </c>
      <c r="AI527" s="388"/>
      <c r="AJ527" s="388"/>
      <c r="AK527" s="397"/>
    </row>
    <row r="528">
      <c r="A528" s="398"/>
      <c r="B528" s="386"/>
      <c r="C528" s="387" t="str">
        <f>IF(A528="","",IFERROR(IF(VLOOKUP(A528,'1. Inbound Leads'!A:G,7,FALSE)=0,"",VLOOKUP(A528,'1. Inbound Leads'!A:G,7,FALSE)),""))</f>
        <v/>
      </c>
      <c r="D528" s="387" t="str">
        <f>IF(A528="","",IFERROR(IF(VLOOKUP(A528,'1. Inbound Leads'!A:L,12,FALSE)=0,"",VLOOKUP(A528,'1. Inbound Leads'!A:L,12,FALSE)),""))</f>
        <v/>
      </c>
      <c r="E528" s="388"/>
      <c r="F528" s="389"/>
      <c r="G528" s="387"/>
      <c r="H528" s="387"/>
      <c r="I528" s="387"/>
      <c r="J528" s="387"/>
      <c r="K528" s="387"/>
      <c r="L528" s="387"/>
      <c r="M528" s="388"/>
      <c r="N528" s="388"/>
      <c r="O528" s="390"/>
      <c r="P528" s="391"/>
      <c r="Q528" s="389"/>
      <c r="R528" s="390"/>
      <c r="S528" s="390"/>
      <c r="T528" s="391"/>
      <c r="U528" s="392"/>
      <c r="V528" s="391"/>
      <c r="W528" s="391"/>
      <c r="X528" s="388"/>
      <c r="Y528" s="391"/>
      <c r="Z528" s="393"/>
      <c r="AA528" s="355" t="str">
        <f t="shared" si="1"/>
        <v/>
      </c>
      <c r="AB528" s="391"/>
      <c r="AC528" s="394" t="str">
        <f t="shared" si="2"/>
        <v/>
      </c>
      <c r="AD528" s="389"/>
      <c r="AE528" s="399"/>
      <c r="AF528" s="395"/>
      <c r="AG528" s="396" t="str">
        <f t="shared" si="3"/>
        <v/>
      </c>
      <c r="AH528" s="396" t="str">
        <f t="shared" si="4"/>
        <v/>
      </c>
      <c r="AI528" s="388"/>
      <c r="AJ528" s="388"/>
      <c r="AK528" s="397"/>
    </row>
    <row r="529">
      <c r="A529" s="398"/>
      <c r="B529" s="386"/>
      <c r="C529" s="387" t="str">
        <f>IF(A529="","",IFERROR(IF(VLOOKUP(A529,'1. Inbound Leads'!A:G,7,FALSE)=0,"",VLOOKUP(A529,'1. Inbound Leads'!A:G,7,FALSE)),""))</f>
        <v/>
      </c>
      <c r="D529" s="387" t="str">
        <f>IF(A529="","",IFERROR(IF(VLOOKUP(A529,'1. Inbound Leads'!A:L,12,FALSE)=0,"",VLOOKUP(A529,'1. Inbound Leads'!A:L,12,FALSE)),""))</f>
        <v/>
      </c>
      <c r="E529" s="388"/>
      <c r="F529" s="389"/>
      <c r="G529" s="387"/>
      <c r="H529" s="387"/>
      <c r="I529" s="387"/>
      <c r="J529" s="387"/>
      <c r="K529" s="387"/>
      <c r="L529" s="387"/>
      <c r="M529" s="388"/>
      <c r="N529" s="388"/>
      <c r="O529" s="390"/>
      <c r="P529" s="391"/>
      <c r="Q529" s="389"/>
      <c r="R529" s="390"/>
      <c r="S529" s="390"/>
      <c r="T529" s="391"/>
      <c r="U529" s="392"/>
      <c r="V529" s="391"/>
      <c r="W529" s="391"/>
      <c r="X529" s="388"/>
      <c r="Y529" s="391"/>
      <c r="Z529" s="393"/>
      <c r="AA529" s="355" t="str">
        <f t="shared" si="1"/>
        <v/>
      </c>
      <c r="AB529" s="391"/>
      <c r="AC529" s="394" t="str">
        <f t="shared" si="2"/>
        <v/>
      </c>
      <c r="AD529" s="389"/>
      <c r="AE529" s="399"/>
      <c r="AF529" s="395"/>
      <c r="AG529" s="396" t="str">
        <f t="shared" si="3"/>
        <v/>
      </c>
      <c r="AH529" s="396" t="str">
        <f t="shared" si="4"/>
        <v/>
      </c>
      <c r="AI529" s="388"/>
      <c r="AJ529" s="388"/>
      <c r="AK529" s="397"/>
    </row>
    <row r="530">
      <c r="A530" s="398"/>
      <c r="B530" s="386"/>
      <c r="C530" s="387" t="str">
        <f>IF(A530="","",IFERROR(IF(VLOOKUP(A530,'1. Inbound Leads'!A:G,7,FALSE)=0,"",VLOOKUP(A530,'1. Inbound Leads'!A:G,7,FALSE)),""))</f>
        <v/>
      </c>
      <c r="D530" s="387" t="str">
        <f>IF(A530="","",IFERROR(IF(VLOOKUP(A530,'1. Inbound Leads'!A:L,12,FALSE)=0,"",VLOOKUP(A530,'1. Inbound Leads'!A:L,12,FALSE)),""))</f>
        <v/>
      </c>
      <c r="E530" s="388"/>
      <c r="F530" s="389"/>
      <c r="G530" s="387"/>
      <c r="H530" s="387"/>
      <c r="I530" s="387"/>
      <c r="J530" s="387"/>
      <c r="K530" s="387"/>
      <c r="L530" s="387"/>
      <c r="M530" s="388"/>
      <c r="N530" s="388"/>
      <c r="O530" s="390"/>
      <c r="P530" s="391"/>
      <c r="Q530" s="389"/>
      <c r="R530" s="390"/>
      <c r="S530" s="390"/>
      <c r="T530" s="391"/>
      <c r="U530" s="392"/>
      <c r="V530" s="391"/>
      <c r="W530" s="391"/>
      <c r="X530" s="388"/>
      <c r="Y530" s="391"/>
      <c r="Z530" s="393"/>
      <c r="AA530" s="355" t="str">
        <f t="shared" si="1"/>
        <v/>
      </c>
      <c r="AB530" s="391"/>
      <c r="AC530" s="394" t="str">
        <f t="shared" si="2"/>
        <v/>
      </c>
      <c r="AD530" s="389"/>
      <c r="AE530" s="399"/>
      <c r="AF530" s="395"/>
      <c r="AG530" s="396" t="str">
        <f t="shared" si="3"/>
        <v/>
      </c>
      <c r="AH530" s="396" t="str">
        <f t="shared" si="4"/>
        <v/>
      </c>
      <c r="AI530" s="388"/>
      <c r="AJ530" s="388"/>
      <c r="AK530" s="397"/>
    </row>
    <row r="531">
      <c r="A531" s="398"/>
      <c r="B531" s="386"/>
      <c r="C531" s="387" t="str">
        <f>IF(A531="","",IFERROR(IF(VLOOKUP(A531,'1. Inbound Leads'!A:G,7,FALSE)=0,"",VLOOKUP(A531,'1. Inbound Leads'!A:G,7,FALSE)),""))</f>
        <v/>
      </c>
      <c r="D531" s="387" t="str">
        <f>IF(A531="","",IFERROR(IF(VLOOKUP(A531,'1. Inbound Leads'!A:L,12,FALSE)=0,"",VLOOKUP(A531,'1. Inbound Leads'!A:L,12,FALSE)),""))</f>
        <v/>
      </c>
      <c r="E531" s="388"/>
      <c r="F531" s="389"/>
      <c r="G531" s="387"/>
      <c r="H531" s="387"/>
      <c r="I531" s="387"/>
      <c r="J531" s="387"/>
      <c r="K531" s="387"/>
      <c r="L531" s="387"/>
      <c r="M531" s="388"/>
      <c r="N531" s="388"/>
      <c r="O531" s="390"/>
      <c r="P531" s="391"/>
      <c r="Q531" s="389"/>
      <c r="R531" s="390"/>
      <c r="S531" s="390"/>
      <c r="T531" s="391"/>
      <c r="U531" s="392"/>
      <c r="V531" s="391"/>
      <c r="W531" s="391"/>
      <c r="X531" s="388"/>
      <c r="Y531" s="391"/>
      <c r="Z531" s="393"/>
      <c r="AA531" s="355" t="str">
        <f t="shared" si="1"/>
        <v/>
      </c>
      <c r="AB531" s="391"/>
      <c r="AC531" s="394" t="str">
        <f t="shared" si="2"/>
        <v/>
      </c>
      <c r="AD531" s="389"/>
      <c r="AE531" s="399"/>
      <c r="AF531" s="395"/>
      <c r="AG531" s="396" t="str">
        <f t="shared" si="3"/>
        <v/>
      </c>
      <c r="AH531" s="396" t="str">
        <f t="shared" si="4"/>
        <v/>
      </c>
      <c r="AI531" s="388"/>
      <c r="AJ531" s="388"/>
      <c r="AK531" s="397"/>
    </row>
    <row r="532">
      <c r="A532" s="398"/>
      <c r="B532" s="386"/>
      <c r="C532" s="387" t="str">
        <f>IF(A532="","",IFERROR(IF(VLOOKUP(A532,'1. Inbound Leads'!A:G,7,FALSE)=0,"",VLOOKUP(A532,'1. Inbound Leads'!A:G,7,FALSE)),""))</f>
        <v/>
      </c>
      <c r="D532" s="387" t="str">
        <f>IF(A532="","",IFERROR(IF(VLOOKUP(A532,'1. Inbound Leads'!A:L,12,FALSE)=0,"",VLOOKUP(A532,'1. Inbound Leads'!A:L,12,FALSE)),""))</f>
        <v/>
      </c>
      <c r="E532" s="388"/>
      <c r="F532" s="389"/>
      <c r="G532" s="387"/>
      <c r="H532" s="387"/>
      <c r="I532" s="387"/>
      <c r="J532" s="387"/>
      <c r="K532" s="387"/>
      <c r="L532" s="387"/>
      <c r="M532" s="388"/>
      <c r="N532" s="388"/>
      <c r="O532" s="390"/>
      <c r="P532" s="391"/>
      <c r="Q532" s="389"/>
      <c r="R532" s="390"/>
      <c r="S532" s="390"/>
      <c r="T532" s="391"/>
      <c r="U532" s="392"/>
      <c r="V532" s="391"/>
      <c r="W532" s="391"/>
      <c r="X532" s="388"/>
      <c r="Y532" s="391"/>
      <c r="Z532" s="393"/>
      <c r="AA532" s="355" t="str">
        <f t="shared" si="1"/>
        <v/>
      </c>
      <c r="AB532" s="391"/>
      <c r="AC532" s="394" t="str">
        <f t="shared" si="2"/>
        <v/>
      </c>
      <c r="AD532" s="389"/>
      <c r="AE532" s="399"/>
      <c r="AF532" s="395"/>
      <c r="AG532" s="396" t="str">
        <f t="shared" si="3"/>
        <v/>
      </c>
      <c r="AH532" s="396" t="str">
        <f t="shared" si="4"/>
        <v/>
      </c>
      <c r="AI532" s="388"/>
      <c r="AJ532" s="388"/>
      <c r="AK532" s="397"/>
    </row>
    <row r="533">
      <c r="A533" s="398"/>
      <c r="B533" s="386"/>
      <c r="C533" s="387" t="str">
        <f>IF(A533="","",IFERROR(IF(VLOOKUP(A533,'1. Inbound Leads'!A:G,7,FALSE)=0,"",VLOOKUP(A533,'1. Inbound Leads'!A:G,7,FALSE)),""))</f>
        <v/>
      </c>
      <c r="D533" s="387" t="str">
        <f>IF(A533="","",IFERROR(IF(VLOOKUP(A533,'1. Inbound Leads'!A:L,12,FALSE)=0,"",VLOOKUP(A533,'1. Inbound Leads'!A:L,12,FALSE)),""))</f>
        <v/>
      </c>
      <c r="E533" s="388"/>
      <c r="F533" s="389"/>
      <c r="G533" s="387"/>
      <c r="H533" s="387"/>
      <c r="I533" s="387"/>
      <c r="J533" s="387"/>
      <c r="K533" s="387"/>
      <c r="L533" s="387"/>
      <c r="M533" s="388"/>
      <c r="N533" s="388"/>
      <c r="O533" s="390"/>
      <c r="P533" s="391"/>
      <c r="Q533" s="389"/>
      <c r="R533" s="390"/>
      <c r="S533" s="390"/>
      <c r="T533" s="391"/>
      <c r="U533" s="392"/>
      <c r="V533" s="391"/>
      <c r="W533" s="391"/>
      <c r="X533" s="388"/>
      <c r="Y533" s="391"/>
      <c r="Z533" s="393"/>
      <c r="AA533" s="355" t="str">
        <f t="shared" si="1"/>
        <v/>
      </c>
      <c r="AB533" s="391"/>
      <c r="AC533" s="394" t="str">
        <f t="shared" si="2"/>
        <v/>
      </c>
      <c r="AD533" s="389"/>
      <c r="AE533" s="399"/>
      <c r="AF533" s="395"/>
      <c r="AG533" s="396" t="str">
        <f t="shared" si="3"/>
        <v/>
      </c>
      <c r="AH533" s="396" t="str">
        <f t="shared" si="4"/>
        <v/>
      </c>
      <c r="AI533" s="388"/>
      <c r="AJ533" s="388"/>
      <c r="AK533" s="397"/>
    </row>
    <row r="534">
      <c r="A534" s="398"/>
      <c r="B534" s="386"/>
      <c r="C534" s="387" t="str">
        <f>IF(A534="","",IFERROR(IF(VLOOKUP(A534,'1. Inbound Leads'!A:G,7,FALSE)=0,"",VLOOKUP(A534,'1. Inbound Leads'!A:G,7,FALSE)),""))</f>
        <v/>
      </c>
      <c r="D534" s="387" t="str">
        <f>IF(A534="","",IFERROR(IF(VLOOKUP(A534,'1. Inbound Leads'!A:L,12,FALSE)=0,"",VLOOKUP(A534,'1. Inbound Leads'!A:L,12,FALSE)),""))</f>
        <v/>
      </c>
      <c r="E534" s="388"/>
      <c r="F534" s="389"/>
      <c r="G534" s="387"/>
      <c r="H534" s="387"/>
      <c r="I534" s="387"/>
      <c r="J534" s="387"/>
      <c r="K534" s="387"/>
      <c r="L534" s="387"/>
      <c r="M534" s="388"/>
      <c r="N534" s="388"/>
      <c r="O534" s="390"/>
      <c r="P534" s="391"/>
      <c r="Q534" s="389"/>
      <c r="R534" s="390"/>
      <c r="S534" s="390"/>
      <c r="T534" s="391"/>
      <c r="U534" s="392"/>
      <c r="V534" s="391"/>
      <c r="W534" s="391"/>
      <c r="X534" s="388"/>
      <c r="Y534" s="391"/>
      <c r="Z534" s="393"/>
      <c r="AA534" s="355" t="str">
        <f t="shared" si="1"/>
        <v/>
      </c>
      <c r="AB534" s="391"/>
      <c r="AC534" s="394" t="str">
        <f t="shared" si="2"/>
        <v/>
      </c>
      <c r="AD534" s="389"/>
      <c r="AE534" s="399"/>
      <c r="AF534" s="395"/>
      <c r="AG534" s="396" t="str">
        <f t="shared" si="3"/>
        <v/>
      </c>
      <c r="AH534" s="396" t="str">
        <f t="shared" si="4"/>
        <v/>
      </c>
      <c r="AI534" s="388"/>
      <c r="AJ534" s="388"/>
      <c r="AK534" s="397"/>
    </row>
    <row r="535">
      <c r="A535" s="398"/>
      <c r="B535" s="386"/>
      <c r="C535" s="387" t="str">
        <f>IF(A535="","",IFERROR(IF(VLOOKUP(A535,'1. Inbound Leads'!A:G,7,FALSE)=0,"",VLOOKUP(A535,'1. Inbound Leads'!A:G,7,FALSE)),""))</f>
        <v/>
      </c>
      <c r="D535" s="387" t="str">
        <f>IF(A535="","",IFERROR(IF(VLOOKUP(A535,'1. Inbound Leads'!A:L,12,FALSE)=0,"",VLOOKUP(A535,'1. Inbound Leads'!A:L,12,FALSE)),""))</f>
        <v/>
      </c>
      <c r="E535" s="388"/>
      <c r="F535" s="389"/>
      <c r="G535" s="387"/>
      <c r="H535" s="387"/>
      <c r="I535" s="387"/>
      <c r="J535" s="387"/>
      <c r="K535" s="387"/>
      <c r="L535" s="387"/>
      <c r="M535" s="388"/>
      <c r="N535" s="388"/>
      <c r="O535" s="390"/>
      <c r="P535" s="391"/>
      <c r="Q535" s="389"/>
      <c r="R535" s="390"/>
      <c r="S535" s="390"/>
      <c r="T535" s="391"/>
      <c r="U535" s="392"/>
      <c r="V535" s="391"/>
      <c r="W535" s="391"/>
      <c r="X535" s="388"/>
      <c r="Y535" s="391"/>
      <c r="Z535" s="393"/>
      <c r="AA535" s="355" t="str">
        <f t="shared" si="1"/>
        <v/>
      </c>
      <c r="AB535" s="391"/>
      <c r="AC535" s="394" t="str">
        <f t="shared" si="2"/>
        <v/>
      </c>
      <c r="AD535" s="389"/>
      <c r="AE535" s="399"/>
      <c r="AF535" s="395"/>
      <c r="AG535" s="396" t="str">
        <f t="shared" si="3"/>
        <v/>
      </c>
      <c r="AH535" s="396" t="str">
        <f t="shared" si="4"/>
        <v/>
      </c>
      <c r="AI535" s="388"/>
      <c r="AJ535" s="388"/>
      <c r="AK535" s="397"/>
    </row>
    <row r="536">
      <c r="A536" s="398"/>
      <c r="B536" s="386"/>
      <c r="C536" s="387" t="str">
        <f>IF(A536="","",IFERROR(IF(VLOOKUP(A536,'1. Inbound Leads'!A:G,7,FALSE)=0,"",VLOOKUP(A536,'1. Inbound Leads'!A:G,7,FALSE)),""))</f>
        <v/>
      </c>
      <c r="D536" s="387" t="str">
        <f>IF(A536="","",IFERROR(IF(VLOOKUP(A536,'1. Inbound Leads'!A:L,12,FALSE)=0,"",VLOOKUP(A536,'1. Inbound Leads'!A:L,12,FALSE)),""))</f>
        <v/>
      </c>
      <c r="E536" s="388"/>
      <c r="F536" s="389"/>
      <c r="G536" s="387"/>
      <c r="H536" s="387"/>
      <c r="I536" s="387"/>
      <c r="J536" s="387"/>
      <c r="K536" s="387"/>
      <c r="L536" s="387"/>
      <c r="M536" s="388"/>
      <c r="N536" s="388"/>
      <c r="O536" s="390"/>
      <c r="P536" s="391"/>
      <c r="Q536" s="389"/>
      <c r="R536" s="390"/>
      <c r="S536" s="390"/>
      <c r="T536" s="391"/>
      <c r="U536" s="392"/>
      <c r="V536" s="391"/>
      <c r="W536" s="391"/>
      <c r="X536" s="388"/>
      <c r="Y536" s="391"/>
      <c r="Z536" s="393"/>
      <c r="AA536" s="355" t="str">
        <f t="shared" si="1"/>
        <v/>
      </c>
      <c r="AB536" s="391"/>
      <c r="AC536" s="394" t="str">
        <f t="shared" si="2"/>
        <v/>
      </c>
      <c r="AD536" s="389"/>
      <c r="AE536" s="399"/>
      <c r="AF536" s="395"/>
      <c r="AG536" s="396" t="str">
        <f t="shared" si="3"/>
        <v/>
      </c>
      <c r="AH536" s="396" t="str">
        <f t="shared" si="4"/>
        <v/>
      </c>
      <c r="AI536" s="388"/>
      <c r="AJ536" s="388"/>
      <c r="AK536" s="397"/>
    </row>
    <row r="537">
      <c r="A537" s="398"/>
      <c r="B537" s="386"/>
      <c r="C537" s="387" t="str">
        <f>IF(A537="","",IFERROR(IF(VLOOKUP(A537,'1. Inbound Leads'!A:G,7,FALSE)=0,"",VLOOKUP(A537,'1. Inbound Leads'!A:G,7,FALSE)),""))</f>
        <v/>
      </c>
      <c r="D537" s="387" t="str">
        <f>IF(A537="","",IFERROR(IF(VLOOKUP(A537,'1. Inbound Leads'!A:L,12,FALSE)=0,"",VLOOKUP(A537,'1. Inbound Leads'!A:L,12,FALSE)),""))</f>
        <v/>
      </c>
      <c r="E537" s="388"/>
      <c r="F537" s="389"/>
      <c r="G537" s="387"/>
      <c r="H537" s="387"/>
      <c r="I537" s="387"/>
      <c r="J537" s="387"/>
      <c r="K537" s="387"/>
      <c r="L537" s="387"/>
      <c r="M537" s="388"/>
      <c r="N537" s="388"/>
      <c r="O537" s="390"/>
      <c r="P537" s="391"/>
      <c r="Q537" s="389"/>
      <c r="R537" s="390"/>
      <c r="S537" s="390"/>
      <c r="T537" s="391"/>
      <c r="U537" s="392"/>
      <c r="V537" s="391"/>
      <c r="W537" s="391"/>
      <c r="X537" s="388"/>
      <c r="Y537" s="391"/>
      <c r="Z537" s="393"/>
      <c r="AA537" s="355" t="str">
        <f t="shared" si="1"/>
        <v/>
      </c>
      <c r="AB537" s="391"/>
      <c r="AC537" s="394" t="str">
        <f t="shared" si="2"/>
        <v/>
      </c>
      <c r="AD537" s="389"/>
      <c r="AE537" s="399"/>
      <c r="AF537" s="395"/>
      <c r="AG537" s="396" t="str">
        <f t="shared" si="3"/>
        <v/>
      </c>
      <c r="AH537" s="396" t="str">
        <f t="shared" si="4"/>
        <v/>
      </c>
      <c r="AI537" s="388"/>
      <c r="AJ537" s="388"/>
      <c r="AK537" s="397"/>
    </row>
    <row r="538">
      <c r="A538" s="398"/>
      <c r="B538" s="386"/>
      <c r="C538" s="387" t="str">
        <f>IF(A538="","",IFERROR(IF(VLOOKUP(A538,'1. Inbound Leads'!A:G,7,FALSE)=0,"",VLOOKUP(A538,'1. Inbound Leads'!A:G,7,FALSE)),""))</f>
        <v/>
      </c>
      <c r="D538" s="387" t="str">
        <f>IF(A538="","",IFERROR(IF(VLOOKUP(A538,'1. Inbound Leads'!A:L,12,FALSE)=0,"",VLOOKUP(A538,'1. Inbound Leads'!A:L,12,FALSE)),""))</f>
        <v/>
      </c>
      <c r="E538" s="388"/>
      <c r="F538" s="389"/>
      <c r="G538" s="387"/>
      <c r="H538" s="387"/>
      <c r="I538" s="387"/>
      <c r="J538" s="387"/>
      <c r="K538" s="387"/>
      <c r="L538" s="387"/>
      <c r="M538" s="388"/>
      <c r="N538" s="388"/>
      <c r="O538" s="390"/>
      <c r="P538" s="391"/>
      <c r="Q538" s="389"/>
      <c r="R538" s="390"/>
      <c r="S538" s="390"/>
      <c r="T538" s="391"/>
      <c r="U538" s="392"/>
      <c r="V538" s="391"/>
      <c r="W538" s="391"/>
      <c r="X538" s="388"/>
      <c r="Y538" s="391"/>
      <c r="Z538" s="393"/>
      <c r="AA538" s="355" t="str">
        <f t="shared" si="1"/>
        <v/>
      </c>
      <c r="AB538" s="391"/>
      <c r="AC538" s="394" t="str">
        <f t="shared" si="2"/>
        <v/>
      </c>
      <c r="AD538" s="389"/>
      <c r="AE538" s="399"/>
      <c r="AF538" s="395"/>
      <c r="AG538" s="396" t="str">
        <f t="shared" si="3"/>
        <v/>
      </c>
      <c r="AH538" s="396" t="str">
        <f t="shared" si="4"/>
        <v/>
      </c>
      <c r="AI538" s="388"/>
      <c r="AJ538" s="388"/>
      <c r="AK538" s="397"/>
    </row>
    <row r="539">
      <c r="A539" s="398"/>
      <c r="B539" s="386"/>
      <c r="C539" s="387" t="str">
        <f>IF(A539="","",IFERROR(IF(VLOOKUP(A539,'1. Inbound Leads'!A:G,7,FALSE)=0,"",VLOOKUP(A539,'1. Inbound Leads'!A:G,7,FALSE)),""))</f>
        <v/>
      </c>
      <c r="D539" s="387" t="str">
        <f>IF(A539="","",IFERROR(IF(VLOOKUP(A539,'1. Inbound Leads'!A:L,12,FALSE)=0,"",VLOOKUP(A539,'1. Inbound Leads'!A:L,12,FALSE)),""))</f>
        <v/>
      </c>
      <c r="E539" s="388"/>
      <c r="F539" s="389"/>
      <c r="G539" s="387"/>
      <c r="H539" s="387"/>
      <c r="I539" s="387"/>
      <c r="J539" s="387"/>
      <c r="K539" s="387"/>
      <c r="L539" s="387"/>
      <c r="M539" s="388"/>
      <c r="N539" s="388"/>
      <c r="O539" s="390"/>
      <c r="P539" s="391"/>
      <c r="Q539" s="389"/>
      <c r="R539" s="390"/>
      <c r="S539" s="390"/>
      <c r="T539" s="391"/>
      <c r="U539" s="392"/>
      <c r="V539" s="391"/>
      <c r="W539" s="391"/>
      <c r="X539" s="388"/>
      <c r="Y539" s="391"/>
      <c r="Z539" s="393"/>
      <c r="AA539" s="355" t="str">
        <f t="shared" si="1"/>
        <v/>
      </c>
      <c r="AB539" s="391"/>
      <c r="AC539" s="394" t="str">
        <f t="shared" si="2"/>
        <v/>
      </c>
      <c r="AD539" s="389"/>
      <c r="AE539" s="399"/>
      <c r="AF539" s="395"/>
      <c r="AG539" s="396" t="str">
        <f t="shared" si="3"/>
        <v/>
      </c>
      <c r="AH539" s="396" t="str">
        <f t="shared" si="4"/>
        <v/>
      </c>
      <c r="AI539" s="388"/>
      <c r="AJ539" s="388"/>
      <c r="AK539" s="397"/>
    </row>
    <row r="540">
      <c r="A540" s="398"/>
      <c r="B540" s="386"/>
      <c r="C540" s="387" t="str">
        <f>IF(A540="","",IFERROR(IF(VLOOKUP(A540,'1. Inbound Leads'!A:G,7,FALSE)=0,"",VLOOKUP(A540,'1. Inbound Leads'!A:G,7,FALSE)),""))</f>
        <v/>
      </c>
      <c r="D540" s="387" t="str">
        <f>IF(A540="","",IFERROR(IF(VLOOKUP(A540,'1. Inbound Leads'!A:L,12,FALSE)=0,"",VLOOKUP(A540,'1. Inbound Leads'!A:L,12,FALSE)),""))</f>
        <v/>
      </c>
      <c r="E540" s="388"/>
      <c r="F540" s="389"/>
      <c r="G540" s="387"/>
      <c r="H540" s="387"/>
      <c r="I540" s="387"/>
      <c r="J540" s="387"/>
      <c r="K540" s="387"/>
      <c r="L540" s="387"/>
      <c r="M540" s="388"/>
      <c r="N540" s="388"/>
      <c r="O540" s="390"/>
      <c r="P540" s="391"/>
      <c r="Q540" s="389"/>
      <c r="R540" s="390"/>
      <c r="S540" s="390"/>
      <c r="T540" s="391"/>
      <c r="U540" s="392"/>
      <c r="V540" s="391"/>
      <c r="W540" s="391"/>
      <c r="X540" s="388"/>
      <c r="Y540" s="391"/>
      <c r="Z540" s="393"/>
      <c r="AA540" s="355" t="str">
        <f t="shared" si="1"/>
        <v/>
      </c>
      <c r="AB540" s="391"/>
      <c r="AC540" s="394" t="str">
        <f t="shared" si="2"/>
        <v/>
      </c>
      <c r="AD540" s="389"/>
      <c r="AE540" s="399"/>
      <c r="AF540" s="395"/>
      <c r="AG540" s="396" t="str">
        <f t="shared" si="3"/>
        <v/>
      </c>
      <c r="AH540" s="396" t="str">
        <f t="shared" si="4"/>
        <v/>
      </c>
      <c r="AI540" s="388"/>
      <c r="AJ540" s="388"/>
      <c r="AK540" s="397"/>
    </row>
    <row r="541">
      <c r="A541" s="398"/>
      <c r="B541" s="386"/>
      <c r="C541" s="387" t="str">
        <f>IF(A541="","",IFERROR(IF(VLOOKUP(A541,'1. Inbound Leads'!A:G,7,FALSE)=0,"",VLOOKUP(A541,'1. Inbound Leads'!A:G,7,FALSE)),""))</f>
        <v/>
      </c>
      <c r="D541" s="387" t="str">
        <f>IF(A541="","",IFERROR(IF(VLOOKUP(A541,'1. Inbound Leads'!A:L,12,FALSE)=0,"",VLOOKUP(A541,'1. Inbound Leads'!A:L,12,FALSE)),""))</f>
        <v/>
      </c>
      <c r="E541" s="388"/>
      <c r="F541" s="389"/>
      <c r="G541" s="387"/>
      <c r="H541" s="387"/>
      <c r="I541" s="387"/>
      <c r="J541" s="387"/>
      <c r="K541" s="387"/>
      <c r="L541" s="387"/>
      <c r="M541" s="388"/>
      <c r="N541" s="388"/>
      <c r="O541" s="390"/>
      <c r="P541" s="391"/>
      <c r="Q541" s="389"/>
      <c r="R541" s="390"/>
      <c r="S541" s="390"/>
      <c r="T541" s="391"/>
      <c r="U541" s="392"/>
      <c r="V541" s="391"/>
      <c r="W541" s="391"/>
      <c r="X541" s="388"/>
      <c r="Y541" s="391"/>
      <c r="Z541" s="393"/>
      <c r="AA541" s="355" t="str">
        <f t="shared" si="1"/>
        <v/>
      </c>
      <c r="AB541" s="391"/>
      <c r="AC541" s="394" t="str">
        <f t="shared" si="2"/>
        <v/>
      </c>
      <c r="AD541" s="389"/>
      <c r="AE541" s="399"/>
      <c r="AF541" s="395"/>
      <c r="AG541" s="396" t="str">
        <f t="shared" si="3"/>
        <v/>
      </c>
      <c r="AH541" s="396" t="str">
        <f t="shared" si="4"/>
        <v/>
      </c>
      <c r="AI541" s="388"/>
      <c r="AJ541" s="388"/>
      <c r="AK541" s="397"/>
    </row>
    <row r="542">
      <c r="A542" s="398"/>
      <c r="B542" s="386"/>
      <c r="C542" s="387" t="str">
        <f>IF(A542="","",IFERROR(IF(VLOOKUP(A542,'1. Inbound Leads'!A:G,7,FALSE)=0,"",VLOOKUP(A542,'1. Inbound Leads'!A:G,7,FALSE)),""))</f>
        <v/>
      </c>
      <c r="D542" s="387" t="str">
        <f>IF(A542="","",IFERROR(IF(VLOOKUP(A542,'1. Inbound Leads'!A:L,12,FALSE)=0,"",VLOOKUP(A542,'1. Inbound Leads'!A:L,12,FALSE)),""))</f>
        <v/>
      </c>
      <c r="E542" s="388"/>
      <c r="F542" s="389"/>
      <c r="G542" s="387"/>
      <c r="H542" s="387"/>
      <c r="I542" s="387"/>
      <c r="J542" s="387"/>
      <c r="K542" s="387"/>
      <c r="L542" s="387"/>
      <c r="M542" s="388"/>
      <c r="N542" s="388"/>
      <c r="O542" s="390"/>
      <c r="P542" s="391"/>
      <c r="Q542" s="389"/>
      <c r="R542" s="390"/>
      <c r="S542" s="390"/>
      <c r="T542" s="391"/>
      <c r="U542" s="392"/>
      <c r="V542" s="391"/>
      <c r="W542" s="391"/>
      <c r="X542" s="388"/>
      <c r="Y542" s="391"/>
      <c r="Z542" s="393"/>
      <c r="AA542" s="355" t="str">
        <f t="shared" si="1"/>
        <v/>
      </c>
      <c r="AB542" s="391"/>
      <c r="AC542" s="394" t="str">
        <f t="shared" si="2"/>
        <v/>
      </c>
      <c r="AD542" s="389"/>
      <c r="AE542" s="399"/>
      <c r="AF542" s="395"/>
      <c r="AG542" s="396" t="str">
        <f t="shared" si="3"/>
        <v/>
      </c>
      <c r="AH542" s="396" t="str">
        <f t="shared" si="4"/>
        <v/>
      </c>
      <c r="AI542" s="388"/>
      <c r="AJ542" s="388"/>
      <c r="AK542" s="397"/>
    </row>
    <row r="543">
      <c r="A543" s="398"/>
      <c r="B543" s="386"/>
      <c r="C543" s="387" t="str">
        <f>IF(A543="","",IFERROR(IF(VLOOKUP(A543,'1. Inbound Leads'!A:G,7,FALSE)=0,"",VLOOKUP(A543,'1. Inbound Leads'!A:G,7,FALSE)),""))</f>
        <v/>
      </c>
      <c r="D543" s="387" t="str">
        <f>IF(A543="","",IFERROR(IF(VLOOKUP(A543,'1. Inbound Leads'!A:L,12,FALSE)=0,"",VLOOKUP(A543,'1. Inbound Leads'!A:L,12,FALSE)),""))</f>
        <v/>
      </c>
      <c r="E543" s="388"/>
      <c r="F543" s="389"/>
      <c r="G543" s="387"/>
      <c r="H543" s="387"/>
      <c r="I543" s="387"/>
      <c r="J543" s="387"/>
      <c r="K543" s="387"/>
      <c r="L543" s="387"/>
      <c r="M543" s="388"/>
      <c r="N543" s="388"/>
      <c r="O543" s="390"/>
      <c r="P543" s="391"/>
      <c r="Q543" s="389"/>
      <c r="R543" s="390"/>
      <c r="S543" s="390"/>
      <c r="T543" s="391"/>
      <c r="U543" s="392"/>
      <c r="V543" s="391"/>
      <c r="W543" s="391"/>
      <c r="X543" s="388"/>
      <c r="Y543" s="391"/>
      <c r="Z543" s="393"/>
      <c r="AA543" s="355" t="str">
        <f t="shared" si="1"/>
        <v/>
      </c>
      <c r="AB543" s="391"/>
      <c r="AC543" s="394" t="str">
        <f t="shared" si="2"/>
        <v/>
      </c>
      <c r="AD543" s="389"/>
      <c r="AE543" s="399"/>
      <c r="AF543" s="395"/>
      <c r="AG543" s="396" t="str">
        <f t="shared" si="3"/>
        <v/>
      </c>
      <c r="AH543" s="396" t="str">
        <f t="shared" si="4"/>
        <v/>
      </c>
      <c r="AI543" s="388"/>
      <c r="AJ543" s="388"/>
      <c r="AK543" s="397"/>
    </row>
    <row r="544">
      <c r="A544" s="398"/>
      <c r="B544" s="386"/>
      <c r="C544" s="387" t="str">
        <f>IF(A544="","",IFERROR(IF(VLOOKUP(A544,'1. Inbound Leads'!A:G,7,FALSE)=0,"",VLOOKUP(A544,'1. Inbound Leads'!A:G,7,FALSE)),""))</f>
        <v/>
      </c>
      <c r="D544" s="387" t="str">
        <f>IF(A544="","",IFERROR(IF(VLOOKUP(A544,'1. Inbound Leads'!A:L,12,FALSE)=0,"",VLOOKUP(A544,'1. Inbound Leads'!A:L,12,FALSE)),""))</f>
        <v/>
      </c>
      <c r="E544" s="388"/>
      <c r="F544" s="389"/>
      <c r="G544" s="387"/>
      <c r="H544" s="387"/>
      <c r="I544" s="387"/>
      <c r="J544" s="387"/>
      <c r="K544" s="387"/>
      <c r="L544" s="387"/>
      <c r="M544" s="388"/>
      <c r="N544" s="388"/>
      <c r="O544" s="390"/>
      <c r="P544" s="391"/>
      <c r="Q544" s="389"/>
      <c r="R544" s="390"/>
      <c r="S544" s="390"/>
      <c r="T544" s="391"/>
      <c r="U544" s="392"/>
      <c r="V544" s="391"/>
      <c r="W544" s="391"/>
      <c r="X544" s="388"/>
      <c r="Y544" s="391"/>
      <c r="Z544" s="393"/>
      <c r="AA544" s="355" t="str">
        <f t="shared" si="1"/>
        <v/>
      </c>
      <c r="AB544" s="391"/>
      <c r="AC544" s="394" t="str">
        <f t="shared" si="2"/>
        <v/>
      </c>
      <c r="AD544" s="389"/>
      <c r="AE544" s="399"/>
      <c r="AF544" s="395"/>
      <c r="AG544" s="396" t="str">
        <f t="shared" si="3"/>
        <v/>
      </c>
      <c r="AH544" s="396" t="str">
        <f t="shared" si="4"/>
        <v/>
      </c>
      <c r="AI544" s="388"/>
      <c r="AJ544" s="388"/>
      <c r="AK544" s="397"/>
    </row>
    <row r="545">
      <c r="A545" s="398"/>
      <c r="B545" s="386"/>
      <c r="C545" s="387" t="str">
        <f>IF(A545="","",IFERROR(IF(VLOOKUP(A545,'1. Inbound Leads'!A:G,7,FALSE)=0,"",VLOOKUP(A545,'1. Inbound Leads'!A:G,7,FALSE)),""))</f>
        <v/>
      </c>
      <c r="D545" s="387" t="str">
        <f>IF(A545="","",IFERROR(IF(VLOOKUP(A545,'1. Inbound Leads'!A:L,12,FALSE)=0,"",VLOOKUP(A545,'1. Inbound Leads'!A:L,12,FALSE)),""))</f>
        <v/>
      </c>
      <c r="E545" s="388"/>
      <c r="F545" s="389"/>
      <c r="G545" s="387"/>
      <c r="H545" s="387"/>
      <c r="I545" s="387"/>
      <c r="J545" s="387"/>
      <c r="K545" s="387"/>
      <c r="L545" s="387"/>
      <c r="M545" s="388"/>
      <c r="N545" s="388"/>
      <c r="O545" s="390"/>
      <c r="P545" s="391"/>
      <c r="Q545" s="389"/>
      <c r="R545" s="390"/>
      <c r="S545" s="390"/>
      <c r="T545" s="391"/>
      <c r="U545" s="392"/>
      <c r="V545" s="391"/>
      <c r="W545" s="391"/>
      <c r="X545" s="388"/>
      <c r="Y545" s="391"/>
      <c r="Z545" s="393"/>
      <c r="AA545" s="355" t="str">
        <f t="shared" si="1"/>
        <v/>
      </c>
      <c r="AB545" s="391"/>
      <c r="AC545" s="394" t="str">
        <f t="shared" si="2"/>
        <v/>
      </c>
      <c r="AD545" s="389"/>
      <c r="AE545" s="399"/>
      <c r="AF545" s="395"/>
      <c r="AG545" s="396" t="str">
        <f t="shared" si="3"/>
        <v/>
      </c>
      <c r="AH545" s="396" t="str">
        <f t="shared" si="4"/>
        <v/>
      </c>
      <c r="AI545" s="388"/>
      <c r="AJ545" s="388"/>
      <c r="AK545" s="397"/>
    </row>
    <row r="546">
      <c r="A546" s="398"/>
      <c r="B546" s="386"/>
      <c r="C546" s="387" t="str">
        <f>IF(A546="","",IFERROR(IF(VLOOKUP(A546,'1. Inbound Leads'!A:G,7,FALSE)=0,"",VLOOKUP(A546,'1. Inbound Leads'!A:G,7,FALSE)),""))</f>
        <v/>
      </c>
      <c r="D546" s="387" t="str">
        <f>IF(A546="","",IFERROR(IF(VLOOKUP(A546,'1. Inbound Leads'!A:L,12,FALSE)=0,"",VLOOKUP(A546,'1. Inbound Leads'!A:L,12,FALSE)),""))</f>
        <v/>
      </c>
      <c r="E546" s="388"/>
      <c r="F546" s="389"/>
      <c r="G546" s="387"/>
      <c r="H546" s="387"/>
      <c r="I546" s="387"/>
      <c r="J546" s="387"/>
      <c r="K546" s="387"/>
      <c r="L546" s="387"/>
      <c r="M546" s="388"/>
      <c r="N546" s="388"/>
      <c r="O546" s="390"/>
      <c r="P546" s="391"/>
      <c r="Q546" s="389"/>
      <c r="R546" s="390"/>
      <c r="S546" s="390"/>
      <c r="T546" s="391"/>
      <c r="U546" s="392"/>
      <c r="V546" s="391"/>
      <c r="W546" s="391"/>
      <c r="X546" s="388"/>
      <c r="Y546" s="391"/>
      <c r="Z546" s="393"/>
      <c r="AA546" s="355" t="str">
        <f t="shared" si="1"/>
        <v/>
      </c>
      <c r="AB546" s="391"/>
      <c r="AC546" s="394" t="str">
        <f t="shared" si="2"/>
        <v/>
      </c>
      <c r="AD546" s="389"/>
      <c r="AE546" s="399"/>
      <c r="AF546" s="395"/>
      <c r="AG546" s="396" t="str">
        <f t="shared" si="3"/>
        <v/>
      </c>
      <c r="AH546" s="396" t="str">
        <f t="shared" si="4"/>
        <v/>
      </c>
      <c r="AI546" s="388"/>
      <c r="AJ546" s="388"/>
      <c r="AK546" s="397"/>
    </row>
    <row r="547">
      <c r="A547" s="398"/>
      <c r="B547" s="386"/>
      <c r="C547" s="387" t="str">
        <f>IF(A547="","",IFERROR(IF(VLOOKUP(A547,'1. Inbound Leads'!A:G,7,FALSE)=0,"",VLOOKUP(A547,'1. Inbound Leads'!A:G,7,FALSE)),""))</f>
        <v/>
      </c>
      <c r="D547" s="387" t="str">
        <f>IF(A547="","",IFERROR(IF(VLOOKUP(A547,'1. Inbound Leads'!A:L,12,FALSE)=0,"",VLOOKUP(A547,'1. Inbound Leads'!A:L,12,FALSE)),""))</f>
        <v/>
      </c>
      <c r="E547" s="388"/>
      <c r="F547" s="389"/>
      <c r="G547" s="387"/>
      <c r="H547" s="387"/>
      <c r="I547" s="387"/>
      <c r="J547" s="387"/>
      <c r="K547" s="387"/>
      <c r="L547" s="387"/>
      <c r="M547" s="388"/>
      <c r="N547" s="388"/>
      <c r="O547" s="390"/>
      <c r="P547" s="391"/>
      <c r="Q547" s="389"/>
      <c r="R547" s="390"/>
      <c r="S547" s="390"/>
      <c r="T547" s="391"/>
      <c r="U547" s="392"/>
      <c r="V547" s="391"/>
      <c r="W547" s="391"/>
      <c r="X547" s="388"/>
      <c r="Y547" s="391"/>
      <c r="Z547" s="393"/>
      <c r="AA547" s="355" t="str">
        <f t="shared" si="1"/>
        <v/>
      </c>
      <c r="AB547" s="391"/>
      <c r="AC547" s="394" t="str">
        <f t="shared" si="2"/>
        <v/>
      </c>
      <c r="AD547" s="389"/>
      <c r="AE547" s="399"/>
      <c r="AF547" s="395"/>
      <c r="AG547" s="396" t="str">
        <f t="shared" si="3"/>
        <v/>
      </c>
      <c r="AH547" s="396" t="str">
        <f t="shared" si="4"/>
        <v/>
      </c>
      <c r="AI547" s="388"/>
      <c r="AJ547" s="388"/>
      <c r="AK547" s="397"/>
    </row>
    <row r="548">
      <c r="A548" s="398"/>
      <c r="B548" s="386"/>
      <c r="C548" s="387" t="str">
        <f>IF(A548="","",IFERROR(IF(VLOOKUP(A548,'1. Inbound Leads'!A:G,7,FALSE)=0,"",VLOOKUP(A548,'1. Inbound Leads'!A:G,7,FALSE)),""))</f>
        <v/>
      </c>
      <c r="D548" s="387" t="str">
        <f>IF(A548="","",IFERROR(IF(VLOOKUP(A548,'1. Inbound Leads'!A:L,12,FALSE)=0,"",VLOOKUP(A548,'1. Inbound Leads'!A:L,12,FALSE)),""))</f>
        <v/>
      </c>
      <c r="E548" s="388"/>
      <c r="F548" s="389"/>
      <c r="G548" s="387"/>
      <c r="H548" s="387"/>
      <c r="I548" s="387"/>
      <c r="J548" s="387"/>
      <c r="K548" s="387"/>
      <c r="L548" s="387"/>
      <c r="M548" s="388"/>
      <c r="N548" s="388"/>
      <c r="O548" s="390"/>
      <c r="P548" s="391"/>
      <c r="Q548" s="389"/>
      <c r="R548" s="390"/>
      <c r="S548" s="390"/>
      <c r="T548" s="391"/>
      <c r="U548" s="392"/>
      <c r="V548" s="391"/>
      <c r="W548" s="391"/>
      <c r="X548" s="388"/>
      <c r="Y548" s="391"/>
      <c r="Z548" s="393"/>
      <c r="AA548" s="355" t="str">
        <f t="shared" si="1"/>
        <v/>
      </c>
      <c r="AB548" s="391"/>
      <c r="AC548" s="394" t="str">
        <f t="shared" si="2"/>
        <v/>
      </c>
      <c r="AD548" s="389"/>
      <c r="AE548" s="399"/>
      <c r="AF548" s="395"/>
      <c r="AG548" s="396" t="str">
        <f t="shared" si="3"/>
        <v/>
      </c>
      <c r="AH548" s="396" t="str">
        <f t="shared" si="4"/>
        <v/>
      </c>
      <c r="AI548" s="388"/>
      <c r="AJ548" s="388"/>
      <c r="AK548" s="397"/>
    </row>
    <row r="549">
      <c r="A549" s="398"/>
      <c r="B549" s="386"/>
      <c r="C549" s="387" t="str">
        <f>IF(A549="","",IFERROR(IF(VLOOKUP(A549,'1. Inbound Leads'!A:G,7,FALSE)=0,"",VLOOKUP(A549,'1. Inbound Leads'!A:G,7,FALSE)),""))</f>
        <v/>
      </c>
      <c r="D549" s="387" t="str">
        <f>IF(A549="","",IFERROR(IF(VLOOKUP(A549,'1. Inbound Leads'!A:L,12,FALSE)=0,"",VLOOKUP(A549,'1. Inbound Leads'!A:L,12,FALSE)),""))</f>
        <v/>
      </c>
      <c r="E549" s="388"/>
      <c r="F549" s="389"/>
      <c r="G549" s="387"/>
      <c r="H549" s="387"/>
      <c r="I549" s="387"/>
      <c r="J549" s="387"/>
      <c r="K549" s="387"/>
      <c r="L549" s="387"/>
      <c r="M549" s="388"/>
      <c r="N549" s="388"/>
      <c r="O549" s="390"/>
      <c r="P549" s="391"/>
      <c r="Q549" s="389"/>
      <c r="R549" s="390"/>
      <c r="S549" s="390"/>
      <c r="T549" s="391"/>
      <c r="U549" s="392"/>
      <c r="V549" s="391"/>
      <c r="W549" s="391"/>
      <c r="X549" s="388"/>
      <c r="Y549" s="391"/>
      <c r="Z549" s="393"/>
      <c r="AA549" s="355" t="str">
        <f t="shared" si="1"/>
        <v/>
      </c>
      <c r="AB549" s="391"/>
      <c r="AC549" s="394" t="str">
        <f t="shared" si="2"/>
        <v/>
      </c>
      <c r="AD549" s="389"/>
      <c r="AE549" s="399"/>
      <c r="AF549" s="395"/>
      <c r="AG549" s="396" t="str">
        <f t="shared" si="3"/>
        <v/>
      </c>
      <c r="AH549" s="396" t="str">
        <f t="shared" si="4"/>
        <v/>
      </c>
      <c r="AI549" s="388"/>
      <c r="AJ549" s="388"/>
      <c r="AK549" s="397"/>
    </row>
    <row r="550">
      <c r="A550" s="398"/>
      <c r="B550" s="386"/>
      <c r="C550" s="387" t="str">
        <f>IF(A550="","",IFERROR(IF(VLOOKUP(A550,'1. Inbound Leads'!A:G,7,FALSE)=0,"",VLOOKUP(A550,'1. Inbound Leads'!A:G,7,FALSE)),""))</f>
        <v/>
      </c>
      <c r="D550" s="387" t="str">
        <f>IF(A550="","",IFERROR(IF(VLOOKUP(A550,'1. Inbound Leads'!A:L,12,FALSE)=0,"",VLOOKUP(A550,'1. Inbound Leads'!A:L,12,FALSE)),""))</f>
        <v/>
      </c>
      <c r="E550" s="388"/>
      <c r="F550" s="389"/>
      <c r="G550" s="387"/>
      <c r="H550" s="387"/>
      <c r="I550" s="387"/>
      <c r="J550" s="387"/>
      <c r="K550" s="387"/>
      <c r="L550" s="387"/>
      <c r="M550" s="388"/>
      <c r="N550" s="388"/>
      <c r="O550" s="390"/>
      <c r="P550" s="391"/>
      <c r="Q550" s="389"/>
      <c r="R550" s="390"/>
      <c r="S550" s="390"/>
      <c r="T550" s="391"/>
      <c r="U550" s="392"/>
      <c r="V550" s="391"/>
      <c r="W550" s="391"/>
      <c r="X550" s="388"/>
      <c r="Y550" s="391"/>
      <c r="Z550" s="393"/>
      <c r="AA550" s="355" t="str">
        <f t="shared" si="1"/>
        <v/>
      </c>
      <c r="AB550" s="391"/>
      <c r="AC550" s="394" t="str">
        <f t="shared" si="2"/>
        <v/>
      </c>
      <c r="AD550" s="389"/>
      <c r="AE550" s="399"/>
      <c r="AF550" s="395"/>
      <c r="AG550" s="396" t="str">
        <f t="shared" si="3"/>
        <v/>
      </c>
      <c r="AH550" s="396" t="str">
        <f t="shared" si="4"/>
        <v/>
      </c>
      <c r="AI550" s="388"/>
      <c r="AJ550" s="388"/>
      <c r="AK550" s="397"/>
    </row>
    <row r="551">
      <c r="A551" s="398"/>
      <c r="B551" s="386"/>
      <c r="C551" s="387" t="str">
        <f>IF(A551="","",IFERROR(IF(VLOOKUP(A551,'1. Inbound Leads'!A:G,7,FALSE)=0,"",VLOOKUP(A551,'1. Inbound Leads'!A:G,7,FALSE)),""))</f>
        <v/>
      </c>
      <c r="D551" s="387" t="str">
        <f>IF(A551="","",IFERROR(IF(VLOOKUP(A551,'1. Inbound Leads'!A:L,12,FALSE)=0,"",VLOOKUP(A551,'1. Inbound Leads'!A:L,12,FALSE)),""))</f>
        <v/>
      </c>
      <c r="E551" s="388"/>
      <c r="F551" s="389"/>
      <c r="G551" s="387"/>
      <c r="H551" s="387"/>
      <c r="I551" s="387"/>
      <c r="J551" s="387"/>
      <c r="K551" s="387"/>
      <c r="L551" s="387"/>
      <c r="M551" s="388"/>
      <c r="N551" s="388"/>
      <c r="O551" s="390"/>
      <c r="P551" s="391"/>
      <c r="Q551" s="389"/>
      <c r="R551" s="390"/>
      <c r="S551" s="390"/>
      <c r="T551" s="391"/>
      <c r="U551" s="392"/>
      <c r="V551" s="391"/>
      <c r="W551" s="391"/>
      <c r="X551" s="388"/>
      <c r="Y551" s="391"/>
      <c r="Z551" s="393"/>
      <c r="AA551" s="355" t="str">
        <f t="shared" si="1"/>
        <v/>
      </c>
      <c r="AB551" s="391"/>
      <c r="AC551" s="394" t="str">
        <f t="shared" si="2"/>
        <v/>
      </c>
      <c r="AD551" s="389"/>
      <c r="AE551" s="399"/>
      <c r="AF551" s="395"/>
      <c r="AG551" s="396" t="str">
        <f t="shared" si="3"/>
        <v/>
      </c>
      <c r="AH551" s="396" t="str">
        <f t="shared" si="4"/>
        <v/>
      </c>
      <c r="AI551" s="388"/>
      <c r="AJ551" s="388"/>
      <c r="AK551" s="397"/>
    </row>
    <row r="552">
      <c r="A552" s="398"/>
      <c r="B552" s="386"/>
      <c r="C552" s="387" t="str">
        <f>IF(A552="","",IFERROR(IF(VLOOKUP(A552,'1. Inbound Leads'!A:G,7,FALSE)=0,"",VLOOKUP(A552,'1. Inbound Leads'!A:G,7,FALSE)),""))</f>
        <v/>
      </c>
      <c r="D552" s="387" t="str">
        <f>IF(A552="","",IFERROR(IF(VLOOKUP(A552,'1. Inbound Leads'!A:L,12,FALSE)=0,"",VLOOKUP(A552,'1. Inbound Leads'!A:L,12,FALSE)),""))</f>
        <v/>
      </c>
      <c r="E552" s="388"/>
      <c r="F552" s="389"/>
      <c r="G552" s="387"/>
      <c r="H552" s="387"/>
      <c r="I552" s="387"/>
      <c r="J552" s="387"/>
      <c r="K552" s="387"/>
      <c r="L552" s="387"/>
      <c r="M552" s="388"/>
      <c r="N552" s="388"/>
      <c r="O552" s="390"/>
      <c r="P552" s="391"/>
      <c r="Q552" s="389"/>
      <c r="R552" s="390"/>
      <c r="S552" s="390"/>
      <c r="T552" s="391"/>
      <c r="U552" s="392"/>
      <c r="V552" s="391"/>
      <c r="W552" s="391"/>
      <c r="X552" s="388"/>
      <c r="Y552" s="391"/>
      <c r="Z552" s="393"/>
      <c r="AA552" s="355" t="str">
        <f t="shared" si="1"/>
        <v/>
      </c>
      <c r="AB552" s="391"/>
      <c r="AC552" s="394" t="str">
        <f t="shared" si="2"/>
        <v/>
      </c>
      <c r="AD552" s="389"/>
      <c r="AE552" s="399"/>
      <c r="AF552" s="395"/>
      <c r="AG552" s="396" t="str">
        <f t="shared" si="3"/>
        <v/>
      </c>
      <c r="AH552" s="396" t="str">
        <f t="shared" si="4"/>
        <v/>
      </c>
      <c r="AI552" s="388"/>
      <c r="AJ552" s="388"/>
      <c r="AK552" s="397"/>
    </row>
    <row r="553">
      <c r="A553" s="398"/>
      <c r="B553" s="386"/>
      <c r="C553" s="387" t="str">
        <f>IF(A553="","",IFERROR(IF(VLOOKUP(A553,'1. Inbound Leads'!A:G,7,FALSE)=0,"",VLOOKUP(A553,'1. Inbound Leads'!A:G,7,FALSE)),""))</f>
        <v/>
      </c>
      <c r="D553" s="387" t="str">
        <f>IF(A553="","",IFERROR(IF(VLOOKUP(A553,'1. Inbound Leads'!A:L,12,FALSE)=0,"",VLOOKUP(A553,'1. Inbound Leads'!A:L,12,FALSE)),""))</f>
        <v/>
      </c>
      <c r="E553" s="388"/>
      <c r="F553" s="389"/>
      <c r="G553" s="387"/>
      <c r="H553" s="387"/>
      <c r="I553" s="387"/>
      <c r="J553" s="387"/>
      <c r="K553" s="387"/>
      <c r="L553" s="387"/>
      <c r="M553" s="388"/>
      <c r="N553" s="388"/>
      <c r="O553" s="390"/>
      <c r="P553" s="391"/>
      <c r="Q553" s="389"/>
      <c r="R553" s="390"/>
      <c r="S553" s="390"/>
      <c r="T553" s="391"/>
      <c r="U553" s="392"/>
      <c r="V553" s="391"/>
      <c r="W553" s="391"/>
      <c r="X553" s="388"/>
      <c r="Y553" s="391"/>
      <c r="Z553" s="393"/>
      <c r="AA553" s="355" t="str">
        <f t="shared" si="1"/>
        <v/>
      </c>
      <c r="AB553" s="391"/>
      <c r="AC553" s="394" t="str">
        <f t="shared" si="2"/>
        <v/>
      </c>
      <c r="AD553" s="389"/>
      <c r="AE553" s="399"/>
      <c r="AF553" s="395"/>
      <c r="AG553" s="396" t="str">
        <f t="shared" si="3"/>
        <v/>
      </c>
      <c r="AH553" s="396" t="str">
        <f t="shared" si="4"/>
        <v/>
      </c>
      <c r="AI553" s="388"/>
      <c r="AJ553" s="388"/>
      <c r="AK553" s="397"/>
    </row>
    <row r="554">
      <c r="A554" s="398"/>
      <c r="B554" s="386"/>
      <c r="C554" s="387" t="str">
        <f>IF(A554="","",IFERROR(IF(VLOOKUP(A554,'1. Inbound Leads'!A:G,7,FALSE)=0,"",VLOOKUP(A554,'1. Inbound Leads'!A:G,7,FALSE)),""))</f>
        <v/>
      </c>
      <c r="D554" s="387" t="str">
        <f>IF(A554="","",IFERROR(IF(VLOOKUP(A554,'1. Inbound Leads'!A:L,12,FALSE)=0,"",VLOOKUP(A554,'1. Inbound Leads'!A:L,12,FALSE)),""))</f>
        <v/>
      </c>
      <c r="E554" s="388"/>
      <c r="F554" s="389"/>
      <c r="G554" s="387"/>
      <c r="H554" s="387"/>
      <c r="I554" s="387"/>
      <c r="J554" s="387"/>
      <c r="K554" s="387"/>
      <c r="L554" s="387"/>
      <c r="M554" s="388"/>
      <c r="N554" s="388"/>
      <c r="O554" s="390"/>
      <c r="P554" s="391"/>
      <c r="Q554" s="389"/>
      <c r="R554" s="390"/>
      <c r="S554" s="390"/>
      <c r="T554" s="391"/>
      <c r="U554" s="392"/>
      <c r="V554" s="391"/>
      <c r="W554" s="391"/>
      <c r="X554" s="388"/>
      <c r="Y554" s="391"/>
      <c r="Z554" s="393"/>
      <c r="AA554" s="355" t="str">
        <f t="shared" si="1"/>
        <v/>
      </c>
      <c r="AB554" s="391"/>
      <c r="AC554" s="394" t="str">
        <f t="shared" si="2"/>
        <v/>
      </c>
      <c r="AD554" s="389"/>
      <c r="AE554" s="399"/>
      <c r="AF554" s="395"/>
      <c r="AG554" s="396" t="str">
        <f t="shared" si="3"/>
        <v/>
      </c>
      <c r="AH554" s="396" t="str">
        <f t="shared" si="4"/>
        <v/>
      </c>
      <c r="AI554" s="388"/>
      <c r="AJ554" s="388"/>
      <c r="AK554" s="397"/>
    </row>
    <row r="555">
      <c r="A555" s="398"/>
      <c r="B555" s="386"/>
      <c r="C555" s="387" t="str">
        <f>IF(A555="","",IFERROR(IF(VLOOKUP(A555,'1. Inbound Leads'!A:G,7,FALSE)=0,"",VLOOKUP(A555,'1. Inbound Leads'!A:G,7,FALSE)),""))</f>
        <v/>
      </c>
      <c r="D555" s="387" t="str">
        <f>IF(A555="","",IFERROR(IF(VLOOKUP(A555,'1. Inbound Leads'!A:L,12,FALSE)=0,"",VLOOKUP(A555,'1. Inbound Leads'!A:L,12,FALSE)),""))</f>
        <v/>
      </c>
      <c r="E555" s="388"/>
      <c r="F555" s="389"/>
      <c r="G555" s="387"/>
      <c r="H555" s="387"/>
      <c r="I555" s="387"/>
      <c r="J555" s="387"/>
      <c r="K555" s="387"/>
      <c r="L555" s="387"/>
      <c r="M555" s="388"/>
      <c r="N555" s="388"/>
      <c r="O555" s="390"/>
      <c r="P555" s="391"/>
      <c r="Q555" s="389"/>
      <c r="R555" s="390"/>
      <c r="S555" s="390"/>
      <c r="T555" s="391"/>
      <c r="U555" s="392"/>
      <c r="V555" s="391"/>
      <c r="W555" s="391"/>
      <c r="X555" s="388"/>
      <c r="Y555" s="391"/>
      <c r="Z555" s="393"/>
      <c r="AA555" s="355" t="str">
        <f t="shared" si="1"/>
        <v/>
      </c>
      <c r="AB555" s="391"/>
      <c r="AC555" s="394" t="str">
        <f t="shared" si="2"/>
        <v/>
      </c>
      <c r="AD555" s="389"/>
      <c r="AE555" s="399"/>
      <c r="AF555" s="395"/>
      <c r="AG555" s="396" t="str">
        <f t="shared" si="3"/>
        <v/>
      </c>
      <c r="AH555" s="396" t="str">
        <f t="shared" si="4"/>
        <v/>
      </c>
      <c r="AI555" s="388"/>
      <c r="AJ555" s="388"/>
      <c r="AK555" s="397"/>
    </row>
    <row r="556">
      <c r="A556" s="398"/>
      <c r="B556" s="386"/>
      <c r="C556" s="387" t="str">
        <f>IF(A556="","",IFERROR(IF(VLOOKUP(A556,'1. Inbound Leads'!A:G,7,FALSE)=0,"",VLOOKUP(A556,'1. Inbound Leads'!A:G,7,FALSE)),""))</f>
        <v/>
      </c>
      <c r="D556" s="387" t="str">
        <f>IF(A556="","",IFERROR(IF(VLOOKUP(A556,'1. Inbound Leads'!A:L,12,FALSE)=0,"",VLOOKUP(A556,'1. Inbound Leads'!A:L,12,FALSE)),""))</f>
        <v/>
      </c>
      <c r="E556" s="388"/>
      <c r="F556" s="389"/>
      <c r="G556" s="387"/>
      <c r="H556" s="387"/>
      <c r="I556" s="387"/>
      <c r="J556" s="387"/>
      <c r="K556" s="387"/>
      <c r="L556" s="387"/>
      <c r="M556" s="388"/>
      <c r="N556" s="388"/>
      <c r="O556" s="390"/>
      <c r="P556" s="391"/>
      <c r="Q556" s="389"/>
      <c r="R556" s="390"/>
      <c r="S556" s="390"/>
      <c r="T556" s="391"/>
      <c r="U556" s="392"/>
      <c r="V556" s="391"/>
      <c r="W556" s="391"/>
      <c r="X556" s="388"/>
      <c r="Y556" s="391"/>
      <c r="Z556" s="393"/>
      <c r="AA556" s="355" t="str">
        <f t="shared" si="1"/>
        <v/>
      </c>
      <c r="AB556" s="391"/>
      <c r="AC556" s="394" t="str">
        <f t="shared" si="2"/>
        <v/>
      </c>
      <c r="AD556" s="389"/>
      <c r="AE556" s="399"/>
      <c r="AF556" s="395"/>
      <c r="AG556" s="396" t="str">
        <f t="shared" si="3"/>
        <v/>
      </c>
      <c r="AH556" s="396" t="str">
        <f t="shared" si="4"/>
        <v/>
      </c>
      <c r="AI556" s="388"/>
      <c r="AJ556" s="388"/>
      <c r="AK556" s="397"/>
    </row>
    <row r="557">
      <c r="A557" s="398"/>
      <c r="B557" s="386"/>
      <c r="C557" s="387" t="str">
        <f>IF(A557="","",IFERROR(IF(VLOOKUP(A557,'1. Inbound Leads'!A:G,7,FALSE)=0,"",VLOOKUP(A557,'1. Inbound Leads'!A:G,7,FALSE)),""))</f>
        <v/>
      </c>
      <c r="D557" s="387" t="str">
        <f>IF(A557="","",IFERROR(IF(VLOOKUP(A557,'1. Inbound Leads'!A:L,12,FALSE)=0,"",VLOOKUP(A557,'1. Inbound Leads'!A:L,12,FALSE)),""))</f>
        <v/>
      </c>
      <c r="E557" s="388"/>
      <c r="F557" s="389"/>
      <c r="G557" s="387"/>
      <c r="H557" s="387"/>
      <c r="I557" s="387"/>
      <c r="J557" s="387"/>
      <c r="K557" s="387"/>
      <c r="L557" s="387"/>
      <c r="M557" s="388"/>
      <c r="N557" s="388"/>
      <c r="O557" s="390"/>
      <c r="P557" s="391"/>
      <c r="Q557" s="389"/>
      <c r="R557" s="390"/>
      <c r="S557" s="390"/>
      <c r="T557" s="391"/>
      <c r="U557" s="392"/>
      <c r="V557" s="391"/>
      <c r="W557" s="391"/>
      <c r="X557" s="388"/>
      <c r="Y557" s="391"/>
      <c r="Z557" s="393"/>
      <c r="AA557" s="355" t="str">
        <f t="shared" si="1"/>
        <v/>
      </c>
      <c r="AB557" s="391"/>
      <c r="AC557" s="394" t="str">
        <f t="shared" si="2"/>
        <v/>
      </c>
      <c r="AD557" s="389"/>
      <c r="AE557" s="399"/>
      <c r="AF557" s="395"/>
      <c r="AG557" s="396" t="str">
        <f t="shared" si="3"/>
        <v/>
      </c>
      <c r="AH557" s="396" t="str">
        <f t="shared" si="4"/>
        <v/>
      </c>
      <c r="AI557" s="388"/>
      <c r="AJ557" s="388"/>
      <c r="AK557" s="397"/>
    </row>
    <row r="558">
      <c r="A558" s="398"/>
      <c r="B558" s="386"/>
      <c r="C558" s="387" t="str">
        <f>IF(A558="","",IFERROR(IF(VLOOKUP(A558,'1. Inbound Leads'!A:G,7,FALSE)=0,"",VLOOKUP(A558,'1. Inbound Leads'!A:G,7,FALSE)),""))</f>
        <v/>
      </c>
      <c r="D558" s="387" t="str">
        <f>IF(A558="","",IFERROR(IF(VLOOKUP(A558,'1. Inbound Leads'!A:L,12,FALSE)=0,"",VLOOKUP(A558,'1. Inbound Leads'!A:L,12,FALSE)),""))</f>
        <v/>
      </c>
      <c r="E558" s="388"/>
      <c r="F558" s="389"/>
      <c r="G558" s="387"/>
      <c r="H558" s="387"/>
      <c r="I558" s="387"/>
      <c r="J558" s="387"/>
      <c r="K558" s="387"/>
      <c r="L558" s="387"/>
      <c r="M558" s="388"/>
      <c r="N558" s="388"/>
      <c r="O558" s="390"/>
      <c r="P558" s="391"/>
      <c r="Q558" s="389"/>
      <c r="R558" s="390"/>
      <c r="S558" s="390"/>
      <c r="T558" s="391"/>
      <c r="U558" s="392"/>
      <c r="V558" s="391"/>
      <c r="W558" s="391"/>
      <c r="X558" s="388"/>
      <c r="Y558" s="391"/>
      <c r="Z558" s="393"/>
      <c r="AA558" s="355" t="str">
        <f t="shared" si="1"/>
        <v/>
      </c>
      <c r="AB558" s="391"/>
      <c r="AC558" s="394" t="str">
        <f t="shared" si="2"/>
        <v/>
      </c>
      <c r="AD558" s="389"/>
      <c r="AE558" s="399"/>
      <c r="AF558" s="395"/>
      <c r="AG558" s="396" t="str">
        <f t="shared" si="3"/>
        <v/>
      </c>
      <c r="AH558" s="396" t="str">
        <f t="shared" si="4"/>
        <v/>
      </c>
      <c r="AI558" s="388"/>
      <c r="AJ558" s="388"/>
      <c r="AK558" s="397"/>
    </row>
    <row r="559">
      <c r="A559" s="398"/>
      <c r="B559" s="386"/>
      <c r="C559" s="387" t="str">
        <f>IF(A559="","",IFERROR(IF(VLOOKUP(A559,'1. Inbound Leads'!A:G,7,FALSE)=0,"",VLOOKUP(A559,'1. Inbound Leads'!A:G,7,FALSE)),""))</f>
        <v/>
      </c>
      <c r="D559" s="387" t="str">
        <f>IF(A559="","",IFERROR(IF(VLOOKUP(A559,'1. Inbound Leads'!A:L,12,FALSE)=0,"",VLOOKUP(A559,'1. Inbound Leads'!A:L,12,FALSE)),""))</f>
        <v/>
      </c>
      <c r="E559" s="388"/>
      <c r="F559" s="389"/>
      <c r="G559" s="387"/>
      <c r="H559" s="387"/>
      <c r="I559" s="387"/>
      <c r="J559" s="387"/>
      <c r="K559" s="387"/>
      <c r="L559" s="387"/>
      <c r="M559" s="388"/>
      <c r="N559" s="388"/>
      <c r="O559" s="390"/>
      <c r="P559" s="391"/>
      <c r="Q559" s="389"/>
      <c r="R559" s="390"/>
      <c r="S559" s="390"/>
      <c r="T559" s="391"/>
      <c r="U559" s="392"/>
      <c r="V559" s="391"/>
      <c r="W559" s="391"/>
      <c r="X559" s="388"/>
      <c r="Y559" s="391"/>
      <c r="Z559" s="393"/>
      <c r="AA559" s="355" t="str">
        <f t="shared" si="1"/>
        <v/>
      </c>
      <c r="AB559" s="391"/>
      <c r="AC559" s="394" t="str">
        <f t="shared" si="2"/>
        <v/>
      </c>
      <c r="AD559" s="389"/>
      <c r="AE559" s="399"/>
      <c r="AF559" s="395"/>
      <c r="AG559" s="396" t="str">
        <f t="shared" si="3"/>
        <v/>
      </c>
      <c r="AH559" s="396" t="str">
        <f t="shared" si="4"/>
        <v/>
      </c>
      <c r="AI559" s="388"/>
      <c r="AJ559" s="388"/>
      <c r="AK559" s="397"/>
    </row>
    <row r="560">
      <c r="A560" s="398"/>
      <c r="B560" s="386"/>
      <c r="C560" s="387" t="str">
        <f>IF(A560="","",IFERROR(IF(VLOOKUP(A560,'1. Inbound Leads'!A:G,7,FALSE)=0,"",VLOOKUP(A560,'1. Inbound Leads'!A:G,7,FALSE)),""))</f>
        <v/>
      </c>
      <c r="D560" s="387" t="str">
        <f>IF(A560="","",IFERROR(IF(VLOOKUP(A560,'1. Inbound Leads'!A:L,12,FALSE)=0,"",VLOOKUP(A560,'1. Inbound Leads'!A:L,12,FALSE)),""))</f>
        <v/>
      </c>
      <c r="E560" s="388"/>
      <c r="F560" s="389"/>
      <c r="G560" s="387"/>
      <c r="H560" s="387"/>
      <c r="I560" s="387"/>
      <c r="J560" s="387"/>
      <c r="K560" s="387"/>
      <c r="L560" s="387"/>
      <c r="M560" s="388"/>
      <c r="N560" s="388"/>
      <c r="O560" s="390"/>
      <c r="P560" s="391"/>
      <c r="Q560" s="389"/>
      <c r="R560" s="390"/>
      <c r="S560" s="390"/>
      <c r="T560" s="391"/>
      <c r="U560" s="392"/>
      <c r="V560" s="391"/>
      <c r="W560" s="391"/>
      <c r="X560" s="388"/>
      <c r="Y560" s="391"/>
      <c r="Z560" s="393"/>
      <c r="AA560" s="355" t="str">
        <f t="shared" si="1"/>
        <v/>
      </c>
      <c r="AB560" s="391"/>
      <c r="AC560" s="394" t="str">
        <f t="shared" si="2"/>
        <v/>
      </c>
      <c r="AD560" s="389"/>
      <c r="AE560" s="399"/>
      <c r="AF560" s="395"/>
      <c r="AG560" s="396" t="str">
        <f t="shared" si="3"/>
        <v/>
      </c>
      <c r="AH560" s="396" t="str">
        <f t="shared" si="4"/>
        <v/>
      </c>
      <c r="AI560" s="388"/>
      <c r="AJ560" s="388"/>
      <c r="AK560" s="397"/>
    </row>
    <row r="561">
      <c r="A561" s="398"/>
      <c r="B561" s="386"/>
      <c r="C561" s="387" t="str">
        <f>IF(A561="","",IFERROR(IF(VLOOKUP(A561,'1. Inbound Leads'!A:G,7,FALSE)=0,"",VLOOKUP(A561,'1. Inbound Leads'!A:G,7,FALSE)),""))</f>
        <v/>
      </c>
      <c r="D561" s="387" t="str">
        <f>IF(A561="","",IFERROR(IF(VLOOKUP(A561,'1. Inbound Leads'!A:L,12,FALSE)=0,"",VLOOKUP(A561,'1. Inbound Leads'!A:L,12,FALSE)),""))</f>
        <v/>
      </c>
      <c r="E561" s="388"/>
      <c r="F561" s="389"/>
      <c r="G561" s="387"/>
      <c r="H561" s="387"/>
      <c r="I561" s="387"/>
      <c r="J561" s="387"/>
      <c r="K561" s="387"/>
      <c r="L561" s="387"/>
      <c r="M561" s="388"/>
      <c r="N561" s="388"/>
      <c r="O561" s="390"/>
      <c r="P561" s="391"/>
      <c r="Q561" s="389"/>
      <c r="R561" s="390"/>
      <c r="S561" s="390"/>
      <c r="T561" s="391"/>
      <c r="U561" s="392"/>
      <c r="V561" s="391"/>
      <c r="W561" s="391"/>
      <c r="X561" s="388"/>
      <c r="Y561" s="391"/>
      <c r="Z561" s="393"/>
      <c r="AA561" s="355" t="str">
        <f t="shared" si="1"/>
        <v/>
      </c>
      <c r="AB561" s="391"/>
      <c r="AC561" s="394" t="str">
        <f t="shared" si="2"/>
        <v/>
      </c>
      <c r="AD561" s="389"/>
      <c r="AE561" s="399"/>
      <c r="AF561" s="395"/>
      <c r="AG561" s="396" t="str">
        <f t="shared" si="3"/>
        <v/>
      </c>
      <c r="AH561" s="396" t="str">
        <f t="shared" si="4"/>
        <v/>
      </c>
      <c r="AI561" s="388"/>
      <c r="AJ561" s="388"/>
      <c r="AK561" s="397"/>
    </row>
    <row r="562">
      <c r="A562" s="398"/>
      <c r="B562" s="386"/>
      <c r="C562" s="387" t="str">
        <f>IF(A562="","",IFERROR(IF(VLOOKUP(A562,'1. Inbound Leads'!A:G,7,FALSE)=0,"",VLOOKUP(A562,'1. Inbound Leads'!A:G,7,FALSE)),""))</f>
        <v/>
      </c>
      <c r="D562" s="387" t="str">
        <f>IF(A562="","",IFERROR(IF(VLOOKUP(A562,'1. Inbound Leads'!A:L,12,FALSE)=0,"",VLOOKUP(A562,'1. Inbound Leads'!A:L,12,FALSE)),""))</f>
        <v/>
      </c>
      <c r="E562" s="388"/>
      <c r="F562" s="389"/>
      <c r="G562" s="387"/>
      <c r="H562" s="387"/>
      <c r="I562" s="387"/>
      <c r="J562" s="387"/>
      <c r="K562" s="387"/>
      <c r="L562" s="387"/>
      <c r="M562" s="388"/>
      <c r="N562" s="388"/>
      <c r="O562" s="390"/>
      <c r="P562" s="391"/>
      <c r="Q562" s="389"/>
      <c r="R562" s="390"/>
      <c r="S562" s="390"/>
      <c r="T562" s="391"/>
      <c r="U562" s="392"/>
      <c r="V562" s="391"/>
      <c r="W562" s="391"/>
      <c r="X562" s="388"/>
      <c r="Y562" s="391"/>
      <c r="Z562" s="393"/>
      <c r="AA562" s="355" t="str">
        <f t="shared" si="1"/>
        <v/>
      </c>
      <c r="AB562" s="391"/>
      <c r="AC562" s="394" t="str">
        <f t="shared" si="2"/>
        <v/>
      </c>
      <c r="AD562" s="389"/>
      <c r="AE562" s="399"/>
      <c r="AF562" s="395"/>
      <c r="AG562" s="396" t="str">
        <f t="shared" si="3"/>
        <v/>
      </c>
      <c r="AH562" s="396" t="str">
        <f t="shared" si="4"/>
        <v/>
      </c>
      <c r="AI562" s="388"/>
      <c r="AJ562" s="388"/>
      <c r="AK562" s="397"/>
    </row>
    <row r="563">
      <c r="A563" s="398"/>
      <c r="B563" s="386"/>
      <c r="C563" s="387" t="str">
        <f>IF(A563="","",IFERROR(IF(VLOOKUP(A563,'1. Inbound Leads'!A:G,7,FALSE)=0,"",VLOOKUP(A563,'1. Inbound Leads'!A:G,7,FALSE)),""))</f>
        <v/>
      </c>
      <c r="D563" s="387" t="str">
        <f>IF(A563="","",IFERROR(IF(VLOOKUP(A563,'1. Inbound Leads'!A:L,12,FALSE)=0,"",VLOOKUP(A563,'1. Inbound Leads'!A:L,12,FALSE)),""))</f>
        <v/>
      </c>
      <c r="E563" s="388"/>
      <c r="F563" s="389"/>
      <c r="G563" s="387"/>
      <c r="H563" s="387"/>
      <c r="I563" s="387"/>
      <c r="J563" s="387"/>
      <c r="K563" s="387"/>
      <c r="L563" s="387"/>
      <c r="M563" s="388"/>
      <c r="N563" s="388"/>
      <c r="O563" s="390"/>
      <c r="P563" s="391"/>
      <c r="Q563" s="389"/>
      <c r="R563" s="390"/>
      <c r="S563" s="390"/>
      <c r="T563" s="391"/>
      <c r="U563" s="392"/>
      <c r="V563" s="391"/>
      <c r="W563" s="391"/>
      <c r="X563" s="388"/>
      <c r="Y563" s="391"/>
      <c r="Z563" s="393"/>
      <c r="AA563" s="355" t="str">
        <f t="shared" si="1"/>
        <v/>
      </c>
      <c r="AB563" s="391"/>
      <c r="AC563" s="394" t="str">
        <f t="shared" si="2"/>
        <v/>
      </c>
      <c r="AD563" s="389"/>
      <c r="AE563" s="399"/>
      <c r="AF563" s="395"/>
      <c r="AG563" s="396" t="str">
        <f t="shared" si="3"/>
        <v/>
      </c>
      <c r="AH563" s="396" t="str">
        <f t="shared" si="4"/>
        <v/>
      </c>
      <c r="AI563" s="388"/>
      <c r="AJ563" s="388"/>
      <c r="AK563" s="397"/>
    </row>
    <row r="564">
      <c r="A564" s="398"/>
      <c r="B564" s="386"/>
      <c r="C564" s="387" t="str">
        <f>IF(A564="","",IFERROR(IF(VLOOKUP(A564,'1. Inbound Leads'!A:G,7,FALSE)=0,"",VLOOKUP(A564,'1. Inbound Leads'!A:G,7,FALSE)),""))</f>
        <v/>
      </c>
      <c r="D564" s="387" t="str">
        <f>IF(A564="","",IFERROR(IF(VLOOKUP(A564,'1. Inbound Leads'!A:L,12,FALSE)=0,"",VLOOKUP(A564,'1. Inbound Leads'!A:L,12,FALSE)),""))</f>
        <v/>
      </c>
      <c r="E564" s="388"/>
      <c r="F564" s="389"/>
      <c r="G564" s="387"/>
      <c r="H564" s="387"/>
      <c r="I564" s="387"/>
      <c r="J564" s="387"/>
      <c r="K564" s="387"/>
      <c r="L564" s="387"/>
      <c r="M564" s="388"/>
      <c r="N564" s="388"/>
      <c r="O564" s="390"/>
      <c r="P564" s="391"/>
      <c r="Q564" s="389"/>
      <c r="R564" s="390"/>
      <c r="S564" s="390"/>
      <c r="T564" s="391"/>
      <c r="U564" s="392"/>
      <c r="V564" s="391"/>
      <c r="W564" s="391"/>
      <c r="X564" s="388"/>
      <c r="Y564" s="391"/>
      <c r="Z564" s="393"/>
      <c r="AA564" s="355" t="str">
        <f t="shared" si="1"/>
        <v/>
      </c>
      <c r="AB564" s="391"/>
      <c r="AC564" s="394" t="str">
        <f t="shared" si="2"/>
        <v/>
      </c>
      <c r="AD564" s="389"/>
      <c r="AE564" s="399"/>
      <c r="AF564" s="395"/>
      <c r="AG564" s="396" t="str">
        <f t="shared" si="3"/>
        <v/>
      </c>
      <c r="AH564" s="396" t="str">
        <f t="shared" si="4"/>
        <v/>
      </c>
      <c r="AI564" s="388"/>
      <c r="AJ564" s="388"/>
      <c r="AK564" s="397"/>
    </row>
    <row r="565">
      <c r="A565" s="398"/>
      <c r="B565" s="386"/>
      <c r="C565" s="387" t="str">
        <f>IF(A565="","",IFERROR(IF(VLOOKUP(A565,'1. Inbound Leads'!A:G,7,FALSE)=0,"",VLOOKUP(A565,'1. Inbound Leads'!A:G,7,FALSE)),""))</f>
        <v/>
      </c>
      <c r="D565" s="387" t="str">
        <f>IF(A565="","",IFERROR(IF(VLOOKUP(A565,'1. Inbound Leads'!A:L,12,FALSE)=0,"",VLOOKUP(A565,'1. Inbound Leads'!A:L,12,FALSE)),""))</f>
        <v/>
      </c>
      <c r="E565" s="388"/>
      <c r="F565" s="389"/>
      <c r="G565" s="387"/>
      <c r="H565" s="387"/>
      <c r="I565" s="387"/>
      <c r="J565" s="387"/>
      <c r="K565" s="387"/>
      <c r="L565" s="387"/>
      <c r="M565" s="388"/>
      <c r="N565" s="388"/>
      <c r="O565" s="390"/>
      <c r="P565" s="391"/>
      <c r="Q565" s="389"/>
      <c r="R565" s="390"/>
      <c r="S565" s="390"/>
      <c r="T565" s="391"/>
      <c r="U565" s="392"/>
      <c r="V565" s="391"/>
      <c r="W565" s="391"/>
      <c r="X565" s="388"/>
      <c r="Y565" s="391"/>
      <c r="Z565" s="393"/>
      <c r="AA565" s="355" t="str">
        <f t="shared" si="1"/>
        <v/>
      </c>
      <c r="AB565" s="391"/>
      <c r="AC565" s="394" t="str">
        <f t="shared" si="2"/>
        <v/>
      </c>
      <c r="AD565" s="389"/>
      <c r="AE565" s="399"/>
      <c r="AF565" s="395"/>
      <c r="AG565" s="396" t="str">
        <f t="shared" si="3"/>
        <v/>
      </c>
      <c r="AH565" s="396" t="str">
        <f t="shared" si="4"/>
        <v/>
      </c>
      <c r="AI565" s="388"/>
      <c r="AJ565" s="388"/>
      <c r="AK565" s="397"/>
    </row>
    <row r="566">
      <c r="A566" s="398"/>
      <c r="B566" s="386"/>
      <c r="C566" s="387" t="str">
        <f>IF(A566="","",IFERROR(IF(VLOOKUP(A566,'1. Inbound Leads'!A:G,7,FALSE)=0,"",VLOOKUP(A566,'1. Inbound Leads'!A:G,7,FALSE)),""))</f>
        <v/>
      </c>
      <c r="D566" s="387" t="str">
        <f>IF(A566="","",IFERROR(IF(VLOOKUP(A566,'1. Inbound Leads'!A:L,12,FALSE)=0,"",VLOOKUP(A566,'1. Inbound Leads'!A:L,12,FALSE)),""))</f>
        <v/>
      </c>
      <c r="E566" s="388"/>
      <c r="F566" s="389"/>
      <c r="G566" s="387"/>
      <c r="H566" s="387"/>
      <c r="I566" s="387"/>
      <c r="J566" s="387"/>
      <c r="K566" s="387"/>
      <c r="L566" s="387"/>
      <c r="M566" s="388"/>
      <c r="N566" s="388"/>
      <c r="O566" s="390"/>
      <c r="P566" s="391"/>
      <c r="Q566" s="389"/>
      <c r="R566" s="390"/>
      <c r="S566" s="390"/>
      <c r="T566" s="391"/>
      <c r="U566" s="392"/>
      <c r="V566" s="391"/>
      <c r="W566" s="391"/>
      <c r="X566" s="388"/>
      <c r="Y566" s="391"/>
      <c r="Z566" s="393"/>
      <c r="AA566" s="355" t="str">
        <f t="shared" si="1"/>
        <v/>
      </c>
      <c r="AB566" s="391"/>
      <c r="AC566" s="394" t="str">
        <f t="shared" si="2"/>
        <v/>
      </c>
      <c r="AD566" s="389"/>
      <c r="AE566" s="399"/>
      <c r="AF566" s="395"/>
      <c r="AG566" s="396" t="str">
        <f t="shared" si="3"/>
        <v/>
      </c>
      <c r="AH566" s="396" t="str">
        <f t="shared" si="4"/>
        <v/>
      </c>
      <c r="AI566" s="388"/>
      <c r="AJ566" s="388"/>
      <c r="AK566" s="397"/>
    </row>
    <row r="567">
      <c r="A567" s="398"/>
      <c r="B567" s="386"/>
      <c r="C567" s="387" t="str">
        <f>IF(A567="","",IFERROR(IF(VLOOKUP(A567,'1. Inbound Leads'!A:G,7,FALSE)=0,"",VLOOKUP(A567,'1. Inbound Leads'!A:G,7,FALSE)),""))</f>
        <v/>
      </c>
      <c r="D567" s="387" t="str">
        <f>IF(A567="","",IFERROR(IF(VLOOKUP(A567,'1. Inbound Leads'!A:L,12,FALSE)=0,"",VLOOKUP(A567,'1. Inbound Leads'!A:L,12,FALSE)),""))</f>
        <v/>
      </c>
      <c r="E567" s="388"/>
      <c r="F567" s="389"/>
      <c r="G567" s="387"/>
      <c r="H567" s="387"/>
      <c r="I567" s="387"/>
      <c r="J567" s="387"/>
      <c r="K567" s="387"/>
      <c r="L567" s="387"/>
      <c r="M567" s="388"/>
      <c r="N567" s="388"/>
      <c r="O567" s="390"/>
      <c r="P567" s="391"/>
      <c r="Q567" s="389"/>
      <c r="R567" s="390"/>
      <c r="S567" s="390"/>
      <c r="T567" s="391"/>
      <c r="U567" s="392"/>
      <c r="V567" s="391"/>
      <c r="W567" s="391"/>
      <c r="X567" s="388"/>
      <c r="Y567" s="391"/>
      <c r="Z567" s="393"/>
      <c r="AA567" s="355" t="str">
        <f t="shared" si="1"/>
        <v/>
      </c>
      <c r="AB567" s="391"/>
      <c r="AC567" s="394" t="str">
        <f t="shared" si="2"/>
        <v/>
      </c>
      <c r="AD567" s="389"/>
      <c r="AE567" s="399"/>
      <c r="AF567" s="395"/>
      <c r="AG567" s="396" t="str">
        <f t="shared" si="3"/>
        <v/>
      </c>
      <c r="AH567" s="396" t="str">
        <f t="shared" si="4"/>
        <v/>
      </c>
      <c r="AI567" s="388"/>
      <c r="AJ567" s="388"/>
      <c r="AK567" s="397"/>
    </row>
    <row r="568">
      <c r="A568" s="398"/>
      <c r="B568" s="386"/>
      <c r="C568" s="387" t="str">
        <f>IF(A568="","",IFERROR(IF(VLOOKUP(A568,'1. Inbound Leads'!A:G,7,FALSE)=0,"",VLOOKUP(A568,'1. Inbound Leads'!A:G,7,FALSE)),""))</f>
        <v/>
      </c>
      <c r="D568" s="387" t="str">
        <f>IF(A568="","",IFERROR(IF(VLOOKUP(A568,'1. Inbound Leads'!A:L,12,FALSE)=0,"",VLOOKUP(A568,'1. Inbound Leads'!A:L,12,FALSE)),""))</f>
        <v/>
      </c>
      <c r="E568" s="388"/>
      <c r="F568" s="389"/>
      <c r="G568" s="387"/>
      <c r="H568" s="387"/>
      <c r="I568" s="387"/>
      <c r="J568" s="387"/>
      <c r="K568" s="387"/>
      <c r="L568" s="387"/>
      <c r="M568" s="388"/>
      <c r="N568" s="388"/>
      <c r="O568" s="390"/>
      <c r="P568" s="391"/>
      <c r="Q568" s="389"/>
      <c r="R568" s="390"/>
      <c r="S568" s="390"/>
      <c r="T568" s="391"/>
      <c r="U568" s="392"/>
      <c r="V568" s="391"/>
      <c r="W568" s="391"/>
      <c r="X568" s="388"/>
      <c r="Y568" s="391"/>
      <c r="Z568" s="393"/>
      <c r="AA568" s="355" t="str">
        <f t="shared" si="1"/>
        <v/>
      </c>
      <c r="AB568" s="391"/>
      <c r="AC568" s="394" t="str">
        <f t="shared" si="2"/>
        <v/>
      </c>
      <c r="AD568" s="389"/>
      <c r="AE568" s="399"/>
      <c r="AF568" s="395"/>
      <c r="AG568" s="396" t="str">
        <f t="shared" si="3"/>
        <v/>
      </c>
      <c r="AH568" s="396" t="str">
        <f t="shared" si="4"/>
        <v/>
      </c>
      <c r="AI568" s="388"/>
      <c r="AJ568" s="388"/>
      <c r="AK568" s="397"/>
    </row>
    <row r="569">
      <c r="A569" s="398"/>
      <c r="B569" s="386"/>
      <c r="C569" s="387" t="str">
        <f>IF(A569="","",IFERROR(IF(VLOOKUP(A569,'1. Inbound Leads'!A:G,7,FALSE)=0,"",VLOOKUP(A569,'1. Inbound Leads'!A:G,7,FALSE)),""))</f>
        <v/>
      </c>
      <c r="D569" s="387" t="str">
        <f>IF(A569="","",IFERROR(IF(VLOOKUP(A569,'1. Inbound Leads'!A:L,12,FALSE)=0,"",VLOOKUP(A569,'1. Inbound Leads'!A:L,12,FALSE)),""))</f>
        <v/>
      </c>
      <c r="E569" s="388"/>
      <c r="F569" s="389"/>
      <c r="G569" s="387"/>
      <c r="H569" s="387"/>
      <c r="I569" s="387"/>
      <c r="J569" s="387"/>
      <c r="K569" s="387"/>
      <c r="L569" s="387"/>
      <c r="M569" s="388"/>
      <c r="N569" s="388"/>
      <c r="O569" s="390"/>
      <c r="P569" s="391"/>
      <c r="Q569" s="389"/>
      <c r="R569" s="390"/>
      <c r="S569" s="390"/>
      <c r="T569" s="391"/>
      <c r="U569" s="392"/>
      <c r="V569" s="391"/>
      <c r="W569" s="391"/>
      <c r="X569" s="388"/>
      <c r="Y569" s="391"/>
      <c r="Z569" s="393"/>
      <c r="AA569" s="355" t="str">
        <f t="shared" si="1"/>
        <v/>
      </c>
      <c r="AB569" s="391"/>
      <c r="AC569" s="394" t="str">
        <f t="shared" si="2"/>
        <v/>
      </c>
      <c r="AD569" s="389"/>
      <c r="AE569" s="399"/>
      <c r="AF569" s="395"/>
      <c r="AG569" s="396" t="str">
        <f t="shared" si="3"/>
        <v/>
      </c>
      <c r="AH569" s="396" t="str">
        <f t="shared" si="4"/>
        <v/>
      </c>
      <c r="AI569" s="388"/>
      <c r="AJ569" s="388"/>
      <c r="AK569" s="397"/>
    </row>
    <row r="570">
      <c r="A570" s="398"/>
      <c r="B570" s="386"/>
      <c r="C570" s="387" t="str">
        <f>IF(A570="","",IFERROR(IF(VLOOKUP(A570,'1. Inbound Leads'!A:G,7,FALSE)=0,"",VLOOKUP(A570,'1. Inbound Leads'!A:G,7,FALSE)),""))</f>
        <v/>
      </c>
      <c r="D570" s="387" t="str">
        <f>IF(A570="","",IFERROR(IF(VLOOKUP(A570,'1. Inbound Leads'!A:L,12,FALSE)=0,"",VLOOKUP(A570,'1. Inbound Leads'!A:L,12,FALSE)),""))</f>
        <v/>
      </c>
      <c r="E570" s="388"/>
      <c r="F570" s="389"/>
      <c r="G570" s="387"/>
      <c r="H570" s="387"/>
      <c r="I570" s="387"/>
      <c r="J570" s="387"/>
      <c r="K570" s="387"/>
      <c r="L570" s="387"/>
      <c r="M570" s="388"/>
      <c r="N570" s="388"/>
      <c r="O570" s="390"/>
      <c r="P570" s="391"/>
      <c r="Q570" s="389"/>
      <c r="R570" s="390"/>
      <c r="S570" s="390"/>
      <c r="T570" s="391"/>
      <c r="U570" s="392"/>
      <c r="V570" s="391"/>
      <c r="W570" s="391"/>
      <c r="X570" s="388"/>
      <c r="Y570" s="391"/>
      <c r="Z570" s="393"/>
      <c r="AA570" s="355" t="str">
        <f t="shared" si="1"/>
        <v/>
      </c>
      <c r="AB570" s="391"/>
      <c r="AC570" s="394" t="str">
        <f t="shared" si="2"/>
        <v/>
      </c>
      <c r="AD570" s="389"/>
      <c r="AE570" s="399"/>
      <c r="AF570" s="395"/>
      <c r="AG570" s="396" t="str">
        <f t="shared" si="3"/>
        <v/>
      </c>
      <c r="AH570" s="396" t="str">
        <f t="shared" si="4"/>
        <v/>
      </c>
      <c r="AI570" s="388"/>
      <c r="AJ570" s="388"/>
      <c r="AK570" s="397"/>
    </row>
    <row r="571">
      <c r="A571" s="398"/>
      <c r="B571" s="386"/>
      <c r="C571" s="387" t="str">
        <f>IF(A571="","",IFERROR(IF(VLOOKUP(A571,'1. Inbound Leads'!A:G,7,FALSE)=0,"",VLOOKUP(A571,'1. Inbound Leads'!A:G,7,FALSE)),""))</f>
        <v/>
      </c>
      <c r="D571" s="387" t="str">
        <f>IF(A571="","",IFERROR(IF(VLOOKUP(A571,'1. Inbound Leads'!A:L,12,FALSE)=0,"",VLOOKUP(A571,'1. Inbound Leads'!A:L,12,FALSE)),""))</f>
        <v/>
      </c>
      <c r="E571" s="388"/>
      <c r="F571" s="389"/>
      <c r="G571" s="387"/>
      <c r="H571" s="387"/>
      <c r="I571" s="387"/>
      <c r="J571" s="387"/>
      <c r="K571" s="387"/>
      <c r="L571" s="387"/>
      <c r="M571" s="388"/>
      <c r="N571" s="388"/>
      <c r="O571" s="390"/>
      <c r="P571" s="391"/>
      <c r="Q571" s="389"/>
      <c r="R571" s="390"/>
      <c r="S571" s="390"/>
      <c r="T571" s="391"/>
      <c r="U571" s="392"/>
      <c r="V571" s="391"/>
      <c r="W571" s="391"/>
      <c r="X571" s="388"/>
      <c r="Y571" s="391"/>
      <c r="Z571" s="393"/>
      <c r="AA571" s="355" t="str">
        <f t="shared" si="1"/>
        <v/>
      </c>
      <c r="AB571" s="391"/>
      <c r="AC571" s="394" t="str">
        <f t="shared" si="2"/>
        <v/>
      </c>
      <c r="AD571" s="389"/>
      <c r="AE571" s="399"/>
      <c r="AF571" s="395"/>
      <c r="AG571" s="396" t="str">
        <f t="shared" si="3"/>
        <v/>
      </c>
      <c r="AH571" s="396" t="str">
        <f t="shared" si="4"/>
        <v/>
      </c>
      <c r="AI571" s="388"/>
      <c r="AJ571" s="388"/>
      <c r="AK571" s="397"/>
    </row>
    <row r="572">
      <c r="A572" s="398"/>
      <c r="B572" s="386"/>
      <c r="C572" s="387" t="str">
        <f>IF(A572="","",IFERROR(IF(VLOOKUP(A572,'1. Inbound Leads'!A:G,7,FALSE)=0,"",VLOOKUP(A572,'1. Inbound Leads'!A:G,7,FALSE)),""))</f>
        <v/>
      </c>
      <c r="D572" s="387" t="str">
        <f>IF(A572="","",IFERROR(IF(VLOOKUP(A572,'1. Inbound Leads'!A:L,12,FALSE)=0,"",VLOOKUP(A572,'1. Inbound Leads'!A:L,12,FALSE)),""))</f>
        <v/>
      </c>
      <c r="E572" s="388"/>
      <c r="F572" s="389"/>
      <c r="G572" s="387"/>
      <c r="H572" s="387"/>
      <c r="I572" s="387"/>
      <c r="J572" s="387"/>
      <c r="K572" s="387"/>
      <c r="L572" s="387"/>
      <c r="M572" s="388"/>
      <c r="N572" s="388"/>
      <c r="O572" s="390"/>
      <c r="P572" s="391"/>
      <c r="Q572" s="389"/>
      <c r="R572" s="390"/>
      <c r="S572" s="390"/>
      <c r="T572" s="391"/>
      <c r="U572" s="392"/>
      <c r="V572" s="391"/>
      <c r="W572" s="391"/>
      <c r="X572" s="388"/>
      <c r="Y572" s="391"/>
      <c r="Z572" s="393"/>
      <c r="AA572" s="355" t="str">
        <f t="shared" si="1"/>
        <v/>
      </c>
      <c r="AB572" s="391"/>
      <c r="AC572" s="394" t="str">
        <f t="shared" si="2"/>
        <v/>
      </c>
      <c r="AD572" s="389"/>
      <c r="AE572" s="399"/>
      <c r="AF572" s="395"/>
      <c r="AG572" s="396" t="str">
        <f t="shared" si="3"/>
        <v/>
      </c>
      <c r="AH572" s="396" t="str">
        <f t="shared" si="4"/>
        <v/>
      </c>
      <c r="AI572" s="388"/>
      <c r="AJ572" s="388"/>
      <c r="AK572" s="397"/>
    </row>
    <row r="573">
      <c r="A573" s="398"/>
      <c r="B573" s="386"/>
      <c r="C573" s="387" t="str">
        <f>IF(A573="","",IFERROR(IF(VLOOKUP(A573,'1. Inbound Leads'!A:G,7,FALSE)=0,"",VLOOKUP(A573,'1. Inbound Leads'!A:G,7,FALSE)),""))</f>
        <v/>
      </c>
      <c r="D573" s="387" t="str">
        <f>IF(A573="","",IFERROR(IF(VLOOKUP(A573,'1. Inbound Leads'!A:L,12,FALSE)=0,"",VLOOKUP(A573,'1. Inbound Leads'!A:L,12,FALSE)),""))</f>
        <v/>
      </c>
      <c r="E573" s="388"/>
      <c r="F573" s="389"/>
      <c r="G573" s="387"/>
      <c r="H573" s="387"/>
      <c r="I573" s="387"/>
      <c r="J573" s="387"/>
      <c r="K573" s="387"/>
      <c r="L573" s="387"/>
      <c r="M573" s="388"/>
      <c r="N573" s="388"/>
      <c r="O573" s="390"/>
      <c r="P573" s="391"/>
      <c r="Q573" s="389"/>
      <c r="R573" s="390"/>
      <c r="S573" s="390"/>
      <c r="T573" s="391"/>
      <c r="U573" s="392"/>
      <c r="V573" s="391"/>
      <c r="W573" s="391"/>
      <c r="X573" s="388"/>
      <c r="Y573" s="391"/>
      <c r="Z573" s="393"/>
      <c r="AA573" s="355" t="str">
        <f t="shared" si="1"/>
        <v/>
      </c>
      <c r="AB573" s="391"/>
      <c r="AC573" s="394" t="str">
        <f t="shared" si="2"/>
        <v/>
      </c>
      <c r="AD573" s="389"/>
      <c r="AE573" s="399"/>
      <c r="AF573" s="395"/>
      <c r="AG573" s="396" t="str">
        <f t="shared" si="3"/>
        <v/>
      </c>
      <c r="AH573" s="396" t="str">
        <f t="shared" si="4"/>
        <v/>
      </c>
      <c r="AI573" s="388"/>
      <c r="AJ573" s="388"/>
      <c r="AK573" s="397"/>
    </row>
    <row r="574">
      <c r="A574" s="398"/>
      <c r="B574" s="386"/>
      <c r="C574" s="387" t="str">
        <f>IF(A574="","",IFERROR(IF(VLOOKUP(A574,'1. Inbound Leads'!A:G,7,FALSE)=0,"",VLOOKUP(A574,'1. Inbound Leads'!A:G,7,FALSE)),""))</f>
        <v/>
      </c>
      <c r="D574" s="387" t="str">
        <f>IF(A574="","",IFERROR(IF(VLOOKUP(A574,'1. Inbound Leads'!A:L,12,FALSE)=0,"",VLOOKUP(A574,'1. Inbound Leads'!A:L,12,FALSE)),""))</f>
        <v/>
      </c>
      <c r="E574" s="388"/>
      <c r="F574" s="389"/>
      <c r="G574" s="387"/>
      <c r="H574" s="387"/>
      <c r="I574" s="387"/>
      <c r="J574" s="387"/>
      <c r="K574" s="387"/>
      <c r="L574" s="387"/>
      <c r="M574" s="388"/>
      <c r="N574" s="388"/>
      <c r="O574" s="390"/>
      <c r="P574" s="391"/>
      <c r="Q574" s="389"/>
      <c r="R574" s="390"/>
      <c r="S574" s="390"/>
      <c r="T574" s="391"/>
      <c r="U574" s="392"/>
      <c r="V574" s="391"/>
      <c r="W574" s="391"/>
      <c r="X574" s="388"/>
      <c r="Y574" s="391"/>
      <c r="Z574" s="393"/>
      <c r="AA574" s="355" t="str">
        <f t="shared" si="1"/>
        <v/>
      </c>
      <c r="AB574" s="391"/>
      <c r="AC574" s="394" t="str">
        <f t="shared" si="2"/>
        <v/>
      </c>
      <c r="AD574" s="389"/>
      <c r="AE574" s="399"/>
      <c r="AF574" s="395"/>
      <c r="AG574" s="396" t="str">
        <f t="shared" si="3"/>
        <v/>
      </c>
      <c r="AH574" s="396" t="str">
        <f t="shared" si="4"/>
        <v/>
      </c>
      <c r="AI574" s="388"/>
      <c r="AJ574" s="388"/>
      <c r="AK574" s="397"/>
    </row>
    <row r="575">
      <c r="A575" s="398"/>
      <c r="B575" s="386"/>
      <c r="C575" s="387" t="str">
        <f>IF(A575="","",IFERROR(IF(VLOOKUP(A575,'1. Inbound Leads'!A:G,7,FALSE)=0,"",VLOOKUP(A575,'1. Inbound Leads'!A:G,7,FALSE)),""))</f>
        <v/>
      </c>
      <c r="D575" s="387" t="str">
        <f>IF(A575="","",IFERROR(IF(VLOOKUP(A575,'1. Inbound Leads'!A:L,12,FALSE)=0,"",VLOOKUP(A575,'1. Inbound Leads'!A:L,12,FALSE)),""))</f>
        <v/>
      </c>
      <c r="E575" s="388"/>
      <c r="F575" s="389"/>
      <c r="G575" s="387"/>
      <c r="H575" s="387"/>
      <c r="I575" s="387"/>
      <c r="J575" s="387"/>
      <c r="K575" s="387"/>
      <c r="L575" s="387"/>
      <c r="M575" s="388"/>
      <c r="N575" s="388"/>
      <c r="O575" s="390"/>
      <c r="P575" s="391"/>
      <c r="Q575" s="389"/>
      <c r="R575" s="390"/>
      <c r="S575" s="390"/>
      <c r="T575" s="391"/>
      <c r="U575" s="392"/>
      <c r="V575" s="391"/>
      <c r="W575" s="391"/>
      <c r="X575" s="388"/>
      <c r="Y575" s="391"/>
      <c r="Z575" s="393"/>
      <c r="AA575" s="355" t="str">
        <f t="shared" si="1"/>
        <v/>
      </c>
      <c r="AB575" s="391"/>
      <c r="AC575" s="394" t="str">
        <f t="shared" si="2"/>
        <v/>
      </c>
      <c r="AD575" s="389"/>
      <c r="AE575" s="399"/>
      <c r="AF575" s="395"/>
      <c r="AG575" s="396" t="str">
        <f t="shared" si="3"/>
        <v/>
      </c>
      <c r="AH575" s="396" t="str">
        <f t="shared" si="4"/>
        <v/>
      </c>
      <c r="AI575" s="388"/>
      <c r="AJ575" s="388"/>
      <c r="AK575" s="397"/>
    </row>
    <row r="576">
      <c r="A576" s="398"/>
      <c r="B576" s="386"/>
      <c r="C576" s="387" t="str">
        <f>IF(A576="","",IFERROR(IF(VLOOKUP(A576,'1. Inbound Leads'!A:G,7,FALSE)=0,"",VLOOKUP(A576,'1. Inbound Leads'!A:G,7,FALSE)),""))</f>
        <v/>
      </c>
      <c r="D576" s="387" t="str">
        <f>IF(A576="","",IFERROR(IF(VLOOKUP(A576,'1. Inbound Leads'!A:L,12,FALSE)=0,"",VLOOKUP(A576,'1. Inbound Leads'!A:L,12,FALSE)),""))</f>
        <v/>
      </c>
      <c r="E576" s="388"/>
      <c r="F576" s="389"/>
      <c r="G576" s="387"/>
      <c r="H576" s="387"/>
      <c r="I576" s="387"/>
      <c r="J576" s="387"/>
      <c r="K576" s="387"/>
      <c r="L576" s="387"/>
      <c r="M576" s="388"/>
      <c r="N576" s="388"/>
      <c r="O576" s="390"/>
      <c r="P576" s="391"/>
      <c r="Q576" s="389"/>
      <c r="R576" s="390"/>
      <c r="S576" s="390"/>
      <c r="T576" s="391"/>
      <c r="U576" s="392"/>
      <c r="V576" s="391"/>
      <c r="W576" s="391"/>
      <c r="X576" s="388"/>
      <c r="Y576" s="391"/>
      <c r="Z576" s="393"/>
      <c r="AA576" s="355" t="str">
        <f t="shared" si="1"/>
        <v/>
      </c>
      <c r="AB576" s="391"/>
      <c r="AC576" s="394" t="str">
        <f t="shared" si="2"/>
        <v/>
      </c>
      <c r="AD576" s="389"/>
      <c r="AE576" s="399"/>
      <c r="AF576" s="395"/>
      <c r="AG576" s="396" t="str">
        <f t="shared" si="3"/>
        <v/>
      </c>
      <c r="AH576" s="396" t="str">
        <f t="shared" si="4"/>
        <v/>
      </c>
      <c r="AI576" s="388"/>
      <c r="AJ576" s="388"/>
      <c r="AK576" s="397"/>
    </row>
    <row r="577">
      <c r="A577" s="398"/>
      <c r="B577" s="386"/>
      <c r="C577" s="387" t="str">
        <f>IF(A577="","",IFERROR(IF(VLOOKUP(A577,'1. Inbound Leads'!A:G,7,FALSE)=0,"",VLOOKUP(A577,'1. Inbound Leads'!A:G,7,FALSE)),""))</f>
        <v/>
      </c>
      <c r="D577" s="387" t="str">
        <f>IF(A577="","",IFERROR(IF(VLOOKUP(A577,'1. Inbound Leads'!A:L,12,FALSE)=0,"",VLOOKUP(A577,'1. Inbound Leads'!A:L,12,FALSE)),""))</f>
        <v/>
      </c>
      <c r="E577" s="388"/>
      <c r="F577" s="389"/>
      <c r="G577" s="387"/>
      <c r="H577" s="387"/>
      <c r="I577" s="387"/>
      <c r="J577" s="387"/>
      <c r="K577" s="387"/>
      <c r="L577" s="387"/>
      <c r="M577" s="388"/>
      <c r="N577" s="388"/>
      <c r="O577" s="390"/>
      <c r="P577" s="391"/>
      <c r="Q577" s="389"/>
      <c r="R577" s="390"/>
      <c r="S577" s="390"/>
      <c r="T577" s="391"/>
      <c r="U577" s="392"/>
      <c r="V577" s="391"/>
      <c r="W577" s="391"/>
      <c r="X577" s="388"/>
      <c r="Y577" s="391"/>
      <c r="Z577" s="393"/>
      <c r="AA577" s="355" t="str">
        <f t="shared" si="1"/>
        <v/>
      </c>
      <c r="AB577" s="391"/>
      <c r="AC577" s="394" t="str">
        <f t="shared" si="2"/>
        <v/>
      </c>
      <c r="AD577" s="389"/>
      <c r="AE577" s="399"/>
      <c r="AF577" s="395"/>
      <c r="AG577" s="396" t="str">
        <f t="shared" si="3"/>
        <v/>
      </c>
      <c r="AH577" s="396" t="str">
        <f t="shared" si="4"/>
        <v/>
      </c>
      <c r="AI577" s="388"/>
      <c r="AJ577" s="388"/>
      <c r="AK577" s="397"/>
    </row>
    <row r="578">
      <c r="A578" s="398"/>
      <c r="B578" s="386"/>
      <c r="C578" s="387" t="str">
        <f>IF(A578="","",IFERROR(IF(VLOOKUP(A578,'1. Inbound Leads'!A:G,7,FALSE)=0,"",VLOOKUP(A578,'1. Inbound Leads'!A:G,7,FALSE)),""))</f>
        <v/>
      </c>
      <c r="D578" s="387" t="str">
        <f>IF(A578="","",IFERROR(IF(VLOOKUP(A578,'1. Inbound Leads'!A:L,12,FALSE)=0,"",VLOOKUP(A578,'1. Inbound Leads'!A:L,12,FALSE)),""))</f>
        <v/>
      </c>
      <c r="E578" s="388"/>
      <c r="F578" s="389"/>
      <c r="G578" s="387"/>
      <c r="H578" s="387"/>
      <c r="I578" s="387"/>
      <c r="J578" s="387"/>
      <c r="K578" s="387"/>
      <c r="L578" s="387"/>
      <c r="M578" s="388"/>
      <c r="N578" s="388"/>
      <c r="O578" s="390"/>
      <c r="P578" s="391"/>
      <c r="Q578" s="389"/>
      <c r="R578" s="390"/>
      <c r="S578" s="390"/>
      <c r="T578" s="391"/>
      <c r="U578" s="392"/>
      <c r="V578" s="391"/>
      <c r="W578" s="391"/>
      <c r="X578" s="388"/>
      <c r="Y578" s="391"/>
      <c r="Z578" s="393"/>
      <c r="AA578" s="355" t="str">
        <f t="shared" si="1"/>
        <v/>
      </c>
      <c r="AB578" s="391"/>
      <c r="AC578" s="394" t="str">
        <f t="shared" si="2"/>
        <v/>
      </c>
      <c r="AD578" s="389"/>
      <c r="AE578" s="399"/>
      <c r="AF578" s="395"/>
      <c r="AG578" s="396" t="str">
        <f t="shared" si="3"/>
        <v/>
      </c>
      <c r="AH578" s="396" t="str">
        <f t="shared" si="4"/>
        <v/>
      </c>
      <c r="AI578" s="388"/>
      <c r="AJ578" s="388"/>
      <c r="AK578" s="397"/>
    </row>
    <row r="579">
      <c r="A579" s="398"/>
      <c r="B579" s="386"/>
      <c r="C579" s="387" t="str">
        <f>IF(A579="","",IFERROR(IF(VLOOKUP(A579,'1. Inbound Leads'!A:G,7,FALSE)=0,"",VLOOKUP(A579,'1. Inbound Leads'!A:G,7,FALSE)),""))</f>
        <v/>
      </c>
      <c r="D579" s="387" t="str">
        <f>IF(A579="","",IFERROR(IF(VLOOKUP(A579,'1. Inbound Leads'!A:L,12,FALSE)=0,"",VLOOKUP(A579,'1. Inbound Leads'!A:L,12,FALSE)),""))</f>
        <v/>
      </c>
      <c r="E579" s="388"/>
      <c r="F579" s="389"/>
      <c r="G579" s="387"/>
      <c r="H579" s="387"/>
      <c r="I579" s="387"/>
      <c r="J579" s="387"/>
      <c r="K579" s="387"/>
      <c r="L579" s="387"/>
      <c r="M579" s="388"/>
      <c r="N579" s="388"/>
      <c r="O579" s="390"/>
      <c r="P579" s="391"/>
      <c r="Q579" s="389"/>
      <c r="R579" s="390"/>
      <c r="S579" s="390"/>
      <c r="T579" s="391"/>
      <c r="U579" s="392"/>
      <c r="V579" s="391"/>
      <c r="W579" s="391"/>
      <c r="X579" s="388"/>
      <c r="Y579" s="391"/>
      <c r="Z579" s="393"/>
      <c r="AA579" s="355" t="str">
        <f t="shared" si="1"/>
        <v/>
      </c>
      <c r="AB579" s="391"/>
      <c r="AC579" s="394" t="str">
        <f t="shared" si="2"/>
        <v/>
      </c>
      <c r="AD579" s="389"/>
      <c r="AE579" s="399"/>
      <c r="AF579" s="395"/>
      <c r="AG579" s="396" t="str">
        <f t="shared" si="3"/>
        <v/>
      </c>
      <c r="AH579" s="396" t="str">
        <f t="shared" si="4"/>
        <v/>
      </c>
      <c r="AI579" s="388"/>
      <c r="AJ579" s="388"/>
      <c r="AK579" s="397"/>
    </row>
    <row r="580">
      <c r="A580" s="398"/>
      <c r="B580" s="386"/>
      <c r="C580" s="387" t="str">
        <f>IF(A580="","",IFERROR(IF(VLOOKUP(A580,'1. Inbound Leads'!A:G,7,FALSE)=0,"",VLOOKUP(A580,'1. Inbound Leads'!A:G,7,FALSE)),""))</f>
        <v/>
      </c>
      <c r="D580" s="387" t="str">
        <f>IF(A580="","",IFERROR(IF(VLOOKUP(A580,'1. Inbound Leads'!A:L,12,FALSE)=0,"",VLOOKUP(A580,'1. Inbound Leads'!A:L,12,FALSE)),""))</f>
        <v/>
      </c>
      <c r="E580" s="388"/>
      <c r="F580" s="389"/>
      <c r="G580" s="387"/>
      <c r="H580" s="387"/>
      <c r="I580" s="387"/>
      <c r="J580" s="387"/>
      <c r="K580" s="387"/>
      <c r="L580" s="387"/>
      <c r="M580" s="388"/>
      <c r="N580" s="388"/>
      <c r="O580" s="390"/>
      <c r="P580" s="391"/>
      <c r="Q580" s="389"/>
      <c r="R580" s="390"/>
      <c r="S580" s="390"/>
      <c r="T580" s="391"/>
      <c r="U580" s="392"/>
      <c r="V580" s="391"/>
      <c r="W580" s="391"/>
      <c r="X580" s="388"/>
      <c r="Y580" s="391"/>
      <c r="Z580" s="393"/>
      <c r="AA580" s="355" t="str">
        <f t="shared" si="1"/>
        <v/>
      </c>
      <c r="AB580" s="391"/>
      <c r="AC580" s="394" t="str">
        <f t="shared" si="2"/>
        <v/>
      </c>
      <c r="AD580" s="389"/>
      <c r="AE580" s="399"/>
      <c r="AF580" s="395"/>
      <c r="AG580" s="396" t="str">
        <f t="shared" si="3"/>
        <v/>
      </c>
      <c r="AH580" s="396" t="str">
        <f t="shared" si="4"/>
        <v/>
      </c>
      <c r="AI580" s="388"/>
      <c r="AJ580" s="388"/>
      <c r="AK580" s="397"/>
    </row>
    <row r="581">
      <c r="A581" s="398"/>
      <c r="B581" s="386"/>
      <c r="C581" s="387" t="str">
        <f>IF(A581="","",IFERROR(IF(VLOOKUP(A581,'1. Inbound Leads'!A:G,7,FALSE)=0,"",VLOOKUP(A581,'1. Inbound Leads'!A:G,7,FALSE)),""))</f>
        <v/>
      </c>
      <c r="D581" s="387" t="str">
        <f>IF(A581="","",IFERROR(IF(VLOOKUP(A581,'1. Inbound Leads'!A:L,12,FALSE)=0,"",VLOOKUP(A581,'1. Inbound Leads'!A:L,12,FALSE)),""))</f>
        <v/>
      </c>
      <c r="E581" s="388"/>
      <c r="F581" s="389"/>
      <c r="G581" s="387"/>
      <c r="H581" s="387"/>
      <c r="I581" s="387"/>
      <c r="J581" s="387"/>
      <c r="K581" s="387"/>
      <c r="L581" s="387"/>
      <c r="M581" s="388"/>
      <c r="N581" s="388"/>
      <c r="O581" s="390"/>
      <c r="P581" s="391"/>
      <c r="Q581" s="389"/>
      <c r="R581" s="390"/>
      <c r="S581" s="390"/>
      <c r="T581" s="391"/>
      <c r="U581" s="392"/>
      <c r="V581" s="391"/>
      <c r="W581" s="391"/>
      <c r="X581" s="388"/>
      <c r="Y581" s="391"/>
      <c r="Z581" s="393"/>
      <c r="AA581" s="355" t="str">
        <f t="shared" si="1"/>
        <v/>
      </c>
      <c r="AB581" s="391"/>
      <c r="AC581" s="394" t="str">
        <f t="shared" si="2"/>
        <v/>
      </c>
      <c r="AD581" s="389"/>
      <c r="AE581" s="399"/>
      <c r="AF581" s="395"/>
      <c r="AG581" s="396" t="str">
        <f t="shared" si="3"/>
        <v/>
      </c>
      <c r="AH581" s="396" t="str">
        <f t="shared" si="4"/>
        <v/>
      </c>
      <c r="AI581" s="388"/>
      <c r="AJ581" s="388"/>
      <c r="AK581" s="397"/>
    </row>
    <row r="582">
      <c r="A582" s="398"/>
      <c r="B582" s="386"/>
      <c r="C582" s="387" t="str">
        <f>IF(A582="","",IFERROR(IF(VLOOKUP(A582,'1. Inbound Leads'!A:G,7,FALSE)=0,"",VLOOKUP(A582,'1. Inbound Leads'!A:G,7,FALSE)),""))</f>
        <v/>
      </c>
      <c r="D582" s="387" t="str">
        <f>IF(A582="","",IFERROR(IF(VLOOKUP(A582,'1. Inbound Leads'!A:L,12,FALSE)=0,"",VLOOKUP(A582,'1. Inbound Leads'!A:L,12,FALSE)),""))</f>
        <v/>
      </c>
      <c r="E582" s="388"/>
      <c r="F582" s="389"/>
      <c r="G582" s="387"/>
      <c r="H582" s="387"/>
      <c r="I582" s="387"/>
      <c r="J582" s="387"/>
      <c r="K582" s="387"/>
      <c r="L582" s="387"/>
      <c r="M582" s="388"/>
      <c r="N582" s="388"/>
      <c r="O582" s="390"/>
      <c r="P582" s="391"/>
      <c r="Q582" s="389"/>
      <c r="R582" s="390"/>
      <c r="S582" s="390"/>
      <c r="T582" s="391"/>
      <c r="U582" s="392"/>
      <c r="V582" s="391"/>
      <c r="W582" s="391"/>
      <c r="X582" s="388"/>
      <c r="Y582" s="391"/>
      <c r="Z582" s="393"/>
      <c r="AA582" s="355" t="str">
        <f t="shared" si="1"/>
        <v/>
      </c>
      <c r="AB582" s="391"/>
      <c r="AC582" s="394" t="str">
        <f t="shared" si="2"/>
        <v/>
      </c>
      <c r="AD582" s="389"/>
      <c r="AE582" s="399"/>
      <c r="AF582" s="395"/>
      <c r="AG582" s="396" t="str">
        <f t="shared" si="3"/>
        <v/>
      </c>
      <c r="AH582" s="396" t="str">
        <f t="shared" si="4"/>
        <v/>
      </c>
      <c r="AI582" s="388"/>
      <c r="AJ582" s="388"/>
      <c r="AK582" s="397"/>
    </row>
    <row r="583">
      <c r="A583" s="398"/>
      <c r="B583" s="386"/>
      <c r="C583" s="387" t="str">
        <f>IF(A583="","",IFERROR(IF(VLOOKUP(A583,'1. Inbound Leads'!A:G,7,FALSE)=0,"",VLOOKUP(A583,'1. Inbound Leads'!A:G,7,FALSE)),""))</f>
        <v/>
      </c>
      <c r="D583" s="387" t="str">
        <f>IF(A583="","",IFERROR(IF(VLOOKUP(A583,'1. Inbound Leads'!A:L,12,FALSE)=0,"",VLOOKUP(A583,'1. Inbound Leads'!A:L,12,FALSE)),""))</f>
        <v/>
      </c>
      <c r="E583" s="388"/>
      <c r="F583" s="389"/>
      <c r="G583" s="387"/>
      <c r="H583" s="387"/>
      <c r="I583" s="387"/>
      <c r="J583" s="387"/>
      <c r="K583" s="387"/>
      <c r="L583" s="387"/>
      <c r="M583" s="388"/>
      <c r="N583" s="388"/>
      <c r="O583" s="390"/>
      <c r="P583" s="391"/>
      <c r="Q583" s="389"/>
      <c r="R583" s="390"/>
      <c r="S583" s="390"/>
      <c r="T583" s="391"/>
      <c r="U583" s="392"/>
      <c r="V583" s="391"/>
      <c r="W583" s="391"/>
      <c r="X583" s="388"/>
      <c r="Y583" s="391"/>
      <c r="Z583" s="393"/>
      <c r="AA583" s="355" t="str">
        <f t="shared" si="1"/>
        <v/>
      </c>
      <c r="AB583" s="391"/>
      <c r="AC583" s="394" t="str">
        <f t="shared" si="2"/>
        <v/>
      </c>
      <c r="AD583" s="389"/>
      <c r="AE583" s="399"/>
      <c r="AF583" s="395"/>
      <c r="AG583" s="396" t="str">
        <f t="shared" si="3"/>
        <v/>
      </c>
      <c r="AH583" s="396" t="str">
        <f t="shared" si="4"/>
        <v/>
      </c>
      <c r="AI583" s="388"/>
      <c r="AJ583" s="388"/>
      <c r="AK583" s="397"/>
    </row>
    <row r="584">
      <c r="A584" s="398"/>
      <c r="B584" s="386"/>
      <c r="C584" s="387" t="str">
        <f>IF(A584="","",IFERROR(IF(VLOOKUP(A584,'1. Inbound Leads'!A:G,7,FALSE)=0,"",VLOOKUP(A584,'1. Inbound Leads'!A:G,7,FALSE)),""))</f>
        <v/>
      </c>
      <c r="D584" s="387" t="str">
        <f>IF(A584="","",IFERROR(IF(VLOOKUP(A584,'1. Inbound Leads'!A:L,12,FALSE)=0,"",VLOOKUP(A584,'1. Inbound Leads'!A:L,12,FALSE)),""))</f>
        <v/>
      </c>
      <c r="E584" s="388"/>
      <c r="F584" s="389"/>
      <c r="G584" s="387"/>
      <c r="H584" s="387"/>
      <c r="I584" s="387"/>
      <c r="J584" s="387"/>
      <c r="K584" s="387"/>
      <c r="L584" s="387"/>
      <c r="M584" s="388"/>
      <c r="N584" s="388"/>
      <c r="O584" s="390"/>
      <c r="P584" s="391"/>
      <c r="Q584" s="389"/>
      <c r="R584" s="390"/>
      <c r="S584" s="390"/>
      <c r="T584" s="391"/>
      <c r="U584" s="392"/>
      <c r="V584" s="391"/>
      <c r="W584" s="391"/>
      <c r="X584" s="388"/>
      <c r="Y584" s="391"/>
      <c r="Z584" s="393"/>
      <c r="AA584" s="355" t="str">
        <f t="shared" si="1"/>
        <v/>
      </c>
      <c r="AB584" s="391"/>
      <c r="AC584" s="394" t="str">
        <f t="shared" si="2"/>
        <v/>
      </c>
      <c r="AD584" s="389"/>
      <c r="AE584" s="399"/>
      <c r="AF584" s="395"/>
      <c r="AG584" s="396" t="str">
        <f t="shared" si="3"/>
        <v/>
      </c>
      <c r="AH584" s="396" t="str">
        <f t="shared" si="4"/>
        <v/>
      </c>
      <c r="AI584" s="388"/>
      <c r="AJ584" s="388"/>
      <c r="AK584" s="397"/>
    </row>
    <row r="585">
      <c r="A585" s="398"/>
      <c r="B585" s="386"/>
      <c r="C585" s="387" t="str">
        <f>IF(A585="","",IFERROR(IF(VLOOKUP(A585,'1. Inbound Leads'!A:G,7,FALSE)=0,"",VLOOKUP(A585,'1. Inbound Leads'!A:G,7,FALSE)),""))</f>
        <v/>
      </c>
      <c r="D585" s="387" t="str">
        <f>IF(A585="","",IFERROR(IF(VLOOKUP(A585,'1. Inbound Leads'!A:L,12,FALSE)=0,"",VLOOKUP(A585,'1. Inbound Leads'!A:L,12,FALSE)),""))</f>
        <v/>
      </c>
      <c r="E585" s="388"/>
      <c r="F585" s="389"/>
      <c r="G585" s="387"/>
      <c r="H585" s="387"/>
      <c r="I585" s="387"/>
      <c r="J585" s="387"/>
      <c r="K585" s="387"/>
      <c r="L585" s="387"/>
      <c r="M585" s="388"/>
      <c r="N585" s="388"/>
      <c r="O585" s="390"/>
      <c r="P585" s="391"/>
      <c r="Q585" s="389"/>
      <c r="R585" s="390"/>
      <c r="S585" s="390"/>
      <c r="T585" s="391"/>
      <c r="U585" s="392"/>
      <c r="V585" s="391"/>
      <c r="W585" s="391"/>
      <c r="X585" s="388"/>
      <c r="Y585" s="391"/>
      <c r="Z585" s="393"/>
      <c r="AA585" s="355" t="str">
        <f t="shared" si="1"/>
        <v/>
      </c>
      <c r="AB585" s="391"/>
      <c r="AC585" s="394" t="str">
        <f t="shared" si="2"/>
        <v/>
      </c>
      <c r="AD585" s="389"/>
      <c r="AE585" s="399"/>
      <c r="AF585" s="395"/>
      <c r="AG585" s="396" t="str">
        <f t="shared" si="3"/>
        <v/>
      </c>
      <c r="AH585" s="396" t="str">
        <f t="shared" si="4"/>
        <v/>
      </c>
      <c r="AI585" s="388"/>
      <c r="AJ585" s="388"/>
      <c r="AK585" s="397"/>
    </row>
    <row r="586">
      <c r="A586" s="398"/>
      <c r="B586" s="386"/>
      <c r="C586" s="387" t="str">
        <f>IF(A586="","",IFERROR(IF(VLOOKUP(A586,'1. Inbound Leads'!A:G,7,FALSE)=0,"",VLOOKUP(A586,'1. Inbound Leads'!A:G,7,FALSE)),""))</f>
        <v/>
      </c>
      <c r="D586" s="387" t="str">
        <f>IF(A586="","",IFERROR(IF(VLOOKUP(A586,'1. Inbound Leads'!A:L,12,FALSE)=0,"",VLOOKUP(A586,'1. Inbound Leads'!A:L,12,FALSE)),""))</f>
        <v/>
      </c>
      <c r="E586" s="388"/>
      <c r="F586" s="389"/>
      <c r="G586" s="387"/>
      <c r="H586" s="387"/>
      <c r="I586" s="387"/>
      <c r="J586" s="387"/>
      <c r="K586" s="387"/>
      <c r="L586" s="387"/>
      <c r="M586" s="388"/>
      <c r="N586" s="388"/>
      <c r="O586" s="390"/>
      <c r="P586" s="391"/>
      <c r="Q586" s="389"/>
      <c r="R586" s="390"/>
      <c r="S586" s="390"/>
      <c r="T586" s="391"/>
      <c r="U586" s="392"/>
      <c r="V586" s="391"/>
      <c r="W586" s="391"/>
      <c r="X586" s="388"/>
      <c r="Y586" s="391"/>
      <c r="Z586" s="393"/>
      <c r="AA586" s="355" t="str">
        <f t="shared" si="1"/>
        <v/>
      </c>
      <c r="AB586" s="391"/>
      <c r="AC586" s="394" t="str">
        <f t="shared" si="2"/>
        <v/>
      </c>
      <c r="AD586" s="389"/>
      <c r="AE586" s="399"/>
      <c r="AF586" s="395"/>
      <c r="AG586" s="396" t="str">
        <f t="shared" si="3"/>
        <v/>
      </c>
      <c r="AH586" s="396" t="str">
        <f t="shared" si="4"/>
        <v/>
      </c>
      <c r="AI586" s="388"/>
      <c r="AJ586" s="388"/>
      <c r="AK586" s="397"/>
    </row>
    <row r="587">
      <c r="A587" s="398"/>
      <c r="B587" s="386"/>
      <c r="C587" s="387" t="str">
        <f>IF(A587="","",IFERROR(IF(VLOOKUP(A587,'1. Inbound Leads'!A:G,7,FALSE)=0,"",VLOOKUP(A587,'1. Inbound Leads'!A:G,7,FALSE)),""))</f>
        <v/>
      </c>
      <c r="D587" s="387" t="str">
        <f>IF(A587="","",IFERROR(IF(VLOOKUP(A587,'1. Inbound Leads'!A:L,12,FALSE)=0,"",VLOOKUP(A587,'1. Inbound Leads'!A:L,12,FALSE)),""))</f>
        <v/>
      </c>
      <c r="E587" s="388"/>
      <c r="F587" s="389"/>
      <c r="G587" s="387"/>
      <c r="H587" s="387"/>
      <c r="I587" s="387"/>
      <c r="J587" s="387"/>
      <c r="K587" s="387"/>
      <c r="L587" s="387"/>
      <c r="M587" s="388"/>
      <c r="N587" s="388"/>
      <c r="O587" s="390"/>
      <c r="P587" s="391"/>
      <c r="Q587" s="389"/>
      <c r="R587" s="390"/>
      <c r="S587" s="390"/>
      <c r="T587" s="391"/>
      <c r="U587" s="392"/>
      <c r="V587" s="391"/>
      <c r="W587" s="391"/>
      <c r="X587" s="388"/>
      <c r="Y587" s="391"/>
      <c r="Z587" s="393"/>
      <c r="AA587" s="355" t="str">
        <f t="shared" si="1"/>
        <v/>
      </c>
      <c r="AB587" s="391"/>
      <c r="AC587" s="394" t="str">
        <f t="shared" si="2"/>
        <v/>
      </c>
      <c r="AD587" s="389"/>
      <c r="AE587" s="399"/>
      <c r="AF587" s="395"/>
      <c r="AG587" s="396" t="str">
        <f t="shared" si="3"/>
        <v/>
      </c>
      <c r="AH587" s="396" t="str">
        <f t="shared" si="4"/>
        <v/>
      </c>
      <c r="AI587" s="388"/>
      <c r="AJ587" s="388"/>
      <c r="AK587" s="397"/>
    </row>
    <row r="588">
      <c r="A588" s="398"/>
      <c r="B588" s="386"/>
      <c r="C588" s="387" t="str">
        <f>IF(A588="","",IFERROR(IF(VLOOKUP(A588,'1. Inbound Leads'!A:G,7,FALSE)=0,"",VLOOKUP(A588,'1. Inbound Leads'!A:G,7,FALSE)),""))</f>
        <v/>
      </c>
      <c r="D588" s="387" t="str">
        <f>IF(A588="","",IFERROR(IF(VLOOKUP(A588,'1. Inbound Leads'!A:L,12,FALSE)=0,"",VLOOKUP(A588,'1. Inbound Leads'!A:L,12,FALSE)),""))</f>
        <v/>
      </c>
      <c r="E588" s="388"/>
      <c r="F588" s="389"/>
      <c r="G588" s="387"/>
      <c r="H588" s="387"/>
      <c r="I588" s="387"/>
      <c r="J588" s="387"/>
      <c r="K588" s="387"/>
      <c r="L588" s="387"/>
      <c r="M588" s="388"/>
      <c r="N588" s="388"/>
      <c r="O588" s="390"/>
      <c r="P588" s="391"/>
      <c r="Q588" s="389"/>
      <c r="R588" s="390"/>
      <c r="S588" s="390"/>
      <c r="T588" s="391"/>
      <c r="U588" s="392"/>
      <c r="V588" s="391"/>
      <c r="W588" s="391"/>
      <c r="X588" s="388"/>
      <c r="Y588" s="391"/>
      <c r="Z588" s="393"/>
      <c r="AA588" s="355" t="str">
        <f t="shared" si="1"/>
        <v/>
      </c>
      <c r="AB588" s="391"/>
      <c r="AC588" s="394" t="str">
        <f t="shared" si="2"/>
        <v/>
      </c>
      <c r="AD588" s="389"/>
      <c r="AE588" s="399"/>
      <c r="AF588" s="395"/>
      <c r="AG588" s="396" t="str">
        <f t="shared" si="3"/>
        <v/>
      </c>
      <c r="AH588" s="396" t="str">
        <f t="shared" si="4"/>
        <v/>
      </c>
      <c r="AI588" s="388"/>
      <c r="AJ588" s="388"/>
      <c r="AK588" s="397"/>
    </row>
    <row r="589">
      <c r="A589" s="398"/>
      <c r="B589" s="386"/>
      <c r="C589" s="387" t="str">
        <f>IF(A589="","",IFERROR(IF(VLOOKUP(A589,'1. Inbound Leads'!A:G,7,FALSE)=0,"",VLOOKUP(A589,'1. Inbound Leads'!A:G,7,FALSE)),""))</f>
        <v/>
      </c>
      <c r="D589" s="387" t="str">
        <f>IF(A589="","",IFERROR(IF(VLOOKUP(A589,'1. Inbound Leads'!A:L,12,FALSE)=0,"",VLOOKUP(A589,'1. Inbound Leads'!A:L,12,FALSE)),""))</f>
        <v/>
      </c>
      <c r="E589" s="388"/>
      <c r="F589" s="389"/>
      <c r="G589" s="387"/>
      <c r="H589" s="387"/>
      <c r="I589" s="387"/>
      <c r="J589" s="387"/>
      <c r="K589" s="387"/>
      <c r="L589" s="387"/>
      <c r="M589" s="388"/>
      <c r="N589" s="388"/>
      <c r="O589" s="390"/>
      <c r="P589" s="391"/>
      <c r="Q589" s="389"/>
      <c r="R589" s="390"/>
      <c r="S589" s="390"/>
      <c r="T589" s="391"/>
      <c r="U589" s="392"/>
      <c r="V589" s="391"/>
      <c r="W589" s="391"/>
      <c r="X589" s="388"/>
      <c r="Y589" s="391"/>
      <c r="Z589" s="393"/>
      <c r="AA589" s="355" t="str">
        <f t="shared" si="1"/>
        <v/>
      </c>
      <c r="AB589" s="391"/>
      <c r="AC589" s="394" t="str">
        <f t="shared" si="2"/>
        <v/>
      </c>
      <c r="AD589" s="389"/>
      <c r="AE589" s="399"/>
      <c r="AF589" s="395"/>
      <c r="AG589" s="396" t="str">
        <f t="shared" si="3"/>
        <v/>
      </c>
      <c r="AH589" s="396" t="str">
        <f t="shared" si="4"/>
        <v/>
      </c>
      <c r="AI589" s="388"/>
      <c r="AJ589" s="388"/>
      <c r="AK589" s="397"/>
    </row>
    <row r="590">
      <c r="A590" s="398"/>
      <c r="B590" s="386"/>
      <c r="C590" s="387" t="str">
        <f>IF(A590="","",IFERROR(IF(VLOOKUP(A590,'1. Inbound Leads'!A:G,7,FALSE)=0,"",VLOOKUP(A590,'1. Inbound Leads'!A:G,7,FALSE)),""))</f>
        <v/>
      </c>
      <c r="D590" s="387" t="str">
        <f>IF(A590="","",IFERROR(IF(VLOOKUP(A590,'1. Inbound Leads'!A:L,12,FALSE)=0,"",VLOOKUP(A590,'1. Inbound Leads'!A:L,12,FALSE)),""))</f>
        <v/>
      </c>
      <c r="E590" s="388"/>
      <c r="F590" s="389"/>
      <c r="G590" s="387"/>
      <c r="H590" s="387"/>
      <c r="I590" s="387"/>
      <c r="J590" s="387"/>
      <c r="K590" s="387"/>
      <c r="L590" s="387"/>
      <c r="M590" s="388"/>
      <c r="N590" s="388"/>
      <c r="O590" s="390"/>
      <c r="P590" s="391"/>
      <c r="Q590" s="389"/>
      <c r="R590" s="390"/>
      <c r="S590" s="390"/>
      <c r="T590" s="391"/>
      <c r="U590" s="392"/>
      <c r="V590" s="391"/>
      <c r="W590" s="391"/>
      <c r="X590" s="388"/>
      <c r="Y590" s="391"/>
      <c r="Z590" s="393"/>
      <c r="AA590" s="355" t="str">
        <f t="shared" si="1"/>
        <v/>
      </c>
      <c r="AB590" s="391"/>
      <c r="AC590" s="394" t="str">
        <f t="shared" si="2"/>
        <v/>
      </c>
      <c r="AD590" s="389"/>
      <c r="AE590" s="399"/>
      <c r="AF590" s="395"/>
      <c r="AG590" s="396" t="str">
        <f t="shared" si="3"/>
        <v/>
      </c>
      <c r="AH590" s="396" t="str">
        <f t="shared" si="4"/>
        <v/>
      </c>
      <c r="AI590" s="388"/>
      <c r="AJ590" s="388"/>
      <c r="AK590" s="397"/>
    </row>
    <row r="591">
      <c r="A591" s="398"/>
      <c r="B591" s="386"/>
      <c r="C591" s="387" t="str">
        <f>IF(A591="","",IFERROR(IF(VLOOKUP(A591,'1. Inbound Leads'!A:G,7,FALSE)=0,"",VLOOKUP(A591,'1. Inbound Leads'!A:G,7,FALSE)),""))</f>
        <v/>
      </c>
      <c r="D591" s="387" t="str">
        <f>IF(A591="","",IFERROR(IF(VLOOKUP(A591,'1. Inbound Leads'!A:L,12,FALSE)=0,"",VLOOKUP(A591,'1. Inbound Leads'!A:L,12,FALSE)),""))</f>
        <v/>
      </c>
      <c r="E591" s="388"/>
      <c r="F591" s="389"/>
      <c r="G591" s="387"/>
      <c r="H591" s="387"/>
      <c r="I591" s="387"/>
      <c r="J591" s="387"/>
      <c r="K591" s="387"/>
      <c r="L591" s="387"/>
      <c r="M591" s="388"/>
      <c r="N591" s="388"/>
      <c r="O591" s="390"/>
      <c r="P591" s="391"/>
      <c r="Q591" s="389"/>
      <c r="R591" s="390"/>
      <c r="S591" s="390"/>
      <c r="T591" s="391"/>
      <c r="U591" s="392"/>
      <c r="V591" s="391"/>
      <c r="W591" s="391"/>
      <c r="X591" s="388"/>
      <c r="Y591" s="391"/>
      <c r="Z591" s="393"/>
      <c r="AA591" s="355" t="str">
        <f t="shared" si="1"/>
        <v/>
      </c>
      <c r="AB591" s="391"/>
      <c r="AC591" s="394" t="str">
        <f t="shared" si="2"/>
        <v/>
      </c>
      <c r="AD591" s="389"/>
      <c r="AE591" s="399"/>
      <c r="AF591" s="395"/>
      <c r="AG591" s="396" t="str">
        <f t="shared" si="3"/>
        <v/>
      </c>
      <c r="AH591" s="396" t="str">
        <f t="shared" si="4"/>
        <v/>
      </c>
      <c r="AI591" s="388"/>
      <c r="AJ591" s="388"/>
      <c r="AK591" s="397"/>
    </row>
    <row r="592">
      <c r="A592" s="398"/>
      <c r="B592" s="386"/>
      <c r="C592" s="387" t="str">
        <f>IF(A592="","",IFERROR(IF(VLOOKUP(A592,'1. Inbound Leads'!A:G,7,FALSE)=0,"",VLOOKUP(A592,'1. Inbound Leads'!A:G,7,FALSE)),""))</f>
        <v/>
      </c>
      <c r="D592" s="387" t="str">
        <f>IF(A592="","",IFERROR(IF(VLOOKUP(A592,'1. Inbound Leads'!A:L,12,FALSE)=0,"",VLOOKUP(A592,'1. Inbound Leads'!A:L,12,FALSE)),""))</f>
        <v/>
      </c>
      <c r="E592" s="388"/>
      <c r="F592" s="389"/>
      <c r="G592" s="387"/>
      <c r="H592" s="387"/>
      <c r="I592" s="387"/>
      <c r="J592" s="387"/>
      <c r="K592" s="387"/>
      <c r="L592" s="387"/>
      <c r="M592" s="388"/>
      <c r="N592" s="388"/>
      <c r="O592" s="390"/>
      <c r="P592" s="391"/>
      <c r="Q592" s="389"/>
      <c r="R592" s="390"/>
      <c r="S592" s="390"/>
      <c r="T592" s="391"/>
      <c r="U592" s="392"/>
      <c r="V592" s="391"/>
      <c r="W592" s="391"/>
      <c r="X592" s="388"/>
      <c r="Y592" s="391"/>
      <c r="Z592" s="393"/>
      <c r="AA592" s="355" t="str">
        <f t="shared" si="1"/>
        <v/>
      </c>
      <c r="AB592" s="391"/>
      <c r="AC592" s="394" t="str">
        <f t="shared" si="2"/>
        <v/>
      </c>
      <c r="AD592" s="389"/>
      <c r="AE592" s="399"/>
      <c r="AF592" s="395"/>
      <c r="AG592" s="396" t="str">
        <f t="shared" si="3"/>
        <v/>
      </c>
      <c r="AH592" s="396" t="str">
        <f t="shared" si="4"/>
        <v/>
      </c>
      <c r="AI592" s="388"/>
      <c r="AJ592" s="388"/>
      <c r="AK592" s="397"/>
    </row>
    <row r="593">
      <c r="A593" s="398"/>
      <c r="B593" s="386"/>
      <c r="C593" s="387" t="str">
        <f>IF(A593="","",IFERROR(IF(VLOOKUP(A593,'1. Inbound Leads'!A:G,7,FALSE)=0,"",VLOOKUP(A593,'1. Inbound Leads'!A:G,7,FALSE)),""))</f>
        <v/>
      </c>
      <c r="D593" s="387" t="str">
        <f>IF(A593="","",IFERROR(IF(VLOOKUP(A593,'1. Inbound Leads'!A:L,12,FALSE)=0,"",VLOOKUP(A593,'1. Inbound Leads'!A:L,12,FALSE)),""))</f>
        <v/>
      </c>
      <c r="E593" s="388"/>
      <c r="F593" s="389"/>
      <c r="G593" s="387"/>
      <c r="H593" s="387"/>
      <c r="I593" s="387"/>
      <c r="J593" s="387"/>
      <c r="K593" s="387"/>
      <c r="L593" s="387"/>
      <c r="M593" s="388"/>
      <c r="N593" s="388"/>
      <c r="O593" s="390"/>
      <c r="P593" s="391"/>
      <c r="Q593" s="389"/>
      <c r="R593" s="390"/>
      <c r="S593" s="390"/>
      <c r="T593" s="391"/>
      <c r="U593" s="392"/>
      <c r="V593" s="391"/>
      <c r="W593" s="391"/>
      <c r="X593" s="388"/>
      <c r="Y593" s="391"/>
      <c r="Z593" s="393"/>
      <c r="AA593" s="355" t="str">
        <f t="shared" si="1"/>
        <v/>
      </c>
      <c r="AB593" s="391"/>
      <c r="AC593" s="394" t="str">
        <f t="shared" si="2"/>
        <v/>
      </c>
      <c r="AD593" s="389"/>
      <c r="AE593" s="399"/>
      <c r="AF593" s="395"/>
      <c r="AG593" s="396" t="str">
        <f t="shared" si="3"/>
        <v/>
      </c>
      <c r="AH593" s="396" t="str">
        <f t="shared" si="4"/>
        <v/>
      </c>
      <c r="AI593" s="388"/>
      <c r="AJ593" s="388"/>
      <c r="AK593" s="397"/>
    </row>
    <row r="594">
      <c r="A594" s="398"/>
      <c r="B594" s="386"/>
      <c r="C594" s="387" t="str">
        <f>IF(A594="","",IFERROR(IF(VLOOKUP(A594,'1. Inbound Leads'!A:G,7,FALSE)=0,"",VLOOKUP(A594,'1. Inbound Leads'!A:G,7,FALSE)),""))</f>
        <v/>
      </c>
      <c r="D594" s="387" t="str">
        <f>IF(A594="","",IFERROR(IF(VLOOKUP(A594,'1. Inbound Leads'!A:L,12,FALSE)=0,"",VLOOKUP(A594,'1. Inbound Leads'!A:L,12,FALSE)),""))</f>
        <v/>
      </c>
      <c r="E594" s="388"/>
      <c r="F594" s="389"/>
      <c r="G594" s="387"/>
      <c r="H594" s="387"/>
      <c r="I594" s="387"/>
      <c r="J594" s="387"/>
      <c r="K594" s="387"/>
      <c r="L594" s="387"/>
      <c r="M594" s="388"/>
      <c r="N594" s="388"/>
      <c r="O594" s="390"/>
      <c r="P594" s="391"/>
      <c r="Q594" s="389"/>
      <c r="R594" s="390"/>
      <c r="S594" s="390"/>
      <c r="T594" s="391"/>
      <c r="U594" s="392"/>
      <c r="V594" s="391"/>
      <c r="W594" s="391"/>
      <c r="X594" s="388"/>
      <c r="Y594" s="391"/>
      <c r="Z594" s="393"/>
      <c r="AA594" s="355" t="str">
        <f t="shared" si="1"/>
        <v/>
      </c>
      <c r="AB594" s="391"/>
      <c r="AC594" s="394" t="str">
        <f t="shared" si="2"/>
        <v/>
      </c>
      <c r="AD594" s="389"/>
      <c r="AE594" s="399"/>
      <c r="AF594" s="395"/>
      <c r="AG594" s="396" t="str">
        <f t="shared" si="3"/>
        <v/>
      </c>
      <c r="AH594" s="396" t="str">
        <f t="shared" si="4"/>
        <v/>
      </c>
      <c r="AI594" s="388"/>
      <c r="AJ594" s="388"/>
      <c r="AK594" s="397"/>
    </row>
    <row r="595">
      <c r="A595" s="398"/>
      <c r="B595" s="386"/>
      <c r="C595" s="387" t="str">
        <f>IF(A595="","",IFERROR(IF(VLOOKUP(A595,'1. Inbound Leads'!A:G,7,FALSE)=0,"",VLOOKUP(A595,'1. Inbound Leads'!A:G,7,FALSE)),""))</f>
        <v/>
      </c>
      <c r="D595" s="387" t="str">
        <f>IF(A595="","",IFERROR(IF(VLOOKUP(A595,'1. Inbound Leads'!A:L,12,FALSE)=0,"",VLOOKUP(A595,'1. Inbound Leads'!A:L,12,FALSE)),""))</f>
        <v/>
      </c>
      <c r="E595" s="388"/>
      <c r="F595" s="389"/>
      <c r="G595" s="387"/>
      <c r="H595" s="387"/>
      <c r="I595" s="387"/>
      <c r="J595" s="387"/>
      <c r="K595" s="387"/>
      <c r="L595" s="387"/>
      <c r="M595" s="388"/>
      <c r="N595" s="388"/>
      <c r="O595" s="390"/>
      <c r="P595" s="391"/>
      <c r="Q595" s="389"/>
      <c r="R595" s="390"/>
      <c r="S595" s="390"/>
      <c r="T595" s="391"/>
      <c r="U595" s="392"/>
      <c r="V595" s="391"/>
      <c r="W595" s="391"/>
      <c r="X595" s="388"/>
      <c r="Y595" s="391"/>
      <c r="Z595" s="393"/>
      <c r="AA595" s="355" t="str">
        <f t="shared" si="1"/>
        <v/>
      </c>
      <c r="AB595" s="391"/>
      <c r="AC595" s="394" t="str">
        <f t="shared" si="2"/>
        <v/>
      </c>
      <c r="AD595" s="389"/>
      <c r="AE595" s="399"/>
      <c r="AF595" s="395"/>
      <c r="AG595" s="396" t="str">
        <f t="shared" si="3"/>
        <v/>
      </c>
      <c r="AH595" s="396" t="str">
        <f t="shared" si="4"/>
        <v/>
      </c>
      <c r="AI595" s="388"/>
      <c r="AJ595" s="388"/>
      <c r="AK595" s="397"/>
    </row>
    <row r="596">
      <c r="A596" s="398"/>
      <c r="B596" s="386"/>
      <c r="C596" s="387" t="str">
        <f>IF(A596="","",IFERROR(IF(VLOOKUP(A596,'1. Inbound Leads'!A:G,7,FALSE)=0,"",VLOOKUP(A596,'1. Inbound Leads'!A:G,7,FALSE)),""))</f>
        <v/>
      </c>
      <c r="D596" s="387" t="str">
        <f>IF(A596="","",IFERROR(IF(VLOOKUP(A596,'1. Inbound Leads'!A:L,12,FALSE)=0,"",VLOOKUP(A596,'1. Inbound Leads'!A:L,12,FALSE)),""))</f>
        <v/>
      </c>
      <c r="E596" s="388"/>
      <c r="F596" s="389"/>
      <c r="G596" s="387"/>
      <c r="H596" s="387"/>
      <c r="I596" s="387"/>
      <c r="J596" s="387"/>
      <c r="K596" s="387"/>
      <c r="L596" s="387"/>
      <c r="M596" s="388"/>
      <c r="N596" s="388"/>
      <c r="O596" s="390"/>
      <c r="P596" s="391"/>
      <c r="Q596" s="389"/>
      <c r="R596" s="390"/>
      <c r="S596" s="390"/>
      <c r="T596" s="391"/>
      <c r="U596" s="392"/>
      <c r="V596" s="391"/>
      <c r="W596" s="391"/>
      <c r="X596" s="388"/>
      <c r="Y596" s="391"/>
      <c r="Z596" s="393"/>
      <c r="AA596" s="355" t="str">
        <f t="shared" si="1"/>
        <v/>
      </c>
      <c r="AB596" s="391"/>
      <c r="AC596" s="394" t="str">
        <f t="shared" si="2"/>
        <v/>
      </c>
      <c r="AD596" s="389"/>
      <c r="AE596" s="399"/>
      <c r="AF596" s="395"/>
      <c r="AG596" s="396" t="str">
        <f t="shared" si="3"/>
        <v/>
      </c>
      <c r="AH596" s="396" t="str">
        <f t="shared" si="4"/>
        <v/>
      </c>
      <c r="AI596" s="388"/>
      <c r="AJ596" s="388"/>
      <c r="AK596" s="397"/>
    </row>
    <row r="597">
      <c r="A597" s="398"/>
      <c r="B597" s="386"/>
      <c r="C597" s="387" t="str">
        <f>IF(A597="","",IFERROR(IF(VLOOKUP(A597,'1. Inbound Leads'!A:G,7,FALSE)=0,"",VLOOKUP(A597,'1. Inbound Leads'!A:G,7,FALSE)),""))</f>
        <v/>
      </c>
      <c r="D597" s="387" t="str">
        <f>IF(A597="","",IFERROR(IF(VLOOKUP(A597,'1. Inbound Leads'!A:L,12,FALSE)=0,"",VLOOKUP(A597,'1. Inbound Leads'!A:L,12,FALSE)),""))</f>
        <v/>
      </c>
      <c r="E597" s="388"/>
      <c r="F597" s="389"/>
      <c r="G597" s="387"/>
      <c r="H597" s="387"/>
      <c r="I597" s="387"/>
      <c r="J597" s="387"/>
      <c r="K597" s="387"/>
      <c r="L597" s="387"/>
      <c r="M597" s="388"/>
      <c r="N597" s="388"/>
      <c r="O597" s="390"/>
      <c r="P597" s="391"/>
      <c r="Q597" s="389"/>
      <c r="R597" s="390"/>
      <c r="S597" s="390"/>
      <c r="T597" s="391"/>
      <c r="U597" s="392"/>
      <c r="V597" s="391"/>
      <c r="W597" s="391"/>
      <c r="X597" s="388"/>
      <c r="Y597" s="391"/>
      <c r="Z597" s="393"/>
      <c r="AA597" s="355" t="str">
        <f t="shared" si="1"/>
        <v/>
      </c>
      <c r="AB597" s="391"/>
      <c r="AC597" s="394" t="str">
        <f t="shared" si="2"/>
        <v/>
      </c>
      <c r="AD597" s="389"/>
      <c r="AE597" s="399"/>
      <c r="AF597" s="395"/>
      <c r="AG597" s="396" t="str">
        <f t="shared" si="3"/>
        <v/>
      </c>
      <c r="AH597" s="396" t="str">
        <f t="shared" si="4"/>
        <v/>
      </c>
      <c r="AI597" s="388"/>
      <c r="AJ597" s="388"/>
      <c r="AK597" s="397"/>
    </row>
    <row r="598">
      <c r="A598" s="398"/>
      <c r="B598" s="386"/>
      <c r="C598" s="387" t="str">
        <f>IF(A598="","",IFERROR(IF(VLOOKUP(A598,'1. Inbound Leads'!A:G,7,FALSE)=0,"",VLOOKUP(A598,'1. Inbound Leads'!A:G,7,FALSE)),""))</f>
        <v/>
      </c>
      <c r="D598" s="387" t="str">
        <f>IF(A598="","",IFERROR(IF(VLOOKUP(A598,'1. Inbound Leads'!A:L,12,FALSE)=0,"",VLOOKUP(A598,'1. Inbound Leads'!A:L,12,FALSE)),""))</f>
        <v/>
      </c>
      <c r="E598" s="388"/>
      <c r="F598" s="389"/>
      <c r="G598" s="387"/>
      <c r="H598" s="387"/>
      <c r="I598" s="387"/>
      <c r="J598" s="387"/>
      <c r="K598" s="387"/>
      <c r="L598" s="387"/>
      <c r="M598" s="388"/>
      <c r="N598" s="388"/>
      <c r="O598" s="390"/>
      <c r="P598" s="391"/>
      <c r="Q598" s="389"/>
      <c r="R598" s="390"/>
      <c r="S598" s="390"/>
      <c r="T598" s="391"/>
      <c r="U598" s="392"/>
      <c r="V598" s="391"/>
      <c r="W598" s="391"/>
      <c r="X598" s="388"/>
      <c r="Y598" s="391"/>
      <c r="Z598" s="393"/>
      <c r="AA598" s="355" t="str">
        <f t="shared" si="1"/>
        <v/>
      </c>
      <c r="AB598" s="391"/>
      <c r="AC598" s="394" t="str">
        <f t="shared" si="2"/>
        <v/>
      </c>
      <c r="AD598" s="389"/>
      <c r="AE598" s="399"/>
      <c r="AF598" s="395"/>
      <c r="AG598" s="396" t="str">
        <f t="shared" si="3"/>
        <v/>
      </c>
      <c r="AH598" s="396" t="str">
        <f t="shared" si="4"/>
        <v/>
      </c>
      <c r="AI598" s="388"/>
      <c r="AJ598" s="388"/>
      <c r="AK598" s="397"/>
    </row>
    <row r="599">
      <c r="A599" s="398"/>
      <c r="B599" s="386"/>
      <c r="C599" s="387" t="str">
        <f>IF(A599="","",IFERROR(IF(VLOOKUP(A599,'1. Inbound Leads'!A:G,7,FALSE)=0,"",VLOOKUP(A599,'1. Inbound Leads'!A:G,7,FALSE)),""))</f>
        <v/>
      </c>
      <c r="D599" s="387" t="str">
        <f>IF(A599="","",IFERROR(IF(VLOOKUP(A599,'1. Inbound Leads'!A:L,12,FALSE)=0,"",VLOOKUP(A599,'1. Inbound Leads'!A:L,12,FALSE)),""))</f>
        <v/>
      </c>
      <c r="E599" s="388"/>
      <c r="F599" s="389"/>
      <c r="G599" s="387"/>
      <c r="H599" s="387"/>
      <c r="I599" s="387"/>
      <c r="J599" s="387"/>
      <c r="K599" s="387"/>
      <c r="L599" s="387"/>
      <c r="M599" s="388"/>
      <c r="N599" s="388"/>
      <c r="O599" s="390"/>
      <c r="P599" s="391"/>
      <c r="Q599" s="389"/>
      <c r="R599" s="390"/>
      <c r="S599" s="390"/>
      <c r="T599" s="391"/>
      <c r="U599" s="392"/>
      <c r="V599" s="391"/>
      <c r="W599" s="391"/>
      <c r="X599" s="388"/>
      <c r="Y599" s="391"/>
      <c r="Z599" s="393"/>
      <c r="AA599" s="355" t="str">
        <f t="shared" si="1"/>
        <v/>
      </c>
      <c r="AB599" s="391"/>
      <c r="AC599" s="394" t="str">
        <f t="shared" si="2"/>
        <v/>
      </c>
      <c r="AD599" s="389"/>
      <c r="AE599" s="399"/>
      <c r="AF599" s="395"/>
      <c r="AG599" s="396" t="str">
        <f t="shared" si="3"/>
        <v/>
      </c>
      <c r="AH599" s="396" t="str">
        <f t="shared" si="4"/>
        <v/>
      </c>
      <c r="AI599" s="388"/>
      <c r="AJ599" s="388"/>
      <c r="AK599" s="397"/>
    </row>
    <row r="600">
      <c r="A600" s="398"/>
      <c r="B600" s="386"/>
      <c r="C600" s="387" t="str">
        <f>IF(A600="","",IFERROR(IF(VLOOKUP(A600,'1. Inbound Leads'!A:G,7,FALSE)=0,"",VLOOKUP(A600,'1. Inbound Leads'!A:G,7,FALSE)),""))</f>
        <v/>
      </c>
      <c r="D600" s="387" t="str">
        <f>IF(A600="","",IFERROR(IF(VLOOKUP(A600,'1. Inbound Leads'!A:L,12,FALSE)=0,"",VLOOKUP(A600,'1. Inbound Leads'!A:L,12,FALSE)),""))</f>
        <v/>
      </c>
      <c r="E600" s="388"/>
      <c r="F600" s="389"/>
      <c r="G600" s="387"/>
      <c r="H600" s="387"/>
      <c r="I600" s="387"/>
      <c r="J600" s="387"/>
      <c r="K600" s="387"/>
      <c r="L600" s="387"/>
      <c r="M600" s="388"/>
      <c r="N600" s="388"/>
      <c r="O600" s="390"/>
      <c r="P600" s="391"/>
      <c r="Q600" s="389"/>
      <c r="R600" s="390"/>
      <c r="S600" s="390"/>
      <c r="T600" s="391"/>
      <c r="U600" s="392"/>
      <c r="V600" s="391"/>
      <c r="W600" s="391"/>
      <c r="X600" s="388"/>
      <c r="Y600" s="391"/>
      <c r="Z600" s="393"/>
      <c r="AA600" s="355" t="str">
        <f t="shared" si="1"/>
        <v/>
      </c>
      <c r="AB600" s="391"/>
      <c r="AC600" s="394" t="str">
        <f t="shared" si="2"/>
        <v/>
      </c>
      <c r="AD600" s="389"/>
      <c r="AE600" s="399"/>
      <c r="AF600" s="395"/>
      <c r="AG600" s="396" t="str">
        <f t="shared" si="3"/>
        <v/>
      </c>
      <c r="AH600" s="396" t="str">
        <f t="shared" si="4"/>
        <v/>
      </c>
      <c r="AI600" s="388"/>
      <c r="AJ600" s="388"/>
      <c r="AK600" s="397"/>
    </row>
    <row r="601">
      <c r="A601" s="398"/>
      <c r="B601" s="386"/>
      <c r="C601" s="387" t="str">
        <f>IF(A601="","",IFERROR(IF(VLOOKUP(A601,'1. Inbound Leads'!A:G,7,FALSE)=0,"",VLOOKUP(A601,'1. Inbound Leads'!A:G,7,FALSE)),""))</f>
        <v/>
      </c>
      <c r="D601" s="387" t="str">
        <f>IF(A601="","",IFERROR(IF(VLOOKUP(A601,'1. Inbound Leads'!A:L,12,FALSE)=0,"",VLOOKUP(A601,'1. Inbound Leads'!A:L,12,FALSE)),""))</f>
        <v/>
      </c>
      <c r="E601" s="388"/>
      <c r="F601" s="389"/>
      <c r="G601" s="387"/>
      <c r="H601" s="387"/>
      <c r="I601" s="387"/>
      <c r="J601" s="387"/>
      <c r="K601" s="387"/>
      <c r="L601" s="387"/>
      <c r="M601" s="388"/>
      <c r="N601" s="388"/>
      <c r="O601" s="390"/>
      <c r="P601" s="391"/>
      <c r="Q601" s="389"/>
      <c r="R601" s="390"/>
      <c r="S601" s="390"/>
      <c r="T601" s="391"/>
      <c r="U601" s="392"/>
      <c r="V601" s="391"/>
      <c r="W601" s="391"/>
      <c r="X601" s="388"/>
      <c r="Y601" s="391"/>
      <c r="Z601" s="393"/>
      <c r="AA601" s="355" t="str">
        <f t="shared" si="1"/>
        <v/>
      </c>
      <c r="AB601" s="391"/>
      <c r="AC601" s="394" t="str">
        <f t="shared" si="2"/>
        <v/>
      </c>
      <c r="AD601" s="389"/>
      <c r="AE601" s="399"/>
      <c r="AF601" s="395"/>
      <c r="AG601" s="396" t="str">
        <f t="shared" si="3"/>
        <v/>
      </c>
      <c r="AH601" s="396" t="str">
        <f t="shared" si="4"/>
        <v/>
      </c>
      <c r="AI601" s="388"/>
      <c r="AJ601" s="388"/>
      <c r="AK601" s="397"/>
    </row>
    <row r="602">
      <c r="A602" s="398"/>
      <c r="B602" s="386"/>
      <c r="C602" s="387" t="str">
        <f>IF(A602="","",IFERROR(IF(VLOOKUP(A602,'1. Inbound Leads'!A:G,7,FALSE)=0,"",VLOOKUP(A602,'1. Inbound Leads'!A:G,7,FALSE)),""))</f>
        <v/>
      </c>
      <c r="D602" s="387" t="str">
        <f>IF(A602="","",IFERROR(IF(VLOOKUP(A602,'1. Inbound Leads'!A:L,12,FALSE)=0,"",VLOOKUP(A602,'1. Inbound Leads'!A:L,12,FALSE)),""))</f>
        <v/>
      </c>
      <c r="E602" s="388"/>
      <c r="F602" s="389"/>
      <c r="G602" s="387"/>
      <c r="H602" s="387"/>
      <c r="I602" s="387"/>
      <c r="J602" s="387"/>
      <c r="K602" s="387"/>
      <c r="L602" s="387"/>
      <c r="M602" s="388"/>
      <c r="N602" s="388"/>
      <c r="O602" s="390"/>
      <c r="P602" s="391"/>
      <c r="Q602" s="389"/>
      <c r="R602" s="390"/>
      <c r="S602" s="390"/>
      <c r="T602" s="391"/>
      <c r="U602" s="392"/>
      <c r="V602" s="391"/>
      <c r="W602" s="391"/>
      <c r="X602" s="388"/>
      <c r="Y602" s="391"/>
      <c r="Z602" s="393"/>
      <c r="AA602" s="355" t="str">
        <f t="shared" si="1"/>
        <v/>
      </c>
      <c r="AB602" s="391"/>
      <c r="AC602" s="394" t="str">
        <f t="shared" si="2"/>
        <v/>
      </c>
      <c r="AD602" s="389"/>
      <c r="AE602" s="399"/>
      <c r="AF602" s="395"/>
      <c r="AG602" s="396" t="str">
        <f t="shared" si="3"/>
        <v/>
      </c>
      <c r="AH602" s="396" t="str">
        <f t="shared" si="4"/>
        <v/>
      </c>
      <c r="AI602" s="388"/>
      <c r="AJ602" s="388"/>
      <c r="AK602" s="397"/>
    </row>
    <row r="603">
      <c r="A603" s="398"/>
      <c r="B603" s="386"/>
      <c r="C603" s="387" t="str">
        <f>IF(A603="","",IFERROR(IF(VLOOKUP(A603,'1. Inbound Leads'!A:G,7,FALSE)=0,"",VLOOKUP(A603,'1. Inbound Leads'!A:G,7,FALSE)),""))</f>
        <v/>
      </c>
      <c r="D603" s="387" t="str">
        <f>IF(A603="","",IFERROR(IF(VLOOKUP(A603,'1. Inbound Leads'!A:L,12,FALSE)=0,"",VLOOKUP(A603,'1. Inbound Leads'!A:L,12,FALSE)),""))</f>
        <v/>
      </c>
      <c r="E603" s="388"/>
      <c r="F603" s="389"/>
      <c r="G603" s="387"/>
      <c r="H603" s="387"/>
      <c r="I603" s="387"/>
      <c r="J603" s="387"/>
      <c r="K603" s="387"/>
      <c r="L603" s="387"/>
      <c r="M603" s="388"/>
      <c r="N603" s="388"/>
      <c r="O603" s="390"/>
      <c r="P603" s="391"/>
      <c r="Q603" s="389"/>
      <c r="R603" s="390"/>
      <c r="S603" s="390"/>
      <c r="T603" s="391"/>
      <c r="U603" s="392"/>
      <c r="V603" s="391"/>
      <c r="W603" s="391"/>
      <c r="X603" s="388"/>
      <c r="Y603" s="391"/>
      <c r="Z603" s="393"/>
      <c r="AA603" s="355" t="str">
        <f t="shared" si="1"/>
        <v/>
      </c>
      <c r="AB603" s="391"/>
      <c r="AC603" s="394" t="str">
        <f t="shared" si="2"/>
        <v/>
      </c>
      <c r="AD603" s="389"/>
      <c r="AE603" s="399"/>
      <c r="AF603" s="395"/>
      <c r="AG603" s="396" t="str">
        <f t="shared" si="3"/>
        <v/>
      </c>
      <c r="AH603" s="396" t="str">
        <f t="shared" si="4"/>
        <v/>
      </c>
      <c r="AI603" s="388"/>
      <c r="AJ603" s="388"/>
      <c r="AK603" s="397"/>
    </row>
    <row r="604">
      <c r="A604" s="398"/>
      <c r="B604" s="386"/>
      <c r="C604" s="387" t="str">
        <f>IF(A604="","",IFERROR(IF(VLOOKUP(A604,'1. Inbound Leads'!A:G,7,FALSE)=0,"",VLOOKUP(A604,'1. Inbound Leads'!A:G,7,FALSE)),""))</f>
        <v/>
      </c>
      <c r="D604" s="387" t="str">
        <f>IF(A604="","",IFERROR(IF(VLOOKUP(A604,'1. Inbound Leads'!A:L,12,FALSE)=0,"",VLOOKUP(A604,'1. Inbound Leads'!A:L,12,FALSE)),""))</f>
        <v/>
      </c>
      <c r="E604" s="388"/>
      <c r="F604" s="389"/>
      <c r="G604" s="387"/>
      <c r="H604" s="387"/>
      <c r="I604" s="387"/>
      <c r="J604" s="387"/>
      <c r="K604" s="387"/>
      <c r="L604" s="387"/>
      <c r="M604" s="388"/>
      <c r="N604" s="388"/>
      <c r="O604" s="390"/>
      <c r="P604" s="391"/>
      <c r="Q604" s="389"/>
      <c r="R604" s="390"/>
      <c r="S604" s="390"/>
      <c r="T604" s="391"/>
      <c r="U604" s="392"/>
      <c r="V604" s="391"/>
      <c r="W604" s="391"/>
      <c r="X604" s="388"/>
      <c r="Y604" s="391"/>
      <c r="Z604" s="393"/>
      <c r="AA604" s="355" t="str">
        <f t="shared" si="1"/>
        <v/>
      </c>
      <c r="AB604" s="391"/>
      <c r="AC604" s="394" t="str">
        <f t="shared" si="2"/>
        <v/>
      </c>
      <c r="AD604" s="389"/>
      <c r="AE604" s="399"/>
      <c r="AF604" s="395"/>
      <c r="AG604" s="396" t="str">
        <f t="shared" si="3"/>
        <v/>
      </c>
      <c r="AH604" s="396" t="str">
        <f t="shared" si="4"/>
        <v/>
      </c>
      <c r="AI604" s="388"/>
      <c r="AJ604" s="388"/>
      <c r="AK604" s="397"/>
    </row>
    <row r="605">
      <c r="A605" s="398"/>
      <c r="B605" s="386"/>
      <c r="C605" s="387" t="str">
        <f>IF(A605="","",IFERROR(IF(VLOOKUP(A605,'1. Inbound Leads'!A:G,7,FALSE)=0,"",VLOOKUP(A605,'1. Inbound Leads'!A:G,7,FALSE)),""))</f>
        <v/>
      </c>
      <c r="D605" s="387" t="str">
        <f>IF(A605="","",IFERROR(IF(VLOOKUP(A605,'1. Inbound Leads'!A:L,12,FALSE)=0,"",VLOOKUP(A605,'1. Inbound Leads'!A:L,12,FALSE)),""))</f>
        <v/>
      </c>
      <c r="E605" s="388"/>
      <c r="F605" s="389"/>
      <c r="G605" s="387"/>
      <c r="H605" s="387"/>
      <c r="I605" s="387"/>
      <c r="J605" s="387"/>
      <c r="K605" s="387"/>
      <c r="L605" s="387"/>
      <c r="M605" s="388"/>
      <c r="N605" s="388"/>
      <c r="O605" s="390"/>
      <c r="P605" s="391"/>
      <c r="Q605" s="389"/>
      <c r="R605" s="390"/>
      <c r="S605" s="390"/>
      <c r="T605" s="391"/>
      <c r="U605" s="392"/>
      <c r="V605" s="391"/>
      <c r="W605" s="391"/>
      <c r="X605" s="388"/>
      <c r="Y605" s="391"/>
      <c r="Z605" s="393"/>
      <c r="AA605" s="355" t="str">
        <f t="shared" si="1"/>
        <v/>
      </c>
      <c r="AB605" s="391"/>
      <c r="AC605" s="394" t="str">
        <f t="shared" si="2"/>
        <v/>
      </c>
      <c r="AD605" s="389"/>
      <c r="AE605" s="399"/>
      <c r="AF605" s="395"/>
      <c r="AG605" s="396" t="str">
        <f t="shared" si="3"/>
        <v/>
      </c>
      <c r="AH605" s="396" t="str">
        <f t="shared" si="4"/>
        <v/>
      </c>
      <c r="AI605" s="388"/>
      <c r="AJ605" s="388"/>
      <c r="AK605" s="397"/>
    </row>
    <row r="606">
      <c r="A606" s="398"/>
      <c r="B606" s="386"/>
      <c r="C606" s="387" t="str">
        <f>IF(A606="","",IFERROR(IF(VLOOKUP(A606,'1. Inbound Leads'!A:G,7,FALSE)=0,"",VLOOKUP(A606,'1. Inbound Leads'!A:G,7,FALSE)),""))</f>
        <v/>
      </c>
      <c r="D606" s="387" t="str">
        <f>IF(A606="","",IFERROR(IF(VLOOKUP(A606,'1. Inbound Leads'!A:L,12,FALSE)=0,"",VLOOKUP(A606,'1. Inbound Leads'!A:L,12,FALSE)),""))</f>
        <v/>
      </c>
      <c r="E606" s="388"/>
      <c r="F606" s="389"/>
      <c r="G606" s="387"/>
      <c r="H606" s="387"/>
      <c r="I606" s="387"/>
      <c r="J606" s="387"/>
      <c r="K606" s="387"/>
      <c r="L606" s="387"/>
      <c r="M606" s="388"/>
      <c r="N606" s="388"/>
      <c r="O606" s="390"/>
      <c r="P606" s="391"/>
      <c r="Q606" s="389"/>
      <c r="R606" s="390"/>
      <c r="S606" s="390"/>
      <c r="T606" s="391"/>
      <c r="U606" s="392"/>
      <c r="V606" s="391"/>
      <c r="W606" s="391"/>
      <c r="X606" s="388"/>
      <c r="Y606" s="391"/>
      <c r="Z606" s="393"/>
      <c r="AA606" s="355" t="str">
        <f t="shared" si="1"/>
        <v/>
      </c>
      <c r="AB606" s="391"/>
      <c r="AC606" s="394" t="str">
        <f t="shared" si="2"/>
        <v/>
      </c>
      <c r="AD606" s="389"/>
      <c r="AE606" s="399"/>
      <c r="AF606" s="395"/>
      <c r="AG606" s="396" t="str">
        <f t="shared" si="3"/>
        <v/>
      </c>
      <c r="AH606" s="396" t="str">
        <f t="shared" si="4"/>
        <v/>
      </c>
      <c r="AI606" s="388"/>
      <c r="AJ606" s="388"/>
      <c r="AK606" s="397"/>
    </row>
    <row r="607">
      <c r="A607" s="398"/>
      <c r="B607" s="386"/>
      <c r="C607" s="387" t="str">
        <f>IF(A607="","",IFERROR(IF(VLOOKUP(A607,'1. Inbound Leads'!A:G,7,FALSE)=0,"",VLOOKUP(A607,'1. Inbound Leads'!A:G,7,FALSE)),""))</f>
        <v/>
      </c>
      <c r="D607" s="387" t="str">
        <f>IF(A607="","",IFERROR(IF(VLOOKUP(A607,'1. Inbound Leads'!A:L,12,FALSE)=0,"",VLOOKUP(A607,'1. Inbound Leads'!A:L,12,FALSE)),""))</f>
        <v/>
      </c>
      <c r="E607" s="388"/>
      <c r="F607" s="389"/>
      <c r="G607" s="387"/>
      <c r="H607" s="387"/>
      <c r="I607" s="387"/>
      <c r="J607" s="387"/>
      <c r="K607" s="387"/>
      <c r="L607" s="387"/>
      <c r="M607" s="388"/>
      <c r="N607" s="388"/>
      <c r="O607" s="390"/>
      <c r="P607" s="391"/>
      <c r="Q607" s="389"/>
      <c r="R607" s="390"/>
      <c r="S607" s="390"/>
      <c r="T607" s="391"/>
      <c r="U607" s="392"/>
      <c r="V607" s="391"/>
      <c r="W607" s="391"/>
      <c r="X607" s="388"/>
      <c r="Y607" s="391"/>
      <c r="Z607" s="393"/>
      <c r="AA607" s="355" t="str">
        <f t="shared" si="1"/>
        <v/>
      </c>
      <c r="AB607" s="391"/>
      <c r="AC607" s="394" t="str">
        <f t="shared" si="2"/>
        <v/>
      </c>
      <c r="AD607" s="389"/>
      <c r="AE607" s="399"/>
      <c r="AF607" s="395"/>
      <c r="AG607" s="396" t="str">
        <f t="shared" si="3"/>
        <v/>
      </c>
      <c r="AH607" s="396" t="str">
        <f t="shared" si="4"/>
        <v/>
      </c>
      <c r="AI607" s="388"/>
      <c r="AJ607" s="388"/>
      <c r="AK607" s="397"/>
    </row>
    <row r="608">
      <c r="A608" s="398"/>
      <c r="B608" s="386"/>
      <c r="C608" s="387" t="str">
        <f>IF(A608="","",IFERROR(IF(VLOOKUP(A608,'1. Inbound Leads'!A:G,7,FALSE)=0,"",VLOOKUP(A608,'1. Inbound Leads'!A:G,7,FALSE)),""))</f>
        <v/>
      </c>
      <c r="D608" s="387" t="str">
        <f>IF(A608="","",IFERROR(IF(VLOOKUP(A608,'1. Inbound Leads'!A:L,12,FALSE)=0,"",VLOOKUP(A608,'1. Inbound Leads'!A:L,12,FALSE)),""))</f>
        <v/>
      </c>
      <c r="E608" s="388"/>
      <c r="F608" s="389"/>
      <c r="G608" s="387"/>
      <c r="H608" s="387"/>
      <c r="I608" s="387"/>
      <c r="J608" s="387"/>
      <c r="K608" s="387"/>
      <c r="L608" s="387"/>
      <c r="M608" s="388"/>
      <c r="N608" s="388"/>
      <c r="O608" s="390"/>
      <c r="P608" s="391"/>
      <c r="Q608" s="389"/>
      <c r="R608" s="390"/>
      <c r="S608" s="390"/>
      <c r="T608" s="391"/>
      <c r="U608" s="392"/>
      <c r="V608" s="391"/>
      <c r="W608" s="391"/>
      <c r="X608" s="388"/>
      <c r="Y608" s="391"/>
      <c r="Z608" s="393"/>
      <c r="AA608" s="355" t="str">
        <f t="shared" si="1"/>
        <v/>
      </c>
      <c r="AB608" s="391"/>
      <c r="AC608" s="394" t="str">
        <f t="shared" si="2"/>
        <v/>
      </c>
      <c r="AD608" s="389"/>
      <c r="AE608" s="399"/>
      <c r="AF608" s="395"/>
      <c r="AG608" s="396" t="str">
        <f t="shared" si="3"/>
        <v/>
      </c>
      <c r="AH608" s="396" t="str">
        <f t="shared" si="4"/>
        <v/>
      </c>
      <c r="AI608" s="388"/>
      <c r="AJ608" s="388"/>
      <c r="AK608" s="397"/>
    </row>
    <row r="609">
      <c r="A609" s="398"/>
      <c r="B609" s="386"/>
      <c r="C609" s="387" t="str">
        <f>IF(A609="","",IFERROR(IF(VLOOKUP(A609,'1. Inbound Leads'!A:G,7,FALSE)=0,"",VLOOKUP(A609,'1. Inbound Leads'!A:G,7,FALSE)),""))</f>
        <v/>
      </c>
      <c r="D609" s="387" t="str">
        <f>IF(A609="","",IFERROR(IF(VLOOKUP(A609,'1. Inbound Leads'!A:L,12,FALSE)=0,"",VLOOKUP(A609,'1. Inbound Leads'!A:L,12,FALSE)),""))</f>
        <v/>
      </c>
      <c r="E609" s="388"/>
      <c r="F609" s="389"/>
      <c r="G609" s="387"/>
      <c r="H609" s="387"/>
      <c r="I609" s="387"/>
      <c r="J609" s="387"/>
      <c r="K609" s="387"/>
      <c r="L609" s="387"/>
      <c r="M609" s="388"/>
      <c r="N609" s="388"/>
      <c r="O609" s="390"/>
      <c r="P609" s="391"/>
      <c r="Q609" s="389"/>
      <c r="R609" s="390"/>
      <c r="S609" s="390"/>
      <c r="T609" s="391"/>
      <c r="U609" s="392"/>
      <c r="V609" s="391"/>
      <c r="W609" s="391"/>
      <c r="X609" s="388"/>
      <c r="Y609" s="391"/>
      <c r="Z609" s="393"/>
      <c r="AA609" s="355" t="str">
        <f t="shared" si="1"/>
        <v/>
      </c>
      <c r="AB609" s="391"/>
      <c r="AC609" s="394" t="str">
        <f t="shared" si="2"/>
        <v/>
      </c>
      <c r="AD609" s="389"/>
      <c r="AE609" s="399"/>
      <c r="AF609" s="395"/>
      <c r="AG609" s="396" t="str">
        <f t="shared" si="3"/>
        <v/>
      </c>
      <c r="AH609" s="396" t="str">
        <f t="shared" si="4"/>
        <v/>
      </c>
      <c r="AI609" s="388"/>
      <c r="AJ609" s="388"/>
      <c r="AK609" s="397"/>
    </row>
    <row r="610">
      <c r="A610" s="398"/>
      <c r="B610" s="386"/>
      <c r="C610" s="387" t="str">
        <f>IF(A610="","",IFERROR(IF(VLOOKUP(A610,'1. Inbound Leads'!A:G,7,FALSE)=0,"",VLOOKUP(A610,'1. Inbound Leads'!A:G,7,FALSE)),""))</f>
        <v/>
      </c>
      <c r="D610" s="387" t="str">
        <f>IF(A610="","",IFERROR(IF(VLOOKUP(A610,'1. Inbound Leads'!A:L,12,FALSE)=0,"",VLOOKUP(A610,'1. Inbound Leads'!A:L,12,FALSE)),""))</f>
        <v/>
      </c>
      <c r="E610" s="388"/>
      <c r="F610" s="389"/>
      <c r="G610" s="387"/>
      <c r="H610" s="387"/>
      <c r="I610" s="387"/>
      <c r="J610" s="387"/>
      <c r="K610" s="387"/>
      <c r="L610" s="387"/>
      <c r="M610" s="388"/>
      <c r="N610" s="388"/>
      <c r="O610" s="390"/>
      <c r="P610" s="391"/>
      <c r="Q610" s="389"/>
      <c r="R610" s="390"/>
      <c r="S610" s="390"/>
      <c r="T610" s="391"/>
      <c r="U610" s="392"/>
      <c r="V610" s="391"/>
      <c r="W610" s="391"/>
      <c r="X610" s="388"/>
      <c r="Y610" s="391"/>
      <c r="Z610" s="393"/>
      <c r="AA610" s="355" t="str">
        <f t="shared" si="1"/>
        <v/>
      </c>
      <c r="AB610" s="391"/>
      <c r="AC610" s="394" t="str">
        <f t="shared" si="2"/>
        <v/>
      </c>
      <c r="AD610" s="389"/>
      <c r="AE610" s="399"/>
      <c r="AF610" s="395"/>
      <c r="AG610" s="396" t="str">
        <f t="shared" si="3"/>
        <v/>
      </c>
      <c r="AH610" s="396" t="str">
        <f t="shared" si="4"/>
        <v/>
      </c>
      <c r="AI610" s="388"/>
      <c r="AJ610" s="388"/>
      <c r="AK610" s="397"/>
    </row>
    <row r="611">
      <c r="A611" s="398"/>
      <c r="B611" s="386"/>
      <c r="C611" s="387" t="str">
        <f>IF(A611="","",IFERROR(IF(VLOOKUP(A611,'1. Inbound Leads'!A:G,7,FALSE)=0,"",VLOOKUP(A611,'1. Inbound Leads'!A:G,7,FALSE)),""))</f>
        <v/>
      </c>
      <c r="D611" s="387" t="str">
        <f>IF(A611="","",IFERROR(IF(VLOOKUP(A611,'1. Inbound Leads'!A:L,12,FALSE)=0,"",VLOOKUP(A611,'1. Inbound Leads'!A:L,12,FALSE)),""))</f>
        <v/>
      </c>
      <c r="E611" s="388"/>
      <c r="F611" s="389"/>
      <c r="G611" s="387"/>
      <c r="H611" s="387"/>
      <c r="I611" s="387"/>
      <c r="J611" s="387"/>
      <c r="K611" s="387"/>
      <c r="L611" s="387"/>
      <c r="M611" s="388"/>
      <c r="N611" s="388"/>
      <c r="O611" s="390"/>
      <c r="P611" s="391"/>
      <c r="Q611" s="389"/>
      <c r="R611" s="390"/>
      <c r="S611" s="390"/>
      <c r="T611" s="391"/>
      <c r="U611" s="392"/>
      <c r="V611" s="391"/>
      <c r="W611" s="391"/>
      <c r="X611" s="388"/>
      <c r="Y611" s="391"/>
      <c r="Z611" s="393"/>
      <c r="AA611" s="355" t="str">
        <f t="shared" si="1"/>
        <v/>
      </c>
      <c r="AB611" s="391"/>
      <c r="AC611" s="394" t="str">
        <f t="shared" si="2"/>
        <v/>
      </c>
      <c r="AD611" s="389"/>
      <c r="AE611" s="399"/>
      <c r="AF611" s="395"/>
      <c r="AG611" s="396" t="str">
        <f t="shared" si="3"/>
        <v/>
      </c>
      <c r="AH611" s="396" t="str">
        <f t="shared" si="4"/>
        <v/>
      </c>
      <c r="AI611" s="388"/>
      <c r="AJ611" s="388"/>
      <c r="AK611" s="397"/>
    </row>
    <row r="612">
      <c r="A612" s="398"/>
      <c r="B612" s="386"/>
      <c r="C612" s="387" t="str">
        <f>IF(A612="","",IFERROR(IF(VLOOKUP(A612,'1. Inbound Leads'!A:G,7,FALSE)=0,"",VLOOKUP(A612,'1. Inbound Leads'!A:G,7,FALSE)),""))</f>
        <v/>
      </c>
      <c r="D612" s="387" t="str">
        <f>IF(A612="","",IFERROR(IF(VLOOKUP(A612,'1. Inbound Leads'!A:L,12,FALSE)=0,"",VLOOKUP(A612,'1. Inbound Leads'!A:L,12,FALSE)),""))</f>
        <v/>
      </c>
      <c r="E612" s="388"/>
      <c r="F612" s="389"/>
      <c r="G612" s="387"/>
      <c r="H612" s="387"/>
      <c r="I612" s="387"/>
      <c r="J612" s="387"/>
      <c r="K612" s="387"/>
      <c r="L612" s="387"/>
      <c r="M612" s="388"/>
      <c r="N612" s="388"/>
      <c r="O612" s="390"/>
      <c r="P612" s="391"/>
      <c r="Q612" s="389"/>
      <c r="R612" s="390"/>
      <c r="S612" s="390"/>
      <c r="T612" s="391"/>
      <c r="U612" s="392"/>
      <c r="V612" s="391"/>
      <c r="W612" s="391"/>
      <c r="X612" s="388"/>
      <c r="Y612" s="391"/>
      <c r="Z612" s="393"/>
      <c r="AA612" s="355" t="str">
        <f t="shared" si="1"/>
        <v/>
      </c>
      <c r="AB612" s="391"/>
      <c r="AC612" s="394" t="str">
        <f t="shared" si="2"/>
        <v/>
      </c>
      <c r="AD612" s="389"/>
      <c r="AE612" s="399"/>
      <c r="AF612" s="395"/>
      <c r="AG612" s="396" t="str">
        <f t="shared" si="3"/>
        <v/>
      </c>
      <c r="AH612" s="396" t="str">
        <f t="shared" si="4"/>
        <v/>
      </c>
      <c r="AI612" s="388"/>
      <c r="AJ612" s="388"/>
      <c r="AK612" s="397"/>
    </row>
    <row r="613">
      <c r="A613" s="398"/>
      <c r="B613" s="386"/>
      <c r="C613" s="387" t="str">
        <f>IF(A613="","",IFERROR(IF(VLOOKUP(A613,'1. Inbound Leads'!A:G,7,FALSE)=0,"",VLOOKUP(A613,'1. Inbound Leads'!A:G,7,FALSE)),""))</f>
        <v/>
      </c>
      <c r="D613" s="387" t="str">
        <f>IF(A613="","",IFERROR(IF(VLOOKUP(A613,'1. Inbound Leads'!A:L,12,FALSE)=0,"",VLOOKUP(A613,'1. Inbound Leads'!A:L,12,FALSE)),""))</f>
        <v/>
      </c>
      <c r="E613" s="388"/>
      <c r="F613" s="389"/>
      <c r="G613" s="387"/>
      <c r="H613" s="387"/>
      <c r="I613" s="387"/>
      <c r="J613" s="387"/>
      <c r="K613" s="387"/>
      <c r="L613" s="387"/>
      <c r="M613" s="388"/>
      <c r="N613" s="388"/>
      <c r="O613" s="390"/>
      <c r="P613" s="391"/>
      <c r="Q613" s="389"/>
      <c r="R613" s="390"/>
      <c r="S613" s="390"/>
      <c r="T613" s="391"/>
      <c r="U613" s="392"/>
      <c r="V613" s="391"/>
      <c r="W613" s="391"/>
      <c r="X613" s="388"/>
      <c r="Y613" s="391"/>
      <c r="Z613" s="393"/>
      <c r="AA613" s="355" t="str">
        <f t="shared" si="1"/>
        <v/>
      </c>
      <c r="AB613" s="391"/>
      <c r="AC613" s="394" t="str">
        <f t="shared" si="2"/>
        <v/>
      </c>
      <c r="AD613" s="389"/>
      <c r="AE613" s="399"/>
      <c r="AF613" s="395"/>
      <c r="AG613" s="396" t="str">
        <f t="shared" si="3"/>
        <v/>
      </c>
      <c r="AH613" s="396" t="str">
        <f t="shared" si="4"/>
        <v/>
      </c>
      <c r="AI613" s="388"/>
      <c r="AJ613" s="388"/>
      <c r="AK613" s="397"/>
    </row>
    <row r="614">
      <c r="A614" s="398"/>
      <c r="B614" s="386"/>
      <c r="C614" s="387" t="str">
        <f>IF(A614="","",IFERROR(IF(VLOOKUP(A614,'1. Inbound Leads'!A:G,7,FALSE)=0,"",VLOOKUP(A614,'1. Inbound Leads'!A:G,7,FALSE)),""))</f>
        <v/>
      </c>
      <c r="D614" s="387" t="str">
        <f>IF(A614="","",IFERROR(IF(VLOOKUP(A614,'1. Inbound Leads'!A:L,12,FALSE)=0,"",VLOOKUP(A614,'1. Inbound Leads'!A:L,12,FALSE)),""))</f>
        <v/>
      </c>
      <c r="E614" s="388"/>
      <c r="F614" s="389"/>
      <c r="G614" s="387"/>
      <c r="H614" s="387"/>
      <c r="I614" s="387"/>
      <c r="J614" s="387"/>
      <c r="K614" s="387"/>
      <c r="L614" s="387"/>
      <c r="M614" s="388"/>
      <c r="N614" s="388"/>
      <c r="O614" s="390"/>
      <c r="P614" s="391"/>
      <c r="Q614" s="389"/>
      <c r="R614" s="390"/>
      <c r="S614" s="390"/>
      <c r="T614" s="391"/>
      <c r="U614" s="392"/>
      <c r="V614" s="391"/>
      <c r="W614" s="391"/>
      <c r="X614" s="388"/>
      <c r="Y614" s="391"/>
      <c r="Z614" s="393"/>
      <c r="AA614" s="355" t="str">
        <f t="shared" si="1"/>
        <v/>
      </c>
      <c r="AB614" s="391"/>
      <c r="AC614" s="394" t="str">
        <f t="shared" si="2"/>
        <v/>
      </c>
      <c r="AD614" s="389"/>
      <c r="AE614" s="399"/>
      <c r="AF614" s="395"/>
      <c r="AG614" s="396" t="str">
        <f t="shared" si="3"/>
        <v/>
      </c>
      <c r="AH614" s="396" t="str">
        <f t="shared" si="4"/>
        <v/>
      </c>
      <c r="AI614" s="388"/>
      <c r="AJ614" s="388"/>
      <c r="AK614" s="397"/>
    </row>
    <row r="615">
      <c r="A615" s="398"/>
      <c r="B615" s="386"/>
      <c r="C615" s="387" t="str">
        <f>IF(A615="","",IFERROR(IF(VLOOKUP(A615,'1. Inbound Leads'!A:G,7,FALSE)=0,"",VLOOKUP(A615,'1. Inbound Leads'!A:G,7,FALSE)),""))</f>
        <v/>
      </c>
      <c r="D615" s="387" t="str">
        <f>IF(A615="","",IFERROR(IF(VLOOKUP(A615,'1. Inbound Leads'!A:L,12,FALSE)=0,"",VLOOKUP(A615,'1. Inbound Leads'!A:L,12,FALSE)),""))</f>
        <v/>
      </c>
      <c r="E615" s="388"/>
      <c r="F615" s="389"/>
      <c r="G615" s="387"/>
      <c r="H615" s="387"/>
      <c r="I615" s="387"/>
      <c r="J615" s="387"/>
      <c r="K615" s="387"/>
      <c r="L615" s="387"/>
      <c r="M615" s="388"/>
      <c r="N615" s="388"/>
      <c r="O615" s="390"/>
      <c r="P615" s="391"/>
      <c r="Q615" s="389"/>
      <c r="R615" s="390"/>
      <c r="S615" s="390"/>
      <c r="T615" s="391"/>
      <c r="U615" s="392"/>
      <c r="V615" s="391"/>
      <c r="W615" s="391"/>
      <c r="X615" s="388"/>
      <c r="Y615" s="391"/>
      <c r="Z615" s="393"/>
      <c r="AA615" s="355" t="str">
        <f t="shared" si="1"/>
        <v/>
      </c>
      <c r="AB615" s="391"/>
      <c r="AC615" s="394" t="str">
        <f t="shared" si="2"/>
        <v/>
      </c>
      <c r="AD615" s="389"/>
      <c r="AE615" s="399"/>
      <c r="AF615" s="395"/>
      <c r="AG615" s="396" t="str">
        <f t="shared" si="3"/>
        <v/>
      </c>
      <c r="AH615" s="396" t="str">
        <f t="shared" si="4"/>
        <v/>
      </c>
      <c r="AI615" s="388"/>
      <c r="AJ615" s="388"/>
      <c r="AK615" s="397"/>
    </row>
    <row r="616">
      <c r="A616" s="398"/>
      <c r="B616" s="386"/>
      <c r="C616" s="387" t="str">
        <f>IF(A616="","",IFERROR(IF(VLOOKUP(A616,'1. Inbound Leads'!A:G,7,FALSE)=0,"",VLOOKUP(A616,'1. Inbound Leads'!A:G,7,FALSE)),""))</f>
        <v/>
      </c>
      <c r="D616" s="387" t="str">
        <f>IF(A616="","",IFERROR(IF(VLOOKUP(A616,'1. Inbound Leads'!A:L,12,FALSE)=0,"",VLOOKUP(A616,'1. Inbound Leads'!A:L,12,FALSE)),""))</f>
        <v/>
      </c>
      <c r="E616" s="388"/>
      <c r="F616" s="389"/>
      <c r="G616" s="387"/>
      <c r="H616" s="387"/>
      <c r="I616" s="387"/>
      <c r="J616" s="387"/>
      <c r="K616" s="387"/>
      <c r="L616" s="387"/>
      <c r="M616" s="388"/>
      <c r="N616" s="388"/>
      <c r="O616" s="390"/>
      <c r="P616" s="391"/>
      <c r="Q616" s="389"/>
      <c r="R616" s="390"/>
      <c r="S616" s="390"/>
      <c r="T616" s="391"/>
      <c r="U616" s="392"/>
      <c r="V616" s="391"/>
      <c r="W616" s="391"/>
      <c r="X616" s="388"/>
      <c r="Y616" s="391"/>
      <c r="Z616" s="393"/>
      <c r="AA616" s="355" t="str">
        <f t="shared" si="1"/>
        <v/>
      </c>
      <c r="AB616" s="391"/>
      <c r="AC616" s="394" t="str">
        <f t="shared" si="2"/>
        <v/>
      </c>
      <c r="AD616" s="389"/>
      <c r="AE616" s="399"/>
      <c r="AF616" s="395"/>
      <c r="AG616" s="396" t="str">
        <f t="shared" si="3"/>
        <v/>
      </c>
      <c r="AH616" s="396" t="str">
        <f t="shared" si="4"/>
        <v/>
      </c>
      <c r="AI616" s="388"/>
      <c r="AJ616" s="388"/>
      <c r="AK616" s="397"/>
    </row>
    <row r="617">
      <c r="A617" s="398"/>
      <c r="B617" s="386"/>
      <c r="C617" s="387" t="str">
        <f>IF(A617="","",IFERROR(IF(VLOOKUP(A617,'1. Inbound Leads'!A:G,7,FALSE)=0,"",VLOOKUP(A617,'1. Inbound Leads'!A:G,7,FALSE)),""))</f>
        <v/>
      </c>
      <c r="D617" s="387" t="str">
        <f>IF(A617="","",IFERROR(IF(VLOOKUP(A617,'1. Inbound Leads'!A:L,12,FALSE)=0,"",VLOOKUP(A617,'1. Inbound Leads'!A:L,12,FALSE)),""))</f>
        <v/>
      </c>
      <c r="E617" s="388"/>
      <c r="F617" s="389"/>
      <c r="G617" s="387"/>
      <c r="H617" s="387"/>
      <c r="I617" s="387"/>
      <c r="J617" s="387"/>
      <c r="K617" s="387"/>
      <c r="L617" s="387"/>
      <c r="M617" s="388"/>
      <c r="N617" s="388"/>
      <c r="O617" s="390"/>
      <c r="P617" s="391"/>
      <c r="Q617" s="389"/>
      <c r="R617" s="390"/>
      <c r="S617" s="390"/>
      <c r="T617" s="391"/>
      <c r="U617" s="392"/>
      <c r="V617" s="391"/>
      <c r="W617" s="391"/>
      <c r="X617" s="388"/>
      <c r="Y617" s="391"/>
      <c r="Z617" s="393"/>
      <c r="AA617" s="355" t="str">
        <f t="shared" si="1"/>
        <v/>
      </c>
      <c r="AB617" s="391"/>
      <c r="AC617" s="394" t="str">
        <f t="shared" si="2"/>
        <v/>
      </c>
      <c r="AD617" s="389"/>
      <c r="AE617" s="399"/>
      <c r="AF617" s="395"/>
      <c r="AG617" s="396" t="str">
        <f t="shared" si="3"/>
        <v/>
      </c>
      <c r="AH617" s="396" t="str">
        <f t="shared" si="4"/>
        <v/>
      </c>
      <c r="AI617" s="388"/>
      <c r="AJ617" s="388"/>
      <c r="AK617" s="397"/>
    </row>
    <row r="618">
      <c r="A618" s="398"/>
      <c r="B618" s="386"/>
      <c r="C618" s="387" t="str">
        <f>IF(A618="","",IFERROR(IF(VLOOKUP(A618,'1. Inbound Leads'!A:G,7,FALSE)=0,"",VLOOKUP(A618,'1. Inbound Leads'!A:G,7,FALSE)),""))</f>
        <v/>
      </c>
      <c r="D618" s="387" t="str">
        <f>IF(A618="","",IFERROR(IF(VLOOKUP(A618,'1. Inbound Leads'!A:L,12,FALSE)=0,"",VLOOKUP(A618,'1. Inbound Leads'!A:L,12,FALSE)),""))</f>
        <v/>
      </c>
      <c r="E618" s="388"/>
      <c r="F618" s="389"/>
      <c r="G618" s="387"/>
      <c r="H618" s="387"/>
      <c r="I618" s="387"/>
      <c r="J618" s="387"/>
      <c r="K618" s="387"/>
      <c r="L618" s="387"/>
      <c r="M618" s="388"/>
      <c r="N618" s="388"/>
      <c r="O618" s="390"/>
      <c r="P618" s="391"/>
      <c r="Q618" s="389"/>
      <c r="R618" s="390"/>
      <c r="S618" s="390"/>
      <c r="T618" s="391"/>
      <c r="U618" s="392"/>
      <c r="V618" s="391"/>
      <c r="W618" s="391"/>
      <c r="X618" s="388"/>
      <c r="Y618" s="391"/>
      <c r="Z618" s="393"/>
      <c r="AA618" s="355" t="str">
        <f t="shared" si="1"/>
        <v/>
      </c>
      <c r="AB618" s="391"/>
      <c r="AC618" s="394" t="str">
        <f t="shared" si="2"/>
        <v/>
      </c>
      <c r="AD618" s="389"/>
      <c r="AE618" s="399"/>
      <c r="AF618" s="395"/>
      <c r="AG618" s="396" t="str">
        <f t="shared" si="3"/>
        <v/>
      </c>
      <c r="AH618" s="396" t="str">
        <f t="shared" si="4"/>
        <v/>
      </c>
      <c r="AI618" s="388"/>
      <c r="AJ618" s="388"/>
      <c r="AK618" s="397"/>
    </row>
    <row r="619">
      <c r="A619" s="398"/>
      <c r="B619" s="386"/>
      <c r="C619" s="387" t="str">
        <f>IF(A619="","",IFERROR(IF(VLOOKUP(A619,'1. Inbound Leads'!A:G,7,FALSE)=0,"",VLOOKUP(A619,'1. Inbound Leads'!A:G,7,FALSE)),""))</f>
        <v/>
      </c>
      <c r="D619" s="387" t="str">
        <f>IF(A619="","",IFERROR(IF(VLOOKUP(A619,'1. Inbound Leads'!A:L,12,FALSE)=0,"",VLOOKUP(A619,'1. Inbound Leads'!A:L,12,FALSE)),""))</f>
        <v/>
      </c>
      <c r="E619" s="388"/>
      <c r="F619" s="389"/>
      <c r="G619" s="387"/>
      <c r="H619" s="387"/>
      <c r="I619" s="387"/>
      <c r="J619" s="387"/>
      <c r="K619" s="387"/>
      <c r="L619" s="387"/>
      <c r="M619" s="388"/>
      <c r="N619" s="388"/>
      <c r="O619" s="390"/>
      <c r="P619" s="391"/>
      <c r="Q619" s="389"/>
      <c r="R619" s="390"/>
      <c r="S619" s="390"/>
      <c r="T619" s="391"/>
      <c r="U619" s="392"/>
      <c r="V619" s="391"/>
      <c r="W619" s="391"/>
      <c r="X619" s="388"/>
      <c r="Y619" s="391"/>
      <c r="Z619" s="393"/>
      <c r="AA619" s="355" t="str">
        <f t="shared" si="1"/>
        <v/>
      </c>
      <c r="AB619" s="391"/>
      <c r="AC619" s="394" t="str">
        <f t="shared" si="2"/>
        <v/>
      </c>
      <c r="AD619" s="389"/>
      <c r="AE619" s="399"/>
      <c r="AF619" s="395"/>
      <c r="AG619" s="396" t="str">
        <f t="shared" si="3"/>
        <v/>
      </c>
      <c r="AH619" s="396" t="str">
        <f t="shared" si="4"/>
        <v/>
      </c>
      <c r="AI619" s="388"/>
      <c r="AJ619" s="388"/>
      <c r="AK619" s="397"/>
    </row>
    <row r="620">
      <c r="A620" s="398"/>
      <c r="B620" s="386"/>
      <c r="C620" s="387" t="str">
        <f>IF(A620="","",IFERROR(IF(VLOOKUP(A620,'1. Inbound Leads'!A:G,7,FALSE)=0,"",VLOOKUP(A620,'1. Inbound Leads'!A:G,7,FALSE)),""))</f>
        <v/>
      </c>
      <c r="D620" s="387" t="str">
        <f>IF(A620="","",IFERROR(IF(VLOOKUP(A620,'1. Inbound Leads'!A:L,12,FALSE)=0,"",VLOOKUP(A620,'1. Inbound Leads'!A:L,12,FALSE)),""))</f>
        <v/>
      </c>
      <c r="E620" s="388"/>
      <c r="F620" s="389"/>
      <c r="G620" s="387"/>
      <c r="H620" s="387"/>
      <c r="I620" s="387"/>
      <c r="J620" s="387"/>
      <c r="K620" s="387"/>
      <c r="L620" s="387"/>
      <c r="M620" s="388"/>
      <c r="N620" s="388"/>
      <c r="O620" s="390"/>
      <c r="P620" s="391"/>
      <c r="Q620" s="389"/>
      <c r="R620" s="390"/>
      <c r="S620" s="390"/>
      <c r="T620" s="391"/>
      <c r="U620" s="392"/>
      <c r="V620" s="391"/>
      <c r="W620" s="391"/>
      <c r="X620" s="388"/>
      <c r="Y620" s="391"/>
      <c r="Z620" s="393"/>
      <c r="AA620" s="355" t="str">
        <f t="shared" si="1"/>
        <v/>
      </c>
      <c r="AB620" s="391"/>
      <c r="AC620" s="394" t="str">
        <f t="shared" si="2"/>
        <v/>
      </c>
      <c r="AD620" s="389"/>
      <c r="AE620" s="399"/>
      <c r="AF620" s="395"/>
      <c r="AG620" s="396" t="str">
        <f t="shared" si="3"/>
        <v/>
      </c>
      <c r="AH620" s="396" t="str">
        <f t="shared" si="4"/>
        <v/>
      </c>
      <c r="AI620" s="388"/>
      <c r="AJ620" s="388"/>
      <c r="AK620" s="397"/>
    </row>
    <row r="621">
      <c r="A621" s="398"/>
      <c r="B621" s="386"/>
      <c r="C621" s="387" t="str">
        <f>IF(A621="","",IFERROR(IF(VLOOKUP(A621,'1. Inbound Leads'!A:G,7,FALSE)=0,"",VLOOKUP(A621,'1. Inbound Leads'!A:G,7,FALSE)),""))</f>
        <v/>
      </c>
      <c r="D621" s="387" t="str">
        <f>IF(A621="","",IFERROR(IF(VLOOKUP(A621,'1. Inbound Leads'!A:L,12,FALSE)=0,"",VLOOKUP(A621,'1. Inbound Leads'!A:L,12,FALSE)),""))</f>
        <v/>
      </c>
      <c r="E621" s="388"/>
      <c r="F621" s="389"/>
      <c r="G621" s="387"/>
      <c r="H621" s="387"/>
      <c r="I621" s="387"/>
      <c r="J621" s="387"/>
      <c r="K621" s="387"/>
      <c r="L621" s="387"/>
      <c r="M621" s="388"/>
      <c r="N621" s="388"/>
      <c r="O621" s="390"/>
      <c r="P621" s="391"/>
      <c r="Q621" s="389"/>
      <c r="R621" s="390"/>
      <c r="S621" s="390"/>
      <c r="T621" s="391"/>
      <c r="U621" s="392"/>
      <c r="V621" s="391"/>
      <c r="W621" s="391"/>
      <c r="X621" s="388"/>
      <c r="Y621" s="391"/>
      <c r="Z621" s="393"/>
      <c r="AA621" s="355" t="str">
        <f t="shared" si="1"/>
        <v/>
      </c>
      <c r="AB621" s="391"/>
      <c r="AC621" s="394" t="str">
        <f t="shared" si="2"/>
        <v/>
      </c>
      <c r="AD621" s="389"/>
      <c r="AE621" s="399"/>
      <c r="AF621" s="395"/>
      <c r="AG621" s="396" t="str">
        <f t="shared" si="3"/>
        <v/>
      </c>
      <c r="AH621" s="396" t="str">
        <f t="shared" si="4"/>
        <v/>
      </c>
      <c r="AI621" s="388"/>
      <c r="AJ621" s="388"/>
      <c r="AK621" s="397"/>
    </row>
    <row r="622">
      <c r="A622" s="398"/>
      <c r="B622" s="386"/>
      <c r="C622" s="387" t="str">
        <f>IF(A622="","",IFERROR(IF(VLOOKUP(A622,'1. Inbound Leads'!A:G,7,FALSE)=0,"",VLOOKUP(A622,'1. Inbound Leads'!A:G,7,FALSE)),""))</f>
        <v/>
      </c>
      <c r="D622" s="387" t="str">
        <f>IF(A622="","",IFERROR(IF(VLOOKUP(A622,'1. Inbound Leads'!A:L,12,FALSE)=0,"",VLOOKUP(A622,'1. Inbound Leads'!A:L,12,FALSE)),""))</f>
        <v/>
      </c>
      <c r="E622" s="388"/>
      <c r="F622" s="389"/>
      <c r="G622" s="387"/>
      <c r="H622" s="387"/>
      <c r="I622" s="387"/>
      <c r="J622" s="387"/>
      <c r="K622" s="387"/>
      <c r="L622" s="387"/>
      <c r="M622" s="388"/>
      <c r="N622" s="388"/>
      <c r="O622" s="390"/>
      <c r="P622" s="391"/>
      <c r="Q622" s="389"/>
      <c r="R622" s="390"/>
      <c r="S622" s="390"/>
      <c r="T622" s="391"/>
      <c r="U622" s="392"/>
      <c r="V622" s="391"/>
      <c r="W622" s="391"/>
      <c r="X622" s="388"/>
      <c r="Y622" s="391"/>
      <c r="Z622" s="393"/>
      <c r="AA622" s="355" t="str">
        <f t="shared" si="1"/>
        <v/>
      </c>
      <c r="AB622" s="391"/>
      <c r="AC622" s="394" t="str">
        <f t="shared" si="2"/>
        <v/>
      </c>
      <c r="AD622" s="389"/>
      <c r="AE622" s="399"/>
      <c r="AF622" s="395"/>
      <c r="AG622" s="396" t="str">
        <f t="shared" si="3"/>
        <v/>
      </c>
      <c r="AH622" s="396" t="str">
        <f t="shared" si="4"/>
        <v/>
      </c>
      <c r="AI622" s="388"/>
      <c r="AJ622" s="388"/>
      <c r="AK622" s="397"/>
    </row>
    <row r="623">
      <c r="A623" s="398"/>
      <c r="B623" s="386"/>
      <c r="C623" s="387" t="str">
        <f>IF(A623="","",IFERROR(IF(VLOOKUP(A623,'1. Inbound Leads'!A:G,7,FALSE)=0,"",VLOOKUP(A623,'1. Inbound Leads'!A:G,7,FALSE)),""))</f>
        <v/>
      </c>
      <c r="D623" s="387" t="str">
        <f>IF(A623="","",IFERROR(IF(VLOOKUP(A623,'1. Inbound Leads'!A:L,12,FALSE)=0,"",VLOOKUP(A623,'1. Inbound Leads'!A:L,12,FALSE)),""))</f>
        <v/>
      </c>
      <c r="E623" s="388"/>
      <c r="F623" s="389"/>
      <c r="G623" s="387"/>
      <c r="H623" s="387"/>
      <c r="I623" s="387"/>
      <c r="J623" s="387"/>
      <c r="K623" s="387"/>
      <c r="L623" s="387"/>
      <c r="M623" s="388"/>
      <c r="N623" s="388"/>
      <c r="O623" s="390"/>
      <c r="P623" s="391"/>
      <c r="Q623" s="389"/>
      <c r="R623" s="390"/>
      <c r="S623" s="390"/>
      <c r="T623" s="391"/>
      <c r="U623" s="392"/>
      <c r="V623" s="391"/>
      <c r="W623" s="391"/>
      <c r="X623" s="388"/>
      <c r="Y623" s="391"/>
      <c r="Z623" s="393"/>
      <c r="AA623" s="355" t="str">
        <f t="shared" si="1"/>
        <v/>
      </c>
      <c r="AB623" s="391"/>
      <c r="AC623" s="394" t="str">
        <f t="shared" si="2"/>
        <v/>
      </c>
      <c r="AD623" s="389"/>
      <c r="AE623" s="399"/>
      <c r="AF623" s="395"/>
      <c r="AG623" s="396" t="str">
        <f t="shared" si="3"/>
        <v/>
      </c>
      <c r="AH623" s="396" t="str">
        <f t="shared" si="4"/>
        <v/>
      </c>
      <c r="AI623" s="388"/>
      <c r="AJ623" s="388"/>
      <c r="AK623" s="397"/>
    </row>
    <row r="624">
      <c r="A624" s="398"/>
      <c r="B624" s="386"/>
      <c r="C624" s="387" t="str">
        <f>IF(A624="","",IFERROR(IF(VLOOKUP(A624,'1. Inbound Leads'!A:G,7,FALSE)=0,"",VLOOKUP(A624,'1. Inbound Leads'!A:G,7,FALSE)),""))</f>
        <v/>
      </c>
      <c r="D624" s="387" t="str">
        <f>IF(A624="","",IFERROR(IF(VLOOKUP(A624,'1. Inbound Leads'!A:L,12,FALSE)=0,"",VLOOKUP(A624,'1. Inbound Leads'!A:L,12,FALSE)),""))</f>
        <v/>
      </c>
      <c r="E624" s="388"/>
      <c r="F624" s="389"/>
      <c r="G624" s="387"/>
      <c r="H624" s="387"/>
      <c r="I624" s="387"/>
      <c r="J624" s="387"/>
      <c r="K624" s="387"/>
      <c r="L624" s="387"/>
      <c r="M624" s="388"/>
      <c r="N624" s="388"/>
      <c r="O624" s="390"/>
      <c r="P624" s="391"/>
      <c r="Q624" s="389"/>
      <c r="R624" s="390"/>
      <c r="S624" s="390"/>
      <c r="T624" s="391"/>
      <c r="U624" s="392"/>
      <c r="V624" s="391"/>
      <c r="W624" s="391"/>
      <c r="X624" s="388"/>
      <c r="Y624" s="391"/>
      <c r="Z624" s="393"/>
      <c r="AA624" s="355" t="str">
        <f t="shared" si="1"/>
        <v/>
      </c>
      <c r="AB624" s="391"/>
      <c r="AC624" s="394" t="str">
        <f t="shared" si="2"/>
        <v/>
      </c>
      <c r="AD624" s="389"/>
      <c r="AE624" s="399"/>
      <c r="AF624" s="395"/>
      <c r="AG624" s="396" t="str">
        <f t="shared" si="3"/>
        <v/>
      </c>
      <c r="AH624" s="396" t="str">
        <f t="shared" si="4"/>
        <v/>
      </c>
      <c r="AI624" s="388"/>
      <c r="AJ624" s="388"/>
      <c r="AK624" s="397"/>
    </row>
    <row r="625">
      <c r="A625" s="398"/>
      <c r="B625" s="386"/>
      <c r="C625" s="387" t="str">
        <f>IF(A625="","",IFERROR(IF(VLOOKUP(A625,'1. Inbound Leads'!A:G,7,FALSE)=0,"",VLOOKUP(A625,'1. Inbound Leads'!A:G,7,FALSE)),""))</f>
        <v/>
      </c>
      <c r="D625" s="387" t="str">
        <f>IF(A625="","",IFERROR(IF(VLOOKUP(A625,'1. Inbound Leads'!A:L,12,FALSE)=0,"",VLOOKUP(A625,'1. Inbound Leads'!A:L,12,FALSE)),""))</f>
        <v/>
      </c>
      <c r="E625" s="388"/>
      <c r="F625" s="389"/>
      <c r="G625" s="387"/>
      <c r="H625" s="387"/>
      <c r="I625" s="387"/>
      <c r="J625" s="387"/>
      <c r="K625" s="387"/>
      <c r="L625" s="387"/>
      <c r="M625" s="388"/>
      <c r="N625" s="388"/>
      <c r="O625" s="390"/>
      <c r="P625" s="391"/>
      <c r="Q625" s="389"/>
      <c r="R625" s="390"/>
      <c r="S625" s="390"/>
      <c r="T625" s="391"/>
      <c r="U625" s="392"/>
      <c r="V625" s="391"/>
      <c r="W625" s="391"/>
      <c r="X625" s="388"/>
      <c r="Y625" s="391"/>
      <c r="Z625" s="393"/>
      <c r="AA625" s="355" t="str">
        <f t="shared" si="1"/>
        <v/>
      </c>
      <c r="AB625" s="391"/>
      <c r="AC625" s="394" t="str">
        <f t="shared" si="2"/>
        <v/>
      </c>
      <c r="AD625" s="389"/>
      <c r="AE625" s="399"/>
      <c r="AF625" s="395"/>
      <c r="AG625" s="396" t="str">
        <f t="shared" si="3"/>
        <v/>
      </c>
      <c r="AH625" s="396" t="str">
        <f t="shared" si="4"/>
        <v/>
      </c>
      <c r="AI625" s="388"/>
      <c r="AJ625" s="388"/>
      <c r="AK625" s="397"/>
    </row>
    <row r="626">
      <c r="A626" s="398"/>
      <c r="B626" s="386"/>
      <c r="C626" s="387" t="str">
        <f>IF(A626="","",IFERROR(IF(VLOOKUP(A626,'1. Inbound Leads'!A:G,7,FALSE)=0,"",VLOOKUP(A626,'1. Inbound Leads'!A:G,7,FALSE)),""))</f>
        <v/>
      </c>
      <c r="D626" s="387" t="str">
        <f>IF(A626="","",IFERROR(IF(VLOOKUP(A626,'1. Inbound Leads'!A:L,12,FALSE)=0,"",VLOOKUP(A626,'1. Inbound Leads'!A:L,12,FALSE)),""))</f>
        <v/>
      </c>
      <c r="E626" s="388"/>
      <c r="F626" s="389"/>
      <c r="G626" s="387"/>
      <c r="H626" s="387"/>
      <c r="I626" s="387"/>
      <c r="J626" s="387"/>
      <c r="K626" s="387"/>
      <c r="L626" s="387"/>
      <c r="M626" s="388"/>
      <c r="N626" s="388"/>
      <c r="O626" s="390"/>
      <c r="P626" s="391"/>
      <c r="Q626" s="389"/>
      <c r="R626" s="390"/>
      <c r="S626" s="390"/>
      <c r="T626" s="391"/>
      <c r="U626" s="392"/>
      <c r="V626" s="391"/>
      <c r="W626" s="391"/>
      <c r="X626" s="388"/>
      <c r="Y626" s="391"/>
      <c r="Z626" s="393"/>
      <c r="AA626" s="355" t="str">
        <f t="shared" si="1"/>
        <v/>
      </c>
      <c r="AB626" s="391"/>
      <c r="AC626" s="394" t="str">
        <f t="shared" si="2"/>
        <v/>
      </c>
      <c r="AD626" s="389"/>
      <c r="AE626" s="399"/>
      <c r="AF626" s="395"/>
      <c r="AG626" s="396" t="str">
        <f t="shared" si="3"/>
        <v/>
      </c>
      <c r="AH626" s="396" t="str">
        <f t="shared" si="4"/>
        <v/>
      </c>
      <c r="AI626" s="388"/>
      <c r="AJ626" s="388"/>
      <c r="AK626" s="397"/>
    </row>
    <row r="627">
      <c r="A627" s="398"/>
      <c r="B627" s="386"/>
      <c r="C627" s="387" t="str">
        <f>IF(A627="","",IFERROR(IF(VLOOKUP(A627,'1. Inbound Leads'!A:G,7,FALSE)=0,"",VLOOKUP(A627,'1. Inbound Leads'!A:G,7,FALSE)),""))</f>
        <v/>
      </c>
      <c r="D627" s="387" t="str">
        <f>IF(A627="","",IFERROR(IF(VLOOKUP(A627,'1. Inbound Leads'!A:L,12,FALSE)=0,"",VLOOKUP(A627,'1. Inbound Leads'!A:L,12,FALSE)),""))</f>
        <v/>
      </c>
      <c r="E627" s="388"/>
      <c r="F627" s="389"/>
      <c r="G627" s="387"/>
      <c r="H627" s="387"/>
      <c r="I627" s="387"/>
      <c r="J627" s="387"/>
      <c r="K627" s="387"/>
      <c r="L627" s="387"/>
      <c r="M627" s="388"/>
      <c r="N627" s="388"/>
      <c r="O627" s="390"/>
      <c r="P627" s="391"/>
      <c r="Q627" s="389"/>
      <c r="R627" s="390"/>
      <c r="S627" s="390"/>
      <c r="T627" s="391"/>
      <c r="U627" s="392"/>
      <c r="V627" s="391"/>
      <c r="W627" s="391"/>
      <c r="X627" s="388"/>
      <c r="Y627" s="391"/>
      <c r="Z627" s="393"/>
      <c r="AA627" s="355" t="str">
        <f t="shared" si="1"/>
        <v/>
      </c>
      <c r="AB627" s="391"/>
      <c r="AC627" s="394" t="str">
        <f t="shared" si="2"/>
        <v/>
      </c>
      <c r="AD627" s="389"/>
      <c r="AE627" s="399"/>
      <c r="AF627" s="395"/>
      <c r="AG627" s="396" t="str">
        <f t="shared" si="3"/>
        <v/>
      </c>
      <c r="AH627" s="396" t="str">
        <f t="shared" si="4"/>
        <v/>
      </c>
      <c r="AI627" s="388"/>
      <c r="AJ627" s="388"/>
      <c r="AK627" s="397"/>
    </row>
    <row r="628">
      <c r="A628" s="398"/>
      <c r="B628" s="386"/>
      <c r="C628" s="387" t="str">
        <f>IF(A628="","",IFERROR(IF(VLOOKUP(A628,'1. Inbound Leads'!A:G,7,FALSE)=0,"",VLOOKUP(A628,'1. Inbound Leads'!A:G,7,FALSE)),""))</f>
        <v/>
      </c>
      <c r="D628" s="387" t="str">
        <f>IF(A628="","",IFERROR(IF(VLOOKUP(A628,'1. Inbound Leads'!A:L,12,FALSE)=0,"",VLOOKUP(A628,'1. Inbound Leads'!A:L,12,FALSE)),""))</f>
        <v/>
      </c>
      <c r="E628" s="388"/>
      <c r="F628" s="389"/>
      <c r="G628" s="387"/>
      <c r="H628" s="387"/>
      <c r="I628" s="387"/>
      <c r="J628" s="387"/>
      <c r="K628" s="387"/>
      <c r="L628" s="387"/>
      <c r="M628" s="388"/>
      <c r="N628" s="388"/>
      <c r="O628" s="390"/>
      <c r="P628" s="391"/>
      <c r="Q628" s="389"/>
      <c r="R628" s="390"/>
      <c r="S628" s="390"/>
      <c r="T628" s="391"/>
      <c r="U628" s="392"/>
      <c r="V628" s="391"/>
      <c r="W628" s="391"/>
      <c r="X628" s="388"/>
      <c r="Y628" s="391"/>
      <c r="Z628" s="393"/>
      <c r="AA628" s="355" t="str">
        <f t="shared" si="1"/>
        <v/>
      </c>
      <c r="AB628" s="391"/>
      <c r="AC628" s="394" t="str">
        <f t="shared" si="2"/>
        <v/>
      </c>
      <c r="AD628" s="389"/>
      <c r="AE628" s="399"/>
      <c r="AF628" s="395"/>
      <c r="AG628" s="396" t="str">
        <f t="shared" si="3"/>
        <v/>
      </c>
      <c r="AH628" s="396" t="str">
        <f t="shared" si="4"/>
        <v/>
      </c>
      <c r="AI628" s="388"/>
      <c r="AJ628" s="388"/>
      <c r="AK628" s="397"/>
    </row>
    <row r="629">
      <c r="A629" s="398"/>
      <c r="B629" s="386"/>
      <c r="C629" s="387" t="str">
        <f>IF(A629="","",IFERROR(IF(VLOOKUP(A629,'1. Inbound Leads'!A:G,7,FALSE)=0,"",VLOOKUP(A629,'1. Inbound Leads'!A:G,7,FALSE)),""))</f>
        <v/>
      </c>
      <c r="D629" s="387" t="str">
        <f>IF(A629="","",IFERROR(IF(VLOOKUP(A629,'1. Inbound Leads'!A:L,12,FALSE)=0,"",VLOOKUP(A629,'1. Inbound Leads'!A:L,12,FALSE)),""))</f>
        <v/>
      </c>
      <c r="E629" s="388"/>
      <c r="F629" s="389"/>
      <c r="G629" s="387"/>
      <c r="H629" s="387"/>
      <c r="I629" s="387"/>
      <c r="J629" s="387"/>
      <c r="K629" s="387"/>
      <c r="L629" s="387"/>
      <c r="M629" s="388"/>
      <c r="N629" s="388"/>
      <c r="O629" s="390"/>
      <c r="P629" s="391"/>
      <c r="Q629" s="389"/>
      <c r="R629" s="390"/>
      <c r="S629" s="390"/>
      <c r="T629" s="391"/>
      <c r="U629" s="392"/>
      <c r="V629" s="391"/>
      <c r="W629" s="391"/>
      <c r="X629" s="388"/>
      <c r="Y629" s="391"/>
      <c r="Z629" s="393"/>
      <c r="AA629" s="355" t="str">
        <f t="shared" si="1"/>
        <v/>
      </c>
      <c r="AB629" s="391"/>
      <c r="AC629" s="394" t="str">
        <f t="shared" si="2"/>
        <v/>
      </c>
      <c r="AD629" s="389"/>
      <c r="AE629" s="399"/>
      <c r="AF629" s="395"/>
      <c r="AG629" s="396" t="str">
        <f t="shared" si="3"/>
        <v/>
      </c>
      <c r="AH629" s="396" t="str">
        <f t="shared" si="4"/>
        <v/>
      </c>
      <c r="AI629" s="388"/>
      <c r="AJ629" s="388"/>
      <c r="AK629" s="397"/>
    </row>
    <row r="630">
      <c r="A630" s="398"/>
      <c r="B630" s="386"/>
      <c r="C630" s="387" t="str">
        <f>IF(A630="","",IFERROR(IF(VLOOKUP(A630,'1. Inbound Leads'!A:G,7,FALSE)=0,"",VLOOKUP(A630,'1. Inbound Leads'!A:G,7,FALSE)),""))</f>
        <v/>
      </c>
      <c r="D630" s="387" t="str">
        <f>IF(A630="","",IFERROR(IF(VLOOKUP(A630,'1. Inbound Leads'!A:L,12,FALSE)=0,"",VLOOKUP(A630,'1. Inbound Leads'!A:L,12,FALSE)),""))</f>
        <v/>
      </c>
      <c r="E630" s="388"/>
      <c r="F630" s="389"/>
      <c r="G630" s="387"/>
      <c r="H630" s="387"/>
      <c r="I630" s="387"/>
      <c r="J630" s="387"/>
      <c r="K630" s="387"/>
      <c r="L630" s="387"/>
      <c r="M630" s="388"/>
      <c r="N630" s="388"/>
      <c r="O630" s="390"/>
      <c r="P630" s="391"/>
      <c r="Q630" s="389"/>
      <c r="R630" s="390"/>
      <c r="S630" s="390"/>
      <c r="T630" s="391"/>
      <c r="U630" s="392"/>
      <c r="V630" s="391"/>
      <c r="W630" s="391"/>
      <c r="X630" s="388"/>
      <c r="Y630" s="391"/>
      <c r="Z630" s="393"/>
      <c r="AA630" s="355" t="str">
        <f t="shared" si="1"/>
        <v/>
      </c>
      <c r="AB630" s="391"/>
      <c r="AC630" s="394" t="str">
        <f t="shared" si="2"/>
        <v/>
      </c>
      <c r="AD630" s="389"/>
      <c r="AE630" s="399"/>
      <c r="AF630" s="395"/>
      <c r="AG630" s="396" t="str">
        <f t="shared" si="3"/>
        <v/>
      </c>
      <c r="AH630" s="396" t="str">
        <f t="shared" si="4"/>
        <v/>
      </c>
      <c r="AI630" s="388"/>
      <c r="AJ630" s="388"/>
      <c r="AK630" s="397"/>
    </row>
    <row r="631">
      <c r="A631" s="398"/>
      <c r="B631" s="386"/>
      <c r="C631" s="387" t="str">
        <f>IF(A631="","",IFERROR(IF(VLOOKUP(A631,'1. Inbound Leads'!A:G,7,FALSE)=0,"",VLOOKUP(A631,'1. Inbound Leads'!A:G,7,FALSE)),""))</f>
        <v/>
      </c>
      <c r="D631" s="387" t="str">
        <f>IF(A631="","",IFERROR(IF(VLOOKUP(A631,'1. Inbound Leads'!A:L,12,FALSE)=0,"",VLOOKUP(A631,'1. Inbound Leads'!A:L,12,FALSE)),""))</f>
        <v/>
      </c>
      <c r="E631" s="388"/>
      <c r="F631" s="389"/>
      <c r="G631" s="387"/>
      <c r="H631" s="387"/>
      <c r="I631" s="387"/>
      <c r="J631" s="387"/>
      <c r="K631" s="387"/>
      <c r="L631" s="387"/>
      <c r="M631" s="388"/>
      <c r="N631" s="388"/>
      <c r="O631" s="390"/>
      <c r="P631" s="391"/>
      <c r="Q631" s="389"/>
      <c r="R631" s="390"/>
      <c r="S631" s="390"/>
      <c r="T631" s="391"/>
      <c r="U631" s="392"/>
      <c r="V631" s="391"/>
      <c r="W631" s="391"/>
      <c r="X631" s="388"/>
      <c r="Y631" s="391"/>
      <c r="Z631" s="393"/>
      <c r="AA631" s="355" t="str">
        <f t="shared" si="1"/>
        <v/>
      </c>
      <c r="AB631" s="391"/>
      <c r="AC631" s="394" t="str">
        <f t="shared" si="2"/>
        <v/>
      </c>
      <c r="AD631" s="389"/>
      <c r="AE631" s="399"/>
      <c r="AF631" s="395"/>
      <c r="AG631" s="396" t="str">
        <f t="shared" si="3"/>
        <v/>
      </c>
      <c r="AH631" s="396" t="str">
        <f t="shared" si="4"/>
        <v/>
      </c>
      <c r="AI631" s="388"/>
      <c r="AJ631" s="388"/>
      <c r="AK631" s="397"/>
    </row>
    <row r="632">
      <c r="A632" s="398"/>
      <c r="B632" s="386"/>
      <c r="C632" s="387" t="str">
        <f>IF(A632="","",IFERROR(IF(VLOOKUP(A632,'1. Inbound Leads'!A:G,7,FALSE)=0,"",VLOOKUP(A632,'1. Inbound Leads'!A:G,7,FALSE)),""))</f>
        <v/>
      </c>
      <c r="D632" s="387" t="str">
        <f>IF(A632="","",IFERROR(IF(VLOOKUP(A632,'1. Inbound Leads'!A:L,12,FALSE)=0,"",VLOOKUP(A632,'1. Inbound Leads'!A:L,12,FALSE)),""))</f>
        <v/>
      </c>
      <c r="E632" s="388"/>
      <c r="F632" s="389"/>
      <c r="G632" s="387"/>
      <c r="H632" s="387"/>
      <c r="I632" s="387"/>
      <c r="J632" s="387"/>
      <c r="K632" s="387"/>
      <c r="L632" s="387"/>
      <c r="M632" s="388"/>
      <c r="N632" s="388"/>
      <c r="O632" s="390"/>
      <c r="P632" s="391"/>
      <c r="Q632" s="389"/>
      <c r="R632" s="390"/>
      <c r="S632" s="390"/>
      <c r="T632" s="391"/>
      <c r="U632" s="392"/>
      <c r="V632" s="391"/>
      <c r="W632" s="391"/>
      <c r="X632" s="388"/>
      <c r="Y632" s="391"/>
      <c r="Z632" s="393"/>
      <c r="AA632" s="355" t="str">
        <f t="shared" si="1"/>
        <v/>
      </c>
      <c r="AB632" s="391"/>
      <c r="AC632" s="394" t="str">
        <f t="shared" si="2"/>
        <v/>
      </c>
      <c r="AD632" s="389"/>
      <c r="AE632" s="399"/>
      <c r="AF632" s="395"/>
      <c r="AG632" s="396" t="str">
        <f t="shared" si="3"/>
        <v/>
      </c>
      <c r="AH632" s="396" t="str">
        <f t="shared" si="4"/>
        <v/>
      </c>
      <c r="AI632" s="388"/>
      <c r="AJ632" s="388"/>
      <c r="AK632" s="397"/>
    </row>
    <row r="633">
      <c r="A633" s="398"/>
      <c r="B633" s="386"/>
      <c r="C633" s="387" t="str">
        <f>IF(A633="","",IFERROR(IF(VLOOKUP(A633,'1. Inbound Leads'!A:G,7,FALSE)=0,"",VLOOKUP(A633,'1. Inbound Leads'!A:G,7,FALSE)),""))</f>
        <v/>
      </c>
      <c r="D633" s="387" t="str">
        <f>IF(A633="","",IFERROR(IF(VLOOKUP(A633,'1. Inbound Leads'!A:L,12,FALSE)=0,"",VLOOKUP(A633,'1. Inbound Leads'!A:L,12,FALSE)),""))</f>
        <v/>
      </c>
      <c r="E633" s="388"/>
      <c r="F633" s="389"/>
      <c r="G633" s="387"/>
      <c r="H633" s="387"/>
      <c r="I633" s="387"/>
      <c r="J633" s="387"/>
      <c r="K633" s="387"/>
      <c r="L633" s="387"/>
      <c r="M633" s="388"/>
      <c r="N633" s="388"/>
      <c r="O633" s="390"/>
      <c r="P633" s="391"/>
      <c r="Q633" s="389"/>
      <c r="R633" s="390"/>
      <c r="S633" s="390"/>
      <c r="T633" s="391"/>
      <c r="U633" s="392"/>
      <c r="V633" s="391"/>
      <c r="W633" s="391"/>
      <c r="X633" s="388"/>
      <c r="Y633" s="391"/>
      <c r="Z633" s="393"/>
      <c r="AA633" s="355" t="str">
        <f t="shared" si="1"/>
        <v/>
      </c>
      <c r="AB633" s="391"/>
      <c r="AC633" s="394" t="str">
        <f t="shared" si="2"/>
        <v/>
      </c>
      <c r="AD633" s="389"/>
      <c r="AE633" s="399"/>
      <c r="AF633" s="395"/>
      <c r="AG633" s="396" t="str">
        <f t="shared" si="3"/>
        <v/>
      </c>
      <c r="AH633" s="396" t="str">
        <f t="shared" si="4"/>
        <v/>
      </c>
      <c r="AI633" s="388"/>
      <c r="AJ633" s="388"/>
      <c r="AK633" s="397"/>
    </row>
    <row r="634">
      <c r="A634" s="398"/>
      <c r="B634" s="386"/>
      <c r="C634" s="387" t="str">
        <f>IF(A634="","",IFERROR(IF(VLOOKUP(A634,'1. Inbound Leads'!A:G,7,FALSE)=0,"",VLOOKUP(A634,'1. Inbound Leads'!A:G,7,FALSE)),""))</f>
        <v/>
      </c>
      <c r="D634" s="387" t="str">
        <f>IF(A634="","",IFERROR(IF(VLOOKUP(A634,'1. Inbound Leads'!A:L,12,FALSE)=0,"",VLOOKUP(A634,'1. Inbound Leads'!A:L,12,FALSE)),""))</f>
        <v/>
      </c>
      <c r="E634" s="388"/>
      <c r="F634" s="389"/>
      <c r="G634" s="387"/>
      <c r="H634" s="387"/>
      <c r="I634" s="387"/>
      <c r="J634" s="387"/>
      <c r="K634" s="387"/>
      <c r="L634" s="387"/>
      <c r="M634" s="388"/>
      <c r="N634" s="388"/>
      <c r="O634" s="390"/>
      <c r="P634" s="391"/>
      <c r="Q634" s="389"/>
      <c r="R634" s="390"/>
      <c r="S634" s="390"/>
      <c r="T634" s="391"/>
      <c r="U634" s="392"/>
      <c r="V634" s="391"/>
      <c r="W634" s="391"/>
      <c r="X634" s="388"/>
      <c r="Y634" s="391"/>
      <c r="Z634" s="393"/>
      <c r="AA634" s="355" t="str">
        <f t="shared" si="1"/>
        <v/>
      </c>
      <c r="AB634" s="391"/>
      <c r="AC634" s="394" t="str">
        <f t="shared" si="2"/>
        <v/>
      </c>
      <c r="AD634" s="389"/>
      <c r="AE634" s="399"/>
      <c r="AF634" s="395"/>
      <c r="AG634" s="396" t="str">
        <f t="shared" si="3"/>
        <v/>
      </c>
      <c r="AH634" s="396" t="str">
        <f t="shared" si="4"/>
        <v/>
      </c>
      <c r="AI634" s="388"/>
      <c r="AJ634" s="388"/>
      <c r="AK634" s="397"/>
    </row>
    <row r="635">
      <c r="A635" s="398"/>
      <c r="B635" s="386"/>
      <c r="C635" s="387" t="str">
        <f>IF(A635="","",IFERROR(IF(VLOOKUP(A635,'1. Inbound Leads'!A:G,7,FALSE)=0,"",VLOOKUP(A635,'1. Inbound Leads'!A:G,7,FALSE)),""))</f>
        <v/>
      </c>
      <c r="D635" s="387" t="str">
        <f>IF(A635="","",IFERROR(IF(VLOOKUP(A635,'1. Inbound Leads'!A:L,12,FALSE)=0,"",VLOOKUP(A635,'1. Inbound Leads'!A:L,12,FALSE)),""))</f>
        <v/>
      </c>
      <c r="E635" s="388"/>
      <c r="F635" s="389"/>
      <c r="G635" s="387"/>
      <c r="H635" s="387"/>
      <c r="I635" s="387"/>
      <c r="J635" s="387"/>
      <c r="K635" s="387"/>
      <c r="L635" s="387"/>
      <c r="M635" s="388"/>
      <c r="N635" s="388"/>
      <c r="O635" s="390"/>
      <c r="P635" s="391"/>
      <c r="Q635" s="389"/>
      <c r="R635" s="390"/>
      <c r="S635" s="390"/>
      <c r="T635" s="391"/>
      <c r="U635" s="392"/>
      <c r="V635" s="391"/>
      <c r="W635" s="391"/>
      <c r="X635" s="388"/>
      <c r="Y635" s="391"/>
      <c r="Z635" s="393"/>
      <c r="AA635" s="355" t="str">
        <f t="shared" si="1"/>
        <v/>
      </c>
      <c r="AB635" s="391"/>
      <c r="AC635" s="394" t="str">
        <f t="shared" si="2"/>
        <v/>
      </c>
      <c r="AD635" s="389"/>
      <c r="AE635" s="399"/>
      <c r="AF635" s="395"/>
      <c r="AG635" s="396" t="str">
        <f t="shared" si="3"/>
        <v/>
      </c>
      <c r="AH635" s="396" t="str">
        <f t="shared" si="4"/>
        <v/>
      </c>
      <c r="AI635" s="388"/>
      <c r="AJ635" s="388"/>
      <c r="AK635" s="397"/>
    </row>
    <row r="636">
      <c r="A636" s="398"/>
      <c r="B636" s="386"/>
      <c r="C636" s="387" t="str">
        <f>IF(A636="","",IFERROR(IF(VLOOKUP(A636,'1. Inbound Leads'!A:G,7,FALSE)=0,"",VLOOKUP(A636,'1. Inbound Leads'!A:G,7,FALSE)),""))</f>
        <v/>
      </c>
      <c r="D636" s="387" t="str">
        <f>IF(A636="","",IFERROR(IF(VLOOKUP(A636,'1. Inbound Leads'!A:L,12,FALSE)=0,"",VLOOKUP(A636,'1. Inbound Leads'!A:L,12,FALSE)),""))</f>
        <v/>
      </c>
      <c r="E636" s="388"/>
      <c r="F636" s="389"/>
      <c r="G636" s="387"/>
      <c r="H636" s="387"/>
      <c r="I636" s="387"/>
      <c r="J636" s="387"/>
      <c r="K636" s="387"/>
      <c r="L636" s="387"/>
      <c r="M636" s="388"/>
      <c r="N636" s="388"/>
      <c r="O636" s="390"/>
      <c r="P636" s="391"/>
      <c r="Q636" s="389"/>
      <c r="R636" s="390"/>
      <c r="S636" s="390"/>
      <c r="T636" s="391"/>
      <c r="U636" s="392"/>
      <c r="V636" s="391"/>
      <c r="W636" s="391"/>
      <c r="X636" s="388"/>
      <c r="Y636" s="391"/>
      <c r="Z636" s="393"/>
      <c r="AA636" s="355" t="str">
        <f t="shared" si="1"/>
        <v/>
      </c>
      <c r="AB636" s="391"/>
      <c r="AC636" s="394" t="str">
        <f t="shared" si="2"/>
        <v/>
      </c>
      <c r="AD636" s="389"/>
      <c r="AE636" s="399"/>
      <c r="AF636" s="395"/>
      <c r="AG636" s="396" t="str">
        <f t="shared" si="3"/>
        <v/>
      </c>
      <c r="AH636" s="396" t="str">
        <f t="shared" si="4"/>
        <v/>
      </c>
      <c r="AI636" s="388"/>
      <c r="AJ636" s="388"/>
      <c r="AK636" s="397"/>
    </row>
    <row r="637">
      <c r="A637" s="398"/>
      <c r="B637" s="386"/>
      <c r="C637" s="387" t="str">
        <f>IF(A637="","",IFERROR(IF(VLOOKUP(A637,'1. Inbound Leads'!A:G,7,FALSE)=0,"",VLOOKUP(A637,'1. Inbound Leads'!A:G,7,FALSE)),""))</f>
        <v/>
      </c>
      <c r="D637" s="387" t="str">
        <f>IF(A637="","",IFERROR(IF(VLOOKUP(A637,'1. Inbound Leads'!A:L,12,FALSE)=0,"",VLOOKUP(A637,'1. Inbound Leads'!A:L,12,FALSE)),""))</f>
        <v/>
      </c>
      <c r="E637" s="388"/>
      <c r="F637" s="389"/>
      <c r="G637" s="387"/>
      <c r="H637" s="387"/>
      <c r="I637" s="387"/>
      <c r="J637" s="387"/>
      <c r="K637" s="387"/>
      <c r="L637" s="387"/>
      <c r="M637" s="388"/>
      <c r="N637" s="388"/>
      <c r="O637" s="390"/>
      <c r="P637" s="391"/>
      <c r="Q637" s="389"/>
      <c r="R637" s="390"/>
      <c r="S637" s="390"/>
      <c r="T637" s="391"/>
      <c r="U637" s="392"/>
      <c r="V637" s="391"/>
      <c r="W637" s="391"/>
      <c r="X637" s="388"/>
      <c r="Y637" s="391"/>
      <c r="Z637" s="393"/>
      <c r="AA637" s="355" t="str">
        <f t="shared" si="1"/>
        <v/>
      </c>
      <c r="AB637" s="391"/>
      <c r="AC637" s="394" t="str">
        <f t="shared" si="2"/>
        <v/>
      </c>
      <c r="AD637" s="389"/>
      <c r="AE637" s="399"/>
      <c r="AF637" s="395"/>
      <c r="AG637" s="396" t="str">
        <f t="shared" si="3"/>
        <v/>
      </c>
      <c r="AH637" s="396" t="str">
        <f t="shared" si="4"/>
        <v/>
      </c>
      <c r="AI637" s="388"/>
      <c r="AJ637" s="388"/>
      <c r="AK637" s="397"/>
    </row>
    <row r="638">
      <c r="A638" s="398"/>
      <c r="B638" s="386"/>
      <c r="C638" s="387" t="str">
        <f>IF(A638="","",IFERROR(IF(VLOOKUP(A638,'1. Inbound Leads'!A:G,7,FALSE)=0,"",VLOOKUP(A638,'1. Inbound Leads'!A:G,7,FALSE)),""))</f>
        <v/>
      </c>
      <c r="D638" s="387" t="str">
        <f>IF(A638="","",IFERROR(IF(VLOOKUP(A638,'1. Inbound Leads'!A:L,12,FALSE)=0,"",VLOOKUP(A638,'1. Inbound Leads'!A:L,12,FALSE)),""))</f>
        <v/>
      </c>
      <c r="E638" s="388"/>
      <c r="F638" s="389"/>
      <c r="G638" s="387"/>
      <c r="H638" s="387"/>
      <c r="I638" s="387"/>
      <c r="J638" s="387"/>
      <c r="K638" s="387"/>
      <c r="L638" s="387"/>
      <c r="M638" s="388"/>
      <c r="N638" s="388"/>
      <c r="O638" s="390"/>
      <c r="P638" s="391"/>
      <c r="Q638" s="389"/>
      <c r="R638" s="390"/>
      <c r="S638" s="390"/>
      <c r="T638" s="391"/>
      <c r="U638" s="392"/>
      <c r="V638" s="391"/>
      <c r="W638" s="391"/>
      <c r="X638" s="388"/>
      <c r="Y638" s="391"/>
      <c r="Z638" s="393"/>
      <c r="AA638" s="355" t="str">
        <f t="shared" si="1"/>
        <v/>
      </c>
      <c r="AB638" s="391"/>
      <c r="AC638" s="394" t="str">
        <f t="shared" si="2"/>
        <v/>
      </c>
      <c r="AD638" s="389"/>
      <c r="AE638" s="399"/>
      <c r="AF638" s="395"/>
      <c r="AG638" s="396" t="str">
        <f t="shared" si="3"/>
        <v/>
      </c>
      <c r="AH638" s="396" t="str">
        <f t="shared" si="4"/>
        <v/>
      </c>
      <c r="AI638" s="388"/>
      <c r="AJ638" s="388"/>
      <c r="AK638" s="397"/>
    </row>
    <row r="639">
      <c r="A639" s="398"/>
      <c r="B639" s="386"/>
      <c r="C639" s="387" t="str">
        <f>IF(A639="","",IFERROR(IF(VLOOKUP(A639,'1. Inbound Leads'!A:G,7,FALSE)=0,"",VLOOKUP(A639,'1. Inbound Leads'!A:G,7,FALSE)),""))</f>
        <v/>
      </c>
      <c r="D639" s="387" t="str">
        <f>IF(A639="","",IFERROR(IF(VLOOKUP(A639,'1. Inbound Leads'!A:L,12,FALSE)=0,"",VLOOKUP(A639,'1. Inbound Leads'!A:L,12,FALSE)),""))</f>
        <v/>
      </c>
      <c r="E639" s="388"/>
      <c r="F639" s="389"/>
      <c r="G639" s="387"/>
      <c r="H639" s="387"/>
      <c r="I639" s="387"/>
      <c r="J639" s="387"/>
      <c r="K639" s="387"/>
      <c r="L639" s="387"/>
      <c r="M639" s="388"/>
      <c r="N639" s="388"/>
      <c r="O639" s="390"/>
      <c r="P639" s="391"/>
      <c r="Q639" s="389"/>
      <c r="R639" s="390"/>
      <c r="S639" s="390"/>
      <c r="T639" s="391"/>
      <c r="U639" s="392"/>
      <c r="V639" s="391"/>
      <c r="W639" s="391"/>
      <c r="X639" s="388"/>
      <c r="Y639" s="391"/>
      <c r="Z639" s="393"/>
      <c r="AA639" s="355" t="str">
        <f t="shared" si="1"/>
        <v/>
      </c>
      <c r="AB639" s="391"/>
      <c r="AC639" s="394" t="str">
        <f t="shared" si="2"/>
        <v/>
      </c>
      <c r="AD639" s="389"/>
      <c r="AE639" s="399"/>
      <c r="AF639" s="395"/>
      <c r="AG639" s="396" t="str">
        <f t="shared" si="3"/>
        <v/>
      </c>
      <c r="AH639" s="396" t="str">
        <f t="shared" si="4"/>
        <v/>
      </c>
      <c r="AI639" s="388"/>
      <c r="AJ639" s="388"/>
      <c r="AK639" s="397"/>
    </row>
    <row r="640">
      <c r="A640" s="398"/>
      <c r="B640" s="386"/>
      <c r="C640" s="387" t="str">
        <f>IF(A640="","",IFERROR(IF(VLOOKUP(A640,'1. Inbound Leads'!A:G,7,FALSE)=0,"",VLOOKUP(A640,'1. Inbound Leads'!A:G,7,FALSE)),""))</f>
        <v/>
      </c>
      <c r="D640" s="387" t="str">
        <f>IF(A640="","",IFERROR(IF(VLOOKUP(A640,'1. Inbound Leads'!A:L,12,FALSE)=0,"",VLOOKUP(A640,'1. Inbound Leads'!A:L,12,FALSE)),""))</f>
        <v/>
      </c>
      <c r="E640" s="388"/>
      <c r="F640" s="389"/>
      <c r="G640" s="387"/>
      <c r="H640" s="387"/>
      <c r="I640" s="387"/>
      <c r="J640" s="387"/>
      <c r="K640" s="387"/>
      <c r="L640" s="387"/>
      <c r="M640" s="388"/>
      <c r="N640" s="388"/>
      <c r="O640" s="390"/>
      <c r="P640" s="391"/>
      <c r="Q640" s="389"/>
      <c r="R640" s="390"/>
      <c r="S640" s="390"/>
      <c r="T640" s="391"/>
      <c r="U640" s="392"/>
      <c r="V640" s="391"/>
      <c r="W640" s="391"/>
      <c r="X640" s="388"/>
      <c r="Y640" s="391"/>
      <c r="Z640" s="393"/>
      <c r="AA640" s="355" t="str">
        <f t="shared" si="1"/>
        <v/>
      </c>
      <c r="AB640" s="391"/>
      <c r="AC640" s="394" t="str">
        <f t="shared" si="2"/>
        <v/>
      </c>
      <c r="AD640" s="389"/>
      <c r="AE640" s="399"/>
      <c r="AF640" s="395"/>
      <c r="AG640" s="396" t="str">
        <f t="shared" si="3"/>
        <v/>
      </c>
      <c r="AH640" s="396" t="str">
        <f t="shared" si="4"/>
        <v/>
      </c>
      <c r="AI640" s="388"/>
      <c r="AJ640" s="388"/>
      <c r="AK640" s="397"/>
    </row>
    <row r="641">
      <c r="A641" s="398"/>
      <c r="B641" s="386"/>
      <c r="C641" s="387" t="str">
        <f>IF(A641="","",IFERROR(IF(VLOOKUP(A641,'1. Inbound Leads'!A:G,7,FALSE)=0,"",VLOOKUP(A641,'1. Inbound Leads'!A:G,7,FALSE)),""))</f>
        <v/>
      </c>
      <c r="D641" s="387" t="str">
        <f>IF(A641="","",IFERROR(IF(VLOOKUP(A641,'1. Inbound Leads'!A:L,12,FALSE)=0,"",VLOOKUP(A641,'1. Inbound Leads'!A:L,12,FALSE)),""))</f>
        <v/>
      </c>
      <c r="E641" s="388"/>
      <c r="F641" s="389"/>
      <c r="G641" s="387"/>
      <c r="H641" s="387"/>
      <c r="I641" s="387"/>
      <c r="J641" s="387"/>
      <c r="K641" s="387"/>
      <c r="L641" s="387"/>
      <c r="M641" s="388"/>
      <c r="N641" s="388"/>
      <c r="O641" s="390"/>
      <c r="P641" s="391"/>
      <c r="Q641" s="389"/>
      <c r="R641" s="390"/>
      <c r="S641" s="390"/>
      <c r="T641" s="391"/>
      <c r="U641" s="392"/>
      <c r="V641" s="391"/>
      <c r="W641" s="391"/>
      <c r="X641" s="388"/>
      <c r="Y641" s="391"/>
      <c r="Z641" s="393"/>
      <c r="AA641" s="355" t="str">
        <f t="shared" si="1"/>
        <v/>
      </c>
      <c r="AB641" s="391"/>
      <c r="AC641" s="394" t="str">
        <f t="shared" si="2"/>
        <v/>
      </c>
      <c r="AD641" s="389"/>
      <c r="AE641" s="399"/>
      <c r="AF641" s="395"/>
      <c r="AG641" s="396" t="str">
        <f t="shared" si="3"/>
        <v/>
      </c>
      <c r="AH641" s="396" t="str">
        <f t="shared" si="4"/>
        <v/>
      </c>
      <c r="AI641" s="388"/>
      <c r="AJ641" s="388"/>
      <c r="AK641" s="397"/>
    </row>
    <row r="642">
      <c r="A642" s="398"/>
      <c r="B642" s="386"/>
      <c r="C642" s="387" t="str">
        <f>IF(A642="","",IFERROR(IF(VLOOKUP(A642,'1. Inbound Leads'!A:G,7,FALSE)=0,"",VLOOKUP(A642,'1. Inbound Leads'!A:G,7,FALSE)),""))</f>
        <v/>
      </c>
      <c r="D642" s="387" t="str">
        <f>IF(A642="","",IFERROR(IF(VLOOKUP(A642,'1. Inbound Leads'!A:L,12,FALSE)=0,"",VLOOKUP(A642,'1. Inbound Leads'!A:L,12,FALSE)),""))</f>
        <v/>
      </c>
      <c r="E642" s="388"/>
      <c r="F642" s="389"/>
      <c r="G642" s="387"/>
      <c r="H642" s="387"/>
      <c r="I642" s="387"/>
      <c r="J642" s="387"/>
      <c r="K642" s="387"/>
      <c r="L642" s="387"/>
      <c r="M642" s="388"/>
      <c r="N642" s="388"/>
      <c r="O642" s="390"/>
      <c r="P642" s="391"/>
      <c r="Q642" s="389"/>
      <c r="R642" s="390"/>
      <c r="S642" s="390"/>
      <c r="T642" s="391"/>
      <c r="U642" s="392"/>
      <c r="V642" s="391"/>
      <c r="W642" s="391"/>
      <c r="X642" s="388"/>
      <c r="Y642" s="391"/>
      <c r="Z642" s="393"/>
      <c r="AA642" s="355" t="str">
        <f t="shared" si="1"/>
        <v/>
      </c>
      <c r="AB642" s="391"/>
      <c r="AC642" s="394" t="str">
        <f t="shared" si="2"/>
        <v/>
      </c>
      <c r="AD642" s="389"/>
      <c r="AE642" s="399"/>
      <c r="AF642" s="395"/>
      <c r="AG642" s="396" t="str">
        <f t="shared" si="3"/>
        <v/>
      </c>
      <c r="AH642" s="396" t="str">
        <f t="shared" si="4"/>
        <v/>
      </c>
      <c r="AI642" s="388"/>
      <c r="AJ642" s="388"/>
      <c r="AK642" s="397"/>
    </row>
    <row r="643">
      <c r="A643" s="398"/>
      <c r="B643" s="386"/>
      <c r="C643" s="387" t="str">
        <f>IF(A643="","",IFERROR(IF(VLOOKUP(A643,'1. Inbound Leads'!A:G,7,FALSE)=0,"",VLOOKUP(A643,'1. Inbound Leads'!A:G,7,FALSE)),""))</f>
        <v/>
      </c>
      <c r="D643" s="387" t="str">
        <f>IF(A643="","",IFERROR(IF(VLOOKUP(A643,'1. Inbound Leads'!A:L,12,FALSE)=0,"",VLOOKUP(A643,'1. Inbound Leads'!A:L,12,FALSE)),""))</f>
        <v/>
      </c>
      <c r="E643" s="388"/>
      <c r="F643" s="389"/>
      <c r="G643" s="387"/>
      <c r="H643" s="387"/>
      <c r="I643" s="387"/>
      <c r="J643" s="387"/>
      <c r="K643" s="387"/>
      <c r="L643" s="387"/>
      <c r="M643" s="388"/>
      <c r="N643" s="388"/>
      <c r="O643" s="390"/>
      <c r="P643" s="391"/>
      <c r="Q643" s="389"/>
      <c r="R643" s="390"/>
      <c r="S643" s="390"/>
      <c r="T643" s="391"/>
      <c r="U643" s="392"/>
      <c r="V643" s="391"/>
      <c r="W643" s="391"/>
      <c r="X643" s="388"/>
      <c r="Y643" s="391"/>
      <c r="Z643" s="393"/>
      <c r="AA643" s="355" t="str">
        <f t="shared" si="1"/>
        <v/>
      </c>
      <c r="AB643" s="391"/>
      <c r="AC643" s="394" t="str">
        <f t="shared" si="2"/>
        <v/>
      </c>
      <c r="AD643" s="389"/>
      <c r="AE643" s="399"/>
      <c r="AF643" s="395"/>
      <c r="AG643" s="396" t="str">
        <f t="shared" si="3"/>
        <v/>
      </c>
      <c r="AH643" s="396" t="str">
        <f t="shared" si="4"/>
        <v/>
      </c>
      <c r="AI643" s="388"/>
      <c r="AJ643" s="388"/>
      <c r="AK643" s="397"/>
    </row>
    <row r="644">
      <c r="A644" s="398"/>
      <c r="B644" s="386"/>
      <c r="C644" s="387" t="str">
        <f>IF(A644="","",IFERROR(IF(VLOOKUP(A644,'1. Inbound Leads'!A:G,7,FALSE)=0,"",VLOOKUP(A644,'1. Inbound Leads'!A:G,7,FALSE)),""))</f>
        <v/>
      </c>
      <c r="D644" s="387" t="str">
        <f>IF(A644="","",IFERROR(IF(VLOOKUP(A644,'1. Inbound Leads'!A:L,12,FALSE)=0,"",VLOOKUP(A644,'1. Inbound Leads'!A:L,12,FALSE)),""))</f>
        <v/>
      </c>
      <c r="E644" s="388"/>
      <c r="F644" s="389"/>
      <c r="G644" s="387"/>
      <c r="H644" s="387"/>
      <c r="I644" s="387"/>
      <c r="J644" s="387"/>
      <c r="K644" s="387"/>
      <c r="L644" s="387"/>
      <c r="M644" s="388"/>
      <c r="N644" s="388"/>
      <c r="O644" s="390"/>
      <c r="P644" s="391"/>
      <c r="Q644" s="389"/>
      <c r="R644" s="390"/>
      <c r="S644" s="390"/>
      <c r="T644" s="391"/>
      <c r="U644" s="392"/>
      <c r="V644" s="391"/>
      <c r="W644" s="391"/>
      <c r="X644" s="388"/>
      <c r="Y644" s="391"/>
      <c r="Z644" s="393"/>
      <c r="AA644" s="355" t="str">
        <f t="shared" si="1"/>
        <v/>
      </c>
      <c r="AB644" s="391"/>
      <c r="AC644" s="394" t="str">
        <f t="shared" si="2"/>
        <v/>
      </c>
      <c r="AD644" s="389"/>
      <c r="AE644" s="399"/>
      <c r="AF644" s="395"/>
      <c r="AG644" s="396" t="str">
        <f t="shared" si="3"/>
        <v/>
      </c>
      <c r="AH644" s="396" t="str">
        <f t="shared" si="4"/>
        <v/>
      </c>
      <c r="AI644" s="388"/>
      <c r="AJ644" s="388"/>
      <c r="AK644" s="397"/>
    </row>
    <row r="645">
      <c r="A645" s="398"/>
      <c r="B645" s="386"/>
      <c r="C645" s="387" t="str">
        <f>IF(A645="","",IFERROR(IF(VLOOKUP(A645,'1. Inbound Leads'!A:G,7,FALSE)=0,"",VLOOKUP(A645,'1. Inbound Leads'!A:G,7,FALSE)),""))</f>
        <v/>
      </c>
      <c r="D645" s="387" t="str">
        <f>IF(A645="","",IFERROR(IF(VLOOKUP(A645,'1. Inbound Leads'!A:L,12,FALSE)=0,"",VLOOKUP(A645,'1. Inbound Leads'!A:L,12,FALSE)),""))</f>
        <v/>
      </c>
      <c r="E645" s="388"/>
      <c r="F645" s="389"/>
      <c r="G645" s="387"/>
      <c r="H645" s="387"/>
      <c r="I645" s="387"/>
      <c r="J645" s="387"/>
      <c r="K645" s="387"/>
      <c r="L645" s="387"/>
      <c r="M645" s="388"/>
      <c r="N645" s="388"/>
      <c r="O645" s="390"/>
      <c r="P645" s="391"/>
      <c r="Q645" s="389"/>
      <c r="R645" s="390"/>
      <c r="S645" s="390"/>
      <c r="T645" s="391"/>
      <c r="U645" s="392"/>
      <c r="V645" s="391"/>
      <c r="W645" s="391"/>
      <c r="X645" s="388"/>
      <c r="Y645" s="391"/>
      <c r="Z645" s="393"/>
      <c r="AA645" s="355" t="str">
        <f t="shared" si="1"/>
        <v/>
      </c>
      <c r="AB645" s="391"/>
      <c r="AC645" s="394" t="str">
        <f t="shared" si="2"/>
        <v/>
      </c>
      <c r="AD645" s="389"/>
      <c r="AE645" s="399"/>
      <c r="AF645" s="395"/>
      <c r="AG645" s="396" t="str">
        <f t="shared" si="3"/>
        <v/>
      </c>
      <c r="AH645" s="396" t="str">
        <f t="shared" si="4"/>
        <v/>
      </c>
      <c r="AI645" s="388"/>
      <c r="AJ645" s="388"/>
      <c r="AK645" s="397"/>
    </row>
    <row r="646">
      <c r="A646" s="398"/>
      <c r="B646" s="386"/>
      <c r="C646" s="387" t="str">
        <f>IF(A646="","",IFERROR(IF(VLOOKUP(A646,'1. Inbound Leads'!A:G,7,FALSE)=0,"",VLOOKUP(A646,'1. Inbound Leads'!A:G,7,FALSE)),""))</f>
        <v/>
      </c>
      <c r="D646" s="387" t="str">
        <f>IF(A646="","",IFERROR(IF(VLOOKUP(A646,'1. Inbound Leads'!A:L,12,FALSE)=0,"",VLOOKUP(A646,'1. Inbound Leads'!A:L,12,FALSE)),""))</f>
        <v/>
      </c>
      <c r="E646" s="388"/>
      <c r="F646" s="389"/>
      <c r="G646" s="387"/>
      <c r="H646" s="387"/>
      <c r="I646" s="387"/>
      <c r="J646" s="387"/>
      <c r="K646" s="387"/>
      <c r="L646" s="387"/>
      <c r="M646" s="388"/>
      <c r="N646" s="388"/>
      <c r="O646" s="390"/>
      <c r="P646" s="391"/>
      <c r="Q646" s="389"/>
      <c r="R646" s="390"/>
      <c r="S646" s="390"/>
      <c r="T646" s="391"/>
      <c r="U646" s="392"/>
      <c r="V646" s="391"/>
      <c r="W646" s="391"/>
      <c r="X646" s="388"/>
      <c r="Y646" s="391"/>
      <c r="Z646" s="393"/>
      <c r="AA646" s="355" t="str">
        <f t="shared" si="1"/>
        <v/>
      </c>
      <c r="AB646" s="391"/>
      <c r="AC646" s="394" t="str">
        <f t="shared" si="2"/>
        <v/>
      </c>
      <c r="AD646" s="389"/>
      <c r="AE646" s="399"/>
      <c r="AF646" s="395"/>
      <c r="AG646" s="396" t="str">
        <f t="shared" si="3"/>
        <v/>
      </c>
      <c r="AH646" s="396" t="str">
        <f t="shared" si="4"/>
        <v/>
      </c>
      <c r="AI646" s="388"/>
      <c r="AJ646" s="388"/>
      <c r="AK646" s="397"/>
    </row>
    <row r="647">
      <c r="A647" s="398"/>
      <c r="B647" s="386"/>
      <c r="C647" s="387" t="str">
        <f>IF(A647="","",IFERROR(IF(VLOOKUP(A647,'1. Inbound Leads'!A:G,7,FALSE)=0,"",VLOOKUP(A647,'1. Inbound Leads'!A:G,7,FALSE)),""))</f>
        <v/>
      </c>
      <c r="D647" s="387" t="str">
        <f>IF(A647="","",IFERROR(IF(VLOOKUP(A647,'1. Inbound Leads'!A:L,12,FALSE)=0,"",VLOOKUP(A647,'1. Inbound Leads'!A:L,12,FALSE)),""))</f>
        <v/>
      </c>
      <c r="E647" s="388"/>
      <c r="F647" s="389"/>
      <c r="G647" s="387"/>
      <c r="H647" s="387"/>
      <c r="I647" s="387"/>
      <c r="J647" s="387"/>
      <c r="K647" s="387"/>
      <c r="L647" s="387"/>
      <c r="M647" s="388"/>
      <c r="N647" s="388"/>
      <c r="O647" s="390"/>
      <c r="P647" s="391"/>
      <c r="Q647" s="389"/>
      <c r="R647" s="390"/>
      <c r="S647" s="390"/>
      <c r="T647" s="391"/>
      <c r="U647" s="392"/>
      <c r="V647" s="391"/>
      <c r="W647" s="391"/>
      <c r="X647" s="388"/>
      <c r="Y647" s="391"/>
      <c r="Z647" s="393"/>
      <c r="AA647" s="355" t="str">
        <f t="shared" si="1"/>
        <v/>
      </c>
      <c r="AB647" s="391"/>
      <c r="AC647" s="394" t="str">
        <f t="shared" si="2"/>
        <v/>
      </c>
      <c r="AD647" s="389"/>
      <c r="AE647" s="399"/>
      <c r="AF647" s="395"/>
      <c r="AG647" s="396" t="str">
        <f t="shared" si="3"/>
        <v/>
      </c>
      <c r="AH647" s="396" t="str">
        <f t="shared" si="4"/>
        <v/>
      </c>
      <c r="AI647" s="388"/>
      <c r="AJ647" s="388"/>
      <c r="AK647" s="397"/>
    </row>
    <row r="648">
      <c r="A648" s="398"/>
      <c r="B648" s="386"/>
      <c r="C648" s="387" t="str">
        <f>IF(A648="","",IFERROR(IF(VLOOKUP(A648,'1. Inbound Leads'!A:G,7,FALSE)=0,"",VLOOKUP(A648,'1. Inbound Leads'!A:G,7,FALSE)),""))</f>
        <v/>
      </c>
      <c r="D648" s="387" t="str">
        <f>IF(A648="","",IFERROR(IF(VLOOKUP(A648,'1. Inbound Leads'!A:L,12,FALSE)=0,"",VLOOKUP(A648,'1. Inbound Leads'!A:L,12,FALSE)),""))</f>
        <v/>
      </c>
      <c r="E648" s="388"/>
      <c r="F648" s="389"/>
      <c r="G648" s="387"/>
      <c r="H648" s="387"/>
      <c r="I648" s="387"/>
      <c r="J648" s="387"/>
      <c r="K648" s="387"/>
      <c r="L648" s="387"/>
      <c r="M648" s="388"/>
      <c r="N648" s="388"/>
      <c r="O648" s="390"/>
      <c r="P648" s="391"/>
      <c r="Q648" s="389"/>
      <c r="R648" s="390"/>
      <c r="S648" s="390"/>
      <c r="T648" s="391"/>
      <c r="U648" s="392"/>
      <c r="V648" s="391"/>
      <c r="W648" s="391"/>
      <c r="X648" s="388"/>
      <c r="Y648" s="391"/>
      <c r="Z648" s="393"/>
      <c r="AA648" s="355" t="str">
        <f t="shared" si="1"/>
        <v/>
      </c>
      <c r="AB648" s="391"/>
      <c r="AC648" s="394" t="str">
        <f t="shared" si="2"/>
        <v/>
      </c>
      <c r="AD648" s="389"/>
      <c r="AE648" s="399"/>
      <c r="AF648" s="395"/>
      <c r="AG648" s="396" t="str">
        <f t="shared" si="3"/>
        <v/>
      </c>
      <c r="AH648" s="396" t="str">
        <f t="shared" si="4"/>
        <v/>
      </c>
      <c r="AI648" s="388"/>
      <c r="AJ648" s="388"/>
      <c r="AK648" s="397"/>
    </row>
    <row r="649">
      <c r="A649" s="398"/>
      <c r="B649" s="386"/>
      <c r="C649" s="387" t="str">
        <f>IF(A649="","",IFERROR(IF(VLOOKUP(A649,'1. Inbound Leads'!A:G,7,FALSE)=0,"",VLOOKUP(A649,'1. Inbound Leads'!A:G,7,FALSE)),""))</f>
        <v/>
      </c>
      <c r="D649" s="387" t="str">
        <f>IF(A649="","",IFERROR(IF(VLOOKUP(A649,'1. Inbound Leads'!A:L,12,FALSE)=0,"",VLOOKUP(A649,'1. Inbound Leads'!A:L,12,FALSE)),""))</f>
        <v/>
      </c>
      <c r="E649" s="388"/>
      <c r="F649" s="389"/>
      <c r="G649" s="387"/>
      <c r="H649" s="387"/>
      <c r="I649" s="387"/>
      <c r="J649" s="387"/>
      <c r="K649" s="387"/>
      <c r="L649" s="387"/>
      <c r="M649" s="388"/>
      <c r="N649" s="388"/>
      <c r="O649" s="390"/>
      <c r="P649" s="391"/>
      <c r="Q649" s="389"/>
      <c r="R649" s="390"/>
      <c r="S649" s="390"/>
      <c r="T649" s="391"/>
      <c r="U649" s="392"/>
      <c r="V649" s="391"/>
      <c r="W649" s="391"/>
      <c r="X649" s="388"/>
      <c r="Y649" s="391"/>
      <c r="Z649" s="393"/>
      <c r="AA649" s="355" t="str">
        <f t="shared" si="1"/>
        <v/>
      </c>
      <c r="AB649" s="391"/>
      <c r="AC649" s="394" t="str">
        <f t="shared" si="2"/>
        <v/>
      </c>
      <c r="AD649" s="389"/>
      <c r="AE649" s="399"/>
      <c r="AF649" s="395"/>
      <c r="AG649" s="396" t="str">
        <f t="shared" si="3"/>
        <v/>
      </c>
      <c r="AH649" s="396" t="str">
        <f t="shared" si="4"/>
        <v/>
      </c>
      <c r="AI649" s="388"/>
      <c r="AJ649" s="388"/>
      <c r="AK649" s="397"/>
    </row>
    <row r="650">
      <c r="A650" s="398"/>
      <c r="B650" s="386"/>
      <c r="C650" s="387" t="str">
        <f>IF(A650="","",IFERROR(IF(VLOOKUP(A650,'1. Inbound Leads'!A:G,7,FALSE)=0,"",VLOOKUP(A650,'1. Inbound Leads'!A:G,7,FALSE)),""))</f>
        <v/>
      </c>
      <c r="D650" s="387" t="str">
        <f>IF(A650="","",IFERROR(IF(VLOOKUP(A650,'1. Inbound Leads'!A:L,12,FALSE)=0,"",VLOOKUP(A650,'1. Inbound Leads'!A:L,12,FALSE)),""))</f>
        <v/>
      </c>
      <c r="E650" s="388"/>
      <c r="F650" s="389"/>
      <c r="G650" s="387"/>
      <c r="H650" s="387"/>
      <c r="I650" s="387"/>
      <c r="J650" s="387"/>
      <c r="K650" s="387"/>
      <c r="L650" s="387"/>
      <c r="M650" s="388"/>
      <c r="N650" s="388"/>
      <c r="O650" s="390"/>
      <c r="P650" s="391"/>
      <c r="Q650" s="389"/>
      <c r="R650" s="390"/>
      <c r="S650" s="390"/>
      <c r="T650" s="391"/>
      <c r="U650" s="392"/>
      <c r="V650" s="391"/>
      <c r="W650" s="391"/>
      <c r="X650" s="388"/>
      <c r="Y650" s="391"/>
      <c r="Z650" s="393"/>
      <c r="AA650" s="355" t="str">
        <f t="shared" si="1"/>
        <v/>
      </c>
      <c r="AB650" s="391"/>
      <c r="AC650" s="394" t="str">
        <f t="shared" si="2"/>
        <v/>
      </c>
      <c r="AD650" s="389"/>
      <c r="AE650" s="399"/>
      <c r="AF650" s="395"/>
      <c r="AG650" s="396" t="str">
        <f t="shared" si="3"/>
        <v/>
      </c>
      <c r="AH650" s="396" t="str">
        <f t="shared" si="4"/>
        <v/>
      </c>
      <c r="AI650" s="388"/>
      <c r="AJ650" s="388"/>
      <c r="AK650" s="397"/>
    </row>
    <row r="651">
      <c r="A651" s="398"/>
      <c r="B651" s="386"/>
      <c r="C651" s="387" t="str">
        <f>IF(A651="","",IFERROR(IF(VLOOKUP(A651,'1. Inbound Leads'!A:G,7,FALSE)=0,"",VLOOKUP(A651,'1. Inbound Leads'!A:G,7,FALSE)),""))</f>
        <v/>
      </c>
      <c r="D651" s="387" t="str">
        <f>IF(A651="","",IFERROR(IF(VLOOKUP(A651,'1. Inbound Leads'!A:L,12,FALSE)=0,"",VLOOKUP(A651,'1. Inbound Leads'!A:L,12,FALSE)),""))</f>
        <v/>
      </c>
      <c r="E651" s="388"/>
      <c r="F651" s="389"/>
      <c r="G651" s="387"/>
      <c r="H651" s="387"/>
      <c r="I651" s="387"/>
      <c r="J651" s="387"/>
      <c r="K651" s="387"/>
      <c r="L651" s="387"/>
      <c r="M651" s="388"/>
      <c r="N651" s="388"/>
      <c r="O651" s="390"/>
      <c r="P651" s="391"/>
      <c r="Q651" s="389"/>
      <c r="R651" s="390"/>
      <c r="S651" s="390"/>
      <c r="T651" s="391"/>
      <c r="U651" s="392"/>
      <c r="V651" s="391"/>
      <c r="W651" s="391"/>
      <c r="X651" s="388"/>
      <c r="Y651" s="391"/>
      <c r="Z651" s="393"/>
      <c r="AA651" s="355" t="str">
        <f t="shared" si="1"/>
        <v/>
      </c>
      <c r="AB651" s="391"/>
      <c r="AC651" s="394" t="str">
        <f t="shared" si="2"/>
        <v/>
      </c>
      <c r="AD651" s="389"/>
      <c r="AE651" s="399"/>
      <c r="AF651" s="395"/>
      <c r="AG651" s="396" t="str">
        <f t="shared" si="3"/>
        <v/>
      </c>
      <c r="AH651" s="396" t="str">
        <f t="shared" si="4"/>
        <v/>
      </c>
      <c r="AI651" s="388"/>
      <c r="AJ651" s="388"/>
      <c r="AK651" s="397"/>
    </row>
    <row r="652">
      <c r="A652" s="398"/>
      <c r="B652" s="386"/>
      <c r="C652" s="387" t="str">
        <f>IF(A652="","",IFERROR(IF(VLOOKUP(A652,'1. Inbound Leads'!A:G,7,FALSE)=0,"",VLOOKUP(A652,'1. Inbound Leads'!A:G,7,FALSE)),""))</f>
        <v/>
      </c>
      <c r="D652" s="387" t="str">
        <f>IF(A652="","",IFERROR(IF(VLOOKUP(A652,'1. Inbound Leads'!A:L,12,FALSE)=0,"",VLOOKUP(A652,'1. Inbound Leads'!A:L,12,FALSE)),""))</f>
        <v/>
      </c>
      <c r="E652" s="388"/>
      <c r="F652" s="389"/>
      <c r="G652" s="387"/>
      <c r="H652" s="387"/>
      <c r="I652" s="387"/>
      <c r="J652" s="387"/>
      <c r="K652" s="387"/>
      <c r="L652" s="387"/>
      <c r="M652" s="388"/>
      <c r="N652" s="388"/>
      <c r="O652" s="390"/>
      <c r="P652" s="391"/>
      <c r="Q652" s="389"/>
      <c r="R652" s="390"/>
      <c r="S652" s="390"/>
      <c r="T652" s="391"/>
      <c r="U652" s="392"/>
      <c r="V652" s="391"/>
      <c r="W652" s="391"/>
      <c r="X652" s="388"/>
      <c r="Y652" s="391"/>
      <c r="Z652" s="393"/>
      <c r="AA652" s="355" t="str">
        <f t="shared" si="1"/>
        <v/>
      </c>
      <c r="AB652" s="391"/>
      <c r="AC652" s="394" t="str">
        <f t="shared" si="2"/>
        <v/>
      </c>
      <c r="AD652" s="389"/>
      <c r="AE652" s="399"/>
      <c r="AF652" s="395"/>
      <c r="AG652" s="396" t="str">
        <f t="shared" si="3"/>
        <v/>
      </c>
      <c r="AH652" s="396" t="str">
        <f t="shared" si="4"/>
        <v/>
      </c>
      <c r="AI652" s="388"/>
      <c r="AJ652" s="388"/>
      <c r="AK652" s="397"/>
    </row>
    <row r="653">
      <c r="A653" s="398"/>
      <c r="B653" s="386"/>
      <c r="C653" s="387" t="str">
        <f>IF(A653="","",IFERROR(IF(VLOOKUP(A653,'1. Inbound Leads'!A:G,7,FALSE)=0,"",VLOOKUP(A653,'1. Inbound Leads'!A:G,7,FALSE)),""))</f>
        <v/>
      </c>
      <c r="D653" s="387" t="str">
        <f>IF(A653="","",IFERROR(IF(VLOOKUP(A653,'1. Inbound Leads'!A:L,12,FALSE)=0,"",VLOOKUP(A653,'1. Inbound Leads'!A:L,12,FALSE)),""))</f>
        <v/>
      </c>
      <c r="E653" s="388"/>
      <c r="F653" s="389"/>
      <c r="G653" s="387"/>
      <c r="H653" s="387"/>
      <c r="I653" s="387"/>
      <c r="J653" s="387"/>
      <c r="K653" s="387"/>
      <c r="L653" s="387"/>
      <c r="M653" s="388"/>
      <c r="N653" s="388"/>
      <c r="O653" s="390"/>
      <c r="P653" s="391"/>
      <c r="Q653" s="389"/>
      <c r="R653" s="390"/>
      <c r="S653" s="390"/>
      <c r="T653" s="391"/>
      <c r="U653" s="392"/>
      <c r="V653" s="391"/>
      <c r="W653" s="391"/>
      <c r="X653" s="388"/>
      <c r="Y653" s="391"/>
      <c r="Z653" s="393"/>
      <c r="AA653" s="355" t="str">
        <f t="shared" si="1"/>
        <v/>
      </c>
      <c r="AB653" s="391"/>
      <c r="AC653" s="394" t="str">
        <f t="shared" si="2"/>
        <v/>
      </c>
      <c r="AD653" s="389"/>
      <c r="AE653" s="399"/>
      <c r="AF653" s="395"/>
      <c r="AG653" s="396" t="str">
        <f t="shared" si="3"/>
        <v/>
      </c>
      <c r="AH653" s="396" t="str">
        <f t="shared" si="4"/>
        <v/>
      </c>
      <c r="AI653" s="388"/>
      <c r="AJ653" s="388"/>
      <c r="AK653" s="397"/>
    </row>
    <row r="654">
      <c r="A654" s="398"/>
      <c r="B654" s="386"/>
      <c r="C654" s="387" t="str">
        <f>IF(A654="","",IFERROR(IF(VLOOKUP(A654,'1. Inbound Leads'!A:G,7,FALSE)=0,"",VLOOKUP(A654,'1. Inbound Leads'!A:G,7,FALSE)),""))</f>
        <v/>
      </c>
      <c r="D654" s="387" t="str">
        <f>IF(A654="","",IFERROR(IF(VLOOKUP(A654,'1. Inbound Leads'!A:L,12,FALSE)=0,"",VLOOKUP(A654,'1. Inbound Leads'!A:L,12,FALSE)),""))</f>
        <v/>
      </c>
      <c r="E654" s="388"/>
      <c r="F654" s="389"/>
      <c r="G654" s="387"/>
      <c r="H654" s="387"/>
      <c r="I654" s="387"/>
      <c r="J654" s="387"/>
      <c r="K654" s="387"/>
      <c r="L654" s="387"/>
      <c r="M654" s="388"/>
      <c r="N654" s="388"/>
      <c r="O654" s="390"/>
      <c r="P654" s="391"/>
      <c r="Q654" s="389"/>
      <c r="R654" s="390"/>
      <c r="S654" s="390"/>
      <c r="T654" s="391"/>
      <c r="U654" s="392"/>
      <c r="V654" s="391"/>
      <c r="W654" s="391"/>
      <c r="X654" s="388"/>
      <c r="Y654" s="391"/>
      <c r="Z654" s="393"/>
      <c r="AA654" s="355" t="str">
        <f t="shared" si="1"/>
        <v/>
      </c>
      <c r="AB654" s="391"/>
      <c r="AC654" s="394" t="str">
        <f t="shared" si="2"/>
        <v/>
      </c>
      <c r="AD654" s="389"/>
      <c r="AE654" s="399"/>
      <c r="AF654" s="395"/>
      <c r="AG654" s="396" t="str">
        <f t="shared" si="3"/>
        <v/>
      </c>
      <c r="AH654" s="396" t="str">
        <f t="shared" si="4"/>
        <v/>
      </c>
      <c r="AI654" s="388"/>
      <c r="AJ654" s="388"/>
      <c r="AK654" s="397"/>
    </row>
    <row r="655">
      <c r="A655" s="398"/>
      <c r="B655" s="386"/>
      <c r="C655" s="387" t="str">
        <f>IF(A655="","",IFERROR(IF(VLOOKUP(A655,'1. Inbound Leads'!A:G,7,FALSE)=0,"",VLOOKUP(A655,'1. Inbound Leads'!A:G,7,FALSE)),""))</f>
        <v/>
      </c>
      <c r="D655" s="387" t="str">
        <f>IF(A655="","",IFERROR(IF(VLOOKUP(A655,'1. Inbound Leads'!A:L,12,FALSE)=0,"",VLOOKUP(A655,'1. Inbound Leads'!A:L,12,FALSE)),""))</f>
        <v/>
      </c>
      <c r="E655" s="388"/>
      <c r="F655" s="389"/>
      <c r="G655" s="387"/>
      <c r="H655" s="387"/>
      <c r="I655" s="387"/>
      <c r="J655" s="387"/>
      <c r="K655" s="387"/>
      <c r="L655" s="387"/>
      <c r="M655" s="388"/>
      <c r="N655" s="388"/>
      <c r="O655" s="390"/>
      <c r="P655" s="391"/>
      <c r="Q655" s="389"/>
      <c r="R655" s="390"/>
      <c r="S655" s="390"/>
      <c r="T655" s="391"/>
      <c r="U655" s="392"/>
      <c r="V655" s="391"/>
      <c r="W655" s="391"/>
      <c r="X655" s="388"/>
      <c r="Y655" s="391"/>
      <c r="Z655" s="393"/>
      <c r="AA655" s="355" t="str">
        <f t="shared" si="1"/>
        <v/>
      </c>
      <c r="AB655" s="391"/>
      <c r="AC655" s="394" t="str">
        <f t="shared" si="2"/>
        <v/>
      </c>
      <c r="AD655" s="389"/>
      <c r="AE655" s="399"/>
      <c r="AF655" s="395"/>
      <c r="AG655" s="396" t="str">
        <f t="shared" si="3"/>
        <v/>
      </c>
      <c r="AH655" s="396" t="str">
        <f t="shared" si="4"/>
        <v/>
      </c>
      <c r="AI655" s="388"/>
      <c r="AJ655" s="388"/>
      <c r="AK655" s="397"/>
    </row>
    <row r="656">
      <c r="A656" s="398"/>
      <c r="B656" s="386"/>
      <c r="C656" s="387" t="str">
        <f>IF(A656="","",IFERROR(IF(VLOOKUP(A656,'1. Inbound Leads'!A:G,7,FALSE)=0,"",VLOOKUP(A656,'1. Inbound Leads'!A:G,7,FALSE)),""))</f>
        <v/>
      </c>
      <c r="D656" s="387" t="str">
        <f>IF(A656="","",IFERROR(IF(VLOOKUP(A656,'1. Inbound Leads'!A:L,12,FALSE)=0,"",VLOOKUP(A656,'1. Inbound Leads'!A:L,12,FALSE)),""))</f>
        <v/>
      </c>
      <c r="E656" s="388"/>
      <c r="F656" s="389"/>
      <c r="G656" s="387"/>
      <c r="H656" s="387"/>
      <c r="I656" s="387"/>
      <c r="J656" s="387"/>
      <c r="K656" s="387"/>
      <c r="L656" s="387"/>
      <c r="M656" s="388"/>
      <c r="N656" s="388"/>
      <c r="O656" s="390"/>
      <c r="P656" s="391"/>
      <c r="Q656" s="389"/>
      <c r="R656" s="390"/>
      <c r="S656" s="390"/>
      <c r="T656" s="391"/>
      <c r="U656" s="392"/>
      <c r="V656" s="391"/>
      <c r="W656" s="391"/>
      <c r="X656" s="388"/>
      <c r="Y656" s="391"/>
      <c r="Z656" s="393"/>
      <c r="AA656" s="355" t="str">
        <f t="shared" si="1"/>
        <v/>
      </c>
      <c r="AB656" s="391"/>
      <c r="AC656" s="394" t="str">
        <f t="shared" si="2"/>
        <v/>
      </c>
      <c r="AD656" s="389"/>
      <c r="AE656" s="399"/>
      <c r="AF656" s="395"/>
      <c r="AG656" s="396" t="str">
        <f t="shared" si="3"/>
        <v/>
      </c>
      <c r="AH656" s="396" t="str">
        <f t="shared" si="4"/>
        <v/>
      </c>
      <c r="AI656" s="388"/>
      <c r="AJ656" s="388"/>
      <c r="AK656" s="397"/>
    </row>
    <row r="657">
      <c r="A657" s="398"/>
      <c r="B657" s="386"/>
      <c r="C657" s="387" t="str">
        <f>IF(A657="","",IFERROR(IF(VLOOKUP(A657,'1. Inbound Leads'!A:G,7,FALSE)=0,"",VLOOKUP(A657,'1. Inbound Leads'!A:G,7,FALSE)),""))</f>
        <v/>
      </c>
      <c r="D657" s="387" t="str">
        <f>IF(A657="","",IFERROR(IF(VLOOKUP(A657,'1. Inbound Leads'!A:L,12,FALSE)=0,"",VLOOKUP(A657,'1. Inbound Leads'!A:L,12,FALSE)),""))</f>
        <v/>
      </c>
      <c r="E657" s="388"/>
      <c r="F657" s="389"/>
      <c r="G657" s="387"/>
      <c r="H657" s="387"/>
      <c r="I657" s="387"/>
      <c r="J657" s="387"/>
      <c r="K657" s="387"/>
      <c r="L657" s="387"/>
      <c r="M657" s="388"/>
      <c r="N657" s="388"/>
      <c r="O657" s="390"/>
      <c r="P657" s="391"/>
      <c r="Q657" s="389"/>
      <c r="R657" s="390"/>
      <c r="S657" s="390"/>
      <c r="T657" s="391"/>
      <c r="U657" s="392"/>
      <c r="V657" s="391"/>
      <c r="W657" s="391"/>
      <c r="X657" s="388"/>
      <c r="Y657" s="391"/>
      <c r="Z657" s="393"/>
      <c r="AA657" s="355" t="str">
        <f t="shared" si="1"/>
        <v/>
      </c>
      <c r="AB657" s="391"/>
      <c r="AC657" s="394" t="str">
        <f t="shared" si="2"/>
        <v/>
      </c>
      <c r="AD657" s="389"/>
      <c r="AE657" s="399"/>
      <c r="AF657" s="395"/>
      <c r="AG657" s="396" t="str">
        <f t="shared" si="3"/>
        <v/>
      </c>
      <c r="AH657" s="396" t="str">
        <f t="shared" si="4"/>
        <v/>
      </c>
      <c r="AI657" s="388"/>
      <c r="AJ657" s="388"/>
      <c r="AK657" s="397"/>
    </row>
    <row r="658">
      <c r="A658" s="398"/>
      <c r="B658" s="386"/>
      <c r="C658" s="387" t="str">
        <f>IF(A658="","",IFERROR(IF(VLOOKUP(A658,'1. Inbound Leads'!A:G,7,FALSE)=0,"",VLOOKUP(A658,'1. Inbound Leads'!A:G,7,FALSE)),""))</f>
        <v/>
      </c>
      <c r="D658" s="387" t="str">
        <f>IF(A658="","",IFERROR(IF(VLOOKUP(A658,'1. Inbound Leads'!A:L,12,FALSE)=0,"",VLOOKUP(A658,'1. Inbound Leads'!A:L,12,FALSE)),""))</f>
        <v/>
      </c>
      <c r="E658" s="388"/>
      <c r="F658" s="389"/>
      <c r="G658" s="387"/>
      <c r="H658" s="387"/>
      <c r="I658" s="387"/>
      <c r="J658" s="387"/>
      <c r="K658" s="387"/>
      <c r="L658" s="387"/>
      <c r="M658" s="388"/>
      <c r="N658" s="388"/>
      <c r="O658" s="390"/>
      <c r="P658" s="391"/>
      <c r="Q658" s="389"/>
      <c r="R658" s="390"/>
      <c r="S658" s="390"/>
      <c r="T658" s="391"/>
      <c r="U658" s="392"/>
      <c r="V658" s="391"/>
      <c r="W658" s="391"/>
      <c r="X658" s="388"/>
      <c r="Y658" s="391"/>
      <c r="Z658" s="393"/>
      <c r="AA658" s="355" t="str">
        <f t="shared" si="1"/>
        <v/>
      </c>
      <c r="AB658" s="391"/>
      <c r="AC658" s="394" t="str">
        <f t="shared" si="2"/>
        <v/>
      </c>
      <c r="AD658" s="389"/>
      <c r="AE658" s="399"/>
      <c r="AF658" s="395"/>
      <c r="AG658" s="396" t="str">
        <f t="shared" si="3"/>
        <v/>
      </c>
      <c r="AH658" s="396" t="str">
        <f t="shared" si="4"/>
        <v/>
      </c>
      <c r="AI658" s="388"/>
      <c r="AJ658" s="388"/>
      <c r="AK658" s="397"/>
    </row>
    <row r="659">
      <c r="A659" s="398"/>
      <c r="B659" s="386"/>
      <c r="C659" s="387" t="str">
        <f>IF(A659="","",IFERROR(IF(VLOOKUP(A659,'1. Inbound Leads'!A:G,7,FALSE)=0,"",VLOOKUP(A659,'1. Inbound Leads'!A:G,7,FALSE)),""))</f>
        <v/>
      </c>
      <c r="D659" s="387" t="str">
        <f>IF(A659="","",IFERROR(IF(VLOOKUP(A659,'1. Inbound Leads'!A:L,12,FALSE)=0,"",VLOOKUP(A659,'1. Inbound Leads'!A:L,12,FALSE)),""))</f>
        <v/>
      </c>
      <c r="E659" s="388"/>
      <c r="F659" s="389"/>
      <c r="G659" s="387"/>
      <c r="H659" s="387"/>
      <c r="I659" s="387"/>
      <c r="J659" s="387"/>
      <c r="K659" s="387"/>
      <c r="L659" s="387"/>
      <c r="M659" s="388"/>
      <c r="N659" s="388"/>
      <c r="O659" s="390"/>
      <c r="P659" s="391"/>
      <c r="Q659" s="389"/>
      <c r="R659" s="390"/>
      <c r="S659" s="390"/>
      <c r="T659" s="391"/>
      <c r="U659" s="392"/>
      <c r="V659" s="391"/>
      <c r="W659" s="391"/>
      <c r="X659" s="388"/>
      <c r="Y659" s="391"/>
      <c r="Z659" s="393"/>
      <c r="AA659" s="355" t="str">
        <f t="shared" si="1"/>
        <v/>
      </c>
      <c r="AB659" s="391"/>
      <c r="AC659" s="394" t="str">
        <f t="shared" si="2"/>
        <v/>
      </c>
      <c r="AD659" s="389"/>
      <c r="AE659" s="399"/>
      <c r="AF659" s="395"/>
      <c r="AG659" s="396" t="str">
        <f t="shared" si="3"/>
        <v/>
      </c>
      <c r="AH659" s="396" t="str">
        <f t="shared" si="4"/>
        <v/>
      </c>
      <c r="AI659" s="388"/>
      <c r="AJ659" s="388"/>
      <c r="AK659" s="397"/>
    </row>
    <row r="660">
      <c r="A660" s="398"/>
      <c r="B660" s="386"/>
      <c r="C660" s="387" t="str">
        <f>IF(A660="","",IFERROR(IF(VLOOKUP(A660,'1. Inbound Leads'!A:G,7,FALSE)=0,"",VLOOKUP(A660,'1. Inbound Leads'!A:G,7,FALSE)),""))</f>
        <v/>
      </c>
      <c r="D660" s="387" t="str">
        <f>IF(A660="","",IFERROR(IF(VLOOKUP(A660,'1. Inbound Leads'!A:L,12,FALSE)=0,"",VLOOKUP(A660,'1. Inbound Leads'!A:L,12,FALSE)),""))</f>
        <v/>
      </c>
      <c r="E660" s="388"/>
      <c r="F660" s="389"/>
      <c r="G660" s="387"/>
      <c r="H660" s="387"/>
      <c r="I660" s="387"/>
      <c r="J660" s="387"/>
      <c r="K660" s="387"/>
      <c r="L660" s="387"/>
      <c r="M660" s="388"/>
      <c r="N660" s="388"/>
      <c r="O660" s="390"/>
      <c r="P660" s="391"/>
      <c r="Q660" s="389"/>
      <c r="R660" s="390"/>
      <c r="S660" s="390"/>
      <c r="T660" s="391"/>
      <c r="U660" s="392"/>
      <c r="V660" s="391"/>
      <c r="W660" s="391"/>
      <c r="X660" s="388"/>
      <c r="Y660" s="391"/>
      <c r="Z660" s="393"/>
      <c r="AA660" s="355" t="str">
        <f t="shared" si="1"/>
        <v/>
      </c>
      <c r="AB660" s="391"/>
      <c r="AC660" s="394" t="str">
        <f t="shared" si="2"/>
        <v/>
      </c>
      <c r="AD660" s="389"/>
      <c r="AE660" s="399"/>
      <c r="AF660" s="395"/>
      <c r="AG660" s="396" t="str">
        <f t="shared" si="3"/>
        <v/>
      </c>
      <c r="AH660" s="396" t="str">
        <f t="shared" si="4"/>
        <v/>
      </c>
      <c r="AI660" s="388"/>
      <c r="AJ660" s="388"/>
      <c r="AK660" s="397"/>
    </row>
    <row r="661">
      <c r="A661" s="398"/>
      <c r="B661" s="386"/>
      <c r="C661" s="387" t="str">
        <f>IF(A661="","",IFERROR(IF(VLOOKUP(A661,'1. Inbound Leads'!A:G,7,FALSE)=0,"",VLOOKUP(A661,'1. Inbound Leads'!A:G,7,FALSE)),""))</f>
        <v/>
      </c>
      <c r="D661" s="387" t="str">
        <f>IF(A661="","",IFERROR(IF(VLOOKUP(A661,'1. Inbound Leads'!A:L,12,FALSE)=0,"",VLOOKUP(A661,'1. Inbound Leads'!A:L,12,FALSE)),""))</f>
        <v/>
      </c>
      <c r="E661" s="388"/>
      <c r="F661" s="389"/>
      <c r="G661" s="387"/>
      <c r="H661" s="387"/>
      <c r="I661" s="387"/>
      <c r="J661" s="387"/>
      <c r="K661" s="387"/>
      <c r="L661" s="387"/>
      <c r="M661" s="388"/>
      <c r="N661" s="388"/>
      <c r="O661" s="390"/>
      <c r="P661" s="391"/>
      <c r="Q661" s="389"/>
      <c r="R661" s="390"/>
      <c r="S661" s="390"/>
      <c r="T661" s="391"/>
      <c r="U661" s="392"/>
      <c r="V661" s="391"/>
      <c r="W661" s="391"/>
      <c r="X661" s="388"/>
      <c r="Y661" s="391"/>
      <c r="Z661" s="393"/>
      <c r="AA661" s="355" t="str">
        <f t="shared" si="1"/>
        <v/>
      </c>
      <c r="AB661" s="391"/>
      <c r="AC661" s="394" t="str">
        <f t="shared" si="2"/>
        <v/>
      </c>
      <c r="AD661" s="389"/>
      <c r="AE661" s="399"/>
      <c r="AF661" s="395"/>
      <c r="AG661" s="396" t="str">
        <f t="shared" si="3"/>
        <v/>
      </c>
      <c r="AH661" s="396" t="str">
        <f t="shared" si="4"/>
        <v/>
      </c>
      <c r="AI661" s="388"/>
      <c r="AJ661" s="388"/>
      <c r="AK661" s="397"/>
    </row>
    <row r="662">
      <c r="A662" s="398"/>
      <c r="B662" s="386"/>
      <c r="C662" s="387" t="str">
        <f>IF(A662="","",IFERROR(IF(VLOOKUP(A662,'1. Inbound Leads'!A:G,7,FALSE)=0,"",VLOOKUP(A662,'1. Inbound Leads'!A:G,7,FALSE)),""))</f>
        <v/>
      </c>
      <c r="D662" s="387" t="str">
        <f>IF(A662="","",IFERROR(IF(VLOOKUP(A662,'1. Inbound Leads'!A:L,12,FALSE)=0,"",VLOOKUP(A662,'1. Inbound Leads'!A:L,12,FALSE)),""))</f>
        <v/>
      </c>
      <c r="E662" s="388"/>
      <c r="F662" s="389"/>
      <c r="G662" s="387"/>
      <c r="H662" s="387"/>
      <c r="I662" s="387"/>
      <c r="J662" s="387"/>
      <c r="K662" s="387"/>
      <c r="L662" s="387"/>
      <c r="M662" s="388"/>
      <c r="N662" s="388"/>
      <c r="O662" s="390"/>
      <c r="P662" s="391"/>
      <c r="Q662" s="389"/>
      <c r="R662" s="390"/>
      <c r="S662" s="390"/>
      <c r="T662" s="391"/>
      <c r="U662" s="392"/>
      <c r="V662" s="391"/>
      <c r="W662" s="391"/>
      <c r="X662" s="388"/>
      <c r="Y662" s="391"/>
      <c r="Z662" s="393"/>
      <c r="AA662" s="355" t="str">
        <f t="shared" si="1"/>
        <v/>
      </c>
      <c r="AB662" s="391"/>
      <c r="AC662" s="394" t="str">
        <f t="shared" si="2"/>
        <v/>
      </c>
      <c r="AD662" s="389"/>
      <c r="AE662" s="399"/>
      <c r="AF662" s="395"/>
      <c r="AG662" s="396" t="str">
        <f t="shared" si="3"/>
        <v/>
      </c>
      <c r="AH662" s="396" t="str">
        <f t="shared" si="4"/>
        <v/>
      </c>
      <c r="AI662" s="388"/>
      <c r="AJ662" s="388"/>
      <c r="AK662" s="397"/>
    </row>
    <row r="663">
      <c r="A663" s="398"/>
      <c r="B663" s="386"/>
      <c r="C663" s="387" t="str">
        <f>IF(A663="","",IFERROR(IF(VLOOKUP(A663,'1. Inbound Leads'!A:G,7,FALSE)=0,"",VLOOKUP(A663,'1. Inbound Leads'!A:G,7,FALSE)),""))</f>
        <v/>
      </c>
      <c r="D663" s="387" t="str">
        <f>IF(A663="","",IFERROR(IF(VLOOKUP(A663,'1. Inbound Leads'!A:L,12,FALSE)=0,"",VLOOKUP(A663,'1. Inbound Leads'!A:L,12,FALSE)),""))</f>
        <v/>
      </c>
      <c r="E663" s="388"/>
      <c r="F663" s="389"/>
      <c r="G663" s="387"/>
      <c r="H663" s="387"/>
      <c r="I663" s="387"/>
      <c r="J663" s="387"/>
      <c r="K663" s="387"/>
      <c r="L663" s="387"/>
      <c r="M663" s="388"/>
      <c r="N663" s="388"/>
      <c r="O663" s="390"/>
      <c r="P663" s="391"/>
      <c r="Q663" s="389"/>
      <c r="R663" s="390"/>
      <c r="S663" s="390"/>
      <c r="T663" s="391"/>
      <c r="U663" s="392"/>
      <c r="V663" s="391"/>
      <c r="W663" s="391"/>
      <c r="X663" s="388"/>
      <c r="Y663" s="391"/>
      <c r="Z663" s="393"/>
      <c r="AA663" s="355" t="str">
        <f t="shared" si="1"/>
        <v/>
      </c>
      <c r="AB663" s="391"/>
      <c r="AC663" s="394" t="str">
        <f t="shared" si="2"/>
        <v/>
      </c>
      <c r="AD663" s="389"/>
      <c r="AE663" s="399"/>
      <c r="AF663" s="395"/>
      <c r="AG663" s="396" t="str">
        <f t="shared" si="3"/>
        <v/>
      </c>
      <c r="AH663" s="396" t="str">
        <f t="shared" si="4"/>
        <v/>
      </c>
      <c r="AI663" s="388"/>
      <c r="AJ663" s="388"/>
      <c r="AK663" s="397"/>
    </row>
    <row r="664">
      <c r="A664" s="398"/>
      <c r="B664" s="386"/>
      <c r="C664" s="387" t="str">
        <f>IF(A664="","",IFERROR(IF(VLOOKUP(A664,'1. Inbound Leads'!A:G,7,FALSE)=0,"",VLOOKUP(A664,'1. Inbound Leads'!A:G,7,FALSE)),""))</f>
        <v/>
      </c>
      <c r="D664" s="387" t="str">
        <f>IF(A664="","",IFERROR(IF(VLOOKUP(A664,'1. Inbound Leads'!A:L,12,FALSE)=0,"",VLOOKUP(A664,'1. Inbound Leads'!A:L,12,FALSE)),""))</f>
        <v/>
      </c>
      <c r="E664" s="388"/>
      <c r="F664" s="389"/>
      <c r="G664" s="387"/>
      <c r="H664" s="387"/>
      <c r="I664" s="387"/>
      <c r="J664" s="387"/>
      <c r="K664" s="387"/>
      <c r="L664" s="387"/>
      <c r="M664" s="388"/>
      <c r="N664" s="388"/>
      <c r="O664" s="390"/>
      <c r="P664" s="391"/>
      <c r="Q664" s="389"/>
      <c r="R664" s="390"/>
      <c r="S664" s="390"/>
      <c r="T664" s="391"/>
      <c r="U664" s="392"/>
      <c r="V664" s="391"/>
      <c r="W664" s="391"/>
      <c r="X664" s="388"/>
      <c r="Y664" s="391"/>
      <c r="Z664" s="393"/>
      <c r="AA664" s="355" t="str">
        <f t="shared" si="1"/>
        <v/>
      </c>
      <c r="AB664" s="391"/>
      <c r="AC664" s="394" t="str">
        <f t="shared" si="2"/>
        <v/>
      </c>
      <c r="AD664" s="389"/>
      <c r="AE664" s="399"/>
      <c r="AF664" s="395"/>
      <c r="AG664" s="396" t="str">
        <f t="shared" si="3"/>
        <v/>
      </c>
      <c r="AH664" s="396" t="str">
        <f t="shared" si="4"/>
        <v/>
      </c>
      <c r="AI664" s="388"/>
      <c r="AJ664" s="388"/>
      <c r="AK664" s="397"/>
    </row>
    <row r="665">
      <c r="A665" s="398"/>
      <c r="B665" s="386"/>
      <c r="C665" s="387" t="str">
        <f>IF(A665="","",IFERROR(IF(VLOOKUP(A665,'1. Inbound Leads'!A:G,7,FALSE)=0,"",VLOOKUP(A665,'1. Inbound Leads'!A:G,7,FALSE)),""))</f>
        <v/>
      </c>
      <c r="D665" s="387" t="str">
        <f>IF(A665="","",IFERROR(IF(VLOOKUP(A665,'1. Inbound Leads'!A:L,12,FALSE)=0,"",VLOOKUP(A665,'1. Inbound Leads'!A:L,12,FALSE)),""))</f>
        <v/>
      </c>
      <c r="E665" s="388"/>
      <c r="F665" s="389"/>
      <c r="G665" s="387"/>
      <c r="H665" s="387"/>
      <c r="I665" s="387"/>
      <c r="J665" s="387"/>
      <c r="K665" s="387"/>
      <c r="L665" s="387"/>
      <c r="M665" s="388"/>
      <c r="N665" s="388"/>
      <c r="O665" s="390"/>
      <c r="P665" s="391"/>
      <c r="Q665" s="389"/>
      <c r="R665" s="390"/>
      <c r="S665" s="390"/>
      <c r="T665" s="391"/>
      <c r="U665" s="392"/>
      <c r="V665" s="391"/>
      <c r="W665" s="391"/>
      <c r="X665" s="388"/>
      <c r="Y665" s="391"/>
      <c r="Z665" s="393"/>
      <c r="AA665" s="355" t="str">
        <f t="shared" si="1"/>
        <v/>
      </c>
      <c r="AB665" s="391"/>
      <c r="AC665" s="394" t="str">
        <f t="shared" si="2"/>
        <v/>
      </c>
      <c r="AD665" s="389"/>
      <c r="AE665" s="399"/>
      <c r="AF665" s="395"/>
      <c r="AG665" s="396" t="str">
        <f t="shared" si="3"/>
        <v/>
      </c>
      <c r="AH665" s="396" t="str">
        <f t="shared" si="4"/>
        <v/>
      </c>
      <c r="AI665" s="388"/>
      <c r="AJ665" s="388"/>
      <c r="AK665" s="397"/>
    </row>
    <row r="666">
      <c r="A666" s="398"/>
      <c r="B666" s="386"/>
      <c r="C666" s="387" t="str">
        <f>IF(A666="","",IFERROR(IF(VLOOKUP(A666,'1. Inbound Leads'!A:G,7,FALSE)=0,"",VLOOKUP(A666,'1. Inbound Leads'!A:G,7,FALSE)),""))</f>
        <v/>
      </c>
      <c r="D666" s="387" t="str">
        <f>IF(A666="","",IFERROR(IF(VLOOKUP(A666,'1. Inbound Leads'!A:L,12,FALSE)=0,"",VLOOKUP(A666,'1. Inbound Leads'!A:L,12,FALSE)),""))</f>
        <v/>
      </c>
      <c r="E666" s="388"/>
      <c r="F666" s="389"/>
      <c r="G666" s="387"/>
      <c r="H666" s="387"/>
      <c r="I666" s="387"/>
      <c r="J666" s="387"/>
      <c r="K666" s="387"/>
      <c r="L666" s="387"/>
      <c r="M666" s="388"/>
      <c r="N666" s="388"/>
      <c r="O666" s="390"/>
      <c r="P666" s="391"/>
      <c r="Q666" s="389"/>
      <c r="R666" s="390"/>
      <c r="S666" s="390"/>
      <c r="T666" s="391"/>
      <c r="U666" s="392"/>
      <c r="V666" s="391"/>
      <c r="W666" s="391"/>
      <c r="X666" s="388"/>
      <c r="Y666" s="391"/>
      <c r="Z666" s="393"/>
      <c r="AA666" s="355" t="str">
        <f t="shared" si="1"/>
        <v/>
      </c>
      <c r="AB666" s="391"/>
      <c r="AC666" s="394" t="str">
        <f t="shared" si="2"/>
        <v/>
      </c>
      <c r="AD666" s="389"/>
      <c r="AE666" s="399"/>
      <c r="AF666" s="395"/>
      <c r="AG666" s="396" t="str">
        <f t="shared" si="3"/>
        <v/>
      </c>
      <c r="AH666" s="396" t="str">
        <f t="shared" si="4"/>
        <v/>
      </c>
      <c r="AI666" s="388"/>
      <c r="AJ666" s="388"/>
      <c r="AK666" s="397"/>
    </row>
    <row r="667">
      <c r="A667" s="398"/>
      <c r="B667" s="386"/>
      <c r="C667" s="387" t="str">
        <f>IF(A667="","",IFERROR(IF(VLOOKUP(A667,'1. Inbound Leads'!A:G,7,FALSE)=0,"",VLOOKUP(A667,'1. Inbound Leads'!A:G,7,FALSE)),""))</f>
        <v/>
      </c>
      <c r="D667" s="387" t="str">
        <f>IF(A667="","",IFERROR(IF(VLOOKUP(A667,'1. Inbound Leads'!A:L,12,FALSE)=0,"",VLOOKUP(A667,'1. Inbound Leads'!A:L,12,FALSE)),""))</f>
        <v/>
      </c>
      <c r="E667" s="388"/>
      <c r="F667" s="389"/>
      <c r="G667" s="387"/>
      <c r="H667" s="387"/>
      <c r="I667" s="387"/>
      <c r="J667" s="387"/>
      <c r="K667" s="387"/>
      <c r="L667" s="387"/>
      <c r="M667" s="388"/>
      <c r="N667" s="388"/>
      <c r="O667" s="390"/>
      <c r="P667" s="391"/>
      <c r="Q667" s="389"/>
      <c r="R667" s="390"/>
      <c r="S667" s="390"/>
      <c r="T667" s="391"/>
      <c r="U667" s="392"/>
      <c r="V667" s="391"/>
      <c r="W667" s="391"/>
      <c r="X667" s="388"/>
      <c r="Y667" s="391"/>
      <c r="Z667" s="393"/>
      <c r="AA667" s="355" t="str">
        <f t="shared" si="1"/>
        <v/>
      </c>
      <c r="AB667" s="391"/>
      <c r="AC667" s="394" t="str">
        <f t="shared" si="2"/>
        <v/>
      </c>
      <c r="AD667" s="389"/>
      <c r="AE667" s="399"/>
      <c r="AF667" s="395"/>
      <c r="AG667" s="396" t="str">
        <f t="shared" si="3"/>
        <v/>
      </c>
      <c r="AH667" s="396" t="str">
        <f t="shared" si="4"/>
        <v/>
      </c>
      <c r="AI667" s="388"/>
      <c r="AJ667" s="388"/>
      <c r="AK667" s="397"/>
    </row>
    <row r="668">
      <c r="A668" s="398"/>
      <c r="B668" s="386"/>
      <c r="C668" s="387" t="str">
        <f>IF(A668="","",IFERROR(IF(VLOOKUP(A668,'1. Inbound Leads'!A:G,7,FALSE)=0,"",VLOOKUP(A668,'1. Inbound Leads'!A:G,7,FALSE)),""))</f>
        <v/>
      </c>
      <c r="D668" s="387" t="str">
        <f>IF(A668="","",IFERROR(IF(VLOOKUP(A668,'1. Inbound Leads'!A:L,12,FALSE)=0,"",VLOOKUP(A668,'1. Inbound Leads'!A:L,12,FALSE)),""))</f>
        <v/>
      </c>
      <c r="E668" s="388"/>
      <c r="F668" s="389"/>
      <c r="G668" s="387"/>
      <c r="H668" s="387"/>
      <c r="I668" s="387"/>
      <c r="J668" s="387"/>
      <c r="K668" s="387"/>
      <c r="L668" s="387"/>
      <c r="M668" s="388"/>
      <c r="N668" s="388"/>
      <c r="O668" s="390"/>
      <c r="P668" s="391"/>
      <c r="Q668" s="389"/>
      <c r="R668" s="390"/>
      <c r="S668" s="390"/>
      <c r="T668" s="391"/>
      <c r="U668" s="392"/>
      <c r="V668" s="391"/>
      <c r="W668" s="391"/>
      <c r="X668" s="388"/>
      <c r="Y668" s="391"/>
      <c r="Z668" s="393"/>
      <c r="AA668" s="355" t="str">
        <f t="shared" si="1"/>
        <v/>
      </c>
      <c r="AB668" s="391"/>
      <c r="AC668" s="394" t="str">
        <f t="shared" si="2"/>
        <v/>
      </c>
      <c r="AD668" s="389"/>
      <c r="AE668" s="399"/>
      <c r="AF668" s="395"/>
      <c r="AG668" s="396" t="str">
        <f t="shared" si="3"/>
        <v/>
      </c>
      <c r="AH668" s="396" t="str">
        <f t="shared" si="4"/>
        <v/>
      </c>
      <c r="AI668" s="388"/>
      <c r="AJ668" s="388"/>
      <c r="AK668" s="397"/>
    </row>
    <row r="669">
      <c r="A669" s="398"/>
      <c r="B669" s="386"/>
      <c r="C669" s="387" t="str">
        <f>IF(A669="","",IFERROR(IF(VLOOKUP(A669,'1. Inbound Leads'!A:G,7,FALSE)=0,"",VLOOKUP(A669,'1. Inbound Leads'!A:G,7,FALSE)),""))</f>
        <v/>
      </c>
      <c r="D669" s="387" t="str">
        <f>IF(A669="","",IFERROR(IF(VLOOKUP(A669,'1. Inbound Leads'!A:L,12,FALSE)=0,"",VLOOKUP(A669,'1. Inbound Leads'!A:L,12,FALSE)),""))</f>
        <v/>
      </c>
      <c r="E669" s="388"/>
      <c r="F669" s="389"/>
      <c r="G669" s="387"/>
      <c r="H669" s="387"/>
      <c r="I669" s="387"/>
      <c r="J669" s="387"/>
      <c r="K669" s="387"/>
      <c r="L669" s="387"/>
      <c r="M669" s="388"/>
      <c r="N669" s="388"/>
      <c r="O669" s="390"/>
      <c r="P669" s="391"/>
      <c r="Q669" s="389"/>
      <c r="R669" s="390"/>
      <c r="S669" s="390"/>
      <c r="T669" s="391"/>
      <c r="U669" s="392"/>
      <c r="V669" s="391"/>
      <c r="W669" s="391"/>
      <c r="X669" s="388"/>
      <c r="Y669" s="391"/>
      <c r="Z669" s="393"/>
      <c r="AA669" s="355" t="str">
        <f t="shared" si="1"/>
        <v/>
      </c>
      <c r="AB669" s="391"/>
      <c r="AC669" s="394" t="str">
        <f t="shared" si="2"/>
        <v/>
      </c>
      <c r="AD669" s="389"/>
      <c r="AE669" s="399"/>
      <c r="AF669" s="395"/>
      <c r="AG669" s="396" t="str">
        <f t="shared" si="3"/>
        <v/>
      </c>
      <c r="AH669" s="396" t="str">
        <f t="shared" si="4"/>
        <v/>
      </c>
      <c r="AI669" s="388"/>
      <c r="AJ669" s="388"/>
      <c r="AK669" s="397"/>
    </row>
    <row r="670">
      <c r="A670" s="398"/>
      <c r="B670" s="386"/>
      <c r="C670" s="387" t="str">
        <f>IF(A670="","",IFERROR(IF(VLOOKUP(A670,'1. Inbound Leads'!A:G,7,FALSE)=0,"",VLOOKUP(A670,'1. Inbound Leads'!A:G,7,FALSE)),""))</f>
        <v/>
      </c>
      <c r="D670" s="387" t="str">
        <f>IF(A670="","",IFERROR(IF(VLOOKUP(A670,'1. Inbound Leads'!A:L,12,FALSE)=0,"",VLOOKUP(A670,'1. Inbound Leads'!A:L,12,FALSE)),""))</f>
        <v/>
      </c>
      <c r="E670" s="388"/>
      <c r="F670" s="389"/>
      <c r="G670" s="387"/>
      <c r="H670" s="387"/>
      <c r="I670" s="387"/>
      <c r="J670" s="387"/>
      <c r="K670" s="387"/>
      <c r="L670" s="387"/>
      <c r="M670" s="388"/>
      <c r="N670" s="388"/>
      <c r="O670" s="390"/>
      <c r="P670" s="391"/>
      <c r="Q670" s="389"/>
      <c r="R670" s="390"/>
      <c r="S670" s="390"/>
      <c r="T670" s="391"/>
      <c r="U670" s="392"/>
      <c r="V670" s="391"/>
      <c r="W670" s="391"/>
      <c r="X670" s="388"/>
      <c r="Y670" s="391"/>
      <c r="Z670" s="393"/>
      <c r="AA670" s="355" t="str">
        <f t="shared" si="1"/>
        <v/>
      </c>
      <c r="AB670" s="391"/>
      <c r="AC670" s="394" t="str">
        <f t="shared" si="2"/>
        <v/>
      </c>
      <c r="AD670" s="389"/>
      <c r="AE670" s="399"/>
      <c r="AF670" s="395"/>
      <c r="AG670" s="396" t="str">
        <f t="shared" si="3"/>
        <v/>
      </c>
      <c r="AH670" s="396" t="str">
        <f t="shared" si="4"/>
        <v/>
      </c>
      <c r="AI670" s="388"/>
      <c r="AJ670" s="388"/>
      <c r="AK670" s="397"/>
    </row>
    <row r="671">
      <c r="A671" s="398"/>
      <c r="B671" s="386"/>
      <c r="C671" s="387" t="str">
        <f>IF(A671="","",IFERROR(IF(VLOOKUP(A671,'1. Inbound Leads'!A:G,7,FALSE)=0,"",VLOOKUP(A671,'1. Inbound Leads'!A:G,7,FALSE)),""))</f>
        <v/>
      </c>
      <c r="D671" s="387" t="str">
        <f>IF(A671="","",IFERROR(IF(VLOOKUP(A671,'1. Inbound Leads'!A:L,12,FALSE)=0,"",VLOOKUP(A671,'1. Inbound Leads'!A:L,12,FALSE)),""))</f>
        <v/>
      </c>
      <c r="E671" s="388"/>
      <c r="F671" s="389"/>
      <c r="G671" s="387"/>
      <c r="H671" s="387"/>
      <c r="I671" s="387"/>
      <c r="J671" s="387"/>
      <c r="K671" s="387"/>
      <c r="L671" s="387"/>
      <c r="M671" s="388"/>
      <c r="N671" s="388"/>
      <c r="O671" s="390"/>
      <c r="P671" s="391"/>
      <c r="Q671" s="389"/>
      <c r="R671" s="390"/>
      <c r="S671" s="390"/>
      <c r="T671" s="391"/>
      <c r="U671" s="392"/>
      <c r="V671" s="391"/>
      <c r="W671" s="391"/>
      <c r="X671" s="388"/>
      <c r="Y671" s="391"/>
      <c r="Z671" s="393"/>
      <c r="AA671" s="355" t="str">
        <f t="shared" si="1"/>
        <v/>
      </c>
      <c r="AB671" s="391"/>
      <c r="AC671" s="394" t="str">
        <f t="shared" si="2"/>
        <v/>
      </c>
      <c r="AD671" s="389"/>
      <c r="AE671" s="399"/>
      <c r="AF671" s="395"/>
      <c r="AG671" s="396" t="str">
        <f t="shared" si="3"/>
        <v/>
      </c>
      <c r="AH671" s="396" t="str">
        <f t="shared" si="4"/>
        <v/>
      </c>
      <c r="AI671" s="388"/>
      <c r="AJ671" s="388"/>
      <c r="AK671" s="397"/>
    </row>
    <row r="672">
      <c r="A672" s="398"/>
      <c r="B672" s="386"/>
      <c r="C672" s="387" t="str">
        <f>IF(A672="","",IFERROR(IF(VLOOKUP(A672,'1. Inbound Leads'!A:G,7,FALSE)=0,"",VLOOKUP(A672,'1. Inbound Leads'!A:G,7,FALSE)),""))</f>
        <v/>
      </c>
      <c r="D672" s="387" t="str">
        <f>IF(A672="","",IFERROR(IF(VLOOKUP(A672,'1. Inbound Leads'!A:L,12,FALSE)=0,"",VLOOKUP(A672,'1. Inbound Leads'!A:L,12,FALSE)),""))</f>
        <v/>
      </c>
      <c r="E672" s="388"/>
      <c r="F672" s="389"/>
      <c r="G672" s="387"/>
      <c r="H672" s="387"/>
      <c r="I672" s="387"/>
      <c r="J672" s="387"/>
      <c r="K672" s="387"/>
      <c r="L672" s="387"/>
      <c r="M672" s="388"/>
      <c r="N672" s="388"/>
      <c r="O672" s="390"/>
      <c r="P672" s="391"/>
      <c r="Q672" s="389"/>
      <c r="R672" s="390"/>
      <c r="S672" s="390"/>
      <c r="T672" s="391"/>
      <c r="U672" s="392"/>
      <c r="V672" s="391"/>
      <c r="W672" s="391"/>
      <c r="X672" s="388"/>
      <c r="Y672" s="391"/>
      <c r="Z672" s="393"/>
      <c r="AA672" s="355" t="str">
        <f t="shared" si="1"/>
        <v/>
      </c>
      <c r="AB672" s="391"/>
      <c r="AC672" s="394" t="str">
        <f t="shared" si="2"/>
        <v/>
      </c>
      <c r="AD672" s="389"/>
      <c r="AE672" s="399"/>
      <c r="AF672" s="395"/>
      <c r="AG672" s="396" t="str">
        <f t="shared" si="3"/>
        <v/>
      </c>
      <c r="AH672" s="396" t="str">
        <f t="shared" si="4"/>
        <v/>
      </c>
      <c r="AI672" s="388"/>
      <c r="AJ672" s="388"/>
      <c r="AK672" s="397"/>
    </row>
    <row r="673">
      <c r="A673" s="398"/>
      <c r="B673" s="386"/>
      <c r="C673" s="387" t="str">
        <f>IF(A673="","",IFERROR(IF(VLOOKUP(A673,'1. Inbound Leads'!A:G,7,FALSE)=0,"",VLOOKUP(A673,'1. Inbound Leads'!A:G,7,FALSE)),""))</f>
        <v/>
      </c>
      <c r="D673" s="387" t="str">
        <f>IF(A673="","",IFERROR(IF(VLOOKUP(A673,'1. Inbound Leads'!A:L,12,FALSE)=0,"",VLOOKUP(A673,'1. Inbound Leads'!A:L,12,FALSE)),""))</f>
        <v/>
      </c>
      <c r="E673" s="388"/>
      <c r="F673" s="389"/>
      <c r="G673" s="387"/>
      <c r="H673" s="387"/>
      <c r="I673" s="387"/>
      <c r="J673" s="387"/>
      <c r="K673" s="387"/>
      <c r="L673" s="387"/>
      <c r="M673" s="388"/>
      <c r="N673" s="388"/>
      <c r="O673" s="390"/>
      <c r="P673" s="391"/>
      <c r="Q673" s="389"/>
      <c r="R673" s="390"/>
      <c r="S673" s="390"/>
      <c r="T673" s="391"/>
      <c r="U673" s="392"/>
      <c r="V673" s="391"/>
      <c r="W673" s="391"/>
      <c r="X673" s="388"/>
      <c r="Y673" s="391"/>
      <c r="Z673" s="393"/>
      <c r="AA673" s="355" t="str">
        <f t="shared" si="1"/>
        <v/>
      </c>
      <c r="AB673" s="391"/>
      <c r="AC673" s="394" t="str">
        <f t="shared" si="2"/>
        <v/>
      </c>
      <c r="AD673" s="389"/>
      <c r="AE673" s="399"/>
      <c r="AF673" s="395"/>
      <c r="AG673" s="396" t="str">
        <f t="shared" si="3"/>
        <v/>
      </c>
      <c r="AH673" s="396" t="str">
        <f t="shared" si="4"/>
        <v/>
      </c>
      <c r="AI673" s="388"/>
      <c r="AJ673" s="388"/>
      <c r="AK673" s="397"/>
    </row>
    <row r="674">
      <c r="A674" s="398"/>
      <c r="B674" s="386"/>
      <c r="C674" s="387" t="str">
        <f>IF(A674="","",IFERROR(IF(VLOOKUP(A674,'1. Inbound Leads'!A:G,7,FALSE)=0,"",VLOOKUP(A674,'1. Inbound Leads'!A:G,7,FALSE)),""))</f>
        <v/>
      </c>
      <c r="D674" s="387" t="str">
        <f>IF(A674="","",IFERROR(IF(VLOOKUP(A674,'1. Inbound Leads'!A:L,12,FALSE)=0,"",VLOOKUP(A674,'1. Inbound Leads'!A:L,12,FALSE)),""))</f>
        <v/>
      </c>
      <c r="E674" s="388"/>
      <c r="F674" s="389"/>
      <c r="G674" s="387"/>
      <c r="H674" s="387"/>
      <c r="I674" s="387"/>
      <c r="J674" s="387"/>
      <c r="K674" s="387"/>
      <c r="L674" s="387"/>
      <c r="M674" s="388"/>
      <c r="N674" s="388"/>
      <c r="O674" s="390"/>
      <c r="P674" s="391"/>
      <c r="Q674" s="389"/>
      <c r="R674" s="390"/>
      <c r="S674" s="390"/>
      <c r="T674" s="391"/>
      <c r="U674" s="392"/>
      <c r="V674" s="391"/>
      <c r="W674" s="391"/>
      <c r="X674" s="388"/>
      <c r="Y674" s="391"/>
      <c r="Z674" s="393"/>
      <c r="AA674" s="355" t="str">
        <f t="shared" si="1"/>
        <v/>
      </c>
      <c r="AB674" s="391"/>
      <c r="AC674" s="394" t="str">
        <f t="shared" si="2"/>
        <v/>
      </c>
      <c r="AD674" s="389"/>
      <c r="AE674" s="399"/>
      <c r="AF674" s="395"/>
      <c r="AG674" s="396" t="str">
        <f t="shared" si="3"/>
        <v/>
      </c>
      <c r="AH674" s="396" t="str">
        <f t="shared" si="4"/>
        <v/>
      </c>
      <c r="AI674" s="388"/>
      <c r="AJ674" s="388"/>
      <c r="AK674" s="397"/>
    </row>
    <row r="675">
      <c r="A675" s="398"/>
      <c r="B675" s="386"/>
      <c r="C675" s="387" t="str">
        <f>IF(A675="","",IFERROR(IF(VLOOKUP(A675,'1. Inbound Leads'!A:G,7,FALSE)=0,"",VLOOKUP(A675,'1. Inbound Leads'!A:G,7,FALSE)),""))</f>
        <v/>
      </c>
      <c r="D675" s="387" t="str">
        <f>IF(A675="","",IFERROR(IF(VLOOKUP(A675,'1. Inbound Leads'!A:L,12,FALSE)=0,"",VLOOKUP(A675,'1. Inbound Leads'!A:L,12,FALSE)),""))</f>
        <v/>
      </c>
      <c r="E675" s="388"/>
      <c r="F675" s="389"/>
      <c r="G675" s="387"/>
      <c r="H675" s="387"/>
      <c r="I675" s="387"/>
      <c r="J675" s="387"/>
      <c r="K675" s="387"/>
      <c r="L675" s="387"/>
      <c r="M675" s="388"/>
      <c r="N675" s="388"/>
      <c r="O675" s="390"/>
      <c r="P675" s="391"/>
      <c r="Q675" s="389"/>
      <c r="R675" s="390"/>
      <c r="S675" s="390"/>
      <c r="T675" s="391"/>
      <c r="U675" s="392"/>
      <c r="V675" s="391"/>
      <c r="W675" s="391"/>
      <c r="X675" s="388"/>
      <c r="Y675" s="391"/>
      <c r="Z675" s="393"/>
      <c r="AA675" s="355" t="str">
        <f t="shared" si="1"/>
        <v/>
      </c>
      <c r="AB675" s="391"/>
      <c r="AC675" s="394" t="str">
        <f t="shared" si="2"/>
        <v/>
      </c>
      <c r="AD675" s="389"/>
      <c r="AE675" s="399"/>
      <c r="AF675" s="395"/>
      <c r="AG675" s="396" t="str">
        <f t="shared" si="3"/>
        <v/>
      </c>
      <c r="AH675" s="396" t="str">
        <f t="shared" si="4"/>
        <v/>
      </c>
      <c r="AI675" s="388"/>
      <c r="AJ675" s="388"/>
      <c r="AK675" s="397"/>
    </row>
    <row r="676">
      <c r="A676" s="398"/>
      <c r="B676" s="386"/>
      <c r="C676" s="387" t="str">
        <f>IF(A676="","",IFERROR(IF(VLOOKUP(A676,'1. Inbound Leads'!A:G,7,FALSE)=0,"",VLOOKUP(A676,'1. Inbound Leads'!A:G,7,FALSE)),""))</f>
        <v/>
      </c>
      <c r="D676" s="387" t="str">
        <f>IF(A676="","",IFERROR(IF(VLOOKUP(A676,'1. Inbound Leads'!A:L,12,FALSE)=0,"",VLOOKUP(A676,'1. Inbound Leads'!A:L,12,FALSE)),""))</f>
        <v/>
      </c>
      <c r="E676" s="388"/>
      <c r="F676" s="389"/>
      <c r="G676" s="387"/>
      <c r="H676" s="387"/>
      <c r="I676" s="387"/>
      <c r="J676" s="387"/>
      <c r="K676" s="387"/>
      <c r="L676" s="387"/>
      <c r="M676" s="388"/>
      <c r="N676" s="388"/>
      <c r="O676" s="390"/>
      <c r="P676" s="391"/>
      <c r="Q676" s="389"/>
      <c r="R676" s="390"/>
      <c r="S676" s="390"/>
      <c r="T676" s="391"/>
      <c r="U676" s="392"/>
      <c r="V676" s="391"/>
      <c r="W676" s="391"/>
      <c r="X676" s="388"/>
      <c r="Y676" s="391"/>
      <c r="Z676" s="393"/>
      <c r="AA676" s="355" t="str">
        <f t="shared" si="1"/>
        <v/>
      </c>
      <c r="AB676" s="391"/>
      <c r="AC676" s="394" t="str">
        <f t="shared" si="2"/>
        <v/>
      </c>
      <c r="AD676" s="389"/>
      <c r="AE676" s="399"/>
      <c r="AF676" s="395"/>
      <c r="AG676" s="396" t="str">
        <f t="shared" si="3"/>
        <v/>
      </c>
      <c r="AH676" s="396" t="str">
        <f t="shared" si="4"/>
        <v/>
      </c>
      <c r="AI676" s="388"/>
      <c r="AJ676" s="388"/>
      <c r="AK676" s="397"/>
    </row>
    <row r="677">
      <c r="A677" s="398"/>
      <c r="B677" s="386"/>
      <c r="C677" s="387" t="str">
        <f>IF(A677="","",IFERROR(IF(VLOOKUP(A677,'1. Inbound Leads'!A:G,7,FALSE)=0,"",VLOOKUP(A677,'1. Inbound Leads'!A:G,7,FALSE)),""))</f>
        <v/>
      </c>
      <c r="D677" s="387" t="str">
        <f>IF(A677="","",IFERROR(IF(VLOOKUP(A677,'1. Inbound Leads'!A:L,12,FALSE)=0,"",VLOOKUP(A677,'1. Inbound Leads'!A:L,12,FALSE)),""))</f>
        <v/>
      </c>
      <c r="E677" s="388"/>
      <c r="F677" s="389"/>
      <c r="G677" s="387"/>
      <c r="H677" s="387"/>
      <c r="I677" s="387"/>
      <c r="J677" s="387"/>
      <c r="K677" s="387"/>
      <c r="L677" s="387"/>
      <c r="M677" s="388"/>
      <c r="N677" s="388"/>
      <c r="O677" s="390"/>
      <c r="P677" s="391"/>
      <c r="Q677" s="389"/>
      <c r="R677" s="390"/>
      <c r="S677" s="390"/>
      <c r="T677" s="391"/>
      <c r="U677" s="392"/>
      <c r="V677" s="391"/>
      <c r="W677" s="391"/>
      <c r="X677" s="388"/>
      <c r="Y677" s="391"/>
      <c r="Z677" s="393"/>
      <c r="AA677" s="355" t="str">
        <f t="shared" si="1"/>
        <v/>
      </c>
      <c r="AB677" s="391"/>
      <c r="AC677" s="394" t="str">
        <f t="shared" si="2"/>
        <v/>
      </c>
      <c r="AD677" s="389"/>
      <c r="AE677" s="399"/>
      <c r="AF677" s="395"/>
      <c r="AG677" s="396" t="str">
        <f t="shared" si="3"/>
        <v/>
      </c>
      <c r="AH677" s="396" t="str">
        <f t="shared" si="4"/>
        <v/>
      </c>
      <c r="AI677" s="388"/>
      <c r="AJ677" s="388"/>
      <c r="AK677" s="397"/>
    </row>
    <row r="678">
      <c r="A678" s="398"/>
      <c r="B678" s="386"/>
      <c r="C678" s="387" t="str">
        <f>IF(A678="","",IFERROR(IF(VLOOKUP(A678,'1. Inbound Leads'!A:G,7,FALSE)=0,"",VLOOKUP(A678,'1. Inbound Leads'!A:G,7,FALSE)),""))</f>
        <v/>
      </c>
      <c r="D678" s="387" t="str">
        <f>IF(A678="","",IFERROR(IF(VLOOKUP(A678,'1. Inbound Leads'!A:L,12,FALSE)=0,"",VLOOKUP(A678,'1. Inbound Leads'!A:L,12,FALSE)),""))</f>
        <v/>
      </c>
      <c r="E678" s="388"/>
      <c r="F678" s="389"/>
      <c r="G678" s="387"/>
      <c r="H678" s="387"/>
      <c r="I678" s="387"/>
      <c r="J678" s="387"/>
      <c r="K678" s="387"/>
      <c r="L678" s="387"/>
      <c r="M678" s="388"/>
      <c r="N678" s="388"/>
      <c r="O678" s="390"/>
      <c r="P678" s="391"/>
      <c r="Q678" s="389"/>
      <c r="R678" s="390"/>
      <c r="S678" s="390"/>
      <c r="T678" s="391"/>
      <c r="U678" s="392"/>
      <c r="V678" s="391"/>
      <c r="W678" s="391"/>
      <c r="X678" s="388"/>
      <c r="Y678" s="391"/>
      <c r="Z678" s="393"/>
      <c r="AA678" s="355" t="str">
        <f t="shared" si="1"/>
        <v/>
      </c>
      <c r="AB678" s="391"/>
      <c r="AC678" s="394" t="str">
        <f t="shared" si="2"/>
        <v/>
      </c>
      <c r="AD678" s="389"/>
      <c r="AE678" s="399"/>
      <c r="AF678" s="395"/>
      <c r="AG678" s="396" t="str">
        <f t="shared" si="3"/>
        <v/>
      </c>
      <c r="AH678" s="396" t="str">
        <f t="shared" si="4"/>
        <v/>
      </c>
      <c r="AI678" s="388"/>
      <c r="AJ678" s="388"/>
      <c r="AK678" s="397"/>
    </row>
    <row r="679">
      <c r="A679" s="398"/>
      <c r="B679" s="386"/>
      <c r="C679" s="387" t="str">
        <f>IF(A679="","",IFERROR(IF(VLOOKUP(A679,'1. Inbound Leads'!A:G,7,FALSE)=0,"",VLOOKUP(A679,'1. Inbound Leads'!A:G,7,FALSE)),""))</f>
        <v/>
      </c>
      <c r="D679" s="387" t="str">
        <f>IF(A679="","",IFERROR(IF(VLOOKUP(A679,'1. Inbound Leads'!A:L,12,FALSE)=0,"",VLOOKUP(A679,'1. Inbound Leads'!A:L,12,FALSE)),""))</f>
        <v/>
      </c>
      <c r="E679" s="388"/>
      <c r="F679" s="389"/>
      <c r="G679" s="387"/>
      <c r="H679" s="387"/>
      <c r="I679" s="387"/>
      <c r="J679" s="387"/>
      <c r="K679" s="387"/>
      <c r="L679" s="387"/>
      <c r="M679" s="388"/>
      <c r="N679" s="388"/>
      <c r="O679" s="390"/>
      <c r="P679" s="391"/>
      <c r="Q679" s="389"/>
      <c r="R679" s="390"/>
      <c r="S679" s="390"/>
      <c r="T679" s="391"/>
      <c r="U679" s="392"/>
      <c r="V679" s="391"/>
      <c r="W679" s="391"/>
      <c r="X679" s="388"/>
      <c r="Y679" s="391"/>
      <c r="Z679" s="393"/>
      <c r="AA679" s="355" t="str">
        <f t="shared" si="1"/>
        <v/>
      </c>
      <c r="AB679" s="391"/>
      <c r="AC679" s="394" t="str">
        <f t="shared" si="2"/>
        <v/>
      </c>
      <c r="AD679" s="389"/>
      <c r="AE679" s="399"/>
      <c r="AF679" s="395"/>
      <c r="AG679" s="396" t="str">
        <f t="shared" si="3"/>
        <v/>
      </c>
      <c r="AH679" s="396" t="str">
        <f t="shared" si="4"/>
        <v/>
      </c>
      <c r="AI679" s="388"/>
      <c r="AJ679" s="388"/>
      <c r="AK679" s="397"/>
    </row>
    <row r="680">
      <c r="A680" s="398"/>
      <c r="B680" s="386"/>
      <c r="C680" s="387" t="str">
        <f>IF(A680="","",IFERROR(IF(VLOOKUP(A680,'1. Inbound Leads'!A:G,7,FALSE)=0,"",VLOOKUP(A680,'1. Inbound Leads'!A:G,7,FALSE)),""))</f>
        <v/>
      </c>
      <c r="D680" s="387" t="str">
        <f>IF(A680="","",IFERROR(IF(VLOOKUP(A680,'1. Inbound Leads'!A:L,12,FALSE)=0,"",VLOOKUP(A680,'1. Inbound Leads'!A:L,12,FALSE)),""))</f>
        <v/>
      </c>
      <c r="E680" s="388"/>
      <c r="F680" s="389"/>
      <c r="G680" s="387"/>
      <c r="H680" s="387"/>
      <c r="I680" s="387"/>
      <c r="J680" s="387"/>
      <c r="K680" s="387"/>
      <c r="L680" s="387"/>
      <c r="M680" s="388"/>
      <c r="N680" s="388"/>
      <c r="O680" s="390"/>
      <c r="P680" s="391"/>
      <c r="Q680" s="389"/>
      <c r="R680" s="390"/>
      <c r="S680" s="390"/>
      <c r="T680" s="391"/>
      <c r="U680" s="392"/>
      <c r="V680" s="391"/>
      <c r="W680" s="391"/>
      <c r="X680" s="388"/>
      <c r="Y680" s="391"/>
      <c r="Z680" s="393"/>
      <c r="AA680" s="355" t="str">
        <f t="shared" si="1"/>
        <v/>
      </c>
      <c r="AB680" s="391"/>
      <c r="AC680" s="394" t="str">
        <f t="shared" si="2"/>
        <v/>
      </c>
      <c r="AD680" s="389"/>
      <c r="AE680" s="399"/>
      <c r="AF680" s="395"/>
      <c r="AG680" s="396" t="str">
        <f t="shared" si="3"/>
        <v/>
      </c>
      <c r="AH680" s="396" t="str">
        <f t="shared" si="4"/>
        <v/>
      </c>
      <c r="AI680" s="388"/>
      <c r="AJ680" s="388"/>
      <c r="AK680" s="397"/>
    </row>
    <row r="681">
      <c r="A681" s="398"/>
      <c r="B681" s="386"/>
      <c r="C681" s="387" t="str">
        <f>IF(A681="","",IFERROR(IF(VLOOKUP(A681,'1. Inbound Leads'!A:G,7,FALSE)=0,"",VLOOKUP(A681,'1. Inbound Leads'!A:G,7,FALSE)),""))</f>
        <v/>
      </c>
      <c r="D681" s="387" t="str">
        <f>IF(A681="","",IFERROR(IF(VLOOKUP(A681,'1. Inbound Leads'!A:L,12,FALSE)=0,"",VLOOKUP(A681,'1. Inbound Leads'!A:L,12,FALSE)),""))</f>
        <v/>
      </c>
      <c r="E681" s="388"/>
      <c r="F681" s="389"/>
      <c r="G681" s="387"/>
      <c r="H681" s="387"/>
      <c r="I681" s="387"/>
      <c r="J681" s="387"/>
      <c r="K681" s="387"/>
      <c r="L681" s="387"/>
      <c r="M681" s="388"/>
      <c r="N681" s="388"/>
      <c r="O681" s="390"/>
      <c r="P681" s="391"/>
      <c r="Q681" s="389"/>
      <c r="R681" s="390"/>
      <c r="S681" s="390"/>
      <c r="T681" s="391"/>
      <c r="U681" s="392"/>
      <c r="V681" s="391"/>
      <c r="W681" s="391"/>
      <c r="X681" s="388"/>
      <c r="Y681" s="391"/>
      <c r="Z681" s="393"/>
      <c r="AA681" s="355" t="str">
        <f t="shared" si="1"/>
        <v/>
      </c>
      <c r="AB681" s="391"/>
      <c r="AC681" s="394" t="str">
        <f t="shared" si="2"/>
        <v/>
      </c>
      <c r="AD681" s="389"/>
      <c r="AE681" s="399"/>
      <c r="AF681" s="395"/>
      <c r="AG681" s="396" t="str">
        <f t="shared" si="3"/>
        <v/>
      </c>
      <c r="AH681" s="396" t="str">
        <f t="shared" si="4"/>
        <v/>
      </c>
      <c r="AI681" s="388"/>
      <c r="AJ681" s="388"/>
      <c r="AK681" s="397"/>
    </row>
    <row r="682">
      <c r="A682" s="398"/>
      <c r="B682" s="386"/>
      <c r="C682" s="387" t="str">
        <f>IF(A682="","",IFERROR(IF(VLOOKUP(A682,'1. Inbound Leads'!A:G,7,FALSE)=0,"",VLOOKUP(A682,'1. Inbound Leads'!A:G,7,FALSE)),""))</f>
        <v/>
      </c>
      <c r="D682" s="387" t="str">
        <f>IF(A682="","",IFERROR(IF(VLOOKUP(A682,'1. Inbound Leads'!A:L,12,FALSE)=0,"",VLOOKUP(A682,'1. Inbound Leads'!A:L,12,FALSE)),""))</f>
        <v/>
      </c>
      <c r="E682" s="388"/>
      <c r="F682" s="389"/>
      <c r="G682" s="387"/>
      <c r="H682" s="387"/>
      <c r="I682" s="387"/>
      <c r="J682" s="387"/>
      <c r="K682" s="387"/>
      <c r="L682" s="387"/>
      <c r="M682" s="388"/>
      <c r="N682" s="388"/>
      <c r="O682" s="390"/>
      <c r="P682" s="391"/>
      <c r="Q682" s="389"/>
      <c r="R682" s="390"/>
      <c r="S682" s="390"/>
      <c r="T682" s="391"/>
      <c r="U682" s="392"/>
      <c r="V682" s="391"/>
      <c r="W682" s="391"/>
      <c r="X682" s="388"/>
      <c r="Y682" s="391"/>
      <c r="Z682" s="393"/>
      <c r="AA682" s="355" t="str">
        <f t="shared" si="1"/>
        <v/>
      </c>
      <c r="AB682" s="391"/>
      <c r="AC682" s="394" t="str">
        <f t="shared" si="2"/>
        <v/>
      </c>
      <c r="AD682" s="389"/>
      <c r="AE682" s="399"/>
      <c r="AF682" s="395"/>
      <c r="AG682" s="396" t="str">
        <f t="shared" si="3"/>
        <v/>
      </c>
      <c r="AH682" s="396" t="str">
        <f t="shared" si="4"/>
        <v/>
      </c>
      <c r="AI682" s="388"/>
      <c r="AJ682" s="388"/>
      <c r="AK682" s="397"/>
    </row>
    <row r="683">
      <c r="A683" s="398"/>
      <c r="B683" s="386"/>
      <c r="C683" s="387" t="str">
        <f>IF(A683="","",IFERROR(IF(VLOOKUP(A683,'1. Inbound Leads'!A:G,7,FALSE)=0,"",VLOOKUP(A683,'1. Inbound Leads'!A:G,7,FALSE)),""))</f>
        <v/>
      </c>
      <c r="D683" s="387" t="str">
        <f>IF(A683="","",IFERROR(IF(VLOOKUP(A683,'1. Inbound Leads'!A:L,12,FALSE)=0,"",VLOOKUP(A683,'1. Inbound Leads'!A:L,12,FALSE)),""))</f>
        <v/>
      </c>
      <c r="E683" s="388"/>
      <c r="F683" s="389"/>
      <c r="G683" s="387"/>
      <c r="H683" s="387"/>
      <c r="I683" s="387"/>
      <c r="J683" s="387"/>
      <c r="K683" s="387"/>
      <c r="L683" s="387"/>
      <c r="M683" s="388"/>
      <c r="N683" s="388"/>
      <c r="O683" s="390"/>
      <c r="P683" s="391"/>
      <c r="Q683" s="389"/>
      <c r="R683" s="390"/>
      <c r="S683" s="390"/>
      <c r="T683" s="391"/>
      <c r="U683" s="392"/>
      <c r="V683" s="391"/>
      <c r="W683" s="391"/>
      <c r="X683" s="388"/>
      <c r="Y683" s="391"/>
      <c r="Z683" s="393"/>
      <c r="AA683" s="355" t="str">
        <f t="shared" si="1"/>
        <v/>
      </c>
      <c r="AB683" s="391"/>
      <c r="AC683" s="394" t="str">
        <f t="shared" si="2"/>
        <v/>
      </c>
      <c r="AD683" s="389"/>
      <c r="AE683" s="399"/>
      <c r="AF683" s="395"/>
      <c r="AG683" s="396" t="str">
        <f t="shared" si="3"/>
        <v/>
      </c>
      <c r="AH683" s="396" t="str">
        <f t="shared" si="4"/>
        <v/>
      </c>
      <c r="AI683" s="388"/>
      <c r="AJ683" s="388"/>
      <c r="AK683" s="397"/>
    </row>
    <row r="684">
      <c r="A684" s="398"/>
      <c r="B684" s="386"/>
      <c r="C684" s="387" t="str">
        <f>IF(A684="","",IFERROR(IF(VLOOKUP(A684,'1. Inbound Leads'!A:G,7,FALSE)=0,"",VLOOKUP(A684,'1. Inbound Leads'!A:G,7,FALSE)),""))</f>
        <v/>
      </c>
      <c r="D684" s="387" t="str">
        <f>IF(A684="","",IFERROR(IF(VLOOKUP(A684,'1. Inbound Leads'!A:L,12,FALSE)=0,"",VLOOKUP(A684,'1. Inbound Leads'!A:L,12,FALSE)),""))</f>
        <v/>
      </c>
      <c r="E684" s="388"/>
      <c r="F684" s="389"/>
      <c r="G684" s="387"/>
      <c r="H684" s="387"/>
      <c r="I684" s="387"/>
      <c r="J684" s="387"/>
      <c r="K684" s="387"/>
      <c r="L684" s="387"/>
      <c r="M684" s="388"/>
      <c r="N684" s="388"/>
      <c r="O684" s="390"/>
      <c r="P684" s="391"/>
      <c r="Q684" s="389"/>
      <c r="R684" s="390"/>
      <c r="S684" s="390"/>
      <c r="T684" s="391"/>
      <c r="U684" s="392"/>
      <c r="V684" s="391"/>
      <c r="W684" s="391"/>
      <c r="X684" s="388"/>
      <c r="Y684" s="391"/>
      <c r="Z684" s="393"/>
      <c r="AA684" s="355" t="str">
        <f t="shared" si="1"/>
        <v/>
      </c>
      <c r="AB684" s="391"/>
      <c r="AC684" s="394" t="str">
        <f t="shared" si="2"/>
        <v/>
      </c>
      <c r="AD684" s="389"/>
      <c r="AE684" s="399"/>
      <c r="AF684" s="395"/>
      <c r="AG684" s="396" t="str">
        <f t="shared" si="3"/>
        <v/>
      </c>
      <c r="AH684" s="396" t="str">
        <f t="shared" si="4"/>
        <v/>
      </c>
      <c r="AI684" s="388"/>
      <c r="AJ684" s="388"/>
      <c r="AK684" s="397"/>
    </row>
    <row r="685">
      <c r="A685" s="398"/>
      <c r="B685" s="386"/>
      <c r="C685" s="387" t="str">
        <f>IF(A685="","",IFERROR(IF(VLOOKUP(A685,'1. Inbound Leads'!A:G,7,FALSE)=0,"",VLOOKUP(A685,'1. Inbound Leads'!A:G,7,FALSE)),""))</f>
        <v/>
      </c>
      <c r="D685" s="387" t="str">
        <f>IF(A685="","",IFERROR(IF(VLOOKUP(A685,'1. Inbound Leads'!A:L,12,FALSE)=0,"",VLOOKUP(A685,'1. Inbound Leads'!A:L,12,FALSE)),""))</f>
        <v/>
      </c>
      <c r="E685" s="388"/>
      <c r="F685" s="389"/>
      <c r="G685" s="387"/>
      <c r="H685" s="387"/>
      <c r="I685" s="387"/>
      <c r="J685" s="387"/>
      <c r="K685" s="387"/>
      <c r="L685" s="387"/>
      <c r="M685" s="388"/>
      <c r="N685" s="388"/>
      <c r="O685" s="390"/>
      <c r="P685" s="391"/>
      <c r="Q685" s="389"/>
      <c r="R685" s="390"/>
      <c r="S685" s="390"/>
      <c r="T685" s="391"/>
      <c r="U685" s="392"/>
      <c r="V685" s="391"/>
      <c r="W685" s="391"/>
      <c r="X685" s="388"/>
      <c r="Y685" s="391"/>
      <c r="Z685" s="393"/>
      <c r="AA685" s="355" t="str">
        <f t="shared" si="1"/>
        <v/>
      </c>
      <c r="AB685" s="391"/>
      <c r="AC685" s="394" t="str">
        <f t="shared" si="2"/>
        <v/>
      </c>
      <c r="AD685" s="389"/>
      <c r="AE685" s="399"/>
      <c r="AF685" s="395"/>
      <c r="AG685" s="396" t="str">
        <f t="shared" si="3"/>
        <v/>
      </c>
      <c r="AH685" s="396" t="str">
        <f t="shared" si="4"/>
        <v/>
      </c>
      <c r="AI685" s="388"/>
      <c r="AJ685" s="388"/>
      <c r="AK685" s="397"/>
    </row>
    <row r="686">
      <c r="A686" s="398"/>
      <c r="B686" s="386"/>
      <c r="C686" s="387" t="str">
        <f>IF(A686="","",IFERROR(IF(VLOOKUP(A686,'1. Inbound Leads'!A:G,7,FALSE)=0,"",VLOOKUP(A686,'1. Inbound Leads'!A:G,7,FALSE)),""))</f>
        <v/>
      </c>
      <c r="D686" s="387" t="str">
        <f>IF(A686="","",IFERROR(IF(VLOOKUP(A686,'1. Inbound Leads'!A:L,12,FALSE)=0,"",VLOOKUP(A686,'1. Inbound Leads'!A:L,12,FALSE)),""))</f>
        <v/>
      </c>
      <c r="E686" s="388"/>
      <c r="F686" s="389"/>
      <c r="G686" s="387"/>
      <c r="H686" s="387"/>
      <c r="I686" s="387"/>
      <c r="J686" s="387"/>
      <c r="K686" s="387"/>
      <c r="L686" s="387"/>
      <c r="M686" s="388"/>
      <c r="N686" s="388"/>
      <c r="O686" s="390"/>
      <c r="P686" s="391"/>
      <c r="Q686" s="389"/>
      <c r="R686" s="390"/>
      <c r="S686" s="390"/>
      <c r="T686" s="391"/>
      <c r="U686" s="392"/>
      <c r="V686" s="391"/>
      <c r="W686" s="391"/>
      <c r="X686" s="388"/>
      <c r="Y686" s="391"/>
      <c r="Z686" s="393"/>
      <c r="AA686" s="355" t="str">
        <f t="shared" si="1"/>
        <v/>
      </c>
      <c r="AB686" s="391"/>
      <c r="AC686" s="394" t="str">
        <f t="shared" si="2"/>
        <v/>
      </c>
      <c r="AD686" s="389"/>
      <c r="AE686" s="399"/>
      <c r="AF686" s="395"/>
      <c r="AG686" s="396" t="str">
        <f t="shared" si="3"/>
        <v/>
      </c>
      <c r="AH686" s="396" t="str">
        <f t="shared" si="4"/>
        <v/>
      </c>
      <c r="AI686" s="388"/>
      <c r="AJ686" s="388"/>
      <c r="AK686" s="397"/>
    </row>
    <row r="687">
      <c r="A687" s="398"/>
      <c r="B687" s="386"/>
      <c r="C687" s="387" t="str">
        <f>IF(A687="","",IFERROR(IF(VLOOKUP(A687,'1. Inbound Leads'!A:G,7,FALSE)=0,"",VLOOKUP(A687,'1. Inbound Leads'!A:G,7,FALSE)),""))</f>
        <v/>
      </c>
      <c r="D687" s="387" t="str">
        <f>IF(A687="","",IFERROR(IF(VLOOKUP(A687,'1. Inbound Leads'!A:L,12,FALSE)=0,"",VLOOKUP(A687,'1. Inbound Leads'!A:L,12,FALSE)),""))</f>
        <v/>
      </c>
      <c r="E687" s="388"/>
      <c r="F687" s="389"/>
      <c r="G687" s="387"/>
      <c r="H687" s="387"/>
      <c r="I687" s="387"/>
      <c r="J687" s="387"/>
      <c r="K687" s="387"/>
      <c r="L687" s="387"/>
      <c r="M687" s="388"/>
      <c r="N687" s="388"/>
      <c r="O687" s="390"/>
      <c r="P687" s="391"/>
      <c r="Q687" s="389"/>
      <c r="R687" s="390"/>
      <c r="S687" s="390"/>
      <c r="T687" s="391"/>
      <c r="U687" s="392"/>
      <c r="V687" s="391"/>
      <c r="W687" s="391"/>
      <c r="X687" s="388"/>
      <c r="Y687" s="391"/>
      <c r="Z687" s="393"/>
      <c r="AA687" s="355" t="str">
        <f t="shared" si="1"/>
        <v/>
      </c>
      <c r="AB687" s="391"/>
      <c r="AC687" s="394" t="str">
        <f t="shared" si="2"/>
        <v/>
      </c>
      <c r="AD687" s="389"/>
      <c r="AE687" s="399"/>
      <c r="AF687" s="395"/>
      <c r="AG687" s="396" t="str">
        <f t="shared" si="3"/>
        <v/>
      </c>
      <c r="AH687" s="396" t="str">
        <f t="shared" si="4"/>
        <v/>
      </c>
      <c r="AI687" s="388"/>
      <c r="AJ687" s="388"/>
      <c r="AK687" s="397"/>
    </row>
    <row r="688">
      <c r="A688" s="398"/>
      <c r="B688" s="386"/>
      <c r="C688" s="387" t="str">
        <f>IF(A688="","",IFERROR(IF(VLOOKUP(A688,'1. Inbound Leads'!A:G,7,FALSE)=0,"",VLOOKUP(A688,'1. Inbound Leads'!A:G,7,FALSE)),""))</f>
        <v/>
      </c>
      <c r="D688" s="387" t="str">
        <f>IF(A688="","",IFERROR(IF(VLOOKUP(A688,'1. Inbound Leads'!A:L,12,FALSE)=0,"",VLOOKUP(A688,'1. Inbound Leads'!A:L,12,FALSE)),""))</f>
        <v/>
      </c>
      <c r="E688" s="388"/>
      <c r="F688" s="389"/>
      <c r="G688" s="387"/>
      <c r="H688" s="387"/>
      <c r="I688" s="387"/>
      <c r="J688" s="387"/>
      <c r="K688" s="387"/>
      <c r="L688" s="387"/>
      <c r="M688" s="388"/>
      <c r="N688" s="388"/>
      <c r="O688" s="390"/>
      <c r="P688" s="391"/>
      <c r="Q688" s="389"/>
      <c r="R688" s="390"/>
      <c r="S688" s="390"/>
      <c r="T688" s="391"/>
      <c r="U688" s="392"/>
      <c r="V688" s="391"/>
      <c r="W688" s="391"/>
      <c r="X688" s="388"/>
      <c r="Y688" s="391"/>
      <c r="Z688" s="393"/>
      <c r="AA688" s="355" t="str">
        <f t="shared" si="1"/>
        <v/>
      </c>
      <c r="AB688" s="391"/>
      <c r="AC688" s="394" t="str">
        <f t="shared" si="2"/>
        <v/>
      </c>
      <c r="AD688" s="389"/>
      <c r="AE688" s="399"/>
      <c r="AF688" s="395"/>
      <c r="AG688" s="396" t="str">
        <f t="shared" si="3"/>
        <v/>
      </c>
      <c r="AH688" s="396" t="str">
        <f t="shared" si="4"/>
        <v/>
      </c>
      <c r="AI688" s="388"/>
      <c r="AJ688" s="388"/>
      <c r="AK688" s="397"/>
    </row>
    <row r="689">
      <c r="A689" s="398"/>
      <c r="B689" s="386"/>
      <c r="C689" s="387" t="str">
        <f>IF(A689="","",IFERROR(IF(VLOOKUP(A689,'1. Inbound Leads'!A:G,7,FALSE)=0,"",VLOOKUP(A689,'1. Inbound Leads'!A:G,7,FALSE)),""))</f>
        <v/>
      </c>
      <c r="D689" s="387" t="str">
        <f>IF(A689="","",IFERROR(IF(VLOOKUP(A689,'1. Inbound Leads'!A:L,12,FALSE)=0,"",VLOOKUP(A689,'1. Inbound Leads'!A:L,12,FALSE)),""))</f>
        <v/>
      </c>
      <c r="E689" s="388"/>
      <c r="F689" s="389"/>
      <c r="G689" s="387"/>
      <c r="H689" s="387"/>
      <c r="I689" s="387"/>
      <c r="J689" s="387"/>
      <c r="K689" s="387"/>
      <c r="L689" s="387"/>
      <c r="M689" s="388"/>
      <c r="N689" s="388"/>
      <c r="O689" s="390"/>
      <c r="P689" s="391"/>
      <c r="Q689" s="389"/>
      <c r="R689" s="390"/>
      <c r="S689" s="390"/>
      <c r="T689" s="391"/>
      <c r="U689" s="392"/>
      <c r="V689" s="391"/>
      <c r="W689" s="391"/>
      <c r="X689" s="388"/>
      <c r="Y689" s="391"/>
      <c r="Z689" s="393"/>
      <c r="AA689" s="355" t="str">
        <f t="shared" si="1"/>
        <v/>
      </c>
      <c r="AB689" s="391"/>
      <c r="AC689" s="394" t="str">
        <f t="shared" si="2"/>
        <v/>
      </c>
      <c r="AD689" s="389"/>
      <c r="AE689" s="399"/>
      <c r="AF689" s="395"/>
      <c r="AG689" s="396" t="str">
        <f t="shared" si="3"/>
        <v/>
      </c>
      <c r="AH689" s="396" t="str">
        <f t="shared" si="4"/>
        <v/>
      </c>
      <c r="AI689" s="388"/>
      <c r="AJ689" s="388"/>
      <c r="AK689" s="397"/>
    </row>
    <row r="690">
      <c r="A690" s="398"/>
      <c r="B690" s="386"/>
      <c r="C690" s="387" t="str">
        <f>IF(A690="","",IFERROR(IF(VLOOKUP(A690,'1. Inbound Leads'!A:G,7,FALSE)=0,"",VLOOKUP(A690,'1. Inbound Leads'!A:G,7,FALSE)),""))</f>
        <v/>
      </c>
      <c r="D690" s="387" t="str">
        <f>IF(A690="","",IFERROR(IF(VLOOKUP(A690,'1. Inbound Leads'!A:L,12,FALSE)=0,"",VLOOKUP(A690,'1. Inbound Leads'!A:L,12,FALSE)),""))</f>
        <v/>
      </c>
      <c r="E690" s="388"/>
      <c r="F690" s="389"/>
      <c r="G690" s="387"/>
      <c r="H690" s="387"/>
      <c r="I690" s="387"/>
      <c r="J690" s="387"/>
      <c r="K690" s="387"/>
      <c r="L690" s="387"/>
      <c r="M690" s="388"/>
      <c r="N690" s="388"/>
      <c r="O690" s="390"/>
      <c r="P690" s="391"/>
      <c r="Q690" s="389"/>
      <c r="R690" s="390"/>
      <c r="S690" s="390"/>
      <c r="T690" s="391"/>
      <c r="U690" s="392"/>
      <c r="V690" s="391"/>
      <c r="W690" s="391"/>
      <c r="X690" s="388"/>
      <c r="Y690" s="391"/>
      <c r="Z690" s="393"/>
      <c r="AA690" s="355" t="str">
        <f t="shared" si="1"/>
        <v/>
      </c>
      <c r="AB690" s="391"/>
      <c r="AC690" s="394" t="str">
        <f t="shared" si="2"/>
        <v/>
      </c>
      <c r="AD690" s="389"/>
      <c r="AE690" s="399"/>
      <c r="AF690" s="395"/>
      <c r="AG690" s="396" t="str">
        <f t="shared" si="3"/>
        <v/>
      </c>
      <c r="AH690" s="396" t="str">
        <f t="shared" si="4"/>
        <v/>
      </c>
      <c r="AI690" s="388"/>
      <c r="AJ690" s="388"/>
      <c r="AK690" s="397"/>
    </row>
    <row r="691">
      <c r="A691" s="398"/>
      <c r="B691" s="386"/>
      <c r="C691" s="387" t="str">
        <f>IF(A691="","",IFERROR(IF(VLOOKUP(A691,'1. Inbound Leads'!A:G,7,FALSE)=0,"",VLOOKUP(A691,'1. Inbound Leads'!A:G,7,FALSE)),""))</f>
        <v/>
      </c>
      <c r="D691" s="387" t="str">
        <f>IF(A691="","",IFERROR(IF(VLOOKUP(A691,'1. Inbound Leads'!A:L,12,FALSE)=0,"",VLOOKUP(A691,'1. Inbound Leads'!A:L,12,FALSE)),""))</f>
        <v/>
      </c>
      <c r="E691" s="388"/>
      <c r="F691" s="389"/>
      <c r="G691" s="387"/>
      <c r="H691" s="387"/>
      <c r="I691" s="387"/>
      <c r="J691" s="387"/>
      <c r="K691" s="387"/>
      <c r="L691" s="387"/>
      <c r="M691" s="388"/>
      <c r="N691" s="388"/>
      <c r="O691" s="390"/>
      <c r="P691" s="391"/>
      <c r="Q691" s="389"/>
      <c r="R691" s="390"/>
      <c r="S691" s="390"/>
      <c r="T691" s="391"/>
      <c r="U691" s="392"/>
      <c r="V691" s="391"/>
      <c r="W691" s="391"/>
      <c r="X691" s="388"/>
      <c r="Y691" s="391"/>
      <c r="Z691" s="393"/>
      <c r="AA691" s="355" t="str">
        <f t="shared" si="1"/>
        <v/>
      </c>
      <c r="AB691" s="391"/>
      <c r="AC691" s="394" t="str">
        <f t="shared" si="2"/>
        <v/>
      </c>
      <c r="AD691" s="389"/>
      <c r="AE691" s="399"/>
      <c r="AF691" s="395"/>
      <c r="AG691" s="396" t="str">
        <f t="shared" si="3"/>
        <v/>
      </c>
      <c r="AH691" s="396" t="str">
        <f t="shared" si="4"/>
        <v/>
      </c>
      <c r="AI691" s="388"/>
      <c r="AJ691" s="388"/>
      <c r="AK691" s="397"/>
    </row>
    <row r="692">
      <c r="A692" s="398"/>
      <c r="B692" s="386"/>
      <c r="C692" s="387" t="str">
        <f>IF(A692="","",IFERROR(IF(VLOOKUP(A692,'1. Inbound Leads'!A:G,7,FALSE)=0,"",VLOOKUP(A692,'1. Inbound Leads'!A:G,7,FALSE)),""))</f>
        <v/>
      </c>
      <c r="D692" s="387" t="str">
        <f>IF(A692="","",IFERROR(IF(VLOOKUP(A692,'1. Inbound Leads'!A:L,12,FALSE)=0,"",VLOOKUP(A692,'1. Inbound Leads'!A:L,12,FALSE)),""))</f>
        <v/>
      </c>
      <c r="E692" s="388"/>
      <c r="F692" s="389"/>
      <c r="G692" s="387"/>
      <c r="H692" s="387"/>
      <c r="I692" s="387"/>
      <c r="J692" s="387"/>
      <c r="K692" s="387"/>
      <c r="L692" s="387"/>
      <c r="M692" s="388"/>
      <c r="N692" s="388"/>
      <c r="O692" s="390"/>
      <c r="P692" s="391"/>
      <c r="Q692" s="389"/>
      <c r="R692" s="390"/>
      <c r="S692" s="390"/>
      <c r="T692" s="391"/>
      <c r="U692" s="392"/>
      <c r="V692" s="391"/>
      <c r="W692" s="391"/>
      <c r="X692" s="388"/>
      <c r="Y692" s="391"/>
      <c r="Z692" s="393"/>
      <c r="AA692" s="355" t="str">
        <f t="shared" si="1"/>
        <v/>
      </c>
      <c r="AB692" s="391"/>
      <c r="AC692" s="394" t="str">
        <f t="shared" si="2"/>
        <v/>
      </c>
      <c r="AD692" s="389"/>
      <c r="AE692" s="399"/>
      <c r="AF692" s="395"/>
      <c r="AG692" s="396" t="str">
        <f t="shared" si="3"/>
        <v/>
      </c>
      <c r="AH692" s="396" t="str">
        <f t="shared" si="4"/>
        <v/>
      </c>
      <c r="AI692" s="388"/>
      <c r="AJ692" s="388"/>
      <c r="AK692" s="397"/>
    </row>
    <row r="693">
      <c r="A693" s="398"/>
      <c r="B693" s="386"/>
      <c r="C693" s="387" t="str">
        <f>IF(A693="","",IFERROR(IF(VLOOKUP(A693,'1. Inbound Leads'!A:G,7,FALSE)=0,"",VLOOKUP(A693,'1. Inbound Leads'!A:G,7,FALSE)),""))</f>
        <v/>
      </c>
      <c r="D693" s="387" t="str">
        <f>IF(A693="","",IFERROR(IF(VLOOKUP(A693,'1. Inbound Leads'!A:L,12,FALSE)=0,"",VLOOKUP(A693,'1. Inbound Leads'!A:L,12,FALSE)),""))</f>
        <v/>
      </c>
      <c r="E693" s="388"/>
      <c r="F693" s="389"/>
      <c r="G693" s="387"/>
      <c r="H693" s="387"/>
      <c r="I693" s="387"/>
      <c r="J693" s="387"/>
      <c r="K693" s="387"/>
      <c r="L693" s="387"/>
      <c r="M693" s="388"/>
      <c r="N693" s="388"/>
      <c r="O693" s="390"/>
      <c r="P693" s="391"/>
      <c r="Q693" s="389"/>
      <c r="R693" s="390"/>
      <c r="S693" s="390"/>
      <c r="T693" s="391"/>
      <c r="U693" s="392"/>
      <c r="V693" s="391"/>
      <c r="W693" s="391"/>
      <c r="X693" s="388"/>
      <c r="Y693" s="391"/>
      <c r="Z693" s="393"/>
      <c r="AA693" s="355" t="str">
        <f t="shared" si="1"/>
        <v/>
      </c>
      <c r="AB693" s="391"/>
      <c r="AC693" s="394" t="str">
        <f t="shared" si="2"/>
        <v/>
      </c>
      <c r="AD693" s="389"/>
      <c r="AE693" s="399"/>
      <c r="AF693" s="395"/>
      <c r="AG693" s="396" t="str">
        <f t="shared" si="3"/>
        <v/>
      </c>
      <c r="AH693" s="396" t="str">
        <f t="shared" si="4"/>
        <v/>
      </c>
      <c r="AI693" s="388"/>
      <c r="AJ693" s="388"/>
      <c r="AK693" s="397"/>
    </row>
    <row r="694">
      <c r="A694" s="398"/>
      <c r="B694" s="386"/>
      <c r="C694" s="387" t="str">
        <f>IF(A694="","",IFERROR(IF(VLOOKUP(A694,'1. Inbound Leads'!A:G,7,FALSE)=0,"",VLOOKUP(A694,'1. Inbound Leads'!A:G,7,FALSE)),""))</f>
        <v/>
      </c>
      <c r="D694" s="387" t="str">
        <f>IF(A694="","",IFERROR(IF(VLOOKUP(A694,'1. Inbound Leads'!A:L,12,FALSE)=0,"",VLOOKUP(A694,'1. Inbound Leads'!A:L,12,FALSE)),""))</f>
        <v/>
      </c>
      <c r="E694" s="388"/>
      <c r="F694" s="389"/>
      <c r="G694" s="387"/>
      <c r="H694" s="387"/>
      <c r="I694" s="387"/>
      <c r="J694" s="387"/>
      <c r="K694" s="387"/>
      <c r="L694" s="387"/>
      <c r="M694" s="388"/>
      <c r="N694" s="388"/>
      <c r="O694" s="390"/>
      <c r="P694" s="391"/>
      <c r="Q694" s="389"/>
      <c r="R694" s="390"/>
      <c r="S694" s="390"/>
      <c r="T694" s="391"/>
      <c r="U694" s="392"/>
      <c r="V694" s="391"/>
      <c r="W694" s="391"/>
      <c r="X694" s="388"/>
      <c r="Y694" s="391"/>
      <c r="Z694" s="393"/>
      <c r="AA694" s="355" t="str">
        <f t="shared" si="1"/>
        <v/>
      </c>
      <c r="AB694" s="391"/>
      <c r="AC694" s="394" t="str">
        <f t="shared" si="2"/>
        <v/>
      </c>
      <c r="AD694" s="389"/>
      <c r="AE694" s="399"/>
      <c r="AF694" s="395"/>
      <c r="AG694" s="396" t="str">
        <f t="shared" si="3"/>
        <v/>
      </c>
      <c r="AH694" s="396" t="str">
        <f t="shared" si="4"/>
        <v/>
      </c>
      <c r="AI694" s="388"/>
      <c r="AJ694" s="388"/>
      <c r="AK694" s="397"/>
    </row>
    <row r="695">
      <c r="A695" s="398"/>
      <c r="B695" s="386"/>
      <c r="C695" s="387" t="str">
        <f>IF(A695="","",IFERROR(IF(VLOOKUP(A695,'1. Inbound Leads'!A:G,7,FALSE)=0,"",VLOOKUP(A695,'1. Inbound Leads'!A:G,7,FALSE)),""))</f>
        <v/>
      </c>
      <c r="D695" s="387" t="str">
        <f>IF(A695="","",IFERROR(IF(VLOOKUP(A695,'1. Inbound Leads'!A:L,12,FALSE)=0,"",VLOOKUP(A695,'1. Inbound Leads'!A:L,12,FALSE)),""))</f>
        <v/>
      </c>
      <c r="E695" s="388"/>
      <c r="F695" s="389"/>
      <c r="G695" s="387"/>
      <c r="H695" s="387"/>
      <c r="I695" s="387"/>
      <c r="J695" s="387"/>
      <c r="K695" s="387"/>
      <c r="L695" s="387"/>
      <c r="M695" s="388"/>
      <c r="N695" s="388"/>
      <c r="O695" s="390"/>
      <c r="P695" s="391"/>
      <c r="Q695" s="389"/>
      <c r="R695" s="390"/>
      <c r="S695" s="390"/>
      <c r="T695" s="391"/>
      <c r="U695" s="392"/>
      <c r="V695" s="391"/>
      <c r="W695" s="391"/>
      <c r="X695" s="388"/>
      <c r="Y695" s="391"/>
      <c r="Z695" s="393"/>
      <c r="AA695" s="355" t="str">
        <f t="shared" si="1"/>
        <v/>
      </c>
      <c r="AB695" s="391"/>
      <c r="AC695" s="394" t="str">
        <f t="shared" si="2"/>
        <v/>
      </c>
      <c r="AD695" s="389"/>
      <c r="AE695" s="399"/>
      <c r="AF695" s="395"/>
      <c r="AG695" s="396" t="str">
        <f t="shared" si="3"/>
        <v/>
      </c>
      <c r="AH695" s="396" t="str">
        <f t="shared" si="4"/>
        <v/>
      </c>
      <c r="AI695" s="388"/>
      <c r="AJ695" s="388"/>
      <c r="AK695" s="397"/>
    </row>
    <row r="696">
      <c r="A696" s="398"/>
      <c r="B696" s="386"/>
      <c r="C696" s="387" t="str">
        <f>IF(A696="","",IFERROR(IF(VLOOKUP(A696,'1. Inbound Leads'!A:G,7,FALSE)=0,"",VLOOKUP(A696,'1. Inbound Leads'!A:G,7,FALSE)),""))</f>
        <v/>
      </c>
      <c r="D696" s="387" t="str">
        <f>IF(A696="","",IFERROR(IF(VLOOKUP(A696,'1. Inbound Leads'!A:L,12,FALSE)=0,"",VLOOKUP(A696,'1. Inbound Leads'!A:L,12,FALSE)),""))</f>
        <v/>
      </c>
      <c r="E696" s="388"/>
      <c r="F696" s="389"/>
      <c r="G696" s="387"/>
      <c r="H696" s="387"/>
      <c r="I696" s="387"/>
      <c r="J696" s="387"/>
      <c r="K696" s="387"/>
      <c r="L696" s="387"/>
      <c r="M696" s="388"/>
      <c r="N696" s="388"/>
      <c r="O696" s="390"/>
      <c r="P696" s="391"/>
      <c r="Q696" s="389"/>
      <c r="R696" s="390"/>
      <c r="S696" s="390"/>
      <c r="T696" s="391"/>
      <c r="U696" s="392"/>
      <c r="V696" s="391"/>
      <c r="W696" s="391"/>
      <c r="X696" s="388"/>
      <c r="Y696" s="391"/>
      <c r="Z696" s="393"/>
      <c r="AA696" s="355" t="str">
        <f t="shared" si="1"/>
        <v/>
      </c>
      <c r="AB696" s="391"/>
      <c r="AC696" s="394" t="str">
        <f t="shared" si="2"/>
        <v/>
      </c>
      <c r="AD696" s="389"/>
      <c r="AE696" s="399"/>
      <c r="AF696" s="395"/>
      <c r="AG696" s="396" t="str">
        <f t="shared" si="3"/>
        <v/>
      </c>
      <c r="AH696" s="396" t="str">
        <f t="shared" si="4"/>
        <v/>
      </c>
      <c r="AI696" s="388"/>
      <c r="AJ696" s="388"/>
      <c r="AK696" s="397"/>
    </row>
    <row r="697">
      <c r="A697" s="398"/>
      <c r="B697" s="386"/>
      <c r="C697" s="387" t="str">
        <f>IF(A697="","",IFERROR(IF(VLOOKUP(A697,'1. Inbound Leads'!A:G,7,FALSE)=0,"",VLOOKUP(A697,'1. Inbound Leads'!A:G,7,FALSE)),""))</f>
        <v/>
      </c>
      <c r="D697" s="387" t="str">
        <f>IF(A697="","",IFERROR(IF(VLOOKUP(A697,'1. Inbound Leads'!A:L,12,FALSE)=0,"",VLOOKUP(A697,'1. Inbound Leads'!A:L,12,FALSE)),""))</f>
        <v/>
      </c>
      <c r="E697" s="388"/>
      <c r="F697" s="389"/>
      <c r="G697" s="387"/>
      <c r="H697" s="387"/>
      <c r="I697" s="387"/>
      <c r="J697" s="387"/>
      <c r="K697" s="387"/>
      <c r="L697" s="387"/>
      <c r="M697" s="388"/>
      <c r="N697" s="388"/>
      <c r="O697" s="390"/>
      <c r="P697" s="391"/>
      <c r="Q697" s="389"/>
      <c r="R697" s="390"/>
      <c r="S697" s="390"/>
      <c r="T697" s="391"/>
      <c r="U697" s="392"/>
      <c r="V697" s="391"/>
      <c r="W697" s="391"/>
      <c r="X697" s="388"/>
      <c r="Y697" s="391"/>
      <c r="Z697" s="393"/>
      <c r="AA697" s="355" t="str">
        <f t="shared" si="1"/>
        <v/>
      </c>
      <c r="AB697" s="391"/>
      <c r="AC697" s="394" t="str">
        <f t="shared" si="2"/>
        <v/>
      </c>
      <c r="AD697" s="389"/>
      <c r="AE697" s="399"/>
      <c r="AF697" s="395"/>
      <c r="AG697" s="396" t="str">
        <f t="shared" si="3"/>
        <v/>
      </c>
      <c r="AH697" s="396" t="str">
        <f t="shared" si="4"/>
        <v/>
      </c>
      <c r="AI697" s="388"/>
      <c r="AJ697" s="388"/>
      <c r="AK697" s="397"/>
    </row>
    <row r="698">
      <c r="A698" s="398"/>
      <c r="B698" s="386"/>
      <c r="C698" s="387" t="str">
        <f>IF(A698="","",IFERROR(IF(VLOOKUP(A698,'1. Inbound Leads'!A:G,7,FALSE)=0,"",VLOOKUP(A698,'1. Inbound Leads'!A:G,7,FALSE)),""))</f>
        <v/>
      </c>
      <c r="D698" s="387" t="str">
        <f>IF(A698="","",IFERROR(IF(VLOOKUP(A698,'1. Inbound Leads'!A:L,12,FALSE)=0,"",VLOOKUP(A698,'1. Inbound Leads'!A:L,12,FALSE)),""))</f>
        <v/>
      </c>
      <c r="E698" s="388"/>
      <c r="F698" s="389"/>
      <c r="G698" s="387"/>
      <c r="H698" s="387"/>
      <c r="I698" s="387"/>
      <c r="J698" s="387"/>
      <c r="K698" s="387"/>
      <c r="L698" s="387"/>
      <c r="M698" s="388"/>
      <c r="N698" s="388"/>
      <c r="O698" s="390"/>
      <c r="P698" s="391"/>
      <c r="Q698" s="389"/>
      <c r="R698" s="390"/>
      <c r="S698" s="390"/>
      <c r="T698" s="391"/>
      <c r="U698" s="392"/>
      <c r="V698" s="391"/>
      <c r="W698" s="391"/>
      <c r="X698" s="388"/>
      <c r="Y698" s="391"/>
      <c r="Z698" s="393"/>
      <c r="AA698" s="355" t="str">
        <f t="shared" si="1"/>
        <v/>
      </c>
      <c r="AB698" s="391"/>
      <c r="AC698" s="394" t="str">
        <f t="shared" si="2"/>
        <v/>
      </c>
      <c r="AD698" s="389"/>
      <c r="AE698" s="399"/>
      <c r="AF698" s="395"/>
      <c r="AG698" s="396" t="str">
        <f t="shared" si="3"/>
        <v/>
      </c>
      <c r="AH698" s="396" t="str">
        <f t="shared" si="4"/>
        <v/>
      </c>
      <c r="AI698" s="388"/>
      <c r="AJ698" s="388"/>
      <c r="AK698" s="397"/>
    </row>
    <row r="699">
      <c r="A699" s="398"/>
      <c r="B699" s="386"/>
      <c r="C699" s="387" t="str">
        <f>IF(A699="","",IFERROR(IF(VLOOKUP(A699,'1. Inbound Leads'!A:G,7,FALSE)=0,"",VLOOKUP(A699,'1. Inbound Leads'!A:G,7,FALSE)),""))</f>
        <v/>
      </c>
      <c r="D699" s="387" t="str">
        <f>IF(A699="","",IFERROR(IF(VLOOKUP(A699,'1. Inbound Leads'!A:L,12,FALSE)=0,"",VLOOKUP(A699,'1. Inbound Leads'!A:L,12,FALSE)),""))</f>
        <v/>
      </c>
      <c r="E699" s="388"/>
      <c r="F699" s="389"/>
      <c r="G699" s="387"/>
      <c r="H699" s="387"/>
      <c r="I699" s="387"/>
      <c r="J699" s="387"/>
      <c r="K699" s="387"/>
      <c r="L699" s="387"/>
      <c r="M699" s="388"/>
      <c r="N699" s="388"/>
      <c r="O699" s="390"/>
      <c r="P699" s="391"/>
      <c r="Q699" s="389"/>
      <c r="R699" s="390"/>
      <c r="S699" s="390"/>
      <c r="T699" s="391"/>
      <c r="U699" s="392"/>
      <c r="V699" s="391"/>
      <c r="W699" s="391"/>
      <c r="X699" s="388"/>
      <c r="Y699" s="391"/>
      <c r="Z699" s="393"/>
      <c r="AA699" s="355" t="str">
        <f t="shared" si="1"/>
        <v/>
      </c>
      <c r="AB699" s="391"/>
      <c r="AC699" s="394" t="str">
        <f t="shared" si="2"/>
        <v/>
      </c>
      <c r="AD699" s="389"/>
      <c r="AE699" s="399"/>
      <c r="AF699" s="395"/>
      <c r="AG699" s="396" t="str">
        <f t="shared" si="3"/>
        <v/>
      </c>
      <c r="AH699" s="396" t="str">
        <f t="shared" si="4"/>
        <v/>
      </c>
      <c r="AI699" s="388"/>
      <c r="AJ699" s="388"/>
      <c r="AK699" s="397"/>
    </row>
    <row r="700">
      <c r="A700" s="398"/>
      <c r="B700" s="386"/>
      <c r="C700" s="387" t="str">
        <f>IF(A700="","",IFERROR(IF(VLOOKUP(A700,'1. Inbound Leads'!A:G,7,FALSE)=0,"",VLOOKUP(A700,'1. Inbound Leads'!A:G,7,FALSE)),""))</f>
        <v/>
      </c>
      <c r="D700" s="387" t="str">
        <f>IF(A700="","",IFERROR(IF(VLOOKUP(A700,'1. Inbound Leads'!A:L,12,FALSE)=0,"",VLOOKUP(A700,'1. Inbound Leads'!A:L,12,FALSE)),""))</f>
        <v/>
      </c>
      <c r="E700" s="388"/>
      <c r="F700" s="389"/>
      <c r="G700" s="387"/>
      <c r="H700" s="387"/>
      <c r="I700" s="387"/>
      <c r="J700" s="387"/>
      <c r="K700" s="387"/>
      <c r="L700" s="387"/>
      <c r="M700" s="388"/>
      <c r="N700" s="388"/>
      <c r="O700" s="390"/>
      <c r="P700" s="391"/>
      <c r="Q700" s="389"/>
      <c r="R700" s="390"/>
      <c r="S700" s="390"/>
      <c r="T700" s="391"/>
      <c r="U700" s="392"/>
      <c r="V700" s="391"/>
      <c r="W700" s="391"/>
      <c r="X700" s="388"/>
      <c r="Y700" s="391"/>
      <c r="Z700" s="393"/>
      <c r="AA700" s="355" t="str">
        <f t="shared" si="1"/>
        <v/>
      </c>
      <c r="AB700" s="391"/>
      <c r="AC700" s="394" t="str">
        <f t="shared" si="2"/>
        <v/>
      </c>
      <c r="AD700" s="389"/>
      <c r="AE700" s="399"/>
      <c r="AF700" s="395"/>
      <c r="AG700" s="396" t="str">
        <f t="shared" si="3"/>
        <v/>
      </c>
      <c r="AH700" s="396" t="str">
        <f t="shared" si="4"/>
        <v/>
      </c>
      <c r="AI700" s="388"/>
      <c r="AJ700" s="388"/>
      <c r="AK700" s="397"/>
    </row>
    <row r="701">
      <c r="A701" s="398"/>
      <c r="B701" s="386"/>
      <c r="C701" s="387" t="str">
        <f>IF(A701="","",IFERROR(IF(VLOOKUP(A701,'1. Inbound Leads'!A:G,7,FALSE)=0,"",VLOOKUP(A701,'1. Inbound Leads'!A:G,7,FALSE)),""))</f>
        <v/>
      </c>
      <c r="D701" s="387" t="str">
        <f>IF(A701="","",IFERROR(IF(VLOOKUP(A701,'1. Inbound Leads'!A:L,12,FALSE)=0,"",VLOOKUP(A701,'1. Inbound Leads'!A:L,12,FALSE)),""))</f>
        <v/>
      </c>
      <c r="E701" s="388"/>
      <c r="F701" s="389"/>
      <c r="G701" s="387"/>
      <c r="H701" s="387"/>
      <c r="I701" s="387"/>
      <c r="J701" s="387"/>
      <c r="K701" s="387"/>
      <c r="L701" s="387"/>
      <c r="M701" s="388"/>
      <c r="N701" s="388"/>
      <c r="O701" s="390"/>
      <c r="P701" s="391"/>
      <c r="Q701" s="389"/>
      <c r="R701" s="390"/>
      <c r="S701" s="390"/>
      <c r="T701" s="391"/>
      <c r="U701" s="392"/>
      <c r="V701" s="391"/>
      <c r="W701" s="391"/>
      <c r="X701" s="388"/>
      <c r="Y701" s="391"/>
      <c r="Z701" s="393"/>
      <c r="AA701" s="355" t="str">
        <f t="shared" si="1"/>
        <v/>
      </c>
      <c r="AB701" s="391"/>
      <c r="AC701" s="394" t="str">
        <f t="shared" si="2"/>
        <v/>
      </c>
      <c r="AD701" s="389"/>
      <c r="AE701" s="399"/>
      <c r="AF701" s="395"/>
      <c r="AG701" s="396" t="str">
        <f t="shared" si="3"/>
        <v/>
      </c>
      <c r="AH701" s="396" t="str">
        <f t="shared" si="4"/>
        <v/>
      </c>
      <c r="AI701" s="388"/>
      <c r="AJ701" s="388"/>
      <c r="AK701" s="397"/>
    </row>
    <row r="702">
      <c r="A702" s="398"/>
      <c r="B702" s="386"/>
      <c r="C702" s="387" t="str">
        <f>IF(A702="","",IFERROR(IF(VLOOKUP(A702,'1. Inbound Leads'!A:G,7,FALSE)=0,"",VLOOKUP(A702,'1. Inbound Leads'!A:G,7,FALSE)),""))</f>
        <v/>
      </c>
      <c r="D702" s="387" t="str">
        <f>IF(A702="","",IFERROR(IF(VLOOKUP(A702,'1. Inbound Leads'!A:L,12,FALSE)=0,"",VLOOKUP(A702,'1. Inbound Leads'!A:L,12,FALSE)),""))</f>
        <v/>
      </c>
      <c r="E702" s="388"/>
      <c r="F702" s="389"/>
      <c r="G702" s="387"/>
      <c r="H702" s="387"/>
      <c r="I702" s="387"/>
      <c r="J702" s="387"/>
      <c r="K702" s="387"/>
      <c r="L702" s="387"/>
      <c r="M702" s="388"/>
      <c r="N702" s="388"/>
      <c r="O702" s="390"/>
      <c r="P702" s="391"/>
      <c r="Q702" s="389"/>
      <c r="R702" s="390"/>
      <c r="S702" s="390"/>
      <c r="T702" s="391"/>
      <c r="U702" s="392"/>
      <c r="V702" s="391"/>
      <c r="W702" s="391"/>
      <c r="X702" s="388"/>
      <c r="Y702" s="391"/>
      <c r="Z702" s="393"/>
      <c r="AA702" s="355" t="str">
        <f t="shared" si="1"/>
        <v/>
      </c>
      <c r="AB702" s="391"/>
      <c r="AC702" s="394" t="str">
        <f t="shared" si="2"/>
        <v/>
      </c>
      <c r="AD702" s="389"/>
      <c r="AE702" s="399"/>
      <c r="AF702" s="395"/>
      <c r="AG702" s="396" t="str">
        <f t="shared" si="3"/>
        <v/>
      </c>
      <c r="AH702" s="396" t="str">
        <f t="shared" si="4"/>
        <v/>
      </c>
      <c r="AI702" s="388"/>
      <c r="AJ702" s="388"/>
      <c r="AK702" s="397"/>
    </row>
    <row r="703">
      <c r="A703" s="398"/>
      <c r="B703" s="386"/>
      <c r="C703" s="387" t="str">
        <f>IF(A703="","",IFERROR(IF(VLOOKUP(A703,'1. Inbound Leads'!A:G,7,FALSE)=0,"",VLOOKUP(A703,'1. Inbound Leads'!A:G,7,FALSE)),""))</f>
        <v/>
      </c>
      <c r="D703" s="387" t="str">
        <f>IF(A703="","",IFERROR(IF(VLOOKUP(A703,'1. Inbound Leads'!A:L,12,FALSE)=0,"",VLOOKUP(A703,'1. Inbound Leads'!A:L,12,FALSE)),""))</f>
        <v/>
      </c>
      <c r="E703" s="388"/>
      <c r="F703" s="389"/>
      <c r="G703" s="387"/>
      <c r="H703" s="387"/>
      <c r="I703" s="387"/>
      <c r="J703" s="387"/>
      <c r="K703" s="387"/>
      <c r="L703" s="387"/>
      <c r="M703" s="388"/>
      <c r="N703" s="388"/>
      <c r="O703" s="390"/>
      <c r="P703" s="391"/>
      <c r="Q703" s="389"/>
      <c r="R703" s="390"/>
      <c r="S703" s="390"/>
      <c r="T703" s="391"/>
      <c r="U703" s="392"/>
      <c r="V703" s="391"/>
      <c r="W703" s="391"/>
      <c r="X703" s="388"/>
      <c r="Y703" s="391"/>
      <c r="Z703" s="393"/>
      <c r="AA703" s="355" t="str">
        <f t="shared" si="1"/>
        <v/>
      </c>
      <c r="AB703" s="391"/>
      <c r="AC703" s="394" t="str">
        <f t="shared" si="2"/>
        <v/>
      </c>
      <c r="AD703" s="389"/>
      <c r="AE703" s="399"/>
      <c r="AF703" s="395"/>
      <c r="AG703" s="396" t="str">
        <f t="shared" si="3"/>
        <v/>
      </c>
      <c r="AH703" s="396" t="str">
        <f t="shared" si="4"/>
        <v/>
      </c>
      <c r="AI703" s="388"/>
      <c r="AJ703" s="388"/>
      <c r="AK703" s="397"/>
    </row>
    <row r="704">
      <c r="A704" s="398"/>
      <c r="B704" s="386"/>
      <c r="C704" s="387" t="str">
        <f>IF(A704="","",IFERROR(IF(VLOOKUP(A704,'1. Inbound Leads'!A:G,7,FALSE)=0,"",VLOOKUP(A704,'1. Inbound Leads'!A:G,7,FALSE)),""))</f>
        <v/>
      </c>
      <c r="D704" s="387" t="str">
        <f>IF(A704="","",IFERROR(IF(VLOOKUP(A704,'1. Inbound Leads'!A:L,12,FALSE)=0,"",VLOOKUP(A704,'1. Inbound Leads'!A:L,12,FALSE)),""))</f>
        <v/>
      </c>
      <c r="E704" s="388"/>
      <c r="F704" s="389"/>
      <c r="G704" s="387"/>
      <c r="H704" s="387"/>
      <c r="I704" s="387"/>
      <c r="J704" s="387"/>
      <c r="K704" s="387"/>
      <c r="L704" s="387"/>
      <c r="M704" s="388"/>
      <c r="N704" s="388"/>
      <c r="O704" s="390"/>
      <c r="P704" s="391"/>
      <c r="Q704" s="389"/>
      <c r="R704" s="390"/>
      <c r="S704" s="390"/>
      <c r="T704" s="391"/>
      <c r="U704" s="392"/>
      <c r="V704" s="391"/>
      <c r="W704" s="391"/>
      <c r="X704" s="388"/>
      <c r="Y704" s="391"/>
      <c r="Z704" s="393"/>
      <c r="AA704" s="355" t="str">
        <f t="shared" si="1"/>
        <v/>
      </c>
      <c r="AB704" s="391"/>
      <c r="AC704" s="394" t="str">
        <f t="shared" si="2"/>
        <v/>
      </c>
      <c r="AD704" s="389"/>
      <c r="AE704" s="399"/>
      <c r="AF704" s="395"/>
      <c r="AG704" s="396" t="str">
        <f t="shared" si="3"/>
        <v/>
      </c>
      <c r="AH704" s="396" t="str">
        <f t="shared" si="4"/>
        <v/>
      </c>
      <c r="AI704" s="388"/>
      <c r="AJ704" s="388"/>
      <c r="AK704" s="397"/>
    </row>
    <row r="705">
      <c r="A705" s="398"/>
      <c r="B705" s="386"/>
      <c r="C705" s="387" t="str">
        <f>IF(A705="","",IFERROR(IF(VLOOKUP(A705,'1. Inbound Leads'!A:G,7,FALSE)=0,"",VLOOKUP(A705,'1. Inbound Leads'!A:G,7,FALSE)),""))</f>
        <v/>
      </c>
      <c r="D705" s="387" t="str">
        <f>IF(A705="","",IFERROR(IF(VLOOKUP(A705,'1. Inbound Leads'!A:L,12,FALSE)=0,"",VLOOKUP(A705,'1. Inbound Leads'!A:L,12,FALSE)),""))</f>
        <v/>
      </c>
      <c r="E705" s="388"/>
      <c r="F705" s="389"/>
      <c r="G705" s="387"/>
      <c r="H705" s="387"/>
      <c r="I705" s="387"/>
      <c r="J705" s="387"/>
      <c r="K705" s="387"/>
      <c r="L705" s="387"/>
      <c r="M705" s="388"/>
      <c r="N705" s="388"/>
      <c r="O705" s="390"/>
      <c r="P705" s="391"/>
      <c r="Q705" s="389"/>
      <c r="R705" s="390"/>
      <c r="S705" s="390"/>
      <c r="T705" s="391"/>
      <c r="U705" s="392"/>
      <c r="V705" s="391"/>
      <c r="W705" s="391"/>
      <c r="X705" s="388"/>
      <c r="Y705" s="391"/>
      <c r="Z705" s="393"/>
      <c r="AA705" s="355" t="str">
        <f t="shared" si="1"/>
        <v/>
      </c>
      <c r="AB705" s="391"/>
      <c r="AC705" s="394" t="str">
        <f t="shared" si="2"/>
        <v/>
      </c>
      <c r="AD705" s="389"/>
      <c r="AE705" s="399"/>
      <c r="AF705" s="395"/>
      <c r="AG705" s="396" t="str">
        <f t="shared" si="3"/>
        <v/>
      </c>
      <c r="AH705" s="396" t="str">
        <f t="shared" si="4"/>
        <v/>
      </c>
      <c r="AI705" s="388"/>
      <c r="AJ705" s="388"/>
      <c r="AK705" s="397"/>
    </row>
    <row r="706">
      <c r="A706" s="398"/>
      <c r="B706" s="386"/>
      <c r="C706" s="387" t="str">
        <f>IF(A706="","",IFERROR(IF(VLOOKUP(A706,'1. Inbound Leads'!A:G,7,FALSE)=0,"",VLOOKUP(A706,'1. Inbound Leads'!A:G,7,FALSE)),""))</f>
        <v/>
      </c>
      <c r="D706" s="387" t="str">
        <f>IF(A706="","",IFERROR(IF(VLOOKUP(A706,'1. Inbound Leads'!A:L,12,FALSE)=0,"",VLOOKUP(A706,'1. Inbound Leads'!A:L,12,FALSE)),""))</f>
        <v/>
      </c>
      <c r="E706" s="388"/>
      <c r="F706" s="389"/>
      <c r="G706" s="387"/>
      <c r="H706" s="387"/>
      <c r="I706" s="387"/>
      <c r="J706" s="387"/>
      <c r="K706" s="387"/>
      <c r="L706" s="387"/>
      <c r="M706" s="388"/>
      <c r="N706" s="388"/>
      <c r="O706" s="390"/>
      <c r="P706" s="391"/>
      <c r="Q706" s="389"/>
      <c r="R706" s="390"/>
      <c r="S706" s="390"/>
      <c r="T706" s="391"/>
      <c r="U706" s="392"/>
      <c r="V706" s="391"/>
      <c r="W706" s="391"/>
      <c r="X706" s="388"/>
      <c r="Y706" s="391"/>
      <c r="Z706" s="393"/>
      <c r="AA706" s="355" t="str">
        <f t="shared" si="1"/>
        <v/>
      </c>
      <c r="AB706" s="391"/>
      <c r="AC706" s="394" t="str">
        <f t="shared" si="2"/>
        <v/>
      </c>
      <c r="AD706" s="389"/>
      <c r="AE706" s="399"/>
      <c r="AF706" s="395"/>
      <c r="AG706" s="396" t="str">
        <f t="shared" si="3"/>
        <v/>
      </c>
      <c r="AH706" s="396" t="str">
        <f t="shared" si="4"/>
        <v/>
      </c>
      <c r="AI706" s="388"/>
      <c r="AJ706" s="388"/>
      <c r="AK706" s="397"/>
    </row>
    <row r="707">
      <c r="A707" s="398"/>
      <c r="B707" s="386"/>
      <c r="C707" s="387" t="str">
        <f>IF(A707="","",IFERROR(IF(VLOOKUP(A707,'1. Inbound Leads'!A:G,7,FALSE)=0,"",VLOOKUP(A707,'1. Inbound Leads'!A:G,7,FALSE)),""))</f>
        <v/>
      </c>
      <c r="D707" s="387" t="str">
        <f>IF(A707="","",IFERROR(IF(VLOOKUP(A707,'1. Inbound Leads'!A:L,12,FALSE)=0,"",VLOOKUP(A707,'1. Inbound Leads'!A:L,12,FALSE)),""))</f>
        <v/>
      </c>
      <c r="E707" s="388"/>
      <c r="F707" s="389"/>
      <c r="G707" s="387"/>
      <c r="H707" s="387"/>
      <c r="I707" s="387"/>
      <c r="J707" s="387"/>
      <c r="K707" s="387"/>
      <c r="L707" s="387"/>
      <c r="M707" s="388"/>
      <c r="N707" s="388"/>
      <c r="O707" s="390"/>
      <c r="P707" s="391"/>
      <c r="Q707" s="389"/>
      <c r="R707" s="390"/>
      <c r="S707" s="390"/>
      <c r="T707" s="391"/>
      <c r="U707" s="392"/>
      <c r="V707" s="391"/>
      <c r="W707" s="391"/>
      <c r="X707" s="388"/>
      <c r="Y707" s="391"/>
      <c r="Z707" s="393"/>
      <c r="AA707" s="355" t="str">
        <f t="shared" si="1"/>
        <v/>
      </c>
      <c r="AB707" s="391"/>
      <c r="AC707" s="394" t="str">
        <f t="shared" si="2"/>
        <v/>
      </c>
      <c r="AD707" s="389"/>
      <c r="AE707" s="399"/>
      <c r="AF707" s="395"/>
      <c r="AG707" s="396" t="str">
        <f t="shared" si="3"/>
        <v/>
      </c>
      <c r="AH707" s="396" t="str">
        <f t="shared" si="4"/>
        <v/>
      </c>
      <c r="AI707" s="388"/>
      <c r="AJ707" s="388"/>
      <c r="AK707" s="397"/>
    </row>
    <row r="708">
      <c r="A708" s="398"/>
      <c r="B708" s="386"/>
      <c r="C708" s="387" t="str">
        <f>IF(A708="","",IFERROR(IF(VLOOKUP(A708,'1. Inbound Leads'!A:G,7,FALSE)=0,"",VLOOKUP(A708,'1. Inbound Leads'!A:G,7,FALSE)),""))</f>
        <v/>
      </c>
      <c r="D708" s="387" t="str">
        <f>IF(A708="","",IFERROR(IF(VLOOKUP(A708,'1. Inbound Leads'!A:L,12,FALSE)=0,"",VLOOKUP(A708,'1. Inbound Leads'!A:L,12,FALSE)),""))</f>
        <v/>
      </c>
      <c r="E708" s="388"/>
      <c r="F708" s="389"/>
      <c r="G708" s="387"/>
      <c r="H708" s="387"/>
      <c r="I708" s="387"/>
      <c r="J708" s="387"/>
      <c r="K708" s="387"/>
      <c r="L708" s="387"/>
      <c r="M708" s="388"/>
      <c r="N708" s="388"/>
      <c r="O708" s="390"/>
      <c r="P708" s="391"/>
      <c r="Q708" s="389"/>
      <c r="R708" s="390"/>
      <c r="S708" s="390"/>
      <c r="T708" s="391"/>
      <c r="U708" s="392"/>
      <c r="V708" s="391"/>
      <c r="W708" s="391"/>
      <c r="X708" s="388"/>
      <c r="Y708" s="391"/>
      <c r="Z708" s="393"/>
      <c r="AA708" s="355" t="str">
        <f t="shared" si="1"/>
        <v/>
      </c>
      <c r="AB708" s="391"/>
      <c r="AC708" s="394" t="str">
        <f t="shared" si="2"/>
        <v/>
      </c>
      <c r="AD708" s="389"/>
      <c r="AE708" s="399"/>
      <c r="AF708" s="395"/>
      <c r="AG708" s="396" t="str">
        <f t="shared" si="3"/>
        <v/>
      </c>
      <c r="AH708" s="396" t="str">
        <f t="shared" si="4"/>
        <v/>
      </c>
      <c r="AI708" s="388"/>
      <c r="AJ708" s="388"/>
      <c r="AK708" s="397"/>
    </row>
    <row r="709">
      <c r="A709" s="398"/>
      <c r="B709" s="386"/>
      <c r="C709" s="387" t="str">
        <f>IF(A709="","",IFERROR(IF(VLOOKUP(A709,'1. Inbound Leads'!A:G,7,FALSE)=0,"",VLOOKUP(A709,'1. Inbound Leads'!A:G,7,FALSE)),""))</f>
        <v/>
      </c>
      <c r="D709" s="387" t="str">
        <f>IF(A709="","",IFERROR(IF(VLOOKUP(A709,'1. Inbound Leads'!A:L,12,FALSE)=0,"",VLOOKUP(A709,'1. Inbound Leads'!A:L,12,FALSE)),""))</f>
        <v/>
      </c>
      <c r="E709" s="388"/>
      <c r="F709" s="389"/>
      <c r="G709" s="387"/>
      <c r="H709" s="387"/>
      <c r="I709" s="387"/>
      <c r="J709" s="387"/>
      <c r="K709" s="387"/>
      <c r="L709" s="387"/>
      <c r="M709" s="388"/>
      <c r="N709" s="388"/>
      <c r="O709" s="390"/>
      <c r="P709" s="391"/>
      <c r="Q709" s="389"/>
      <c r="R709" s="390"/>
      <c r="S709" s="390"/>
      <c r="T709" s="391"/>
      <c r="U709" s="392"/>
      <c r="V709" s="391"/>
      <c r="W709" s="391"/>
      <c r="X709" s="388"/>
      <c r="Y709" s="391"/>
      <c r="Z709" s="393"/>
      <c r="AA709" s="355" t="str">
        <f t="shared" si="1"/>
        <v/>
      </c>
      <c r="AB709" s="391"/>
      <c r="AC709" s="394" t="str">
        <f t="shared" si="2"/>
        <v/>
      </c>
      <c r="AD709" s="389"/>
      <c r="AE709" s="399"/>
      <c r="AF709" s="395"/>
      <c r="AG709" s="396" t="str">
        <f t="shared" si="3"/>
        <v/>
      </c>
      <c r="AH709" s="396" t="str">
        <f t="shared" si="4"/>
        <v/>
      </c>
      <c r="AI709" s="388"/>
      <c r="AJ709" s="388"/>
      <c r="AK709" s="397"/>
    </row>
    <row r="710">
      <c r="A710" s="398"/>
      <c r="B710" s="386"/>
      <c r="C710" s="387" t="str">
        <f>IF(A710="","",IFERROR(IF(VLOOKUP(A710,'1. Inbound Leads'!A:G,7,FALSE)=0,"",VLOOKUP(A710,'1. Inbound Leads'!A:G,7,FALSE)),""))</f>
        <v/>
      </c>
      <c r="D710" s="387" t="str">
        <f>IF(A710="","",IFERROR(IF(VLOOKUP(A710,'1. Inbound Leads'!A:L,12,FALSE)=0,"",VLOOKUP(A710,'1. Inbound Leads'!A:L,12,FALSE)),""))</f>
        <v/>
      </c>
      <c r="E710" s="388"/>
      <c r="F710" s="389"/>
      <c r="G710" s="387"/>
      <c r="H710" s="387"/>
      <c r="I710" s="387"/>
      <c r="J710" s="387"/>
      <c r="K710" s="387"/>
      <c r="L710" s="387"/>
      <c r="M710" s="388"/>
      <c r="N710" s="388"/>
      <c r="O710" s="390"/>
      <c r="P710" s="391"/>
      <c r="Q710" s="389"/>
      <c r="R710" s="390"/>
      <c r="S710" s="390"/>
      <c r="T710" s="391"/>
      <c r="U710" s="392"/>
      <c r="V710" s="391"/>
      <c r="W710" s="391"/>
      <c r="X710" s="388"/>
      <c r="Y710" s="391"/>
      <c r="Z710" s="393"/>
      <c r="AA710" s="355" t="str">
        <f t="shared" si="1"/>
        <v/>
      </c>
      <c r="AB710" s="391"/>
      <c r="AC710" s="394" t="str">
        <f t="shared" si="2"/>
        <v/>
      </c>
      <c r="AD710" s="389"/>
      <c r="AE710" s="399"/>
      <c r="AF710" s="395"/>
      <c r="AG710" s="396" t="str">
        <f t="shared" si="3"/>
        <v/>
      </c>
      <c r="AH710" s="396" t="str">
        <f t="shared" si="4"/>
        <v/>
      </c>
      <c r="AI710" s="388"/>
      <c r="AJ710" s="388"/>
      <c r="AK710" s="397"/>
    </row>
    <row r="711">
      <c r="A711" s="398"/>
      <c r="B711" s="386"/>
      <c r="C711" s="387" t="str">
        <f>IF(A711="","",IFERROR(IF(VLOOKUP(A711,'1. Inbound Leads'!A:G,7,FALSE)=0,"",VLOOKUP(A711,'1. Inbound Leads'!A:G,7,FALSE)),""))</f>
        <v/>
      </c>
      <c r="D711" s="387" t="str">
        <f>IF(A711="","",IFERROR(IF(VLOOKUP(A711,'1. Inbound Leads'!A:L,12,FALSE)=0,"",VLOOKUP(A711,'1. Inbound Leads'!A:L,12,FALSE)),""))</f>
        <v/>
      </c>
      <c r="E711" s="388"/>
      <c r="F711" s="389"/>
      <c r="G711" s="387"/>
      <c r="H711" s="387"/>
      <c r="I711" s="387"/>
      <c r="J711" s="387"/>
      <c r="K711" s="387"/>
      <c r="L711" s="387"/>
      <c r="M711" s="388"/>
      <c r="N711" s="388"/>
      <c r="O711" s="390"/>
      <c r="P711" s="391"/>
      <c r="Q711" s="389"/>
      <c r="R711" s="390"/>
      <c r="S711" s="390"/>
      <c r="T711" s="391"/>
      <c r="U711" s="392"/>
      <c r="V711" s="391"/>
      <c r="W711" s="391"/>
      <c r="X711" s="388"/>
      <c r="Y711" s="391"/>
      <c r="Z711" s="393"/>
      <c r="AA711" s="355" t="str">
        <f t="shared" si="1"/>
        <v/>
      </c>
      <c r="AB711" s="391"/>
      <c r="AC711" s="394" t="str">
        <f t="shared" si="2"/>
        <v/>
      </c>
      <c r="AD711" s="389"/>
      <c r="AE711" s="399"/>
      <c r="AF711" s="395"/>
      <c r="AG711" s="396" t="str">
        <f t="shared" si="3"/>
        <v/>
      </c>
      <c r="AH711" s="396" t="str">
        <f t="shared" si="4"/>
        <v/>
      </c>
      <c r="AI711" s="388"/>
      <c r="AJ711" s="388"/>
      <c r="AK711" s="397"/>
    </row>
    <row r="712">
      <c r="A712" s="398"/>
      <c r="B712" s="386"/>
      <c r="C712" s="387" t="str">
        <f>IF(A712="","",IFERROR(IF(VLOOKUP(A712,'1. Inbound Leads'!A:G,7,FALSE)=0,"",VLOOKUP(A712,'1. Inbound Leads'!A:G,7,FALSE)),""))</f>
        <v/>
      </c>
      <c r="D712" s="387" t="str">
        <f>IF(A712="","",IFERROR(IF(VLOOKUP(A712,'1. Inbound Leads'!A:L,12,FALSE)=0,"",VLOOKUP(A712,'1. Inbound Leads'!A:L,12,FALSE)),""))</f>
        <v/>
      </c>
      <c r="E712" s="388"/>
      <c r="F712" s="389"/>
      <c r="G712" s="387"/>
      <c r="H712" s="387"/>
      <c r="I712" s="387"/>
      <c r="J712" s="387"/>
      <c r="K712" s="387"/>
      <c r="L712" s="387"/>
      <c r="M712" s="388"/>
      <c r="N712" s="388"/>
      <c r="O712" s="390"/>
      <c r="P712" s="391"/>
      <c r="Q712" s="389"/>
      <c r="R712" s="390"/>
      <c r="S712" s="390"/>
      <c r="T712" s="391"/>
      <c r="U712" s="392"/>
      <c r="V712" s="391"/>
      <c r="W712" s="391"/>
      <c r="X712" s="388"/>
      <c r="Y712" s="391"/>
      <c r="Z712" s="393"/>
      <c r="AA712" s="355" t="str">
        <f t="shared" si="1"/>
        <v/>
      </c>
      <c r="AB712" s="391"/>
      <c r="AC712" s="394" t="str">
        <f t="shared" si="2"/>
        <v/>
      </c>
      <c r="AD712" s="389"/>
      <c r="AE712" s="399"/>
      <c r="AF712" s="395"/>
      <c r="AG712" s="396" t="str">
        <f t="shared" si="3"/>
        <v/>
      </c>
      <c r="AH712" s="396" t="str">
        <f t="shared" si="4"/>
        <v/>
      </c>
      <c r="AI712" s="388"/>
      <c r="AJ712" s="388"/>
      <c r="AK712" s="397"/>
    </row>
    <row r="713">
      <c r="A713" s="398"/>
      <c r="B713" s="386"/>
      <c r="C713" s="387" t="str">
        <f>IF(A713="","",IFERROR(IF(VLOOKUP(A713,'1. Inbound Leads'!A:G,7,FALSE)=0,"",VLOOKUP(A713,'1. Inbound Leads'!A:G,7,FALSE)),""))</f>
        <v/>
      </c>
      <c r="D713" s="387" t="str">
        <f>IF(A713="","",IFERROR(IF(VLOOKUP(A713,'1. Inbound Leads'!A:L,12,FALSE)=0,"",VLOOKUP(A713,'1. Inbound Leads'!A:L,12,FALSE)),""))</f>
        <v/>
      </c>
      <c r="E713" s="388"/>
      <c r="F713" s="389"/>
      <c r="G713" s="387"/>
      <c r="H713" s="387"/>
      <c r="I713" s="387"/>
      <c r="J713" s="387"/>
      <c r="K713" s="387"/>
      <c r="L713" s="387"/>
      <c r="M713" s="388"/>
      <c r="N713" s="388"/>
      <c r="O713" s="390"/>
      <c r="P713" s="391"/>
      <c r="Q713" s="389"/>
      <c r="R713" s="390"/>
      <c r="S713" s="390"/>
      <c r="T713" s="391"/>
      <c r="U713" s="392"/>
      <c r="V713" s="391"/>
      <c r="W713" s="391"/>
      <c r="X713" s="388"/>
      <c r="Y713" s="391"/>
      <c r="Z713" s="393"/>
      <c r="AA713" s="355" t="str">
        <f t="shared" si="1"/>
        <v/>
      </c>
      <c r="AB713" s="391"/>
      <c r="AC713" s="394" t="str">
        <f t="shared" si="2"/>
        <v/>
      </c>
      <c r="AD713" s="389"/>
      <c r="AE713" s="399"/>
      <c r="AF713" s="395"/>
      <c r="AG713" s="396" t="str">
        <f t="shared" si="3"/>
        <v/>
      </c>
      <c r="AH713" s="396" t="str">
        <f t="shared" si="4"/>
        <v/>
      </c>
      <c r="AI713" s="388"/>
      <c r="AJ713" s="388"/>
      <c r="AK713" s="397"/>
    </row>
    <row r="714">
      <c r="A714" s="398"/>
      <c r="B714" s="386"/>
      <c r="C714" s="387" t="str">
        <f>IF(A714="","",IFERROR(IF(VLOOKUP(A714,'1. Inbound Leads'!A:G,7,FALSE)=0,"",VLOOKUP(A714,'1. Inbound Leads'!A:G,7,FALSE)),""))</f>
        <v/>
      </c>
      <c r="D714" s="387" t="str">
        <f>IF(A714="","",IFERROR(IF(VLOOKUP(A714,'1. Inbound Leads'!A:L,12,FALSE)=0,"",VLOOKUP(A714,'1. Inbound Leads'!A:L,12,FALSE)),""))</f>
        <v/>
      </c>
      <c r="E714" s="388"/>
      <c r="F714" s="389"/>
      <c r="G714" s="387"/>
      <c r="H714" s="387"/>
      <c r="I714" s="387"/>
      <c r="J714" s="387"/>
      <c r="K714" s="387"/>
      <c r="L714" s="387"/>
      <c r="M714" s="388"/>
      <c r="N714" s="388"/>
      <c r="O714" s="390"/>
      <c r="P714" s="391"/>
      <c r="Q714" s="389"/>
      <c r="R714" s="390"/>
      <c r="S714" s="390"/>
      <c r="T714" s="391"/>
      <c r="U714" s="392"/>
      <c r="V714" s="391"/>
      <c r="W714" s="391"/>
      <c r="X714" s="388"/>
      <c r="Y714" s="391"/>
      <c r="Z714" s="393"/>
      <c r="AA714" s="355" t="str">
        <f t="shared" si="1"/>
        <v/>
      </c>
      <c r="AB714" s="391"/>
      <c r="AC714" s="394" t="str">
        <f t="shared" si="2"/>
        <v/>
      </c>
      <c r="AD714" s="389"/>
      <c r="AE714" s="399"/>
      <c r="AF714" s="395"/>
      <c r="AG714" s="396" t="str">
        <f t="shared" si="3"/>
        <v/>
      </c>
      <c r="AH714" s="396" t="str">
        <f t="shared" si="4"/>
        <v/>
      </c>
      <c r="AI714" s="388"/>
      <c r="AJ714" s="388"/>
      <c r="AK714" s="397"/>
    </row>
    <row r="715">
      <c r="A715" s="398"/>
      <c r="B715" s="386"/>
      <c r="C715" s="387" t="str">
        <f>IF(A715="","",IFERROR(IF(VLOOKUP(A715,'1. Inbound Leads'!A:G,7,FALSE)=0,"",VLOOKUP(A715,'1. Inbound Leads'!A:G,7,FALSE)),""))</f>
        <v/>
      </c>
      <c r="D715" s="387" t="str">
        <f>IF(A715="","",IFERROR(IF(VLOOKUP(A715,'1. Inbound Leads'!A:L,12,FALSE)=0,"",VLOOKUP(A715,'1. Inbound Leads'!A:L,12,FALSE)),""))</f>
        <v/>
      </c>
      <c r="E715" s="388"/>
      <c r="F715" s="389"/>
      <c r="G715" s="387"/>
      <c r="H715" s="387"/>
      <c r="I715" s="387"/>
      <c r="J715" s="387"/>
      <c r="K715" s="387"/>
      <c r="L715" s="387"/>
      <c r="M715" s="388"/>
      <c r="N715" s="388"/>
      <c r="O715" s="390"/>
      <c r="P715" s="391"/>
      <c r="Q715" s="389"/>
      <c r="R715" s="390"/>
      <c r="S715" s="390"/>
      <c r="T715" s="391"/>
      <c r="U715" s="392"/>
      <c r="V715" s="391"/>
      <c r="W715" s="391"/>
      <c r="X715" s="388"/>
      <c r="Y715" s="391"/>
      <c r="Z715" s="393"/>
      <c r="AA715" s="355" t="str">
        <f t="shared" si="1"/>
        <v/>
      </c>
      <c r="AB715" s="391"/>
      <c r="AC715" s="394" t="str">
        <f t="shared" si="2"/>
        <v/>
      </c>
      <c r="AD715" s="389"/>
      <c r="AE715" s="399"/>
      <c r="AF715" s="395"/>
      <c r="AG715" s="396" t="str">
        <f t="shared" si="3"/>
        <v/>
      </c>
      <c r="AH715" s="396" t="str">
        <f t="shared" si="4"/>
        <v/>
      </c>
      <c r="AI715" s="388"/>
      <c r="AJ715" s="388"/>
      <c r="AK715" s="397"/>
    </row>
    <row r="716">
      <c r="A716" s="398"/>
      <c r="B716" s="386"/>
      <c r="C716" s="387" t="str">
        <f>IF(A716="","",IFERROR(IF(VLOOKUP(A716,'1. Inbound Leads'!A:G,7,FALSE)=0,"",VLOOKUP(A716,'1. Inbound Leads'!A:G,7,FALSE)),""))</f>
        <v/>
      </c>
      <c r="D716" s="387" t="str">
        <f>IF(A716="","",IFERROR(IF(VLOOKUP(A716,'1. Inbound Leads'!A:L,12,FALSE)=0,"",VLOOKUP(A716,'1. Inbound Leads'!A:L,12,FALSE)),""))</f>
        <v/>
      </c>
      <c r="E716" s="388"/>
      <c r="F716" s="389"/>
      <c r="G716" s="387"/>
      <c r="H716" s="387"/>
      <c r="I716" s="387"/>
      <c r="J716" s="387"/>
      <c r="K716" s="387"/>
      <c r="L716" s="387"/>
      <c r="M716" s="388"/>
      <c r="N716" s="388"/>
      <c r="O716" s="390"/>
      <c r="P716" s="391"/>
      <c r="Q716" s="389"/>
      <c r="R716" s="390"/>
      <c r="S716" s="390"/>
      <c r="T716" s="391"/>
      <c r="U716" s="392"/>
      <c r="V716" s="391"/>
      <c r="W716" s="391"/>
      <c r="X716" s="388"/>
      <c r="Y716" s="391"/>
      <c r="Z716" s="393"/>
      <c r="AA716" s="355" t="str">
        <f t="shared" si="1"/>
        <v/>
      </c>
      <c r="AB716" s="391"/>
      <c r="AC716" s="394" t="str">
        <f t="shared" si="2"/>
        <v/>
      </c>
      <c r="AD716" s="389"/>
      <c r="AE716" s="399"/>
      <c r="AF716" s="395"/>
      <c r="AG716" s="396" t="str">
        <f t="shared" si="3"/>
        <v/>
      </c>
      <c r="AH716" s="396" t="str">
        <f t="shared" si="4"/>
        <v/>
      </c>
      <c r="AI716" s="388"/>
      <c r="AJ716" s="388"/>
      <c r="AK716" s="397"/>
    </row>
    <row r="717">
      <c r="A717" s="398"/>
      <c r="B717" s="386"/>
      <c r="C717" s="387" t="str">
        <f>IF(A717="","",IFERROR(IF(VLOOKUP(A717,'1. Inbound Leads'!A:G,7,FALSE)=0,"",VLOOKUP(A717,'1. Inbound Leads'!A:G,7,FALSE)),""))</f>
        <v/>
      </c>
      <c r="D717" s="387" t="str">
        <f>IF(A717="","",IFERROR(IF(VLOOKUP(A717,'1. Inbound Leads'!A:L,12,FALSE)=0,"",VLOOKUP(A717,'1. Inbound Leads'!A:L,12,FALSE)),""))</f>
        <v/>
      </c>
      <c r="E717" s="388"/>
      <c r="F717" s="389"/>
      <c r="G717" s="387"/>
      <c r="H717" s="387"/>
      <c r="I717" s="387"/>
      <c r="J717" s="387"/>
      <c r="K717" s="387"/>
      <c r="L717" s="387"/>
      <c r="M717" s="388"/>
      <c r="N717" s="388"/>
      <c r="O717" s="390"/>
      <c r="P717" s="391"/>
      <c r="Q717" s="389"/>
      <c r="R717" s="390"/>
      <c r="S717" s="390"/>
      <c r="T717" s="391"/>
      <c r="U717" s="392"/>
      <c r="V717" s="391"/>
      <c r="W717" s="391"/>
      <c r="X717" s="388"/>
      <c r="Y717" s="391"/>
      <c r="Z717" s="393"/>
      <c r="AA717" s="355" t="str">
        <f t="shared" si="1"/>
        <v/>
      </c>
      <c r="AB717" s="391"/>
      <c r="AC717" s="394" t="str">
        <f t="shared" si="2"/>
        <v/>
      </c>
      <c r="AD717" s="389"/>
      <c r="AE717" s="399"/>
      <c r="AF717" s="395"/>
      <c r="AG717" s="396" t="str">
        <f t="shared" si="3"/>
        <v/>
      </c>
      <c r="AH717" s="396" t="str">
        <f t="shared" si="4"/>
        <v/>
      </c>
      <c r="AI717" s="388"/>
      <c r="AJ717" s="388"/>
      <c r="AK717" s="397"/>
    </row>
    <row r="718">
      <c r="A718" s="398"/>
      <c r="B718" s="386"/>
      <c r="C718" s="387" t="str">
        <f>IF(A718="","",IFERROR(IF(VLOOKUP(A718,'1. Inbound Leads'!A:G,7,FALSE)=0,"",VLOOKUP(A718,'1. Inbound Leads'!A:G,7,FALSE)),""))</f>
        <v/>
      </c>
      <c r="D718" s="387" t="str">
        <f>IF(A718="","",IFERROR(IF(VLOOKUP(A718,'1. Inbound Leads'!A:L,12,FALSE)=0,"",VLOOKUP(A718,'1. Inbound Leads'!A:L,12,FALSE)),""))</f>
        <v/>
      </c>
      <c r="E718" s="388"/>
      <c r="F718" s="389"/>
      <c r="G718" s="387"/>
      <c r="H718" s="387"/>
      <c r="I718" s="387"/>
      <c r="J718" s="387"/>
      <c r="K718" s="387"/>
      <c r="L718" s="387"/>
      <c r="M718" s="388"/>
      <c r="N718" s="388"/>
      <c r="O718" s="390"/>
      <c r="P718" s="391"/>
      <c r="Q718" s="389"/>
      <c r="R718" s="390"/>
      <c r="S718" s="390"/>
      <c r="T718" s="391"/>
      <c r="U718" s="392"/>
      <c r="V718" s="391"/>
      <c r="W718" s="391"/>
      <c r="X718" s="388"/>
      <c r="Y718" s="391"/>
      <c r="Z718" s="393"/>
      <c r="AA718" s="355" t="str">
        <f t="shared" si="1"/>
        <v/>
      </c>
      <c r="AB718" s="391"/>
      <c r="AC718" s="394" t="str">
        <f t="shared" si="2"/>
        <v/>
      </c>
      <c r="AD718" s="389"/>
      <c r="AE718" s="399"/>
      <c r="AF718" s="395"/>
      <c r="AG718" s="396" t="str">
        <f t="shared" si="3"/>
        <v/>
      </c>
      <c r="AH718" s="396" t="str">
        <f t="shared" si="4"/>
        <v/>
      </c>
      <c r="AI718" s="388"/>
      <c r="AJ718" s="388"/>
      <c r="AK718" s="397"/>
    </row>
    <row r="719">
      <c r="A719" s="398"/>
      <c r="B719" s="386"/>
      <c r="C719" s="387" t="str">
        <f>IF(A719="","",IFERROR(IF(VLOOKUP(A719,'1. Inbound Leads'!A:G,7,FALSE)=0,"",VLOOKUP(A719,'1. Inbound Leads'!A:G,7,FALSE)),""))</f>
        <v/>
      </c>
      <c r="D719" s="387" t="str">
        <f>IF(A719="","",IFERROR(IF(VLOOKUP(A719,'1. Inbound Leads'!A:L,12,FALSE)=0,"",VLOOKUP(A719,'1. Inbound Leads'!A:L,12,FALSE)),""))</f>
        <v/>
      </c>
      <c r="E719" s="388"/>
      <c r="F719" s="389"/>
      <c r="G719" s="387"/>
      <c r="H719" s="387"/>
      <c r="I719" s="387"/>
      <c r="J719" s="387"/>
      <c r="K719" s="387"/>
      <c r="L719" s="387"/>
      <c r="M719" s="388"/>
      <c r="N719" s="388"/>
      <c r="O719" s="390"/>
      <c r="P719" s="391"/>
      <c r="Q719" s="389"/>
      <c r="R719" s="390"/>
      <c r="S719" s="390"/>
      <c r="T719" s="391"/>
      <c r="U719" s="392"/>
      <c r="V719" s="391"/>
      <c r="W719" s="391"/>
      <c r="X719" s="388"/>
      <c r="Y719" s="391"/>
      <c r="Z719" s="393"/>
      <c r="AA719" s="355" t="str">
        <f t="shared" si="1"/>
        <v/>
      </c>
      <c r="AB719" s="391"/>
      <c r="AC719" s="394" t="str">
        <f t="shared" si="2"/>
        <v/>
      </c>
      <c r="AD719" s="389"/>
      <c r="AE719" s="399"/>
      <c r="AF719" s="395"/>
      <c r="AG719" s="396" t="str">
        <f t="shared" si="3"/>
        <v/>
      </c>
      <c r="AH719" s="396" t="str">
        <f t="shared" si="4"/>
        <v/>
      </c>
      <c r="AI719" s="388"/>
      <c r="AJ719" s="388"/>
      <c r="AK719" s="397"/>
    </row>
    <row r="720">
      <c r="A720" s="398"/>
      <c r="B720" s="386"/>
      <c r="C720" s="387" t="str">
        <f>IF(A720="","",IFERROR(IF(VLOOKUP(A720,'1. Inbound Leads'!A:G,7,FALSE)=0,"",VLOOKUP(A720,'1. Inbound Leads'!A:G,7,FALSE)),""))</f>
        <v/>
      </c>
      <c r="D720" s="387" t="str">
        <f>IF(A720="","",IFERROR(IF(VLOOKUP(A720,'1. Inbound Leads'!A:L,12,FALSE)=0,"",VLOOKUP(A720,'1. Inbound Leads'!A:L,12,FALSE)),""))</f>
        <v/>
      </c>
      <c r="E720" s="388"/>
      <c r="F720" s="389"/>
      <c r="G720" s="387"/>
      <c r="H720" s="387"/>
      <c r="I720" s="387"/>
      <c r="J720" s="387"/>
      <c r="K720" s="387"/>
      <c r="L720" s="387"/>
      <c r="M720" s="388"/>
      <c r="N720" s="388"/>
      <c r="O720" s="390"/>
      <c r="P720" s="391"/>
      <c r="Q720" s="389"/>
      <c r="R720" s="390"/>
      <c r="S720" s="390"/>
      <c r="T720" s="391"/>
      <c r="U720" s="392"/>
      <c r="V720" s="391"/>
      <c r="W720" s="391"/>
      <c r="X720" s="388"/>
      <c r="Y720" s="391"/>
      <c r="Z720" s="393"/>
      <c r="AA720" s="355" t="str">
        <f t="shared" si="1"/>
        <v/>
      </c>
      <c r="AB720" s="391"/>
      <c r="AC720" s="394" t="str">
        <f t="shared" si="2"/>
        <v/>
      </c>
      <c r="AD720" s="389"/>
      <c r="AE720" s="399"/>
      <c r="AF720" s="395"/>
      <c r="AG720" s="396" t="str">
        <f t="shared" si="3"/>
        <v/>
      </c>
      <c r="AH720" s="396" t="str">
        <f t="shared" si="4"/>
        <v/>
      </c>
      <c r="AI720" s="388"/>
      <c r="AJ720" s="388"/>
      <c r="AK720" s="397"/>
    </row>
    <row r="721">
      <c r="A721" s="398"/>
      <c r="B721" s="386"/>
      <c r="C721" s="387" t="str">
        <f>IF(A721="","",IFERROR(IF(VLOOKUP(A721,'1. Inbound Leads'!A:G,7,FALSE)=0,"",VLOOKUP(A721,'1. Inbound Leads'!A:G,7,FALSE)),""))</f>
        <v/>
      </c>
      <c r="D721" s="387" t="str">
        <f>IF(A721="","",IFERROR(IF(VLOOKUP(A721,'1. Inbound Leads'!A:L,12,FALSE)=0,"",VLOOKUP(A721,'1. Inbound Leads'!A:L,12,FALSE)),""))</f>
        <v/>
      </c>
      <c r="E721" s="388"/>
      <c r="F721" s="389"/>
      <c r="G721" s="387"/>
      <c r="H721" s="387"/>
      <c r="I721" s="387"/>
      <c r="J721" s="387"/>
      <c r="K721" s="387"/>
      <c r="L721" s="387"/>
      <c r="M721" s="388"/>
      <c r="N721" s="388"/>
      <c r="O721" s="390"/>
      <c r="P721" s="391"/>
      <c r="Q721" s="389"/>
      <c r="R721" s="390"/>
      <c r="S721" s="390"/>
      <c r="T721" s="391"/>
      <c r="U721" s="392"/>
      <c r="V721" s="391"/>
      <c r="W721" s="391"/>
      <c r="X721" s="388"/>
      <c r="Y721" s="391"/>
      <c r="Z721" s="393"/>
      <c r="AA721" s="355" t="str">
        <f t="shared" si="1"/>
        <v/>
      </c>
      <c r="AB721" s="391"/>
      <c r="AC721" s="394" t="str">
        <f t="shared" si="2"/>
        <v/>
      </c>
      <c r="AD721" s="389"/>
      <c r="AE721" s="399"/>
      <c r="AF721" s="395"/>
      <c r="AG721" s="396" t="str">
        <f t="shared" si="3"/>
        <v/>
      </c>
      <c r="AH721" s="396" t="str">
        <f t="shared" si="4"/>
        <v/>
      </c>
      <c r="AI721" s="388"/>
      <c r="AJ721" s="388"/>
      <c r="AK721" s="397"/>
    </row>
    <row r="722">
      <c r="A722" s="398"/>
      <c r="B722" s="386"/>
      <c r="C722" s="387" t="str">
        <f>IF(A722="","",IFERROR(IF(VLOOKUP(A722,'1. Inbound Leads'!A:G,7,FALSE)=0,"",VLOOKUP(A722,'1. Inbound Leads'!A:G,7,FALSE)),""))</f>
        <v/>
      </c>
      <c r="D722" s="387" t="str">
        <f>IF(A722="","",IFERROR(IF(VLOOKUP(A722,'1. Inbound Leads'!A:L,12,FALSE)=0,"",VLOOKUP(A722,'1. Inbound Leads'!A:L,12,FALSE)),""))</f>
        <v/>
      </c>
      <c r="E722" s="388"/>
      <c r="F722" s="389"/>
      <c r="G722" s="387"/>
      <c r="H722" s="387"/>
      <c r="I722" s="387"/>
      <c r="J722" s="387"/>
      <c r="K722" s="387"/>
      <c r="L722" s="387"/>
      <c r="M722" s="388"/>
      <c r="N722" s="388"/>
      <c r="O722" s="390"/>
      <c r="P722" s="391"/>
      <c r="Q722" s="389"/>
      <c r="R722" s="390"/>
      <c r="S722" s="390"/>
      <c r="T722" s="391"/>
      <c r="U722" s="392"/>
      <c r="V722" s="391"/>
      <c r="W722" s="391"/>
      <c r="X722" s="388"/>
      <c r="Y722" s="391"/>
      <c r="Z722" s="393"/>
      <c r="AA722" s="355" t="str">
        <f t="shared" si="1"/>
        <v/>
      </c>
      <c r="AB722" s="391"/>
      <c r="AC722" s="394" t="str">
        <f t="shared" si="2"/>
        <v/>
      </c>
      <c r="AD722" s="389"/>
      <c r="AE722" s="399"/>
      <c r="AF722" s="395"/>
      <c r="AG722" s="396" t="str">
        <f t="shared" si="3"/>
        <v/>
      </c>
      <c r="AH722" s="396" t="str">
        <f t="shared" si="4"/>
        <v/>
      </c>
      <c r="AI722" s="388"/>
      <c r="AJ722" s="388"/>
      <c r="AK722" s="397"/>
    </row>
    <row r="723">
      <c r="A723" s="398"/>
      <c r="B723" s="386"/>
      <c r="C723" s="387" t="str">
        <f>IF(A723="","",IFERROR(IF(VLOOKUP(A723,'1. Inbound Leads'!A:G,7,FALSE)=0,"",VLOOKUP(A723,'1. Inbound Leads'!A:G,7,FALSE)),""))</f>
        <v/>
      </c>
      <c r="D723" s="387" t="str">
        <f>IF(A723="","",IFERROR(IF(VLOOKUP(A723,'1. Inbound Leads'!A:L,12,FALSE)=0,"",VLOOKUP(A723,'1. Inbound Leads'!A:L,12,FALSE)),""))</f>
        <v/>
      </c>
      <c r="E723" s="388"/>
      <c r="F723" s="389"/>
      <c r="G723" s="387"/>
      <c r="H723" s="387"/>
      <c r="I723" s="387"/>
      <c r="J723" s="387"/>
      <c r="K723" s="387"/>
      <c r="L723" s="387"/>
      <c r="M723" s="388"/>
      <c r="N723" s="388"/>
      <c r="O723" s="390"/>
      <c r="P723" s="391"/>
      <c r="Q723" s="389"/>
      <c r="R723" s="390"/>
      <c r="S723" s="390"/>
      <c r="T723" s="391"/>
      <c r="U723" s="392"/>
      <c r="V723" s="391"/>
      <c r="W723" s="391"/>
      <c r="X723" s="388"/>
      <c r="Y723" s="391"/>
      <c r="Z723" s="393"/>
      <c r="AA723" s="355" t="str">
        <f t="shared" si="1"/>
        <v/>
      </c>
      <c r="AB723" s="391"/>
      <c r="AC723" s="394" t="str">
        <f t="shared" si="2"/>
        <v/>
      </c>
      <c r="AD723" s="389"/>
      <c r="AE723" s="399"/>
      <c r="AF723" s="395"/>
      <c r="AG723" s="396" t="str">
        <f t="shared" si="3"/>
        <v/>
      </c>
      <c r="AH723" s="396" t="str">
        <f t="shared" si="4"/>
        <v/>
      </c>
      <c r="AI723" s="388"/>
      <c r="AJ723" s="388"/>
      <c r="AK723" s="397"/>
    </row>
    <row r="724">
      <c r="A724" s="398"/>
      <c r="B724" s="386"/>
      <c r="C724" s="387" t="str">
        <f>IF(A724="","",IFERROR(IF(VLOOKUP(A724,'1. Inbound Leads'!A:G,7,FALSE)=0,"",VLOOKUP(A724,'1. Inbound Leads'!A:G,7,FALSE)),""))</f>
        <v/>
      </c>
      <c r="D724" s="387" t="str">
        <f>IF(A724="","",IFERROR(IF(VLOOKUP(A724,'1. Inbound Leads'!A:L,12,FALSE)=0,"",VLOOKUP(A724,'1. Inbound Leads'!A:L,12,FALSE)),""))</f>
        <v/>
      </c>
      <c r="E724" s="388"/>
      <c r="F724" s="389"/>
      <c r="G724" s="387"/>
      <c r="H724" s="387"/>
      <c r="I724" s="387"/>
      <c r="J724" s="387"/>
      <c r="K724" s="387"/>
      <c r="L724" s="387"/>
      <c r="M724" s="388"/>
      <c r="N724" s="388"/>
      <c r="O724" s="390"/>
      <c r="P724" s="391"/>
      <c r="Q724" s="389"/>
      <c r="R724" s="390"/>
      <c r="S724" s="390"/>
      <c r="T724" s="391"/>
      <c r="U724" s="392"/>
      <c r="V724" s="391"/>
      <c r="W724" s="391"/>
      <c r="X724" s="388"/>
      <c r="Y724" s="391"/>
      <c r="Z724" s="393"/>
      <c r="AA724" s="355" t="str">
        <f t="shared" si="1"/>
        <v/>
      </c>
      <c r="AB724" s="391"/>
      <c r="AC724" s="394" t="str">
        <f t="shared" si="2"/>
        <v/>
      </c>
      <c r="AD724" s="389"/>
      <c r="AE724" s="399"/>
      <c r="AF724" s="395"/>
      <c r="AG724" s="396" t="str">
        <f t="shared" si="3"/>
        <v/>
      </c>
      <c r="AH724" s="396" t="str">
        <f t="shared" si="4"/>
        <v/>
      </c>
      <c r="AI724" s="388"/>
      <c r="AJ724" s="388"/>
      <c r="AK724" s="397"/>
    </row>
    <row r="725">
      <c r="A725" s="398"/>
      <c r="B725" s="386"/>
      <c r="C725" s="387" t="str">
        <f>IF(A725="","",IFERROR(IF(VLOOKUP(A725,'1. Inbound Leads'!A:G,7,FALSE)=0,"",VLOOKUP(A725,'1. Inbound Leads'!A:G,7,FALSE)),""))</f>
        <v/>
      </c>
      <c r="D725" s="387" t="str">
        <f>IF(A725="","",IFERROR(IF(VLOOKUP(A725,'1. Inbound Leads'!A:L,12,FALSE)=0,"",VLOOKUP(A725,'1. Inbound Leads'!A:L,12,FALSE)),""))</f>
        <v/>
      </c>
      <c r="E725" s="388"/>
      <c r="F725" s="389"/>
      <c r="G725" s="387"/>
      <c r="H725" s="387"/>
      <c r="I725" s="387"/>
      <c r="J725" s="387"/>
      <c r="K725" s="387"/>
      <c r="L725" s="387"/>
      <c r="M725" s="388"/>
      <c r="N725" s="388"/>
      <c r="O725" s="390"/>
      <c r="P725" s="391"/>
      <c r="Q725" s="389"/>
      <c r="R725" s="390"/>
      <c r="S725" s="390"/>
      <c r="T725" s="391"/>
      <c r="U725" s="392"/>
      <c r="V725" s="391"/>
      <c r="W725" s="391"/>
      <c r="X725" s="388"/>
      <c r="Y725" s="391"/>
      <c r="Z725" s="393"/>
      <c r="AA725" s="355" t="str">
        <f t="shared" si="1"/>
        <v/>
      </c>
      <c r="AB725" s="391"/>
      <c r="AC725" s="394" t="str">
        <f t="shared" si="2"/>
        <v/>
      </c>
      <c r="AD725" s="389"/>
      <c r="AE725" s="399"/>
      <c r="AF725" s="395"/>
      <c r="AG725" s="396" t="str">
        <f t="shared" si="3"/>
        <v/>
      </c>
      <c r="AH725" s="396" t="str">
        <f t="shared" si="4"/>
        <v/>
      </c>
      <c r="AI725" s="388"/>
      <c r="AJ725" s="388"/>
      <c r="AK725" s="397"/>
    </row>
    <row r="726">
      <c r="A726" s="398"/>
      <c r="B726" s="386"/>
      <c r="C726" s="387" t="str">
        <f>IF(A726="","",IFERROR(IF(VLOOKUP(A726,'1. Inbound Leads'!A:G,7,FALSE)=0,"",VLOOKUP(A726,'1. Inbound Leads'!A:G,7,FALSE)),""))</f>
        <v/>
      </c>
      <c r="D726" s="387" t="str">
        <f>IF(A726="","",IFERROR(IF(VLOOKUP(A726,'1. Inbound Leads'!A:L,12,FALSE)=0,"",VLOOKUP(A726,'1. Inbound Leads'!A:L,12,FALSE)),""))</f>
        <v/>
      </c>
      <c r="E726" s="388"/>
      <c r="F726" s="389"/>
      <c r="G726" s="387"/>
      <c r="H726" s="387"/>
      <c r="I726" s="387"/>
      <c r="J726" s="387"/>
      <c r="K726" s="387"/>
      <c r="L726" s="387"/>
      <c r="M726" s="388"/>
      <c r="N726" s="388"/>
      <c r="O726" s="390"/>
      <c r="P726" s="391"/>
      <c r="Q726" s="389"/>
      <c r="R726" s="390"/>
      <c r="S726" s="390"/>
      <c r="T726" s="391"/>
      <c r="U726" s="392"/>
      <c r="V726" s="391"/>
      <c r="W726" s="391"/>
      <c r="X726" s="388"/>
      <c r="Y726" s="391"/>
      <c r="Z726" s="393"/>
      <c r="AA726" s="355" t="str">
        <f t="shared" si="1"/>
        <v/>
      </c>
      <c r="AB726" s="391"/>
      <c r="AC726" s="394" t="str">
        <f t="shared" si="2"/>
        <v/>
      </c>
      <c r="AD726" s="389"/>
      <c r="AE726" s="399"/>
      <c r="AF726" s="395"/>
      <c r="AG726" s="396" t="str">
        <f t="shared" si="3"/>
        <v/>
      </c>
      <c r="AH726" s="396" t="str">
        <f t="shared" si="4"/>
        <v/>
      </c>
      <c r="AI726" s="388"/>
      <c r="AJ726" s="388"/>
      <c r="AK726" s="397"/>
    </row>
    <row r="727">
      <c r="A727" s="398"/>
      <c r="B727" s="386"/>
      <c r="C727" s="387" t="str">
        <f>IF(A727="","",IFERROR(IF(VLOOKUP(A727,'1. Inbound Leads'!A:G,7,FALSE)=0,"",VLOOKUP(A727,'1. Inbound Leads'!A:G,7,FALSE)),""))</f>
        <v/>
      </c>
      <c r="D727" s="387" t="str">
        <f>IF(A727="","",IFERROR(IF(VLOOKUP(A727,'1. Inbound Leads'!A:L,12,FALSE)=0,"",VLOOKUP(A727,'1. Inbound Leads'!A:L,12,FALSE)),""))</f>
        <v/>
      </c>
      <c r="E727" s="388"/>
      <c r="F727" s="389"/>
      <c r="G727" s="387"/>
      <c r="H727" s="387"/>
      <c r="I727" s="387"/>
      <c r="J727" s="387"/>
      <c r="K727" s="387"/>
      <c r="L727" s="387"/>
      <c r="M727" s="388"/>
      <c r="N727" s="388"/>
      <c r="O727" s="390"/>
      <c r="P727" s="391"/>
      <c r="Q727" s="389"/>
      <c r="R727" s="390"/>
      <c r="S727" s="390"/>
      <c r="T727" s="391"/>
      <c r="U727" s="392"/>
      <c r="V727" s="391"/>
      <c r="W727" s="391"/>
      <c r="X727" s="388"/>
      <c r="Y727" s="391"/>
      <c r="Z727" s="393"/>
      <c r="AA727" s="355" t="str">
        <f t="shared" si="1"/>
        <v/>
      </c>
      <c r="AB727" s="391"/>
      <c r="AC727" s="394" t="str">
        <f t="shared" si="2"/>
        <v/>
      </c>
      <c r="AD727" s="389"/>
      <c r="AE727" s="399"/>
      <c r="AF727" s="395"/>
      <c r="AG727" s="396" t="str">
        <f t="shared" si="3"/>
        <v/>
      </c>
      <c r="AH727" s="396" t="str">
        <f t="shared" si="4"/>
        <v/>
      </c>
      <c r="AI727" s="388"/>
      <c r="AJ727" s="388"/>
      <c r="AK727" s="397"/>
    </row>
    <row r="728">
      <c r="A728" s="398"/>
      <c r="B728" s="386"/>
      <c r="C728" s="387" t="str">
        <f>IF(A728="","",IFERROR(IF(VLOOKUP(A728,'1. Inbound Leads'!A:G,7,FALSE)=0,"",VLOOKUP(A728,'1. Inbound Leads'!A:G,7,FALSE)),""))</f>
        <v/>
      </c>
      <c r="D728" s="387" t="str">
        <f>IF(A728="","",IFERROR(IF(VLOOKUP(A728,'1. Inbound Leads'!A:L,12,FALSE)=0,"",VLOOKUP(A728,'1. Inbound Leads'!A:L,12,FALSE)),""))</f>
        <v/>
      </c>
      <c r="E728" s="388"/>
      <c r="F728" s="389"/>
      <c r="G728" s="387"/>
      <c r="H728" s="387"/>
      <c r="I728" s="387"/>
      <c r="J728" s="387"/>
      <c r="K728" s="387"/>
      <c r="L728" s="387"/>
      <c r="M728" s="388"/>
      <c r="N728" s="388"/>
      <c r="O728" s="390"/>
      <c r="P728" s="391"/>
      <c r="Q728" s="389"/>
      <c r="R728" s="390"/>
      <c r="S728" s="390"/>
      <c r="T728" s="391"/>
      <c r="U728" s="392"/>
      <c r="V728" s="391"/>
      <c r="W728" s="391"/>
      <c r="X728" s="388"/>
      <c r="Y728" s="391"/>
      <c r="Z728" s="393"/>
      <c r="AA728" s="355" t="str">
        <f t="shared" si="1"/>
        <v/>
      </c>
      <c r="AB728" s="391"/>
      <c r="AC728" s="394" t="str">
        <f t="shared" si="2"/>
        <v/>
      </c>
      <c r="AD728" s="389"/>
      <c r="AE728" s="399"/>
      <c r="AF728" s="395"/>
      <c r="AG728" s="396" t="str">
        <f t="shared" si="3"/>
        <v/>
      </c>
      <c r="AH728" s="396" t="str">
        <f t="shared" si="4"/>
        <v/>
      </c>
      <c r="AI728" s="388"/>
      <c r="AJ728" s="388"/>
      <c r="AK728" s="397"/>
    </row>
    <row r="729">
      <c r="A729" s="398"/>
      <c r="B729" s="386"/>
      <c r="C729" s="387" t="str">
        <f>IF(A729="","",IFERROR(IF(VLOOKUP(A729,'1. Inbound Leads'!A:G,7,FALSE)=0,"",VLOOKUP(A729,'1. Inbound Leads'!A:G,7,FALSE)),""))</f>
        <v/>
      </c>
      <c r="D729" s="387" t="str">
        <f>IF(A729="","",IFERROR(IF(VLOOKUP(A729,'1. Inbound Leads'!A:L,12,FALSE)=0,"",VLOOKUP(A729,'1. Inbound Leads'!A:L,12,FALSE)),""))</f>
        <v/>
      </c>
      <c r="E729" s="388"/>
      <c r="F729" s="389"/>
      <c r="G729" s="387"/>
      <c r="H729" s="387"/>
      <c r="I729" s="387"/>
      <c r="J729" s="387"/>
      <c r="K729" s="387"/>
      <c r="L729" s="387"/>
      <c r="M729" s="388"/>
      <c r="N729" s="388"/>
      <c r="O729" s="390"/>
      <c r="P729" s="391"/>
      <c r="Q729" s="389"/>
      <c r="R729" s="390"/>
      <c r="S729" s="390"/>
      <c r="T729" s="391"/>
      <c r="U729" s="392"/>
      <c r="V729" s="391"/>
      <c r="W729" s="391"/>
      <c r="X729" s="388"/>
      <c r="Y729" s="391"/>
      <c r="Z729" s="393"/>
      <c r="AA729" s="355" t="str">
        <f t="shared" si="1"/>
        <v/>
      </c>
      <c r="AB729" s="391"/>
      <c r="AC729" s="394" t="str">
        <f t="shared" si="2"/>
        <v/>
      </c>
      <c r="AD729" s="389"/>
      <c r="AE729" s="399"/>
      <c r="AF729" s="395"/>
      <c r="AG729" s="396" t="str">
        <f t="shared" si="3"/>
        <v/>
      </c>
      <c r="AH729" s="396" t="str">
        <f t="shared" si="4"/>
        <v/>
      </c>
      <c r="AI729" s="388"/>
      <c r="AJ729" s="388"/>
      <c r="AK729" s="397"/>
    </row>
    <row r="730">
      <c r="A730" s="398"/>
      <c r="B730" s="386"/>
      <c r="C730" s="387" t="str">
        <f>IF(A730="","",IFERROR(IF(VLOOKUP(A730,'1. Inbound Leads'!A:G,7,FALSE)=0,"",VLOOKUP(A730,'1. Inbound Leads'!A:G,7,FALSE)),""))</f>
        <v/>
      </c>
      <c r="D730" s="387" t="str">
        <f>IF(A730="","",IFERROR(IF(VLOOKUP(A730,'1. Inbound Leads'!A:L,12,FALSE)=0,"",VLOOKUP(A730,'1. Inbound Leads'!A:L,12,FALSE)),""))</f>
        <v/>
      </c>
      <c r="E730" s="388"/>
      <c r="F730" s="389"/>
      <c r="G730" s="387"/>
      <c r="H730" s="387"/>
      <c r="I730" s="387"/>
      <c r="J730" s="387"/>
      <c r="K730" s="387"/>
      <c r="L730" s="387"/>
      <c r="M730" s="388"/>
      <c r="N730" s="388"/>
      <c r="O730" s="390"/>
      <c r="P730" s="391"/>
      <c r="Q730" s="389"/>
      <c r="R730" s="390"/>
      <c r="S730" s="390"/>
      <c r="T730" s="391"/>
      <c r="U730" s="392"/>
      <c r="V730" s="391"/>
      <c r="W730" s="391"/>
      <c r="X730" s="388"/>
      <c r="Y730" s="391"/>
      <c r="Z730" s="393"/>
      <c r="AA730" s="355" t="str">
        <f t="shared" si="1"/>
        <v/>
      </c>
      <c r="AB730" s="391"/>
      <c r="AC730" s="394" t="str">
        <f t="shared" si="2"/>
        <v/>
      </c>
      <c r="AD730" s="389"/>
      <c r="AE730" s="399"/>
      <c r="AF730" s="395"/>
      <c r="AG730" s="396" t="str">
        <f t="shared" si="3"/>
        <v/>
      </c>
      <c r="AH730" s="396" t="str">
        <f t="shared" si="4"/>
        <v/>
      </c>
      <c r="AI730" s="388"/>
      <c r="AJ730" s="388"/>
      <c r="AK730" s="397"/>
    </row>
    <row r="731">
      <c r="A731" s="398"/>
      <c r="B731" s="386"/>
      <c r="C731" s="387" t="str">
        <f>IF(A731="","",IFERROR(IF(VLOOKUP(A731,'1. Inbound Leads'!A:G,7,FALSE)=0,"",VLOOKUP(A731,'1. Inbound Leads'!A:G,7,FALSE)),""))</f>
        <v/>
      </c>
      <c r="D731" s="387" t="str">
        <f>IF(A731="","",IFERROR(IF(VLOOKUP(A731,'1. Inbound Leads'!A:L,12,FALSE)=0,"",VLOOKUP(A731,'1. Inbound Leads'!A:L,12,FALSE)),""))</f>
        <v/>
      </c>
      <c r="E731" s="388"/>
      <c r="F731" s="389"/>
      <c r="G731" s="387"/>
      <c r="H731" s="387"/>
      <c r="I731" s="387"/>
      <c r="J731" s="387"/>
      <c r="K731" s="387"/>
      <c r="L731" s="387"/>
      <c r="M731" s="388"/>
      <c r="N731" s="388"/>
      <c r="O731" s="390"/>
      <c r="P731" s="391"/>
      <c r="Q731" s="389"/>
      <c r="R731" s="390"/>
      <c r="S731" s="390"/>
      <c r="T731" s="391"/>
      <c r="U731" s="392"/>
      <c r="V731" s="391"/>
      <c r="W731" s="391"/>
      <c r="X731" s="388"/>
      <c r="Y731" s="391"/>
      <c r="Z731" s="393"/>
      <c r="AA731" s="355" t="str">
        <f t="shared" si="1"/>
        <v/>
      </c>
      <c r="AB731" s="391"/>
      <c r="AC731" s="394" t="str">
        <f t="shared" si="2"/>
        <v/>
      </c>
      <c r="AD731" s="389"/>
      <c r="AE731" s="399"/>
      <c r="AF731" s="395"/>
      <c r="AG731" s="396" t="str">
        <f t="shared" si="3"/>
        <v/>
      </c>
      <c r="AH731" s="396" t="str">
        <f t="shared" si="4"/>
        <v/>
      </c>
      <c r="AI731" s="388"/>
      <c r="AJ731" s="388"/>
      <c r="AK731" s="397"/>
    </row>
    <row r="732">
      <c r="A732" s="398"/>
      <c r="B732" s="386"/>
      <c r="C732" s="387" t="str">
        <f>IF(A732="","",IFERROR(IF(VLOOKUP(A732,'1. Inbound Leads'!A:G,7,FALSE)=0,"",VLOOKUP(A732,'1. Inbound Leads'!A:G,7,FALSE)),""))</f>
        <v/>
      </c>
      <c r="D732" s="387" t="str">
        <f>IF(A732="","",IFERROR(IF(VLOOKUP(A732,'1. Inbound Leads'!A:L,12,FALSE)=0,"",VLOOKUP(A732,'1. Inbound Leads'!A:L,12,FALSE)),""))</f>
        <v/>
      </c>
      <c r="E732" s="388"/>
      <c r="F732" s="389"/>
      <c r="G732" s="387"/>
      <c r="H732" s="387"/>
      <c r="I732" s="387"/>
      <c r="J732" s="387"/>
      <c r="K732" s="387"/>
      <c r="L732" s="387"/>
      <c r="M732" s="388"/>
      <c r="N732" s="388"/>
      <c r="O732" s="390"/>
      <c r="P732" s="391"/>
      <c r="Q732" s="389"/>
      <c r="R732" s="390"/>
      <c r="S732" s="390"/>
      <c r="T732" s="391"/>
      <c r="U732" s="392"/>
      <c r="V732" s="391"/>
      <c r="W732" s="391"/>
      <c r="X732" s="388"/>
      <c r="Y732" s="391"/>
      <c r="Z732" s="393"/>
      <c r="AA732" s="355" t="str">
        <f t="shared" si="1"/>
        <v/>
      </c>
      <c r="AB732" s="391"/>
      <c r="AC732" s="394" t="str">
        <f t="shared" si="2"/>
        <v/>
      </c>
      <c r="AD732" s="389"/>
      <c r="AE732" s="399"/>
      <c r="AF732" s="395"/>
      <c r="AG732" s="396" t="str">
        <f t="shared" si="3"/>
        <v/>
      </c>
      <c r="AH732" s="396" t="str">
        <f t="shared" si="4"/>
        <v/>
      </c>
      <c r="AI732" s="388"/>
      <c r="AJ732" s="388"/>
      <c r="AK732" s="397"/>
    </row>
    <row r="733">
      <c r="A733" s="398"/>
      <c r="B733" s="386"/>
      <c r="C733" s="387" t="str">
        <f>IF(A733="","",IFERROR(IF(VLOOKUP(A733,'1. Inbound Leads'!A:G,7,FALSE)=0,"",VLOOKUP(A733,'1. Inbound Leads'!A:G,7,FALSE)),""))</f>
        <v/>
      </c>
      <c r="D733" s="387" t="str">
        <f>IF(A733="","",IFERROR(IF(VLOOKUP(A733,'1. Inbound Leads'!A:L,12,FALSE)=0,"",VLOOKUP(A733,'1. Inbound Leads'!A:L,12,FALSE)),""))</f>
        <v/>
      </c>
      <c r="E733" s="388"/>
      <c r="F733" s="389"/>
      <c r="G733" s="387"/>
      <c r="H733" s="387"/>
      <c r="I733" s="387"/>
      <c r="J733" s="387"/>
      <c r="K733" s="387"/>
      <c r="L733" s="387"/>
      <c r="M733" s="388"/>
      <c r="N733" s="388"/>
      <c r="O733" s="390"/>
      <c r="P733" s="391"/>
      <c r="Q733" s="389"/>
      <c r="R733" s="390"/>
      <c r="S733" s="390"/>
      <c r="T733" s="391"/>
      <c r="U733" s="392"/>
      <c r="V733" s="391"/>
      <c r="W733" s="391"/>
      <c r="X733" s="388"/>
      <c r="Y733" s="391"/>
      <c r="Z733" s="393"/>
      <c r="AA733" s="355" t="str">
        <f t="shared" si="1"/>
        <v/>
      </c>
      <c r="AB733" s="391"/>
      <c r="AC733" s="394" t="str">
        <f t="shared" si="2"/>
        <v/>
      </c>
      <c r="AD733" s="389"/>
      <c r="AE733" s="399"/>
      <c r="AF733" s="395"/>
      <c r="AG733" s="396" t="str">
        <f t="shared" si="3"/>
        <v/>
      </c>
      <c r="AH733" s="396" t="str">
        <f t="shared" si="4"/>
        <v/>
      </c>
      <c r="AI733" s="388"/>
      <c r="AJ733" s="388"/>
      <c r="AK733" s="397"/>
    </row>
    <row r="734">
      <c r="A734" s="398"/>
      <c r="B734" s="386"/>
      <c r="C734" s="387" t="str">
        <f>IF(A734="","",IFERROR(IF(VLOOKUP(A734,'1. Inbound Leads'!A:G,7,FALSE)=0,"",VLOOKUP(A734,'1. Inbound Leads'!A:G,7,FALSE)),""))</f>
        <v/>
      </c>
      <c r="D734" s="387" t="str">
        <f>IF(A734="","",IFERROR(IF(VLOOKUP(A734,'1. Inbound Leads'!A:L,12,FALSE)=0,"",VLOOKUP(A734,'1. Inbound Leads'!A:L,12,FALSE)),""))</f>
        <v/>
      </c>
      <c r="E734" s="388"/>
      <c r="F734" s="389"/>
      <c r="G734" s="387"/>
      <c r="H734" s="387"/>
      <c r="I734" s="387"/>
      <c r="J734" s="387"/>
      <c r="K734" s="387"/>
      <c r="L734" s="387"/>
      <c r="M734" s="388"/>
      <c r="N734" s="388"/>
      <c r="O734" s="390"/>
      <c r="P734" s="391"/>
      <c r="Q734" s="389"/>
      <c r="R734" s="390"/>
      <c r="S734" s="390"/>
      <c r="T734" s="391"/>
      <c r="U734" s="392"/>
      <c r="V734" s="391"/>
      <c r="W734" s="391"/>
      <c r="X734" s="388"/>
      <c r="Y734" s="391"/>
      <c r="Z734" s="393"/>
      <c r="AA734" s="355" t="str">
        <f t="shared" si="1"/>
        <v/>
      </c>
      <c r="AB734" s="391"/>
      <c r="AC734" s="394" t="str">
        <f t="shared" si="2"/>
        <v/>
      </c>
      <c r="AD734" s="389"/>
      <c r="AE734" s="399"/>
      <c r="AF734" s="395"/>
      <c r="AG734" s="396" t="str">
        <f t="shared" si="3"/>
        <v/>
      </c>
      <c r="AH734" s="396" t="str">
        <f t="shared" si="4"/>
        <v/>
      </c>
      <c r="AI734" s="388"/>
      <c r="AJ734" s="388"/>
      <c r="AK734" s="397"/>
    </row>
    <row r="735">
      <c r="A735" s="398"/>
      <c r="B735" s="386"/>
      <c r="C735" s="387" t="str">
        <f>IF(A735="","",IFERROR(IF(VLOOKUP(A735,'1. Inbound Leads'!A:G,7,FALSE)=0,"",VLOOKUP(A735,'1. Inbound Leads'!A:G,7,FALSE)),""))</f>
        <v/>
      </c>
      <c r="D735" s="387" t="str">
        <f>IF(A735="","",IFERROR(IF(VLOOKUP(A735,'1. Inbound Leads'!A:L,12,FALSE)=0,"",VLOOKUP(A735,'1. Inbound Leads'!A:L,12,FALSE)),""))</f>
        <v/>
      </c>
      <c r="E735" s="388"/>
      <c r="F735" s="389"/>
      <c r="G735" s="387"/>
      <c r="H735" s="387"/>
      <c r="I735" s="387"/>
      <c r="J735" s="387"/>
      <c r="K735" s="387"/>
      <c r="L735" s="387"/>
      <c r="M735" s="388"/>
      <c r="N735" s="388"/>
      <c r="O735" s="390"/>
      <c r="P735" s="391"/>
      <c r="Q735" s="389"/>
      <c r="R735" s="390"/>
      <c r="S735" s="390"/>
      <c r="T735" s="391"/>
      <c r="U735" s="392"/>
      <c r="V735" s="391"/>
      <c r="W735" s="391"/>
      <c r="X735" s="388"/>
      <c r="Y735" s="391"/>
      <c r="Z735" s="393"/>
      <c r="AA735" s="355" t="str">
        <f t="shared" si="1"/>
        <v/>
      </c>
      <c r="AB735" s="391"/>
      <c r="AC735" s="394" t="str">
        <f t="shared" si="2"/>
        <v/>
      </c>
      <c r="AD735" s="389"/>
      <c r="AE735" s="399"/>
      <c r="AF735" s="395"/>
      <c r="AG735" s="396" t="str">
        <f t="shared" si="3"/>
        <v/>
      </c>
      <c r="AH735" s="396" t="str">
        <f t="shared" si="4"/>
        <v/>
      </c>
      <c r="AI735" s="388"/>
      <c r="AJ735" s="388"/>
      <c r="AK735" s="397"/>
    </row>
    <row r="736">
      <c r="A736" s="398"/>
      <c r="B736" s="386"/>
      <c r="C736" s="387" t="str">
        <f>IF(A736="","",IFERROR(IF(VLOOKUP(A736,'1. Inbound Leads'!A:G,7,FALSE)=0,"",VLOOKUP(A736,'1. Inbound Leads'!A:G,7,FALSE)),""))</f>
        <v/>
      </c>
      <c r="D736" s="387" t="str">
        <f>IF(A736="","",IFERROR(IF(VLOOKUP(A736,'1. Inbound Leads'!A:L,12,FALSE)=0,"",VLOOKUP(A736,'1. Inbound Leads'!A:L,12,FALSE)),""))</f>
        <v/>
      </c>
      <c r="E736" s="388"/>
      <c r="F736" s="389"/>
      <c r="G736" s="387"/>
      <c r="H736" s="387"/>
      <c r="I736" s="387"/>
      <c r="J736" s="387"/>
      <c r="K736" s="387"/>
      <c r="L736" s="387"/>
      <c r="M736" s="388"/>
      <c r="N736" s="388"/>
      <c r="O736" s="390"/>
      <c r="P736" s="391"/>
      <c r="Q736" s="389"/>
      <c r="R736" s="390"/>
      <c r="S736" s="390"/>
      <c r="T736" s="391"/>
      <c r="U736" s="392"/>
      <c r="V736" s="391"/>
      <c r="W736" s="391"/>
      <c r="X736" s="388"/>
      <c r="Y736" s="391"/>
      <c r="Z736" s="393"/>
      <c r="AA736" s="355" t="str">
        <f t="shared" si="1"/>
        <v/>
      </c>
      <c r="AB736" s="391"/>
      <c r="AC736" s="394" t="str">
        <f t="shared" si="2"/>
        <v/>
      </c>
      <c r="AD736" s="389"/>
      <c r="AE736" s="399"/>
      <c r="AF736" s="395"/>
      <c r="AG736" s="396" t="str">
        <f t="shared" si="3"/>
        <v/>
      </c>
      <c r="AH736" s="396" t="str">
        <f t="shared" si="4"/>
        <v/>
      </c>
      <c r="AI736" s="388"/>
      <c r="AJ736" s="388"/>
      <c r="AK736" s="397"/>
    </row>
    <row r="737">
      <c r="A737" s="398"/>
      <c r="B737" s="386"/>
      <c r="C737" s="387" t="str">
        <f>IF(A737="","",IFERROR(IF(VLOOKUP(A737,'1. Inbound Leads'!A:G,7,FALSE)=0,"",VLOOKUP(A737,'1. Inbound Leads'!A:G,7,FALSE)),""))</f>
        <v/>
      </c>
      <c r="D737" s="387" t="str">
        <f>IF(A737="","",IFERROR(IF(VLOOKUP(A737,'1. Inbound Leads'!A:L,12,FALSE)=0,"",VLOOKUP(A737,'1. Inbound Leads'!A:L,12,FALSE)),""))</f>
        <v/>
      </c>
      <c r="E737" s="388"/>
      <c r="F737" s="389"/>
      <c r="G737" s="387"/>
      <c r="H737" s="387"/>
      <c r="I737" s="387"/>
      <c r="J737" s="387"/>
      <c r="K737" s="387"/>
      <c r="L737" s="387"/>
      <c r="M737" s="388"/>
      <c r="N737" s="388"/>
      <c r="O737" s="390"/>
      <c r="P737" s="391"/>
      <c r="Q737" s="389"/>
      <c r="R737" s="390"/>
      <c r="S737" s="390"/>
      <c r="T737" s="391"/>
      <c r="U737" s="392"/>
      <c r="V737" s="391"/>
      <c r="W737" s="391"/>
      <c r="X737" s="388"/>
      <c r="Y737" s="391"/>
      <c r="Z737" s="393"/>
      <c r="AA737" s="355" t="str">
        <f t="shared" si="1"/>
        <v/>
      </c>
      <c r="AB737" s="391"/>
      <c r="AC737" s="394" t="str">
        <f t="shared" si="2"/>
        <v/>
      </c>
      <c r="AD737" s="389"/>
      <c r="AE737" s="399"/>
      <c r="AF737" s="395"/>
      <c r="AG737" s="396" t="str">
        <f t="shared" si="3"/>
        <v/>
      </c>
      <c r="AH737" s="396" t="str">
        <f t="shared" si="4"/>
        <v/>
      </c>
      <c r="AI737" s="388"/>
      <c r="AJ737" s="388"/>
      <c r="AK737" s="397"/>
    </row>
    <row r="738">
      <c r="A738" s="398"/>
      <c r="B738" s="386"/>
      <c r="C738" s="387" t="str">
        <f>IF(A738="","",IFERROR(IF(VLOOKUP(A738,'1. Inbound Leads'!A:G,7,FALSE)=0,"",VLOOKUP(A738,'1. Inbound Leads'!A:G,7,FALSE)),""))</f>
        <v/>
      </c>
      <c r="D738" s="387" t="str">
        <f>IF(A738="","",IFERROR(IF(VLOOKUP(A738,'1. Inbound Leads'!A:L,12,FALSE)=0,"",VLOOKUP(A738,'1. Inbound Leads'!A:L,12,FALSE)),""))</f>
        <v/>
      </c>
      <c r="E738" s="388"/>
      <c r="F738" s="389"/>
      <c r="G738" s="387"/>
      <c r="H738" s="387"/>
      <c r="I738" s="387"/>
      <c r="J738" s="387"/>
      <c r="K738" s="387"/>
      <c r="L738" s="387"/>
      <c r="M738" s="388"/>
      <c r="N738" s="388"/>
      <c r="O738" s="390"/>
      <c r="P738" s="391"/>
      <c r="Q738" s="389"/>
      <c r="R738" s="390"/>
      <c r="S738" s="390"/>
      <c r="T738" s="391"/>
      <c r="U738" s="392"/>
      <c r="V738" s="391"/>
      <c r="W738" s="391"/>
      <c r="X738" s="388"/>
      <c r="Y738" s="391"/>
      <c r="Z738" s="393"/>
      <c r="AA738" s="355" t="str">
        <f t="shared" si="1"/>
        <v/>
      </c>
      <c r="AB738" s="391"/>
      <c r="AC738" s="394" t="str">
        <f t="shared" si="2"/>
        <v/>
      </c>
      <c r="AD738" s="389"/>
      <c r="AE738" s="399"/>
      <c r="AF738" s="395"/>
      <c r="AG738" s="396" t="str">
        <f t="shared" si="3"/>
        <v/>
      </c>
      <c r="AH738" s="396" t="str">
        <f t="shared" si="4"/>
        <v/>
      </c>
      <c r="AI738" s="388"/>
      <c r="AJ738" s="388"/>
      <c r="AK738" s="397"/>
    </row>
    <row r="739">
      <c r="A739" s="398"/>
      <c r="B739" s="386"/>
      <c r="C739" s="387" t="str">
        <f>IF(A739="","",IFERROR(IF(VLOOKUP(A739,'1. Inbound Leads'!A:G,7,FALSE)=0,"",VLOOKUP(A739,'1. Inbound Leads'!A:G,7,FALSE)),""))</f>
        <v/>
      </c>
      <c r="D739" s="387" t="str">
        <f>IF(A739="","",IFERROR(IF(VLOOKUP(A739,'1. Inbound Leads'!A:L,12,FALSE)=0,"",VLOOKUP(A739,'1. Inbound Leads'!A:L,12,FALSE)),""))</f>
        <v/>
      </c>
      <c r="E739" s="388"/>
      <c r="F739" s="389"/>
      <c r="G739" s="387"/>
      <c r="H739" s="387"/>
      <c r="I739" s="387"/>
      <c r="J739" s="387"/>
      <c r="K739" s="387"/>
      <c r="L739" s="387"/>
      <c r="M739" s="388"/>
      <c r="N739" s="388"/>
      <c r="O739" s="390"/>
      <c r="P739" s="391"/>
      <c r="Q739" s="389"/>
      <c r="R739" s="390"/>
      <c r="S739" s="390"/>
      <c r="T739" s="391"/>
      <c r="U739" s="392"/>
      <c r="V739" s="391"/>
      <c r="W739" s="391"/>
      <c r="X739" s="388"/>
      <c r="Y739" s="391"/>
      <c r="Z739" s="393"/>
      <c r="AA739" s="355" t="str">
        <f t="shared" si="1"/>
        <v/>
      </c>
      <c r="AB739" s="391"/>
      <c r="AC739" s="394" t="str">
        <f t="shared" si="2"/>
        <v/>
      </c>
      <c r="AD739" s="389"/>
      <c r="AE739" s="399"/>
      <c r="AF739" s="395"/>
      <c r="AG739" s="396" t="str">
        <f t="shared" si="3"/>
        <v/>
      </c>
      <c r="AH739" s="396" t="str">
        <f t="shared" si="4"/>
        <v/>
      </c>
      <c r="AI739" s="388"/>
      <c r="AJ739" s="388"/>
      <c r="AK739" s="397"/>
    </row>
    <row r="740">
      <c r="A740" s="398"/>
      <c r="B740" s="386"/>
      <c r="C740" s="387" t="str">
        <f>IF(A740="","",IFERROR(IF(VLOOKUP(A740,'1. Inbound Leads'!A:G,7,FALSE)=0,"",VLOOKUP(A740,'1. Inbound Leads'!A:G,7,FALSE)),""))</f>
        <v/>
      </c>
      <c r="D740" s="387" t="str">
        <f>IF(A740="","",IFERROR(IF(VLOOKUP(A740,'1. Inbound Leads'!A:L,12,FALSE)=0,"",VLOOKUP(A740,'1. Inbound Leads'!A:L,12,FALSE)),""))</f>
        <v/>
      </c>
      <c r="E740" s="388"/>
      <c r="F740" s="389"/>
      <c r="G740" s="387"/>
      <c r="H740" s="387"/>
      <c r="I740" s="387"/>
      <c r="J740" s="387"/>
      <c r="K740" s="387"/>
      <c r="L740" s="387"/>
      <c r="M740" s="388"/>
      <c r="N740" s="388"/>
      <c r="O740" s="390"/>
      <c r="P740" s="391"/>
      <c r="Q740" s="389"/>
      <c r="R740" s="390"/>
      <c r="S740" s="390"/>
      <c r="T740" s="391"/>
      <c r="U740" s="392"/>
      <c r="V740" s="391"/>
      <c r="W740" s="391"/>
      <c r="X740" s="388"/>
      <c r="Y740" s="391"/>
      <c r="Z740" s="393"/>
      <c r="AA740" s="355" t="str">
        <f t="shared" si="1"/>
        <v/>
      </c>
      <c r="AB740" s="391"/>
      <c r="AC740" s="394" t="str">
        <f t="shared" si="2"/>
        <v/>
      </c>
      <c r="AD740" s="389"/>
      <c r="AE740" s="399"/>
      <c r="AF740" s="395"/>
      <c r="AG740" s="396" t="str">
        <f t="shared" si="3"/>
        <v/>
      </c>
      <c r="AH740" s="396" t="str">
        <f t="shared" si="4"/>
        <v/>
      </c>
      <c r="AI740" s="388"/>
      <c r="AJ740" s="388"/>
      <c r="AK740" s="397"/>
    </row>
    <row r="741">
      <c r="A741" s="398"/>
      <c r="B741" s="386"/>
      <c r="C741" s="387" t="str">
        <f>IF(A741="","",IFERROR(IF(VLOOKUP(A741,'1. Inbound Leads'!A:G,7,FALSE)=0,"",VLOOKUP(A741,'1. Inbound Leads'!A:G,7,FALSE)),""))</f>
        <v/>
      </c>
      <c r="D741" s="387" t="str">
        <f>IF(A741="","",IFERROR(IF(VLOOKUP(A741,'1. Inbound Leads'!A:L,12,FALSE)=0,"",VLOOKUP(A741,'1. Inbound Leads'!A:L,12,FALSE)),""))</f>
        <v/>
      </c>
      <c r="E741" s="388"/>
      <c r="F741" s="389"/>
      <c r="G741" s="387"/>
      <c r="H741" s="387"/>
      <c r="I741" s="387"/>
      <c r="J741" s="387"/>
      <c r="K741" s="387"/>
      <c r="L741" s="387"/>
      <c r="M741" s="388"/>
      <c r="N741" s="388"/>
      <c r="O741" s="390"/>
      <c r="P741" s="391"/>
      <c r="Q741" s="389"/>
      <c r="R741" s="390"/>
      <c r="S741" s="390"/>
      <c r="T741" s="391"/>
      <c r="U741" s="392"/>
      <c r="V741" s="391"/>
      <c r="W741" s="391"/>
      <c r="X741" s="388"/>
      <c r="Y741" s="391"/>
      <c r="Z741" s="393"/>
      <c r="AA741" s="355" t="str">
        <f t="shared" si="1"/>
        <v/>
      </c>
      <c r="AB741" s="391"/>
      <c r="AC741" s="394" t="str">
        <f t="shared" si="2"/>
        <v/>
      </c>
      <c r="AD741" s="389"/>
      <c r="AE741" s="399"/>
      <c r="AF741" s="395"/>
      <c r="AG741" s="396" t="str">
        <f t="shared" si="3"/>
        <v/>
      </c>
      <c r="AH741" s="396" t="str">
        <f t="shared" si="4"/>
        <v/>
      </c>
      <c r="AI741" s="388"/>
      <c r="AJ741" s="388"/>
      <c r="AK741" s="397"/>
    </row>
    <row r="742">
      <c r="A742" s="398"/>
      <c r="B742" s="386"/>
      <c r="C742" s="387" t="str">
        <f>IF(A742="","",IFERROR(IF(VLOOKUP(A742,'1. Inbound Leads'!A:G,7,FALSE)=0,"",VLOOKUP(A742,'1. Inbound Leads'!A:G,7,FALSE)),""))</f>
        <v/>
      </c>
      <c r="D742" s="387" t="str">
        <f>IF(A742="","",IFERROR(IF(VLOOKUP(A742,'1. Inbound Leads'!A:L,12,FALSE)=0,"",VLOOKUP(A742,'1. Inbound Leads'!A:L,12,FALSE)),""))</f>
        <v/>
      </c>
      <c r="E742" s="388"/>
      <c r="F742" s="389"/>
      <c r="G742" s="387"/>
      <c r="H742" s="387"/>
      <c r="I742" s="387"/>
      <c r="J742" s="387"/>
      <c r="K742" s="387"/>
      <c r="L742" s="387"/>
      <c r="M742" s="388"/>
      <c r="N742" s="388"/>
      <c r="O742" s="390"/>
      <c r="P742" s="391"/>
      <c r="Q742" s="389"/>
      <c r="R742" s="390"/>
      <c r="S742" s="390"/>
      <c r="T742" s="391"/>
      <c r="U742" s="392"/>
      <c r="V742" s="391"/>
      <c r="W742" s="391"/>
      <c r="X742" s="388"/>
      <c r="Y742" s="391"/>
      <c r="Z742" s="393"/>
      <c r="AA742" s="355" t="str">
        <f t="shared" si="1"/>
        <v/>
      </c>
      <c r="AB742" s="391"/>
      <c r="AC742" s="394" t="str">
        <f t="shared" si="2"/>
        <v/>
      </c>
      <c r="AD742" s="389"/>
      <c r="AE742" s="399"/>
      <c r="AF742" s="395"/>
      <c r="AG742" s="396" t="str">
        <f t="shared" si="3"/>
        <v/>
      </c>
      <c r="AH742" s="396" t="str">
        <f t="shared" si="4"/>
        <v/>
      </c>
      <c r="AI742" s="388"/>
      <c r="AJ742" s="388"/>
      <c r="AK742" s="397"/>
    </row>
    <row r="743">
      <c r="A743" s="398"/>
      <c r="B743" s="386"/>
      <c r="C743" s="387" t="str">
        <f>IF(A743="","",IFERROR(IF(VLOOKUP(A743,'1. Inbound Leads'!A:G,7,FALSE)=0,"",VLOOKUP(A743,'1. Inbound Leads'!A:G,7,FALSE)),""))</f>
        <v/>
      </c>
      <c r="D743" s="387" t="str">
        <f>IF(A743="","",IFERROR(IF(VLOOKUP(A743,'1. Inbound Leads'!A:L,12,FALSE)=0,"",VLOOKUP(A743,'1. Inbound Leads'!A:L,12,FALSE)),""))</f>
        <v/>
      </c>
      <c r="E743" s="388"/>
      <c r="F743" s="389"/>
      <c r="G743" s="387"/>
      <c r="H743" s="387"/>
      <c r="I743" s="387"/>
      <c r="J743" s="387"/>
      <c r="K743" s="387"/>
      <c r="L743" s="387"/>
      <c r="M743" s="388"/>
      <c r="N743" s="388"/>
      <c r="O743" s="390"/>
      <c r="P743" s="391"/>
      <c r="Q743" s="389"/>
      <c r="R743" s="390"/>
      <c r="S743" s="390"/>
      <c r="T743" s="391"/>
      <c r="U743" s="392"/>
      <c r="V743" s="391"/>
      <c r="W743" s="391"/>
      <c r="X743" s="388"/>
      <c r="Y743" s="391"/>
      <c r="Z743" s="393"/>
      <c r="AA743" s="355" t="str">
        <f t="shared" si="1"/>
        <v/>
      </c>
      <c r="AB743" s="391"/>
      <c r="AC743" s="394" t="str">
        <f t="shared" si="2"/>
        <v/>
      </c>
      <c r="AD743" s="389"/>
      <c r="AE743" s="399"/>
      <c r="AF743" s="395"/>
      <c r="AG743" s="396" t="str">
        <f t="shared" si="3"/>
        <v/>
      </c>
      <c r="AH743" s="396" t="str">
        <f t="shared" si="4"/>
        <v/>
      </c>
      <c r="AI743" s="388"/>
      <c r="AJ743" s="388"/>
      <c r="AK743" s="397"/>
    </row>
    <row r="744">
      <c r="A744" s="398"/>
      <c r="B744" s="386"/>
      <c r="C744" s="387" t="str">
        <f>IF(A744="","",IFERROR(IF(VLOOKUP(A744,'1. Inbound Leads'!A:G,7,FALSE)=0,"",VLOOKUP(A744,'1. Inbound Leads'!A:G,7,FALSE)),""))</f>
        <v/>
      </c>
      <c r="D744" s="387" t="str">
        <f>IF(A744="","",IFERROR(IF(VLOOKUP(A744,'1. Inbound Leads'!A:L,12,FALSE)=0,"",VLOOKUP(A744,'1. Inbound Leads'!A:L,12,FALSE)),""))</f>
        <v/>
      </c>
      <c r="E744" s="388"/>
      <c r="F744" s="389"/>
      <c r="G744" s="387"/>
      <c r="H744" s="387"/>
      <c r="I744" s="387"/>
      <c r="J744" s="387"/>
      <c r="K744" s="387"/>
      <c r="L744" s="387"/>
      <c r="M744" s="388"/>
      <c r="N744" s="388"/>
      <c r="O744" s="390"/>
      <c r="P744" s="391"/>
      <c r="Q744" s="389"/>
      <c r="R744" s="390"/>
      <c r="S744" s="390"/>
      <c r="T744" s="391"/>
      <c r="U744" s="392"/>
      <c r="V744" s="391"/>
      <c r="W744" s="391"/>
      <c r="X744" s="388"/>
      <c r="Y744" s="391"/>
      <c r="Z744" s="393"/>
      <c r="AA744" s="355" t="str">
        <f t="shared" si="1"/>
        <v/>
      </c>
      <c r="AB744" s="391"/>
      <c r="AC744" s="394" t="str">
        <f t="shared" si="2"/>
        <v/>
      </c>
      <c r="AD744" s="389"/>
      <c r="AE744" s="399"/>
      <c r="AF744" s="395"/>
      <c r="AG744" s="396" t="str">
        <f t="shared" si="3"/>
        <v/>
      </c>
      <c r="AH744" s="396" t="str">
        <f t="shared" si="4"/>
        <v/>
      </c>
      <c r="AI744" s="388"/>
      <c r="AJ744" s="388"/>
      <c r="AK744" s="397"/>
    </row>
    <row r="745">
      <c r="A745" s="398"/>
      <c r="B745" s="386"/>
      <c r="C745" s="387" t="str">
        <f>IF(A745="","",IFERROR(IF(VLOOKUP(A745,'1. Inbound Leads'!A:G,7,FALSE)=0,"",VLOOKUP(A745,'1. Inbound Leads'!A:G,7,FALSE)),""))</f>
        <v/>
      </c>
      <c r="D745" s="387" t="str">
        <f>IF(A745="","",IFERROR(IF(VLOOKUP(A745,'1. Inbound Leads'!A:L,12,FALSE)=0,"",VLOOKUP(A745,'1. Inbound Leads'!A:L,12,FALSE)),""))</f>
        <v/>
      </c>
      <c r="E745" s="388"/>
      <c r="F745" s="389"/>
      <c r="G745" s="387"/>
      <c r="H745" s="387"/>
      <c r="I745" s="387"/>
      <c r="J745" s="387"/>
      <c r="K745" s="387"/>
      <c r="L745" s="387"/>
      <c r="M745" s="388"/>
      <c r="N745" s="388"/>
      <c r="O745" s="390"/>
      <c r="P745" s="391"/>
      <c r="Q745" s="389"/>
      <c r="R745" s="390"/>
      <c r="S745" s="390"/>
      <c r="T745" s="391"/>
      <c r="U745" s="392"/>
      <c r="V745" s="391"/>
      <c r="W745" s="391"/>
      <c r="X745" s="388"/>
      <c r="Y745" s="391"/>
      <c r="Z745" s="393"/>
      <c r="AA745" s="355" t="str">
        <f t="shared" si="1"/>
        <v/>
      </c>
      <c r="AB745" s="391"/>
      <c r="AC745" s="394" t="str">
        <f t="shared" si="2"/>
        <v/>
      </c>
      <c r="AD745" s="389"/>
      <c r="AE745" s="399"/>
      <c r="AF745" s="395"/>
      <c r="AG745" s="396" t="str">
        <f t="shared" si="3"/>
        <v/>
      </c>
      <c r="AH745" s="396" t="str">
        <f t="shared" si="4"/>
        <v/>
      </c>
      <c r="AI745" s="388"/>
      <c r="AJ745" s="388"/>
      <c r="AK745" s="397"/>
    </row>
    <row r="746">
      <c r="A746" s="398"/>
      <c r="B746" s="386"/>
      <c r="C746" s="387" t="str">
        <f>IF(A746="","",IFERROR(IF(VLOOKUP(A746,'1. Inbound Leads'!A:G,7,FALSE)=0,"",VLOOKUP(A746,'1. Inbound Leads'!A:G,7,FALSE)),""))</f>
        <v/>
      </c>
      <c r="D746" s="387" t="str">
        <f>IF(A746="","",IFERROR(IF(VLOOKUP(A746,'1. Inbound Leads'!A:L,12,FALSE)=0,"",VLOOKUP(A746,'1. Inbound Leads'!A:L,12,FALSE)),""))</f>
        <v/>
      </c>
      <c r="E746" s="388"/>
      <c r="F746" s="389"/>
      <c r="G746" s="387"/>
      <c r="H746" s="387"/>
      <c r="I746" s="387"/>
      <c r="J746" s="387"/>
      <c r="K746" s="387"/>
      <c r="L746" s="387"/>
      <c r="M746" s="388"/>
      <c r="N746" s="388"/>
      <c r="O746" s="390"/>
      <c r="P746" s="391"/>
      <c r="Q746" s="389"/>
      <c r="R746" s="390"/>
      <c r="S746" s="390"/>
      <c r="T746" s="391"/>
      <c r="U746" s="392"/>
      <c r="V746" s="391"/>
      <c r="W746" s="391"/>
      <c r="X746" s="388"/>
      <c r="Y746" s="391"/>
      <c r="Z746" s="393"/>
      <c r="AA746" s="355" t="str">
        <f t="shared" si="1"/>
        <v/>
      </c>
      <c r="AB746" s="391"/>
      <c r="AC746" s="394" t="str">
        <f t="shared" si="2"/>
        <v/>
      </c>
      <c r="AD746" s="389"/>
      <c r="AE746" s="399"/>
      <c r="AF746" s="395"/>
      <c r="AG746" s="396" t="str">
        <f t="shared" si="3"/>
        <v/>
      </c>
      <c r="AH746" s="396" t="str">
        <f t="shared" si="4"/>
        <v/>
      </c>
      <c r="AI746" s="388"/>
      <c r="AJ746" s="388"/>
      <c r="AK746" s="397"/>
    </row>
    <row r="747">
      <c r="A747" s="398"/>
      <c r="B747" s="386"/>
      <c r="C747" s="387" t="str">
        <f>IF(A747="","",IFERROR(IF(VLOOKUP(A747,'1. Inbound Leads'!A:G,7,FALSE)=0,"",VLOOKUP(A747,'1. Inbound Leads'!A:G,7,FALSE)),""))</f>
        <v/>
      </c>
      <c r="D747" s="387" t="str">
        <f>IF(A747="","",IFERROR(IF(VLOOKUP(A747,'1. Inbound Leads'!A:L,12,FALSE)=0,"",VLOOKUP(A747,'1. Inbound Leads'!A:L,12,FALSE)),""))</f>
        <v/>
      </c>
      <c r="E747" s="388"/>
      <c r="F747" s="389"/>
      <c r="G747" s="387"/>
      <c r="H747" s="387"/>
      <c r="I747" s="387"/>
      <c r="J747" s="387"/>
      <c r="K747" s="387"/>
      <c r="L747" s="387"/>
      <c r="M747" s="388"/>
      <c r="N747" s="388"/>
      <c r="O747" s="390"/>
      <c r="P747" s="391"/>
      <c r="Q747" s="389"/>
      <c r="R747" s="390"/>
      <c r="S747" s="390"/>
      <c r="T747" s="391"/>
      <c r="U747" s="392"/>
      <c r="V747" s="391"/>
      <c r="W747" s="391"/>
      <c r="X747" s="388"/>
      <c r="Y747" s="391"/>
      <c r="Z747" s="393"/>
      <c r="AA747" s="355" t="str">
        <f t="shared" si="1"/>
        <v/>
      </c>
      <c r="AB747" s="391"/>
      <c r="AC747" s="394" t="str">
        <f t="shared" si="2"/>
        <v/>
      </c>
      <c r="AD747" s="389"/>
      <c r="AE747" s="399"/>
      <c r="AF747" s="395"/>
      <c r="AG747" s="396" t="str">
        <f t="shared" si="3"/>
        <v/>
      </c>
      <c r="AH747" s="396" t="str">
        <f t="shared" si="4"/>
        <v/>
      </c>
      <c r="AI747" s="388"/>
      <c r="AJ747" s="388"/>
      <c r="AK747" s="397"/>
    </row>
    <row r="748">
      <c r="A748" s="398"/>
      <c r="B748" s="386"/>
      <c r="C748" s="387" t="str">
        <f>IF(A748="","",IFERROR(IF(VLOOKUP(A748,'1. Inbound Leads'!A:G,7,FALSE)=0,"",VLOOKUP(A748,'1. Inbound Leads'!A:G,7,FALSE)),""))</f>
        <v/>
      </c>
      <c r="D748" s="387" t="str">
        <f>IF(A748="","",IFERROR(IF(VLOOKUP(A748,'1. Inbound Leads'!A:L,12,FALSE)=0,"",VLOOKUP(A748,'1. Inbound Leads'!A:L,12,FALSE)),""))</f>
        <v/>
      </c>
      <c r="E748" s="388"/>
      <c r="F748" s="389"/>
      <c r="G748" s="387"/>
      <c r="H748" s="387"/>
      <c r="I748" s="387"/>
      <c r="J748" s="387"/>
      <c r="K748" s="387"/>
      <c r="L748" s="387"/>
      <c r="M748" s="388"/>
      <c r="N748" s="388"/>
      <c r="O748" s="390"/>
      <c r="P748" s="391"/>
      <c r="Q748" s="389"/>
      <c r="R748" s="390"/>
      <c r="S748" s="390"/>
      <c r="T748" s="391"/>
      <c r="U748" s="392"/>
      <c r="V748" s="391"/>
      <c r="W748" s="391"/>
      <c r="X748" s="388"/>
      <c r="Y748" s="391"/>
      <c r="Z748" s="393"/>
      <c r="AA748" s="355" t="str">
        <f t="shared" si="1"/>
        <v/>
      </c>
      <c r="AB748" s="391"/>
      <c r="AC748" s="394" t="str">
        <f t="shared" si="2"/>
        <v/>
      </c>
      <c r="AD748" s="389"/>
      <c r="AE748" s="399"/>
      <c r="AF748" s="395"/>
      <c r="AG748" s="396" t="str">
        <f t="shared" si="3"/>
        <v/>
      </c>
      <c r="AH748" s="396" t="str">
        <f t="shared" si="4"/>
        <v/>
      </c>
      <c r="AI748" s="388"/>
      <c r="AJ748" s="388"/>
      <c r="AK748" s="397"/>
    </row>
    <row r="749">
      <c r="A749" s="398"/>
      <c r="B749" s="386"/>
      <c r="C749" s="387" t="str">
        <f>IF(A749="","",IFERROR(IF(VLOOKUP(A749,'1. Inbound Leads'!A:G,7,FALSE)=0,"",VLOOKUP(A749,'1. Inbound Leads'!A:G,7,FALSE)),""))</f>
        <v/>
      </c>
      <c r="D749" s="387" t="str">
        <f>IF(A749="","",IFERROR(IF(VLOOKUP(A749,'1. Inbound Leads'!A:L,12,FALSE)=0,"",VLOOKUP(A749,'1. Inbound Leads'!A:L,12,FALSE)),""))</f>
        <v/>
      </c>
      <c r="E749" s="388"/>
      <c r="F749" s="389"/>
      <c r="G749" s="387"/>
      <c r="H749" s="387"/>
      <c r="I749" s="387"/>
      <c r="J749" s="387"/>
      <c r="K749" s="387"/>
      <c r="L749" s="387"/>
      <c r="M749" s="388"/>
      <c r="N749" s="388"/>
      <c r="O749" s="390"/>
      <c r="P749" s="391"/>
      <c r="Q749" s="389"/>
      <c r="R749" s="390"/>
      <c r="S749" s="390"/>
      <c r="T749" s="391"/>
      <c r="U749" s="392"/>
      <c r="V749" s="391"/>
      <c r="W749" s="391"/>
      <c r="X749" s="388"/>
      <c r="Y749" s="391"/>
      <c r="Z749" s="393"/>
      <c r="AA749" s="355" t="str">
        <f t="shared" si="1"/>
        <v/>
      </c>
      <c r="AB749" s="391"/>
      <c r="AC749" s="394" t="str">
        <f t="shared" si="2"/>
        <v/>
      </c>
      <c r="AD749" s="389"/>
      <c r="AE749" s="399"/>
      <c r="AF749" s="395"/>
      <c r="AG749" s="396" t="str">
        <f t="shared" si="3"/>
        <v/>
      </c>
      <c r="AH749" s="396" t="str">
        <f t="shared" si="4"/>
        <v/>
      </c>
      <c r="AI749" s="388"/>
      <c r="AJ749" s="388"/>
      <c r="AK749" s="397"/>
    </row>
    <row r="750">
      <c r="A750" s="398"/>
      <c r="B750" s="386"/>
      <c r="C750" s="387" t="str">
        <f>IF(A750="","",IFERROR(IF(VLOOKUP(A750,'1. Inbound Leads'!A:G,7,FALSE)=0,"",VLOOKUP(A750,'1. Inbound Leads'!A:G,7,FALSE)),""))</f>
        <v/>
      </c>
      <c r="D750" s="387" t="str">
        <f>IF(A750="","",IFERROR(IF(VLOOKUP(A750,'1. Inbound Leads'!A:L,12,FALSE)=0,"",VLOOKUP(A750,'1. Inbound Leads'!A:L,12,FALSE)),""))</f>
        <v/>
      </c>
      <c r="E750" s="388"/>
      <c r="F750" s="389"/>
      <c r="G750" s="387"/>
      <c r="H750" s="387"/>
      <c r="I750" s="387"/>
      <c r="J750" s="387"/>
      <c r="K750" s="387"/>
      <c r="L750" s="387"/>
      <c r="M750" s="388"/>
      <c r="N750" s="388"/>
      <c r="O750" s="390"/>
      <c r="P750" s="391"/>
      <c r="Q750" s="389"/>
      <c r="R750" s="390"/>
      <c r="S750" s="390"/>
      <c r="T750" s="391"/>
      <c r="U750" s="392"/>
      <c r="V750" s="391"/>
      <c r="W750" s="391"/>
      <c r="X750" s="388"/>
      <c r="Y750" s="391"/>
      <c r="Z750" s="393"/>
      <c r="AA750" s="355" t="str">
        <f t="shared" si="1"/>
        <v/>
      </c>
      <c r="AB750" s="391"/>
      <c r="AC750" s="394" t="str">
        <f t="shared" si="2"/>
        <v/>
      </c>
      <c r="AD750" s="389"/>
      <c r="AE750" s="399"/>
      <c r="AF750" s="395"/>
      <c r="AG750" s="396" t="str">
        <f t="shared" si="3"/>
        <v/>
      </c>
      <c r="AH750" s="396" t="str">
        <f t="shared" si="4"/>
        <v/>
      </c>
      <c r="AI750" s="388"/>
      <c r="AJ750" s="388"/>
      <c r="AK750" s="397"/>
    </row>
    <row r="751">
      <c r="A751" s="398"/>
      <c r="B751" s="386"/>
      <c r="C751" s="387" t="str">
        <f>IF(A751="","",IFERROR(IF(VLOOKUP(A751,'1. Inbound Leads'!A:G,7,FALSE)=0,"",VLOOKUP(A751,'1. Inbound Leads'!A:G,7,FALSE)),""))</f>
        <v/>
      </c>
      <c r="D751" s="387" t="str">
        <f>IF(A751="","",IFERROR(IF(VLOOKUP(A751,'1. Inbound Leads'!A:L,12,FALSE)=0,"",VLOOKUP(A751,'1. Inbound Leads'!A:L,12,FALSE)),""))</f>
        <v/>
      </c>
      <c r="E751" s="388"/>
      <c r="F751" s="389"/>
      <c r="G751" s="387"/>
      <c r="H751" s="387"/>
      <c r="I751" s="387"/>
      <c r="J751" s="387"/>
      <c r="K751" s="387"/>
      <c r="L751" s="387"/>
      <c r="M751" s="388"/>
      <c r="N751" s="388"/>
      <c r="O751" s="390"/>
      <c r="P751" s="391"/>
      <c r="Q751" s="389"/>
      <c r="R751" s="390"/>
      <c r="S751" s="390"/>
      <c r="T751" s="391"/>
      <c r="U751" s="392"/>
      <c r="V751" s="391"/>
      <c r="W751" s="391"/>
      <c r="X751" s="388"/>
      <c r="Y751" s="391"/>
      <c r="Z751" s="393"/>
      <c r="AA751" s="355" t="str">
        <f t="shared" si="1"/>
        <v/>
      </c>
      <c r="AB751" s="391"/>
      <c r="AC751" s="394" t="str">
        <f t="shared" si="2"/>
        <v/>
      </c>
      <c r="AD751" s="389"/>
      <c r="AE751" s="399"/>
      <c r="AF751" s="395"/>
      <c r="AG751" s="396" t="str">
        <f t="shared" si="3"/>
        <v/>
      </c>
      <c r="AH751" s="396" t="str">
        <f t="shared" si="4"/>
        <v/>
      </c>
      <c r="AI751" s="388"/>
      <c r="AJ751" s="388"/>
      <c r="AK751" s="397"/>
    </row>
    <row r="752">
      <c r="A752" s="398"/>
      <c r="B752" s="386"/>
      <c r="C752" s="387" t="str">
        <f>IF(A752="","",IFERROR(IF(VLOOKUP(A752,'1. Inbound Leads'!A:G,7,FALSE)=0,"",VLOOKUP(A752,'1. Inbound Leads'!A:G,7,FALSE)),""))</f>
        <v/>
      </c>
      <c r="D752" s="387" t="str">
        <f>IF(A752="","",IFERROR(IF(VLOOKUP(A752,'1. Inbound Leads'!A:L,12,FALSE)=0,"",VLOOKUP(A752,'1. Inbound Leads'!A:L,12,FALSE)),""))</f>
        <v/>
      </c>
      <c r="E752" s="388"/>
      <c r="F752" s="389"/>
      <c r="G752" s="387"/>
      <c r="H752" s="387"/>
      <c r="I752" s="387"/>
      <c r="J752" s="387"/>
      <c r="K752" s="387"/>
      <c r="L752" s="387"/>
      <c r="M752" s="388"/>
      <c r="N752" s="388"/>
      <c r="O752" s="390"/>
      <c r="P752" s="391"/>
      <c r="Q752" s="389"/>
      <c r="R752" s="390"/>
      <c r="S752" s="390"/>
      <c r="T752" s="391"/>
      <c r="U752" s="392"/>
      <c r="V752" s="391"/>
      <c r="W752" s="391"/>
      <c r="X752" s="388"/>
      <c r="Y752" s="391"/>
      <c r="Z752" s="393"/>
      <c r="AA752" s="355" t="str">
        <f t="shared" si="1"/>
        <v/>
      </c>
      <c r="AB752" s="391"/>
      <c r="AC752" s="394" t="str">
        <f t="shared" si="2"/>
        <v/>
      </c>
      <c r="AD752" s="389"/>
      <c r="AE752" s="399"/>
      <c r="AF752" s="395"/>
      <c r="AG752" s="396" t="str">
        <f t="shared" si="3"/>
        <v/>
      </c>
      <c r="AH752" s="396" t="str">
        <f t="shared" si="4"/>
        <v/>
      </c>
      <c r="AI752" s="388"/>
      <c r="AJ752" s="388"/>
      <c r="AK752" s="397"/>
    </row>
    <row r="753">
      <c r="A753" s="398"/>
      <c r="B753" s="386"/>
      <c r="C753" s="387" t="str">
        <f>IF(A753="","",IFERROR(IF(VLOOKUP(A753,'1. Inbound Leads'!A:G,7,FALSE)=0,"",VLOOKUP(A753,'1. Inbound Leads'!A:G,7,FALSE)),""))</f>
        <v/>
      </c>
      <c r="D753" s="387" t="str">
        <f>IF(A753="","",IFERROR(IF(VLOOKUP(A753,'1. Inbound Leads'!A:L,12,FALSE)=0,"",VLOOKUP(A753,'1. Inbound Leads'!A:L,12,FALSE)),""))</f>
        <v/>
      </c>
      <c r="E753" s="388"/>
      <c r="F753" s="389"/>
      <c r="G753" s="387"/>
      <c r="H753" s="387"/>
      <c r="I753" s="387"/>
      <c r="J753" s="387"/>
      <c r="K753" s="387"/>
      <c r="L753" s="387"/>
      <c r="M753" s="388"/>
      <c r="N753" s="388"/>
      <c r="O753" s="390"/>
      <c r="P753" s="391"/>
      <c r="Q753" s="389"/>
      <c r="R753" s="390"/>
      <c r="S753" s="390"/>
      <c r="T753" s="391"/>
      <c r="U753" s="392"/>
      <c r="V753" s="391"/>
      <c r="W753" s="391"/>
      <c r="X753" s="388"/>
      <c r="Y753" s="391"/>
      <c r="Z753" s="393"/>
      <c r="AA753" s="355" t="str">
        <f t="shared" si="1"/>
        <v/>
      </c>
      <c r="AB753" s="391"/>
      <c r="AC753" s="394" t="str">
        <f t="shared" si="2"/>
        <v/>
      </c>
      <c r="AD753" s="389"/>
      <c r="AE753" s="399"/>
      <c r="AF753" s="395"/>
      <c r="AG753" s="396" t="str">
        <f t="shared" si="3"/>
        <v/>
      </c>
      <c r="AH753" s="396" t="str">
        <f t="shared" si="4"/>
        <v/>
      </c>
      <c r="AI753" s="388"/>
      <c r="AJ753" s="388"/>
      <c r="AK753" s="397"/>
    </row>
    <row r="754">
      <c r="A754" s="398"/>
      <c r="B754" s="386"/>
      <c r="C754" s="387" t="str">
        <f>IF(A754="","",IFERROR(IF(VLOOKUP(A754,'1. Inbound Leads'!A:G,7,FALSE)=0,"",VLOOKUP(A754,'1. Inbound Leads'!A:G,7,FALSE)),""))</f>
        <v/>
      </c>
      <c r="D754" s="387" t="str">
        <f>IF(A754="","",IFERROR(IF(VLOOKUP(A754,'1. Inbound Leads'!A:L,12,FALSE)=0,"",VLOOKUP(A754,'1. Inbound Leads'!A:L,12,FALSE)),""))</f>
        <v/>
      </c>
      <c r="E754" s="388"/>
      <c r="F754" s="389"/>
      <c r="G754" s="387"/>
      <c r="H754" s="387"/>
      <c r="I754" s="387"/>
      <c r="J754" s="387"/>
      <c r="K754" s="387"/>
      <c r="L754" s="387"/>
      <c r="M754" s="388"/>
      <c r="N754" s="388"/>
      <c r="O754" s="390"/>
      <c r="P754" s="391"/>
      <c r="Q754" s="389"/>
      <c r="R754" s="390"/>
      <c r="S754" s="390"/>
      <c r="T754" s="391"/>
      <c r="U754" s="392"/>
      <c r="V754" s="391"/>
      <c r="W754" s="391"/>
      <c r="X754" s="388"/>
      <c r="Y754" s="391"/>
      <c r="Z754" s="393"/>
      <c r="AA754" s="355" t="str">
        <f t="shared" si="1"/>
        <v/>
      </c>
      <c r="AB754" s="391"/>
      <c r="AC754" s="394" t="str">
        <f t="shared" si="2"/>
        <v/>
      </c>
      <c r="AD754" s="389"/>
      <c r="AE754" s="399"/>
      <c r="AF754" s="395"/>
      <c r="AG754" s="396" t="str">
        <f t="shared" si="3"/>
        <v/>
      </c>
      <c r="AH754" s="396" t="str">
        <f t="shared" si="4"/>
        <v/>
      </c>
      <c r="AI754" s="388"/>
      <c r="AJ754" s="388"/>
      <c r="AK754" s="397"/>
    </row>
    <row r="755">
      <c r="A755" s="398"/>
      <c r="B755" s="386"/>
      <c r="C755" s="387" t="str">
        <f>IF(A755="","",IFERROR(IF(VLOOKUP(A755,'1. Inbound Leads'!A:G,7,FALSE)=0,"",VLOOKUP(A755,'1. Inbound Leads'!A:G,7,FALSE)),""))</f>
        <v/>
      </c>
      <c r="D755" s="387" t="str">
        <f>IF(A755="","",IFERROR(IF(VLOOKUP(A755,'1. Inbound Leads'!A:L,12,FALSE)=0,"",VLOOKUP(A755,'1. Inbound Leads'!A:L,12,FALSE)),""))</f>
        <v/>
      </c>
      <c r="E755" s="388"/>
      <c r="F755" s="389"/>
      <c r="G755" s="387"/>
      <c r="H755" s="387"/>
      <c r="I755" s="387"/>
      <c r="J755" s="387"/>
      <c r="K755" s="387"/>
      <c r="L755" s="387"/>
      <c r="M755" s="388"/>
      <c r="N755" s="388"/>
      <c r="O755" s="390"/>
      <c r="P755" s="391"/>
      <c r="Q755" s="389"/>
      <c r="R755" s="390"/>
      <c r="S755" s="390"/>
      <c r="T755" s="391"/>
      <c r="U755" s="392"/>
      <c r="V755" s="391"/>
      <c r="W755" s="391"/>
      <c r="X755" s="388"/>
      <c r="Y755" s="391"/>
      <c r="Z755" s="393"/>
      <c r="AA755" s="355" t="str">
        <f t="shared" si="1"/>
        <v/>
      </c>
      <c r="AB755" s="391"/>
      <c r="AC755" s="394" t="str">
        <f t="shared" si="2"/>
        <v/>
      </c>
      <c r="AD755" s="389"/>
      <c r="AE755" s="399"/>
      <c r="AF755" s="395"/>
      <c r="AG755" s="396" t="str">
        <f t="shared" si="3"/>
        <v/>
      </c>
      <c r="AH755" s="396" t="str">
        <f t="shared" si="4"/>
        <v/>
      </c>
      <c r="AI755" s="388"/>
      <c r="AJ755" s="388"/>
      <c r="AK755" s="397"/>
    </row>
    <row r="756">
      <c r="A756" s="398"/>
      <c r="B756" s="386"/>
      <c r="C756" s="387" t="str">
        <f>IF(A756="","",IFERROR(IF(VLOOKUP(A756,'1. Inbound Leads'!A:G,7,FALSE)=0,"",VLOOKUP(A756,'1. Inbound Leads'!A:G,7,FALSE)),""))</f>
        <v/>
      </c>
      <c r="D756" s="387" t="str">
        <f>IF(A756="","",IFERROR(IF(VLOOKUP(A756,'1. Inbound Leads'!A:L,12,FALSE)=0,"",VLOOKUP(A756,'1. Inbound Leads'!A:L,12,FALSE)),""))</f>
        <v/>
      </c>
      <c r="E756" s="388"/>
      <c r="F756" s="389"/>
      <c r="G756" s="387"/>
      <c r="H756" s="387"/>
      <c r="I756" s="387"/>
      <c r="J756" s="387"/>
      <c r="K756" s="387"/>
      <c r="L756" s="387"/>
      <c r="M756" s="388"/>
      <c r="N756" s="388"/>
      <c r="O756" s="390"/>
      <c r="P756" s="391"/>
      <c r="Q756" s="389"/>
      <c r="R756" s="390"/>
      <c r="S756" s="390"/>
      <c r="T756" s="391"/>
      <c r="U756" s="392"/>
      <c r="V756" s="391"/>
      <c r="W756" s="391"/>
      <c r="X756" s="388"/>
      <c r="Y756" s="391"/>
      <c r="Z756" s="393"/>
      <c r="AA756" s="355" t="str">
        <f t="shared" si="1"/>
        <v/>
      </c>
      <c r="AB756" s="391"/>
      <c r="AC756" s="394" t="str">
        <f t="shared" si="2"/>
        <v/>
      </c>
      <c r="AD756" s="389"/>
      <c r="AE756" s="399"/>
      <c r="AF756" s="395"/>
      <c r="AG756" s="396" t="str">
        <f t="shared" si="3"/>
        <v/>
      </c>
      <c r="AH756" s="396" t="str">
        <f t="shared" si="4"/>
        <v/>
      </c>
      <c r="AI756" s="388"/>
      <c r="AJ756" s="388"/>
      <c r="AK756" s="397"/>
    </row>
    <row r="757">
      <c r="A757" s="398"/>
      <c r="B757" s="386"/>
      <c r="C757" s="387" t="str">
        <f>IF(A757="","",IFERROR(IF(VLOOKUP(A757,'1. Inbound Leads'!A:G,7,FALSE)=0,"",VLOOKUP(A757,'1. Inbound Leads'!A:G,7,FALSE)),""))</f>
        <v/>
      </c>
      <c r="D757" s="387" t="str">
        <f>IF(A757="","",IFERROR(IF(VLOOKUP(A757,'1. Inbound Leads'!A:L,12,FALSE)=0,"",VLOOKUP(A757,'1. Inbound Leads'!A:L,12,FALSE)),""))</f>
        <v/>
      </c>
      <c r="E757" s="388"/>
      <c r="F757" s="389"/>
      <c r="G757" s="387"/>
      <c r="H757" s="387"/>
      <c r="I757" s="387"/>
      <c r="J757" s="387"/>
      <c r="K757" s="387"/>
      <c r="L757" s="387"/>
      <c r="M757" s="388"/>
      <c r="N757" s="388"/>
      <c r="O757" s="390"/>
      <c r="P757" s="391"/>
      <c r="Q757" s="389"/>
      <c r="R757" s="390"/>
      <c r="S757" s="390"/>
      <c r="T757" s="391"/>
      <c r="U757" s="392"/>
      <c r="V757" s="391"/>
      <c r="W757" s="391"/>
      <c r="X757" s="388"/>
      <c r="Y757" s="391"/>
      <c r="Z757" s="393"/>
      <c r="AA757" s="355" t="str">
        <f t="shared" si="1"/>
        <v/>
      </c>
      <c r="AB757" s="391"/>
      <c r="AC757" s="394" t="str">
        <f t="shared" si="2"/>
        <v/>
      </c>
      <c r="AD757" s="389"/>
      <c r="AE757" s="399"/>
      <c r="AF757" s="395"/>
      <c r="AG757" s="396" t="str">
        <f t="shared" si="3"/>
        <v/>
      </c>
      <c r="AH757" s="396" t="str">
        <f t="shared" si="4"/>
        <v/>
      </c>
      <c r="AI757" s="388"/>
      <c r="AJ757" s="388"/>
      <c r="AK757" s="397"/>
    </row>
    <row r="758">
      <c r="A758" s="398"/>
      <c r="B758" s="386"/>
      <c r="C758" s="387" t="str">
        <f>IF(A758="","",IFERROR(IF(VLOOKUP(A758,'1. Inbound Leads'!A:G,7,FALSE)=0,"",VLOOKUP(A758,'1. Inbound Leads'!A:G,7,FALSE)),""))</f>
        <v/>
      </c>
      <c r="D758" s="387" t="str">
        <f>IF(A758="","",IFERROR(IF(VLOOKUP(A758,'1. Inbound Leads'!A:L,12,FALSE)=0,"",VLOOKUP(A758,'1. Inbound Leads'!A:L,12,FALSE)),""))</f>
        <v/>
      </c>
      <c r="E758" s="388"/>
      <c r="F758" s="389"/>
      <c r="G758" s="387"/>
      <c r="H758" s="387"/>
      <c r="I758" s="387"/>
      <c r="J758" s="387"/>
      <c r="K758" s="387"/>
      <c r="L758" s="387"/>
      <c r="M758" s="388"/>
      <c r="N758" s="388"/>
      <c r="O758" s="390"/>
      <c r="P758" s="391"/>
      <c r="Q758" s="389"/>
      <c r="R758" s="390"/>
      <c r="S758" s="390"/>
      <c r="T758" s="391"/>
      <c r="U758" s="392"/>
      <c r="V758" s="391"/>
      <c r="W758" s="391"/>
      <c r="X758" s="388"/>
      <c r="Y758" s="391"/>
      <c r="Z758" s="393"/>
      <c r="AA758" s="355" t="str">
        <f t="shared" si="1"/>
        <v/>
      </c>
      <c r="AB758" s="391"/>
      <c r="AC758" s="394" t="str">
        <f t="shared" si="2"/>
        <v/>
      </c>
      <c r="AD758" s="389"/>
      <c r="AE758" s="399"/>
      <c r="AF758" s="395"/>
      <c r="AG758" s="396" t="str">
        <f t="shared" si="3"/>
        <v/>
      </c>
      <c r="AH758" s="396" t="str">
        <f t="shared" si="4"/>
        <v/>
      </c>
      <c r="AI758" s="388"/>
      <c r="AJ758" s="388"/>
      <c r="AK758" s="397"/>
    </row>
    <row r="759">
      <c r="A759" s="398"/>
      <c r="B759" s="386"/>
      <c r="C759" s="387" t="str">
        <f>IF(A759="","",IFERROR(IF(VLOOKUP(A759,'1. Inbound Leads'!A:G,7,FALSE)=0,"",VLOOKUP(A759,'1. Inbound Leads'!A:G,7,FALSE)),""))</f>
        <v/>
      </c>
      <c r="D759" s="387" t="str">
        <f>IF(A759="","",IFERROR(IF(VLOOKUP(A759,'1. Inbound Leads'!A:L,12,FALSE)=0,"",VLOOKUP(A759,'1. Inbound Leads'!A:L,12,FALSE)),""))</f>
        <v/>
      </c>
      <c r="E759" s="388"/>
      <c r="F759" s="389"/>
      <c r="G759" s="387"/>
      <c r="H759" s="387"/>
      <c r="I759" s="387"/>
      <c r="J759" s="387"/>
      <c r="K759" s="387"/>
      <c r="L759" s="387"/>
      <c r="M759" s="388"/>
      <c r="N759" s="388"/>
      <c r="O759" s="390"/>
      <c r="P759" s="391"/>
      <c r="Q759" s="389"/>
      <c r="R759" s="390"/>
      <c r="S759" s="390"/>
      <c r="T759" s="391"/>
      <c r="U759" s="392"/>
      <c r="V759" s="391"/>
      <c r="W759" s="391"/>
      <c r="X759" s="388"/>
      <c r="Y759" s="391"/>
      <c r="Z759" s="393"/>
      <c r="AA759" s="355" t="str">
        <f t="shared" si="1"/>
        <v/>
      </c>
      <c r="AB759" s="391"/>
      <c r="AC759" s="394" t="str">
        <f t="shared" si="2"/>
        <v/>
      </c>
      <c r="AD759" s="389"/>
      <c r="AE759" s="399"/>
      <c r="AF759" s="395"/>
      <c r="AG759" s="396" t="str">
        <f t="shared" si="3"/>
        <v/>
      </c>
      <c r="AH759" s="396" t="str">
        <f t="shared" si="4"/>
        <v/>
      </c>
      <c r="AI759" s="388"/>
      <c r="AJ759" s="388"/>
      <c r="AK759" s="397"/>
    </row>
    <row r="760">
      <c r="A760" s="398"/>
      <c r="B760" s="386"/>
      <c r="C760" s="387" t="str">
        <f>IF(A760="","",IFERROR(IF(VLOOKUP(A760,'1. Inbound Leads'!A:G,7,FALSE)=0,"",VLOOKUP(A760,'1. Inbound Leads'!A:G,7,FALSE)),""))</f>
        <v/>
      </c>
      <c r="D760" s="387" t="str">
        <f>IF(A760="","",IFERROR(IF(VLOOKUP(A760,'1. Inbound Leads'!A:L,12,FALSE)=0,"",VLOOKUP(A760,'1. Inbound Leads'!A:L,12,FALSE)),""))</f>
        <v/>
      </c>
      <c r="E760" s="388"/>
      <c r="F760" s="389"/>
      <c r="G760" s="387"/>
      <c r="H760" s="387"/>
      <c r="I760" s="387"/>
      <c r="J760" s="387"/>
      <c r="K760" s="387"/>
      <c r="L760" s="387"/>
      <c r="M760" s="388"/>
      <c r="N760" s="388"/>
      <c r="O760" s="390"/>
      <c r="P760" s="391"/>
      <c r="Q760" s="389"/>
      <c r="R760" s="390"/>
      <c r="S760" s="390"/>
      <c r="T760" s="391"/>
      <c r="U760" s="392"/>
      <c r="V760" s="391"/>
      <c r="W760" s="391"/>
      <c r="X760" s="388"/>
      <c r="Y760" s="391"/>
      <c r="Z760" s="393"/>
      <c r="AA760" s="355" t="str">
        <f t="shared" si="1"/>
        <v/>
      </c>
      <c r="AB760" s="391"/>
      <c r="AC760" s="394" t="str">
        <f t="shared" si="2"/>
        <v/>
      </c>
      <c r="AD760" s="389"/>
      <c r="AE760" s="399"/>
      <c r="AF760" s="395"/>
      <c r="AG760" s="396" t="str">
        <f t="shared" si="3"/>
        <v/>
      </c>
      <c r="AH760" s="396" t="str">
        <f t="shared" si="4"/>
        <v/>
      </c>
      <c r="AI760" s="388"/>
      <c r="AJ760" s="388"/>
      <c r="AK760" s="397"/>
    </row>
    <row r="761">
      <c r="A761" s="398"/>
      <c r="B761" s="386"/>
      <c r="C761" s="387" t="str">
        <f>IF(A761="","",IFERROR(IF(VLOOKUP(A761,'1. Inbound Leads'!A:G,7,FALSE)=0,"",VLOOKUP(A761,'1. Inbound Leads'!A:G,7,FALSE)),""))</f>
        <v/>
      </c>
      <c r="D761" s="387" t="str">
        <f>IF(A761="","",IFERROR(IF(VLOOKUP(A761,'1. Inbound Leads'!A:L,12,FALSE)=0,"",VLOOKUP(A761,'1. Inbound Leads'!A:L,12,FALSE)),""))</f>
        <v/>
      </c>
      <c r="E761" s="388"/>
      <c r="F761" s="389"/>
      <c r="G761" s="387"/>
      <c r="H761" s="387"/>
      <c r="I761" s="387"/>
      <c r="J761" s="387"/>
      <c r="K761" s="387"/>
      <c r="L761" s="387"/>
      <c r="M761" s="388"/>
      <c r="N761" s="388"/>
      <c r="O761" s="390"/>
      <c r="P761" s="391"/>
      <c r="Q761" s="389"/>
      <c r="R761" s="390"/>
      <c r="S761" s="390"/>
      <c r="T761" s="391"/>
      <c r="U761" s="392"/>
      <c r="V761" s="391"/>
      <c r="W761" s="391"/>
      <c r="X761" s="388"/>
      <c r="Y761" s="391"/>
      <c r="Z761" s="393"/>
      <c r="AA761" s="355" t="str">
        <f t="shared" si="1"/>
        <v/>
      </c>
      <c r="AB761" s="391"/>
      <c r="AC761" s="394" t="str">
        <f t="shared" si="2"/>
        <v/>
      </c>
      <c r="AD761" s="389"/>
      <c r="AE761" s="399"/>
      <c r="AF761" s="395"/>
      <c r="AG761" s="396" t="str">
        <f t="shared" si="3"/>
        <v/>
      </c>
      <c r="AH761" s="396" t="str">
        <f t="shared" si="4"/>
        <v/>
      </c>
      <c r="AI761" s="388"/>
      <c r="AJ761" s="388"/>
      <c r="AK761" s="397"/>
    </row>
    <row r="762">
      <c r="A762" s="398"/>
      <c r="B762" s="386"/>
      <c r="C762" s="387" t="str">
        <f>IF(A762="","",IFERROR(IF(VLOOKUP(A762,'1. Inbound Leads'!A:G,7,FALSE)=0,"",VLOOKUP(A762,'1. Inbound Leads'!A:G,7,FALSE)),""))</f>
        <v/>
      </c>
      <c r="D762" s="387" t="str">
        <f>IF(A762="","",IFERROR(IF(VLOOKUP(A762,'1. Inbound Leads'!A:L,12,FALSE)=0,"",VLOOKUP(A762,'1. Inbound Leads'!A:L,12,FALSE)),""))</f>
        <v/>
      </c>
      <c r="E762" s="388"/>
      <c r="F762" s="389"/>
      <c r="G762" s="387"/>
      <c r="H762" s="387"/>
      <c r="I762" s="387"/>
      <c r="J762" s="387"/>
      <c r="K762" s="387"/>
      <c r="L762" s="387"/>
      <c r="M762" s="388"/>
      <c r="N762" s="388"/>
      <c r="O762" s="390"/>
      <c r="P762" s="391"/>
      <c r="Q762" s="389"/>
      <c r="R762" s="390"/>
      <c r="S762" s="390"/>
      <c r="T762" s="391"/>
      <c r="U762" s="392"/>
      <c r="V762" s="391"/>
      <c r="W762" s="391"/>
      <c r="X762" s="388"/>
      <c r="Y762" s="391"/>
      <c r="Z762" s="393"/>
      <c r="AA762" s="355" t="str">
        <f t="shared" si="1"/>
        <v/>
      </c>
      <c r="AB762" s="391"/>
      <c r="AC762" s="394" t="str">
        <f t="shared" si="2"/>
        <v/>
      </c>
      <c r="AD762" s="389"/>
      <c r="AE762" s="399"/>
      <c r="AF762" s="395"/>
      <c r="AG762" s="396" t="str">
        <f t="shared" si="3"/>
        <v/>
      </c>
      <c r="AH762" s="396" t="str">
        <f t="shared" si="4"/>
        <v/>
      </c>
      <c r="AI762" s="388"/>
      <c r="AJ762" s="388"/>
      <c r="AK762" s="397"/>
    </row>
    <row r="763">
      <c r="A763" s="398"/>
      <c r="B763" s="386"/>
      <c r="C763" s="387" t="str">
        <f>IF(A763="","",IFERROR(IF(VLOOKUP(A763,'1. Inbound Leads'!A:G,7,FALSE)=0,"",VLOOKUP(A763,'1. Inbound Leads'!A:G,7,FALSE)),""))</f>
        <v/>
      </c>
      <c r="D763" s="387" t="str">
        <f>IF(A763="","",IFERROR(IF(VLOOKUP(A763,'1. Inbound Leads'!A:L,12,FALSE)=0,"",VLOOKUP(A763,'1. Inbound Leads'!A:L,12,FALSE)),""))</f>
        <v/>
      </c>
      <c r="E763" s="388"/>
      <c r="F763" s="389"/>
      <c r="G763" s="387"/>
      <c r="H763" s="387"/>
      <c r="I763" s="387"/>
      <c r="J763" s="387"/>
      <c r="K763" s="387"/>
      <c r="L763" s="387"/>
      <c r="M763" s="388"/>
      <c r="N763" s="388"/>
      <c r="O763" s="390"/>
      <c r="P763" s="391"/>
      <c r="Q763" s="389"/>
      <c r="R763" s="390"/>
      <c r="S763" s="390"/>
      <c r="T763" s="391"/>
      <c r="U763" s="392"/>
      <c r="V763" s="391"/>
      <c r="W763" s="391"/>
      <c r="X763" s="388"/>
      <c r="Y763" s="391"/>
      <c r="Z763" s="393"/>
      <c r="AA763" s="355" t="str">
        <f t="shared" si="1"/>
        <v/>
      </c>
      <c r="AB763" s="391"/>
      <c r="AC763" s="394" t="str">
        <f t="shared" si="2"/>
        <v/>
      </c>
      <c r="AD763" s="389"/>
      <c r="AE763" s="399"/>
      <c r="AF763" s="395"/>
      <c r="AG763" s="396" t="str">
        <f t="shared" si="3"/>
        <v/>
      </c>
      <c r="AH763" s="396" t="str">
        <f t="shared" si="4"/>
        <v/>
      </c>
      <c r="AI763" s="388"/>
      <c r="AJ763" s="388"/>
      <c r="AK763" s="397"/>
    </row>
    <row r="764">
      <c r="A764" s="398"/>
      <c r="B764" s="386"/>
      <c r="C764" s="387" t="str">
        <f>IF(A764="","",IFERROR(IF(VLOOKUP(A764,'1. Inbound Leads'!A:G,7,FALSE)=0,"",VLOOKUP(A764,'1. Inbound Leads'!A:G,7,FALSE)),""))</f>
        <v/>
      </c>
      <c r="D764" s="387" t="str">
        <f>IF(A764="","",IFERROR(IF(VLOOKUP(A764,'1. Inbound Leads'!A:L,12,FALSE)=0,"",VLOOKUP(A764,'1. Inbound Leads'!A:L,12,FALSE)),""))</f>
        <v/>
      </c>
      <c r="E764" s="388"/>
      <c r="F764" s="389"/>
      <c r="G764" s="387"/>
      <c r="H764" s="387"/>
      <c r="I764" s="387"/>
      <c r="J764" s="387"/>
      <c r="K764" s="387"/>
      <c r="L764" s="387"/>
      <c r="M764" s="388"/>
      <c r="N764" s="388"/>
      <c r="O764" s="390"/>
      <c r="P764" s="391"/>
      <c r="Q764" s="389"/>
      <c r="R764" s="390"/>
      <c r="S764" s="390"/>
      <c r="T764" s="391"/>
      <c r="U764" s="392"/>
      <c r="V764" s="391"/>
      <c r="W764" s="391"/>
      <c r="X764" s="388"/>
      <c r="Y764" s="391"/>
      <c r="Z764" s="393"/>
      <c r="AA764" s="355" t="str">
        <f t="shared" si="1"/>
        <v/>
      </c>
      <c r="AB764" s="391"/>
      <c r="AC764" s="394" t="str">
        <f t="shared" si="2"/>
        <v/>
      </c>
      <c r="AD764" s="389"/>
      <c r="AE764" s="399"/>
      <c r="AF764" s="395"/>
      <c r="AG764" s="396" t="str">
        <f t="shared" si="3"/>
        <v/>
      </c>
      <c r="AH764" s="396" t="str">
        <f t="shared" si="4"/>
        <v/>
      </c>
      <c r="AI764" s="388"/>
      <c r="AJ764" s="388"/>
      <c r="AK764" s="397"/>
    </row>
    <row r="765">
      <c r="A765" s="398"/>
      <c r="B765" s="386"/>
      <c r="C765" s="387" t="str">
        <f>IF(A765="","",IFERROR(IF(VLOOKUP(A765,'1. Inbound Leads'!A:G,7,FALSE)=0,"",VLOOKUP(A765,'1. Inbound Leads'!A:G,7,FALSE)),""))</f>
        <v/>
      </c>
      <c r="D765" s="387" t="str">
        <f>IF(A765="","",IFERROR(IF(VLOOKUP(A765,'1. Inbound Leads'!A:L,12,FALSE)=0,"",VLOOKUP(A765,'1. Inbound Leads'!A:L,12,FALSE)),""))</f>
        <v/>
      </c>
      <c r="E765" s="388"/>
      <c r="F765" s="389"/>
      <c r="G765" s="387"/>
      <c r="H765" s="387"/>
      <c r="I765" s="387"/>
      <c r="J765" s="387"/>
      <c r="K765" s="387"/>
      <c r="L765" s="387"/>
      <c r="M765" s="388"/>
      <c r="N765" s="388"/>
      <c r="O765" s="390"/>
      <c r="P765" s="391"/>
      <c r="Q765" s="389"/>
      <c r="R765" s="390"/>
      <c r="S765" s="390"/>
      <c r="T765" s="391"/>
      <c r="U765" s="392"/>
      <c r="V765" s="391"/>
      <c r="W765" s="391"/>
      <c r="X765" s="388"/>
      <c r="Y765" s="391"/>
      <c r="Z765" s="393"/>
      <c r="AA765" s="355" t="str">
        <f t="shared" si="1"/>
        <v/>
      </c>
      <c r="AB765" s="391"/>
      <c r="AC765" s="394" t="str">
        <f t="shared" si="2"/>
        <v/>
      </c>
      <c r="AD765" s="389"/>
      <c r="AE765" s="399"/>
      <c r="AF765" s="395"/>
      <c r="AG765" s="396" t="str">
        <f t="shared" si="3"/>
        <v/>
      </c>
      <c r="AH765" s="396" t="str">
        <f t="shared" si="4"/>
        <v/>
      </c>
      <c r="AI765" s="388"/>
      <c r="AJ765" s="388"/>
      <c r="AK765" s="397"/>
    </row>
    <row r="766">
      <c r="A766" s="398"/>
      <c r="B766" s="386"/>
      <c r="C766" s="387" t="str">
        <f>IF(A766="","",IFERROR(IF(VLOOKUP(A766,'1. Inbound Leads'!A:G,7,FALSE)=0,"",VLOOKUP(A766,'1. Inbound Leads'!A:G,7,FALSE)),""))</f>
        <v/>
      </c>
      <c r="D766" s="387" t="str">
        <f>IF(A766="","",IFERROR(IF(VLOOKUP(A766,'1. Inbound Leads'!A:L,12,FALSE)=0,"",VLOOKUP(A766,'1. Inbound Leads'!A:L,12,FALSE)),""))</f>
        <v/>
      </c>
      <c r="E766" s="388"/>
      <c r="F766" s="389"/>
      <c r="G766" s="387"/>
      <c r="H766" s="387"/>
      <c r="I766" s="387"/>
      <c r="J766" s="387"/>
      <c r="K766" s="387"/>
      <c r="L766" s="387"/>
      <c r="M766" s="388"/>
      <c r="N766" s="388"/>
      <c r="O766" s="390"/>
      <c r="P766" s="391"/>
      <c r="Q766" s="389"/>
      <c r="R766" s="390"/>
      <c r="S766" s="390"/>
      <c r="T766" s="391"/>
      <c r="U766" s="392"/>
      <c r="V766" s="391"/>
      <c r="W766" s="391"/>
      <c r="X766" s="388"/>
      <c r="Y766" s="391"/>
      <c r="Z766" s="393"/>
      <c r="AA766" s="355" t="str">
        <f t="shared" si="1"/>
        <v/>
      </c>
      <c r="AB766" s="391"/>
      <c r="AC766" s="394" t="str">
        <f t="shared" si="2"/>
        <v/>
      </c>
      <c r="AD766" s="389"/>
      <c r="AE766" s="399"/>
      <c r="AF766" s="395"/>
      <c r="AG766" s="396" t="str">
        <f t="shared" si="3"/>
        <v/>
      </c>
      <c r="AH766" s="396" t="str">
        <f t="shared" si="4"/>
        <v/>
      </c>
      <c r="AI766" s="388"/>
      <c r="AJ766" s="388"/>
      <c r="AK766" s="397"/>
    </row>
    <row r="767">
      <c r="A767" s="398"/>
      <c r="B767" s="386"/>
      <c r="C767" s="387" t="str">
        <f>IF(A767="","",IFERROR(IF(VLOOKUP(A767,'1. Inbound Leads'!A:G,7,FALSE)=0,"",VLOOKUP(A767,'1. Inbound Leads'!A:G,7,FALSE)),""))</f>
        <v/>
      </c>
      <c r="D767" s="387" t="str">
        <f>IF(A767="","",IFERROR(IF(VLOOKUP(A767,'1. Inbound Leads'!A:L,12,FALSE)=0,"",VLOOKUP(A767,'1. Inbound Leads'!A:L,12,FALSE)),""))</f>
        <v/>
      </c>
      <c r="E767" s="388"/>
      <c r="F767" s="389"/>
      <c r="G767" s="387"/>
      <c r="H767" s="387"/>
      <c r="I767" s="387"/>
      <c r="J767" s="387"/>
      <c r="K767" s="387"/>
      <c r="L767" s="387"/>
      <c r="M767" s="388"/>
      <c r="N767" s="388"/>
      <c r="O767" s="390"/>
      <c r="P767" s="391"/>
      <c r="Q767" s="389"/>
      <c r="R767" s="390"/>
      <c r="S767" s="390"/>
      <c r="T767" s="391"/>
      <c r="U767" s="392"/>
      <c r="V767" s="391"/>
      <c r="W767" s="391"/>
      <c r="X767" s="388"/>
      <c r="Y767" s="391"/>
      <c r="Z767" s="393"/>
      <c r="AA767" s="355" t="str">
        <f t="shared" si="1"/>
        <v/>
      </c>
      <c r="AB767" s="391"/>
      <c r="AC767" s="394" t="str">
        <f t="shared" si="2"/>
        <v/>
      </c>
      <c r="AD767" s="389"/>
      <c r="AE767" s="399"/>
      <c r="AF767" s="395"/>
      <c r="AG767" s="396" t="str">
        <f t="shared" si="3"/>
        <v/>
      </c>
      <c r="AH767" s="396" t="str">
        <f t="shared" si="4"/>
        <v/>
      </c>
      <c r="AI767" s="388"/>
      <c r="AJ767" s="388"/>
      <c r="AK767" s="397"/>
    </row>
    <row r="768">
      <c r="A768" s="398"/>
      <c r="B768" s="386"/>
      <c r="C768" s="387" t="str">
        <f>IF(A768="","",IFERROR(IF(VLOOKUP(A768,'1. Inbound Leads'!A:G,7,FALSE)=0,"",VLOOKUP(A768,'1. Inbound Leads'!A:G,7,FALSE)),""))</f>
        <v/>
      </c>
      <c r="D768" s="387" t="str">
        <f>IF(A768="","",IFERROR(IF(VLOOKUP(A768,'1. Inbound Leads'!A:L,12,FALSE)=0,"",VLOOKUP(A768,'1. Inbound Leads'!A:L,12,FALSE)),""))</f>
        <v/>
      </c>
      <c r="E768" s="388"/>
      <c r="F768" s="389"/>
      <c r="G768" s="387"/>
      <c r="H768" s="387"/>
      <c r="I768" s="387"/>
      <c r="J768" s="387"/>
      <c r="K768" s="387"/>
      <c r="L768" s="387"/>
      <c r="M768" s="388"/>
      <c r="N768" s="388"/>
      <c r="O768" s="390"/>
      <c r="P768" s="391"/>
      <c r="Q768" s="389"/>
      <c r="R768" s="390"/>
      <c r="S768" s="390"/>
      <c r="T768" s="391"/>
      <c r="U768" s="392"/>
      <c r="V768" s="391"/>
      <c r="W768" s="391"/>
      <c r="X768" s="388"/>
      <c r="Y768" s="391"/>
      <c r="Z768" s="393"/>
      <c r="AA768" s="355" t="str">
        <f t="shared" si="1"/>
        <v/>
      </c>
      <c r="AB768" s="391"/>
      <c r="AC768" s="394" t="str">
        <f t="shared" si="2"/>
        <v/>
      </c>
      <c r="AD768" s="389"/>
      <c r="AE768" s="399"/>
      <c r="AF768" s="395"/>
      <c r="AG768" s="396" t="str">
        <f t="shared" si="3"/>
        <v/>
      </c>
      <c r="AH768" s="396" t="str">
        <f t="shared" si="4"/>
        <v/>
      </c>
      <c r="AI768" s="388"/>
      <c r="AJ768" s="388"/>
      <c r="AK768" s="397"/>
    </row>
    <row r="769">
      <c r="A769" s="398"/>
      <c r="B769" s="386"/>
      <c r="C769" s="387" t="str">
        <f>IF(A769="","",IFERROR(IF(VLOOKUP(A769,'1. Inbound Leads'!A:G,7,FALSE)=0,"",VLOOKUP(A769,'1. Inbound Leads'!A:G,7,FALSE)),""))</f>
        <v/>
      </c>
      <c r="D769" s="387" t="str">
        <f>IF(A769="","",IFERROR(IF(VLOOKUP(A769,'1. Inbound Leads'!A:L,12,FALSE)=0,"",VLOOKUP(A769,'1. Inbound Leads'!A:L,12,FALSE)),""))</f>
        <v/>
      </c>
      <c r="E769" s="388"/>
      <c r="F769" s="389"/>
      <c r="G769" s="387"/>
      <c r="H769" s="387"/>
      <c r="I769" s="387"/>
      <c r="J769" s="387"/>
      <c r="K769" s="387"/>
      <c r="L769" s="387"/>
      <c r="M769" s="388"/>
      <c r="N769" s="388"/>
      <c r="O769" s="390"/>
      <c r="P769" s="391"/>
      <c r="Q769" s="389"/>
      <c r="R769" s="390"/>
      <c r="S769" s="390"/>
      <c r="T769" s="391"/>
      <c r="U769" s="392"/>
      <c r="V769" s="391"/>
      <c r="W769" s="391"/>
      <c r="X769" s="388"/>
      <c r="Y769" s="391"/>
      <c r="Z769" s="393"/>
      <c r="AA769" s="355" t="str">
        <f t="shared" si="1"/>
        <v/>
      </c>
      <c r="AB769" s="391"/>
      <c r="AC769" s="394" t="str">
        <f t="shared" si="2"/>
        <v/>
      </c>
      <c r="AD769" s="389"/>
      <c r="AE769" s="399"/>
      <c r="AF769" s="395"/>
      <c r="AG769" s="396" t="str">
        <f t="shared" si="3"/>
        <v/>
      </c>
      <c r="AH769" s="396" t="str">
        <f t="shared" si="4"/>
        <v/>
      </c>
      <c r="AI769" s="388"/>
      <c r="AJ769" s="388"/>
      <c r="AK769" s="397"/>
    </row>
    <row r="770">
      <c r="A770" s="398"/>
      <c r="B770" s="386"/>
      <c r="C770" s="387" t="str">
        <f>IF(A770="","",IFERROR(IF(VLOOKUP(A770,'1. Inbound Leads'!A:G,7,FALSE)=0,"",VLOOKUP(A770,'1. Inbound Leads'!A:G,7,FALSE)),""))</f>
        <v/>
      </c>
      <c r="D770" s="387" t="str">
        <f>IF(A770="","",IFERROR(IF(VLOOKUP(A770,'1. Inbound Leads'!A:L,12,FALSE)=0,"",VLOOKUP(A770,'1. Inbound Leads'!A:L,12,FALSE)),""))</f>
        <v/>
      </c>
      <c r="E770" s="388"/>
      <c r="F770" s="389"/>
      <c r="G770" s="387"/>
      <c r="H770" s="387"/>
      <c r="I770" s="387"/>
      <c r="J770" s="387"/>
      <c r="K770" s="387"/>
      <c r="L770" s="387"/>
      <c r="M770" s="388"/>
      <c r="N770" s="388"/>
      <c r="O770" s="390"/>
      <c r="P770" s="391"/>
      <c r="Q770" s="389"/>
      <c r="R770" s="390"/>
      <c r="S770" s="390"/>
      <c r="T770" s="391"/>
      <c r="U770" s="392"/>
      <c r="V770" s="391"/>
      <c r="W770" s="391"/>
      <c r="X770" s="388"/>
      <c r="Y770" s="391"/>
      <c r="Z770" s="393"/>
      <c r="AA770" s="355" t="str">
        <f t="shared" si="1"/>
        <v/>
      </c>
      <c r="AB770" s="391"/>
      <c r="AC770" s="394" t="str">
        <f t="shared" si="2"/>
        <v/>
      </c>
      <c r="AD770" s="389"/>
      <c r="AE770" s="399"/>
      <c r="AF770" s="395"/>
      <c r="AG770" s="396" t="str">
        <f t="shared" si="3"/>
        <v/>
      </c>
      <c r="AH770" s="396" t="str">
        <f t="shared" si="4"/>
        <v/>
      </c>
      <c r="AI770" s="388"/>
      <c r="AJ770" s="388"/>
      <c r="AK770" s="397"/>
    </row>
    <row r="771">
      <c r="A771" s="398"/>
      <c r="B771" s="386"/>
      <c r="C771" s="387" t="str">
        <f>IF(A771="","",IFERROR(IF(VLOOKUP(A771,'1. Inbound Leads'!A:G,7,FALSE)=0,"",VLOOKUP(A771,'1. Inbound Leads'!A:G,7,FALSE)),""))</f>
        <v/>
      </c>
      <c r="D771" s="387" t="str">
        <f>IF(A771="","",IFERROR(IF(VLOOKUP(A771,'1. Inbound Leads'!A:L,12,FALSE)=0,"",VLOOKUP(A771,'1. Inbound Leads'!A:L,12,FALSE)),""))</f>
        <v/>
      </c>
      <c r="E771" s="388"/>
      <c r="F771" s="389"/>
      <c r="G771" s="387"/>
      <c r="H771" s="387"/>
      <c r="I771" s="387"/>
      <c r="J771" s="387"/>
      <c r="K771" s="387"/>
      <c r="L771" s="387"/>
      <c r="M771" s="388"/>
      <c r="N771" s="388"/>
      <c r="O771" s="390"/>
      <c r="P771" s="391"/>
      <c r="Q771" s="389"/>
      <c r="R771" s="390"/>
      <c r="S771" s="390"/>
      <c r="T771" s="391"/>
      <c r="U771" s="392"/>
      <c r="V771" s="391"/>
      <c r="W771" s="391"/>
      <c r="X771" s="388"/>
      <c r="Y771" s="391"/>
      <c r="Z771" s="393"/>
      <c r="AA771" s="355" t="str">
        <f t="shared" si="1"/>
        <v/>
      </c>
      <c r="AB771" s="391"/>
      <c r="AC771" s="394" t="str">
        <f t="shared" si="2"/>
        <v/>
      </c>
      <c r="AD771" s="389"/>
      <c r="AE771" s="399"/>
      <c r="AF771" s="395"/>
      <c r="AG771" s="396" t="str">
        <f t="shared" si="3"/>
        <v/>
      </c>
      <c r="AH771" s="396" t="str">
        <f t="shared" si="4"/>
        <v/>
      </c>
      <c r="AI771" s="388"/>
      <c r="AJ771" s="388"/>
      <c r="AK771" s="397"/>
    </row>
    <row r="772">
      <c r="A772" s="398"/>
      <c r="B772" s="386"/>
      <c r="C772" s="387" t="str">
        <f>IF(A772="","",IFERROR(IF(VLOOKUP(A772,'1. Inbound Leads'!A:G,7,FALSE)=0,"",VLOOKUP(A772,'1. Inbound Leads'!A:G,7,FALSE)),""))</f>
        <v/>
      </c>
      <c r="D772" s="387" t="str">
        <f>IF(A772="","",IFERROR(IF(VLOOKUP(A772,'1. Inbound Leads'!A:L,12,FALSE)=0,"",VLOOKUP(A772,'1. Inbound Leads'!A:L,12,FALSE)),""))</f>
        <v/>
      </c>
      <c r="E772" s="388"/>
      <c r="F772" s="389"/>
      <c r="G772" s="387"/>
      <c r="H772" s="387"/>
      <c r="I772" s="387"/>
      <c r="J772" s="387"/>
      <c r="K772" s="387"/>
      <c r="L772" s="387"/>
      <c r="M772" s="388"/>
      <c r="N772" s="388"/>
      <c r="O772" s="390"/>
      <c r="P772" s="391"/>
      <c r="Q772" s="389"/>
      <c r="R772" s="390"/>
      <c r="S772" s="390"/>
      <c r="T772" s="391"/>
      <c r="U772" s="392"/>
      <c r="V772" s="391"/>
      <c r="W772" s="391"/>
      <c r="X772" s="388"/>
      <c r="Y772" s="391"/>
      <c r="Z772" s="393"/>
      <c r="AA772" s="355" t="str">
        <f t="shared" si="1"/>
        <v/>
      </c>
      <c r="AB772" s="391"/>
      <c r="AC772" s="394" t="str">
        <f t="shared" si="2"/>
        <v/>
      </c>
      <c r="AD772" s="389"/>
      <c r="AE772" s="399"/>
      <c r="AF772" s="395"/>
      <c r="AG772" s="396" t="str">
        <f t="shared" si="3"/>
        <v/>
      </c>
      <c r="AH772" s="396" t="str">
        <f t="shared" si="4"/>
        <v/>
      </c>
      <c r="AI772" s="388"/>
      <c r="AJ772" s="388"/>
      <c r="AK772" s="397"/>
    </row>
    <row r="773">
      <c r="A773" s="398"/>
      <c r="B773" s="386"/>
      <c r="C773" s="387" t="str">
        <f>IF(A773="","",IFERROR(IF(VLOOKUP(A773,'1. Inbound Leads'!A:G,7,FALSE)=0,"",VLOOKUP(A773,'1. Inbound Leads'!A:G,7,FALSE)),""))</f>
        <v/>
      </c>
      <c r="D773" s="387" t="str">
        <f>IF(A773="","",IFERROR(IF(VLOOKUP(A773,'1. Inbound Leads'!A:L,12,FALSE)=0,"",VLOOKUP(A773,'1. Inbound Leads'!A:L,12,FALSE)),""))</f>
        <v/>
      </c>
      <c r="E773" s="388"/>
      <c r="F773" s="389"/>
      <c r="G773" s="387"/>
      <c r="H773" s="387"/>
      <c r="I773" s="387"/>
      <c r="J773" s="387"/>
      <c r="K773" s="387"/>
      <c r="L773" s="387"/>
      <c r="M773" s="388"/>
      <c r="N773" s="388"/>
      <c r="O773" s="390"/>
      <c r="P773" s="391"/>
      <c r="Q773" s="389"/>
      <c r="R773" s="390"/>
      <c r="S773" s="390"/>
      <c r="T773" s="391"/>
      <c r="U773" s="392"/>
      <c r="V773" s="391"/>
      <c r="W773" s="391"/>
      <c r="X773" s="388"/>
      <c r="Y773" s="391"/>
      <c r="Z773" s="393"/>
      <c r="AA773" s="355" t="str">
        <f t="shared" si="1"/>
        <v/>
      </c>
      <c r="AB773" s="391"/>
      <c r="AC773" s="394" t="str">
        <f t="shared" si="2"/>
        <v/>
      </c>
      <c r="AD773" s="389"/>
      <c r="AE773" s="399"/>
      <c r="AF773" s="395"/>
      <c r="AG773" s="396" t="str">
        <f t="shared" si="3"/>
        <v/>
      </c>
      <c r="AH773" s="396" t="str">
        <f t="shared" si="4"/>
        <v/>
      </c>
      <c r="AI773" s="388"/>
      <c r="AJ773" s="388"/>
      <c r="AK773" s="397"/>
    </row>
    <row r="774">
      <c r="A774" s="398"/>
      <c r="B774" s="386"/>
      <c r="C774" s="387" t="str">
        <f>IF(A774="","",IFERROR(IF(VLOOKUP(A774,'1. Inbound Leads'!A:G,7,FALSE)=0,"",VLOOKUP(A774,'1. Inbound Leads'!A:G,7,FALSE)),""))</f>
        <v/>
      </c>
      <c r="D774" s="387" t="str">
        <f>IF(A774="","",IFERROR(IF(VLOOKUP(A774,'1. Inbound Leads'!A:L,12,FALSE)=0,"",VLOOKUP(A774,'1. Inbound Leads'!A:L,12,FALSE)),""))</f>
        <v/>
      </c>
      <c r="E774" s="388"/>
      <c r="F774" s="389"/>
      <c r="G774" s="387"/>
      <c r="H774" s="387"/>
      <c r="I774" s="387"/>
      <c r="J774" s="387"/>
      <c r="K774" s="387"/>
      <c r="L774" s="387"/>
      <c r="M774" s="388"/>
      <c r="N774" s="388"/>
      <c r="O774" s="390"/>
      <c r="P774" s="391"/>
      <c r="Q774" s="389"/>
      <c r="R774" s="390"/>
      <c r="S774" s="390"/>
      <c r="T774" s="391"/>
      <c r="U774" s="392"/>
      <c r="V774" s="391"/>
      <c r="W774" s="391"/>
      <c r="X774" s="388"/>
      <c r="Y774" s="391"/>
      <c r="Z774" s="393"/>
      <c r="AA774" s="355" t="str">
        <f t="shared" si="1"/>
        <v/>
      </c>
      <c r="AB774" s="391"/>
      <c r="AC774" s="394" t="str">
        <f t="shared" si="2"/>
        <v/>
      </c>
      <c r="AD774" s="389"/>
      <c r="AE774" s="399"/>
      <c r="AF774" s="395"/>
      <c r="AG774" s="396" t="str">
        <f t="shared" si="3"/>
        <v/>
      </c>
      <c r="AH774" s="396" t="str">
        <f t="shared" si="4"/>
        <v/>
      </c>
      <c r="AI774" s="388"/>
      <c r="AJ774" s="388"/>
      <c r="AK774" s="397"/>
    </row>
    <row r="775">
      <c r="A775" s="398"/>
      <c r="B775" s="386"/>
      <c r="C775" s="387" t="str">
        <f>IF(A775="","",IFERROR(IF(VLOOKUP(A775,'1. Inbound Leads'!A:G,7,FALSE)=0,"",VLOOKUP(A775,'1. Inbound Leads'!A:G,7,FALSE)),""))</f>
        <v/>
      </c>
      <c r="D775" s="387" t="str">
        <f>IF(A775="","",IFERROR(IF(VLOOKUP(A775,'1. Inbound Leads'!A:L,12,FALSE)=0,"",VLOOKUP(A775,'1. Inbound Leads'!A:L,12,FALSE)),""))</f>
        <v/>
      </c>
      <c r="E775" s="388"/>
      <c r="F775" s="389"/>
      <c r="G775" s="387"/>
      <c r="H775" s="387"/>
      <c r="I775" s="387"/>
      <c r="J775" s="387"/>
      <c r="K775" s="387"/>
      <c r="L775" s="387"/>
      <c r="M775" s="388"/>
      <c r="N775" s="388"/>
      <c r="O775" s="390"/>
      <c r="P775" s="391"/>
      <c r="Q775" s="389"/>
      <c r="R775" s="390"/>
      <c r="S775" s="390"/>
      <c r="T775" s="391"/>
      <c r="U775" s="392"/>
      <c r="V775" s="391"/>
      <c r="W775" s="391"/>
      <c r="X775" s="388"/>
      <c r="Y775" s="391"/>
      <c r="Z775" s="393"/>
      <c r="AA775" s="355" t="str">
        <f t="shared" si="1"/>
        <v/>
      </c>
      <c r="AB775" s="391"/>
      <c r="AC775" s="394" t="str">
        <f t="shared" si="2"/>
        <v/>
      </c>
      <c r="AD775" s="389"/>
      <c r="AE775" s="399"/>
      <c r="AF775" s="395"/>
      <c r="AG775" s="396" t="str">
        <f t="shared" si="3"/>
        <v/>
      </c>
      <c r="AH775" s="396" t="str">
        <f t="shared" si="4"/>
        <v/>
      </c>
      <c r="AI775" s="388"/>
      <c r="AJ775" s="388"/>
      <c r="AK775" s="397"/>
    </row>
    <row r="776">
      <c r="A776" s="398"/>
      <c r="B776" s="386"/>
      <c r="C776" s="387" t="str">
        <f>IF(A776="","",IFERROR(IF(VLOOKUP(A776,'1. Inbound Leads'!A:G,7,FALSE)=0,"",VLOOKUP(A776,'1. Inbound Leads'!A:G,7,FALSE)),""))</f>
        <v/>
      </c>
      <c r="D776" s="387" t="str">
        <f>IF(A776="","",IFERROR(IF(VLOOKUP(A776,'1. Inbound Leads'!A:L,12,FALSE)=0,"",VLOOKUP(A776,'1. Inbound Leads'!A:L,12,FALSE)),""))</f>
        <v/>
      </c>
      <c r="E776" s="388"/>
      <c r="F776" s="389"/>
      <c r="G776" s="387"/>
      <c r="H776" s="387"/>
      <c r="I776" s="387"/>
      <c r="J776" s="387"/>
      <c r="K776" s="387"/>
      <c r="L776" s="387"/>
      <c r="M776" s="388"/>
      <c r="N776" s="388"/>
      <c r="O776" s="390"/>
      <c r="P776" s="391"/>
      <c r="Q776" s="389"/>
      <c r="R776" s="390"/>
      <c r="S776" s="390"/>
      <c r="T776" s="391"/>
      <c r="U776" s="392"/>
      <c r="V776" s="391"/>
      <c r="W776" s="391"/>
      <c r="X776" s="388"/>
      <c r="Y776" s="391"/>
      <c r="Z776" s="393"/>
      <c r="AA776" s="355" t="str">
        <f t="shared" si="1"/>
        <v/>
      </c>
      <c r="AB776" s="391"/>
      <c r="AC776" s="394" t="str">
        <f t="shared" si="2"/>
        <v/>
      </c>
      <c r="AD776" s="389"/>
      <c r="AE776" s="399"/>
      <c r="AF776" s="395"/>
      <c r="AG776" s="396" t="str">
        <f t="shared" si="3"/>
        <v/>
      </c>
      <c r="AH776" s="396" t="str">
        <f t="shared" si="4"/>
        <v/>
      </c>
      <c r="AI776" s="388"/>
      <c r="AJ776" s="388"/>
      <c r="AK776" s="397"/>
    </row>
    <row r="777">
      <c r="A777" s="398"/>
      <c r="B777" s="386"/>
      <c r="C777" s="387" t="str">
        <f>IF(A777="","",IFERROR(IF(VLOOKUP(A777,'1. Inbound Leads'!A:G,7,FALSE)=0,"",VLOOKUP(A777,'1. Inbound Leads'!A:G,7,FALSE)),""))</f>
        <v/>
      </c>
      <c r="D777" s="387" t="str">
        <f>IF(A777="","",IFERROR(IF(VLOOKUP(A777,'1. Inbound Leads'!A:L,12,FALSE)=0,"",VLOOKUP(A777,'1. Inbound Leads'!A:L,12,FALSE)),""))</f>
        <v/>
      </c>
      <c r="E777" s="388"/>
      <c r="F777" s="389"/>
      <c r="G777" s="387"/>
      <c r="H777" s="387"/>
      <c r="I777" s="387"/>
      <c r="J777" s="387"/>
      <c r="K777" s="387"/>
      <c r="L777" s="387"/>
      <c r="M777" s="388"/>
      <c r="N777" s="388"/>
      <c r="O777" s="390"/>
      <c r="P777" s="391"/>
      <c r="Q777" s="389"/>
      <c r="R777" s="390"/>
      <c r="S777" s="390"/>
      <c r="T777" s="391"/>
      <c r="U777" s="392"/>
      <c r="V777" s="391"/>
      <c r="W777" s="391"/>
      <c r="X777" s="388"/>
      <c r="Y777" s="391"/>
      <c r="Z777" s="393"/>
      <c r="AA777" s="355" t="str">
        <f t="shared" si="1"/>
        <v/>
      </c>
      <c r="AB777" s="391"/>
      <c r="AC777" s="394" t="str">
        <f t="shared" si="2"/>
        <v/>
      </c>
      <c r="AD777" s="389"/>
      <c r="AE777" s="399"/>
      <c r="AF777" s="395"/>
      <c r="AG777" s="396" t="str">
        <f t="shared" si="3"/>
        <v/>
      </c>
      <c r="AH777" s="396" t="str">
        <f t="shared" si="4"/>
        <v/>
      </c>
      <c r="AI777" s="388"/>
      <c r="AJ777" s="388"/>
      <c r="AK777" s="397"/>
    </row>
    <row r="778">
      <c r="A778" s="398"/>
      <c r="B778" s="386"/>
      <c r="C778" s="387" t="str">
        <f>IF(A778="","",IFERROR(IF(VLOOKUP(A778,'1. Inbound Leads'!A:G,7,FALSE)=0,"",VLOOKUP(A778,'1. Inbound Leads'!A:G,7,FALSE)),""))</f>
        <v/>
      </c>
      <c r="D778" s="387" t="str">
        <f>IF(A778="","",IFERROR(IF(VLOOKUP(A778,'1. Inbound Leads'!A:L,12,FALSE)=0,"",VLOOKUP(A778,'1. Inbound Leads'!A:L,12,FALSE)),""))</f>
        <v/>
      </c>
      <c r="E778" s="388"/>
      <c r="F778" s="389"/>
      <c r="G778" s="387"/>
      <c r="H778" s="387"/>
      <c r="I778" s="387"/>
      <c r="J778" s="387"/>
      <c r="K778" s="387"/>
      <c r="L778" s="387"/>
      <c r="M778" s="388"/>
      <c r="N778" s="388"/>
      <c r="O778" s="390"/>
      <c r="P778" s="391"/>
      <c r="Q778" s="389"/>
      <c r="R778" s="390"/>
      <c r="S778" s="390"/>
      <c r="T778" s="391"/>
      <c r="U778" s="392"/>
      <c r="V778" s="391"/>
      <c r="W778" s="391"/>
      <c r="X778" s="388"/>
      <c r="Y778" s="391"/>
      <c r="Z778" s="393"/>
      <c r="AA778" s="355" t="str">
        <f t="shared" si="1"/>
        <v/>
      </c>
      <c r="AB778" s="391"/>
      <c r="AC778" s="394" t="str">
        <f t="shared" si="2"/>
        <v/>
      </c>
      <c r="AD778" s="389"/>
      <c r="AE778" s="399"/>
      <c r="AF778" s="395"/>
      <c r="AG778" s="396" t="str">
        <f t="shared" si="3"/>
        <v/>
      </c>
      <c r="AH778" s="396" t="str">
        <f t="shared" si="4"/>
        <v/>
      </c>
      <c r="AI778" s="388"/>
      <c r="AJ778" s="388"/>
      <c r="AK778" s="397"/>
    </row>
    <row r="779">
      <c r="A779" s="398"/>
      <c r="B779" s="386"/>
      <c r="C779" s="387" t="str">
        <f>IF(A779="","",IFERROR(IF(VLOOKUP(A779,'1. Inbound Leads'!A:G,7,FALSE)=0,"",VLOOKUP(A779,'1. Inbound Leads'!A:G,7,FALSE)),""))</f>
        <v/>
      </c>
      <c r="D779" s="387" t="str">
        <f>IF(A779="","",IFERROR(IF(VLOOKUP(A779,'1. Inbound Leads'!A:L,12,FALSE)=0,"",VLOOKUP(A779,'1. Inbound Leads'!A:L,12,FALSE)),""))</f>
        <v/>
      </c>
      <c r="E779" s="388"/>
      <c r="F779" s="389"/>
      <c r="G779" s="387"/>
      <c r="H779" s="387"/>
      <c r="I779" s="387"/>
      <c r="J779" s="387"/>
      <c r="K779" s="387"/>
      <c r="L779" s="387"/>
      <c r="M779" s="388"/>
      <c r="N779" s="388"/>
      <c r="O779" s="390"/>
      <c r="P779" s="391"/>
      <c r="Q779" s="389"/>
      <c r="R779" s="390"/>
      <c r="S779" s="390"/>
      <c r="T779" s="391"/>
      <c r="U779" s="392"/>
      <c r="V779" s="391"/>
      <c r="W779" s="391"/>
      <c r="X779" s="388"/>
      <c r="Y779" s="391"/>
      <c r="Z779" s="393"/>
      <c r="AA779" s="355" t="str">
        <f t="shared" si="1"/>
        <v/>
      </c>
      <c r="AB779" s="391"/>
      <c r="AC779" s="394" t="str">
        <f t="shared" si="2"/>
        <v/>
      </c>
      <c r="AD779" s="389"/>
      <c r="AE779" s="399"/>
      <c r="AF779" s="395"/>
      <c r="AG779" s="396" t="str">
        <f t="shared" si="3"/>
        <v/>
      </c>
      <c r="AH779" s="396" t="str">
        <f t="shared" si="4"/>
        <v/>
      </c>
      <c r="AI779" s="388"/>
      <c r="AJ779" s="388"/>
      <c r="AK779" s="397"/>
    </row>
    <row r="780">
      <c r="A780" s="398"/>
      <c r="B780" s="386"/>
      <c r="C780" s="387" t="str">
        <f>IF(A780="","",IFERROR(IF(VLOOKUP(A780,'1. Inbound Leads'!A:G,7,FALSE)=0,"",VLOOKUP(A780,'1. Inbound Leads'!A:G,7,FALSE)),""))</f>
        <v/>
      </c>
      <c r="D780" s="387" t="str">
        <f>IF(A780="","",IFERROR(IF(VLOOKUP(A780,'1. Inbound Leads'!A:L,12,FALSE)=0,"",VLOOKUP(A780,'1. Inbound Leads'!A:L,12,FALSE)),""))</f>
        <v/>
      </c>
      <c r="E780" s="388"/>
      <c r="F780" s="389"/>
      <c r="G780" s="387"/>
      <c r="H780" s="387"/>
      <c r="I780" s="387"/>
      <c r="J780" s="387"/>
      <c r="K780" s="387"/>
      <c r="L780" s="387"/>
      <c r="M780" s="388"/>
      <c r="N780" s="388"/>
      <c r="O780" s="390"/>
      <c r="P780" s="391"/>
      <c r="Q780" s="389"/>
      <c r="R780" s="390"/>
      <c r="S780" s="390"/>
      <c r="T780" s="391"/>
      <c r="U780" s="392"/>
      <c r="V780" s="391"/>
      <c r="W780" s="391"/>
      <c r="X780" s="388"/>
      <c r="Y780" s="391"/>
      <c r="Z780" s="393"/>
      <c r="AA780" s="355" t="str">
        <f t="shared" si="1"/>
        <v/>
      </c>
      <c r="AB780" s="391"/>
      <c r="AC780" s="394" t="str">
        <f t="shared" si="2"/>
        <v/>
      </c>
      <c r="AD780" s="389"/>
      <c r="AE780" s="399"/>
      <c r="AF780" s="395"/>
      <c r="AG780" s="396" t="str">
        <f t="shared" si="3"/>
        <v/>
      </c>
      <c r="AH780" s="396" t="str">
        <f t="shared" si="4"/>
        <v/>
      </c>
      <c r="AI780" s="388"/>
      <c r="AJ780" s="388"/>
      <c r="AK780" s="397"/>
    </row>
    <row r="781">
      <c r="A781" s="398"/>
      <c r="B781" s="386"/>
      <c r="C781" s="387" t="str">
        <f>IF(A781="","",IFERROR(IF(VLOOKUP(A781,'1. Inbound Leads'!A:G,7,FALSE)=0,"",VLOOKUP(A781,'1. Inbound Leads'!A:G,7,FALSE)),""))</f>
        <v/>
      </c>
      <c r="D781" s="387" t="str">
        <f>IF(A781="","",IFERROR(IF(VLOOKUP(A781,'1. Inbound Leads'!A:L,12,FALSE)=0,"",VLOOKUP(A781,'1. Inbound Leads'!A:L,12,FALSE)),""))</f>
        <v/>
      </c>
      <c r="E781" s="388"/>
      <c r="F781" s="389"/>
      <c r="G781" s="387"/>
      <c r="H781" s="387"/>
      <c r="I781" s="387"/>
      <c r="J781" s="387"/>
      <c r="K781" s="387"/>
      <c r="L781" s="387"/>
      <c r="M781" s="388"/>
      <c r="N781" s="388"/>
      <c r="O781" s="390"/>
      <c r="P781" s="391"/>
      <c r="Q781" s="389"/>
      <c r="R781" s="390"/>
      <c r="S781" s="390"/>
      <c r="T781" s="391"/>
      <c r="U781" s="392"/>
      <c r="V781" s="391"/>
      <c r="W781" s="391"/>
      <c r="X781" s="388"/>
      <c r="Y781" s="391"/>
      <c r="Z781" s="393"/>
      <c r="AA781" s="355" t="str">
        <f t="shared" si="1"/>
        <v/>
      </c>
      <c r="AB781" s="391"/>
      <c r="AC781" s="394" t="str">
        <f t="shared" si="2"/>
        <v/>
      </c>
      <c r="AD781" s="389"/>
      <c r="AE781" s="399"/>
      <c r="AF781" s="395"/>
      <c r="AG781" s="396" t="str">
        <f t="shared" si="3"/>
        <v/>
      </c>
      <c r="AH781" s="396" t="str">
        <f t="shared" si="4"/>
        <v/>
      </c>
      <c r="AI781" s="388"/>
      <c r="AJ781" s="388"/>
      <c r="AK781" s="397"/>
    </row>
    <row r="782">
      <c r="A782" s="398"/>
      <c r="B782" s="386"/>
      <c r="C782" s="387" t="str">
        <f>IF(A782="","",IFERROR(IF(VLOOKUP(A782,'1. Inbound Leads'!A:G,7,FALSE)=0,"",VLOOKUP(A782,'1. Inbound Leads'!A:G,7,FALSE)),""))</f>
        <v/>
      </c>
      <c r="D782" s="387" t="str">
        <f>IF(A782="","",IFERROR(IF(VLOOKUP(A782,'1. Inbound Leads'!A:L,12,FALSE)=0,"",VLOOKUP(A782,'1. Inbound Leads'!A:L,12,FALSE)),""))</f>
        <v/>
      </c>
      <c r="E782" s="388"/>
      <c r="F782" s="389"/>
      <c r="G782" s="387"/>
      <c r="H782" s="387"/>
      <c r="I782" s="387"/>
      <c r="J782" s="387"/>
      <c r="K782" s="387"/>
      <c r="L782" s="387"/>
      <c r="M782" s="388"/>
      <c r="N782" s="388"/>
      <c r="O782" s="390"/>
      <c r="P782" s="391"/>
      <c r="Q782" s="389"/>
      <c r="R782" s="390"/>
      <c r="S782" s="390"/>
      <c r="T782" s="391"/>
      <c r="U782" s="392"/>
      <c r="V782" s="391"/>
      <c r="W782" s="391"/>
      <c r="X782" s="388"/>
      <c r="Y782" s="391"/>
      <c r="Z782" s="393"/>
      <c r="AA782" s="355" t="str">
        <f t="shared" si="1"/>
        <v/>
      </c>
      <c r="AB782" s="391"/>
      <c r="AC782" s="394" t="str">
        <f t="shared" si="2"/>
        <v/>
      </c>
      <c r="AD782" s="389"/>
      <c r="AE782" s="399"/>
      <c r="AF782" s="395"/>
      <c r="AG782" s="396" t="str">
        <f t="shared" si="3"/>
        <v/>
      </c>
      <c r="AH782" s="396" t="str">
        <f t="shared" si="4"/>
        <v/>
      </c>
      <c r="AI782" s="388"/>
      <c r="AJ782" s="388"/>
      <c r="AK782" s="397"/>
    </row>
    <row r="783">
      <c r="A783" s="398"/>
      <c r="B783" s="386"/>
      <c r="C783" s="387" t="str">
        <f>IF(A783="","",IFERROR(IF(VLOOKUP(A783,'1. Inbound Leads'!A:G,7,FALSE)=0,"",VLOOKUP(A783,'1. Inbound Leads'!A:G,7,FALSE)),""))</f>
        <v/>
      </c>
      <c r="D783" s="387" t="str">
        <f>IF(A783="","",IFERROR(IF(VLOOKUP(A783,'1. Inbound Leads'!A:L,12,FALSE)=0,"",VLOOKUP(A783,'1. Inbound Leads'!A:L,12,FALSE)),""))</f>
        <v/>
      </c>
      <c r="E783" s="388"/>
      <c r="F783" s="389"/>
      <c r="G783" s="387"/>
      <c r="H783" s="387"/>
      <c r="I783" s="387"/>
      <c r="J783" s="387"/>
      <c r="K783" s="387"/>
      <c r="L783" s="387"/>
      <c r="M783" s="388"/>
      <c r="N783" s="388"/>
      <c r="O783" s="390"/>
      <c r="P783" s="391"/>
      <c r="Q783" s="389"/>
      <c r="R783" s="390"/>
      <c r="S783" s="390"/>
      <c r="T783" s="391"/>
      <c r="U783" s="392"/>
      <c r="V783" s="391"/>
      <c r="W783" s="391"/>
      <c r="X783" s="388"/>
      <c r="Y783" s="391"/>
      <c r="Z783" s="393"/>
      <c r="AA783" s="355" t="str">
        <f t="shared" si="1"/>
        <v/>
      </c>
      <c r="AB783" s="391"/>
      <c r="AC783" s="394" t="str">
        <f t="shared" si="2"/>
        <v/>
      </c>
      <c r="AD783" s="389"/>
      <c r="AE783" s="399"/>
      <c r="AF783" s="395"/>
      <c r="AG783" s="396" t="str">
        <f t="shared" si="3"/>
        <v/>
      </c>
      <c r="AH783" s="396" t="str">
        <f t="shared" si="4"/>
        <v/>
      </c>
      <c r="AI783" s="388"/>
      <c r="AJ783" s="388"/>
      <c r="AK783" s="397"/>
    </row>
    <row r="784">
      <c r="A784" s="398"/>
      <c r="B784" s="386"/>
      <c r="C784" s="387" t="str">
        <f>IF(A784="","",IFERROR(IF(VLOOKUP(A784,'1. Inbound Leads'!A:G,7,FALSE)=0,"",VLOOKUP(A784,'1. Inbound Leads'!A:G,7,FALSE)),""))</f>
        <v/>
      </c>
      <c r="D784" s="387" t="str">
        <f>IF(A784="","",IFERROR(IF(VLOOKUP(A784,'1. Inbound Leads'!A:L,12,FALSE)=0,"",VLOOKUP(A784,'1. Inbound Leads'!A:L,12,FALSE)),""))</f>
        <v/>
      </c>
      <c r="E784" s="388"/>
      <c r="F784" s="389"/>
      <c r="G784" s="387"/>
      <c r="H784" s="387"/>
      <c r="I784" s="387"/>
      <c r="J784" s="387"/>
      <c r="K784" s="387"/>
      <c r="L784" s="387"/>
      <c r="M784" s="388"/>
      <c r="N784" s="388"/>
      <c r="O784" s="390"/>
      <c r="P784" s="391"/>
      <c r="Q784" s="389"/>
      <c r="R784" s="390"/>
      <c r="S784" s="390"/>
      <c r="T784" s="391"/>
      <c r="U784" s="392"/>
      <c r="V784" s="391"/>
      <c r="W784" s="391"/>
      <c r="X784" s="388"/>
      <c r="Y784" s="391"/>
      <c r="Z784" s="393"/>
      <c r="AA784" s="355" t="str">
        <f t="shared" si="1"/>
        <v/>
      </c>
      <c r="AB784" s="391"/>
      <c r="AC784" s="394" t="str">
        <f t="shared" si="2"/>
        <v/>
      </c>
      <c r="AD784" s="389"/>
      <c r="AE784" s="399"/>
      <c r="AF784" s="395"/>
      <c r="AG784" s="396" t="str">
        <f t="shared" si="3"/>
        <v/>
      </c>
      <c r="AH784" s="396" t="str">
        <f t="shared" si="4"/>
        <v/>
      </c>
      <c r="AI784" s="388"/>
      <c r="AJ784" s="388"/>
      <c r="AK784" s="397"/>
    </row>
    <row r="785">
      <c r="A785" s="398"/>
      <c r="B785" s="386"/>
      <c r="C785" s="387" t="str">
        <f>IF(A785="","",IFERROR(IF(VLOOKUP(A785,'1. Inbound Leads'!A:G,7,FALSE)=0,"",VLOOKUP(A785,'1. Inbound Leads'!A:G,7,FALSE)),""))</f>
        <v/>
      </c>
      <c r="D785" s="387" t="str">
        <f>IF(A785="","",IFERROR(IF(VLOOKUP(A785,'1. Inbound Leads'!A:L,12,FALSE)=0,"",VLOOKUP(A785,'1. Inbound Leads'!A:L,12,FALSE)),""))</f>
        <v/>
      </c>
      <c r="E785" s="388"/>
      <c r="F785" s="389"/>
      <c r="G785" s="387"/>
      <c r="H785" s="387"/>
      <c r="I785" s="387"/>
      <c r="J785" s="387"/>
      <c r="K785" s="387"/>
      <c r="L785" s="387"/>
      <c r="M785" s="388"/>
      <c r="N785" s="388"/>
      <c r="O785" s="390"/>
      <c r="P785" s="391"/>
      <c r="Q785" s="389"/>
      <c r="R785" s="390"/>
      <c r="S785" s="390"/>
      <c r="T785" s="391"/>
      <c r="U785" s="392"/>
      <c r="V785" s="391"/>
      <c r="W785" s="391"/>
      <c r="X785" s="388"/>
      <c r="Y785" s="391"/>
      <c r="Z785" s="393"/>
      <c r="AA785" s="355" t="str">
        <f t="shared" si="1"/>
        <v/>
      </c>
      <c r="AB785" s="391"/>
      <c r="AC785" s="394" t="str">
        <f t="shared" si="2"/>
        <v/>
      </c>
      <c r="AD785" s="389"/>
      <c r="AE785" s="399"/>
      <c r="AF785" s="395"/>
      <c r="AG785" s="396" t="str">
        <f t="shared" si="3"/>
        <v/>
      </c>
      <c r="AH785" s="396" t="str">
        <f t="shared" si="4"/>
        <v/>
      </c>
      <c r="AI785" s="388"/>
      <c r="AJ785" s="388"/>
      <c r="AK785" s="397"/>
    </row>
    <row r="786">
      <c r="A786" s="398"/>
      <c r="B786" s="386"/>
      <c r="C786" s="387" t="str">
        <f>IF(A786="","",IFERROR(IF(VLOOKUP(A786,'1. Inbound Leads'!A:G,7,FALSE)=0,"",VLOOKUP(A786,'1. Inbound Leads'!A:G,7,FALSE)),""))</f>
        <v/>
      </c>
      <c r="D786" s="387" t="str">
        <f>IF(A786="","",IFERROR(IF(VLOOKUP(A786,'1. Inbound Leads'!A:L,12,FALSE)=0,"",VLOOKUP(A786,'1. Inbound Leads'!A:L,12,FALSE)),""))</f>
        <v/>
      </c>
      <c r="E786" s="388"/>
      <c r="F786" s="389"/>
      <c r="G786" s="387"/>
      <c r="H786" s="387"/>
      <c r="I786" s="387"/>
      <c r="J786" s="387"/>
      <c r="K786" s="387"/>
      <c r="L786" s="387"/>
      <c r="M786" s="388"/>
      <c r="N786" s="388"/>
      <c r="O786" s="390"/>
      <c r="P786" s="391"/>
      <c r="Q786" s="389"/>
      <c r="R786" s="390"/>
      <c r="S786" s="390"/>
      <c r="T786" s="391"/>
      <c r="U786" s="392"/>
      <c r="V786" s="391"/>
      <c r="W786" s="391"/>
      <c r="X786" s="388"/>
      <c r="Y786" s="391"/>
      <c r="Z786" s="393"/>
      <c r="AA786" s="355" t="str">
        <f t="shared" si="1"/>
        <v/>
      </c>
      <c r="AB786" s="391"/>
      <c r="AC786" s="394" t="str">
        <f t="shared" si="2"/>
        <v/>
      </c>
      <c r="AD786" s="389"/>
      <c r="AE786" s="399"/>
      <c r="AF786" s="395"/>
      <c r="AG786" s="396" t="str">
        <f t="shared" si="3"/>
        <v/>
      </c>
      <c r="AH786" s="396" t="str">
        <f t="shared" si="4"/>
        <v/>
      </c>
      <c r="AI786" s="388"/>
      <c r="AJ786" s="388"/>
      <c r="AK786" s="397"/>
    </row>
    <row r="787">
      <c r="A787" s="398"/>
      <c r="B787" s="386"/>
      <c r="C787" s="387" t="str">
        <f>IF(A787="","",IFERROR(IF(VLOOKUP(A787,'1. Inbound Leads'!A:G,7,FALSE)=0,"",VLOOKUP(A787,'1. Inbound Leads'!A:G,7,FALSE)),""))</f>
        <v/>
      </c>
      <c r="D787" s="387" t="str">
        <f>IF(A787="","",IFERROR(IF(VLOOKUP(A787,'1. Inbound Leads'!A:L,12,FALSE)=0,"",VLOOKUP(A787,'1. Inbound Leads'!A:L,12,FALSE)),""))</f>
        <v/>
      </c>
      <c r="E787" s="388"/>
      <c r="F787" s="389"/>
      <c r="G787" s="387"/>
      <c r="H787" s="387"/>
      <c r="I787" s="387"/>
      <c r="J787" s="387"/>
      <c r="K787" s="387"/>
      <c r="L787" s="387"/>
      <c r="M787" s="388"/>
      <c r="N787" s="388"/>
      <c r="O787" s="390"/>
      <c r="P787" s="391"/>
      <c r="Q787" s="389"/>
      <c r="R787" s="390"/>
      <c r="S787" s="390"/>
      <c r="T787" s="391"/>
      <c r="U787" s="392"/>
      <c r="V787" s="391"/>
      <c r="W787" s="391"/>
      <c r="X787" s="388"/>
      <c r="Y787" s="391"/>
      <c r="Z787" s="393"/>
      <c r="AA787" s="355" t="str">
        <f t="shared" si="1"/>
        <v/>
      </c>
      <c r="AB787" s="391"/>
      <c r="AC787" s="394" t="str">
        <f t="shared" si="2"/>
        <v/>
      </c>
      <c r="AD787" s="389"/>
      <c r="AE787" s="399"/>
      <c r="AF787" s="395"/>
      <c r="AG787" s="396" t="str">
        <f t="shared" si="3"/>
        <v/>
      </c>
      <c r="AH787" s="396" t="str">
        <f t="shared" si="4"/>
        <v/>
      </c>
      <c r="AI787" s="388"/>
      <c r="AJ787" s="388"/>
      <c r="AK787" s="397"/>
    </row>
    <row r="788">
      <c r="A788" s="398"/>
      <c r="B788" s="386"/>
      <c r="C788" s="387" t="str">
        <f>IF(A788="","",IFERROR(IF(VLOOKUP(A788,'1. Inbound Leads'!A:G,7,FALSE)=0,"",VLOOKUP(A788,'1. Inbound Leads'!A:G,7,FALSE)),""))</f>
        <v/>
      </c>
      <c r="D788" s="387" t="str">
        <f>IF(A788="","",IFERROR(IF(VLOOKUP(A788,'1. Inbound Leads'!A:L,12,FALSE)=0,"",VLOOKUP(A788,'1. Inbound Leads'!A:L,12,FALSE)),""))</f>
        <v/>
      </c>
      <c r="E788" s="388"/>
      <c r="F788" s="389"/>
      <c r="G788" s="387"/>
      <c r="H788" s="387"/>
      <c r="I788" s="387"/>
      <c r="J788" s="387"/>
      <c r="K788" s="387"/>
      <c r="L788" s="387"/>
      <c r="M788" s="388"/>
      <c r="N788" s="388"/>
      <c r="O788" s="390"/>
      <c r="P788" s="391"/>
      <c r="Q788" s="389"/>
      <c r="R788" s="390"/>
      <c r="S788" s="390"/>
      <c r="T788" s="391"/>
      <c r="U788" s="392"/>
      <c r="V788" s="391"/>
      <c r="W788" s="391"/>
      <c r="X788" s="388"/>
      <c r="Y788" s="391"/>
      <c r="Z788" s="393"/>
      <c r="AA788" s="355" t="str">
        <f t="shared" si="1"/>
        <v/>
      </c>
      <c r="AB788" s="391"/>
      <c r="AC788" s="394" t="str">
        <f t="shared" si="2"/>
        <v/>
      </c>
      <c r="AD788" s="389"/>
      <c r="AE788" s="399"/>
      <c r="AF788" s="395"/>
      <c r="AG788" s="396" t="str">
        <f t="shared" si="3"/>
        <v/>
      </c>
      <c r="AH788" s="396" t="str">
        <f t="shared" si="4"/>
        <v/>
      </c>
      <c r="AI788" s="388"/>
      <c r="AJ788" s="388"/>
      <c r="AK788" s="397"/>
    </row>
    <row r="789">
      <c r="A789" s="398"/>
      <c r="B789" s="386"/>
      <c r="C789" s="387" t="str">
        <f>IF(A789="","",IFERROR(IF(VLOOKUP(A789,'1. Inbound Leads'!A:G,7,FALSE)=0,"",VLOOKUP(A789,'1. Inbound Leads'!A:G,7,FALSE)),""))</f>
        <v/>
      </c>
      <c r="D789" s="387" t="str">
        <f>IF(A789="","",IFERROR(IF(VLOOKUP(A789,'1. Inbound Leads'!A:L,12,FALSE)=0,"",VLOOKUP(A789,'1. Inbound Leads'!A:L,12,FALSE)),""))</f>
        <v/>
      </c>
      <c r="E789" s="388"/>
      <c r="F789" s="389"/>
      <c r="G789" s="387"/>
      <c r="H789" s="387"/>
      <c r="I789" s="387"/>
      <c r="J789" s="387"/>
      <c r="K789" s="387"/>
      <c r="L789" s="387"/>
      <c r="M789" s="388"/>
      <c r="N789" s="388"/>
      <c r="O789" s="390"/>
      <c r="P789" s="391"/>
      <c r="Q789" s="389"/>
      <c r="R789" s="390"/>
      <c r="S789" s="390"/>
      <c r="T789" s="391"/>
      <c r="U789" s="392"/>
      <c r="V789" s="391"/>
      <c r="W789" s="391"/>
      <c r="X789" s="388"/>
      <c r="Y789" s="391"/>
      <c r="Z789" s="393"/>
      <c r="AA789" s="355" t="str">
        <f t="shared" si="1"/>
        <v/>
      </c>
      <c r="AB789" s="391"/>
      <c r="AC789" s="394" t="str">
        <f t="shared" si="2"/>
        <v/>
      </c>
      <c r="AD789" s="389"/>
      <c r="AE789" s="399"/>
      <c r="AF789" s="395"/>
      <c r="AG789" s="396" t="str">
        <f t="shared" si="3"/>
        <v/>
      </c>
      <c r="AH789" s="396" t="str">
        <f t="shared" si="4"/>
        <v/>
      </c>
      <c r="AI789" s="388"/>
      <c r="AJ789" s="388"/>
      <c r="AK789" s="397"/>
    </row>
    <row r="790">
      <c r="A790" s="398"/>
      <c r="B790" s="386"/>
      <c r="C790" s="387" t="str">
        <f>IF(A790="","",IFERROR(IF(VLOOKUP(A790,'1. Inbound Leads'!A:G,7,FALSE)=0,"",VLOOKUP(A790,'1. Inbound Leads'!A:G,7,FALSE)),""))</f>
        <v/>
      </c>
      <c r="D790" s="387" t="str">
        <f>IF(A790="","",IFERROR(IF(VLOOKUP(A790,'1. Inbound Leads'!A:L,12,FALSE)=0,"",VLOOKUP(A790,'1. Inbound Leads'!A:L,12,FALSE)),""))</f>
        <v/>
      </c>
      <c r="E790" s="388"/>
      <c r="F790" s="389"/>
      <c r="G790" s="387"/>
      <c r="H790" s="387"/>
      <c r="I790" s="387"/>
      <c r="J790" s="387"/>
      <c r="K790" s="387"/>
      <c r="L790" s="387"/>
      <c r="M790" s="388"/>
      <c r="N790" s="388"/>
      <c r="O790" s="390"/>
      <c r="P790" s="391"/>
      <c r="Q790" s="389"/>
      <c r="R790" s="390"/>
      <c r="S790" s="390"/>
      <c r="T790" s="391"/>
      <c r="U790" s="392"/>
      <c r="V790" s="391"/>
      <c r="W790" s="391"/>
      <c r="X790" s="388"/>
      <c r="Y790" s="391"/>
      <c r="Z790" s="393"/>
      <c r="AA790" s="355" t="str">
        <f t="shared" si="1"/>
        <v/>
      </c>
      <c r="AB790" s="391"/>
      <c r="AC790" s="394" t="str">
        <f t="shared" si="2"/>
        <v/>
      </c>
      <c r="AD790" s="389"/>
      <c r="AE790" s="399"/>
      <c r="AF790" s="395"/>
      <c r="AG790" s="396" t="str">
        <f t="shared" si="3"/>
        <v/>
      </c>
      <c r="AH790" s="396" t="str">
        <f t="shared" si="4"/>
        <v/>
      </c>
      <c r="AI790" s="388"/>
      <c r="AJ790" s="388"/>
      <c r="AK790" s="397"/>
    </row>
    <row r="791">
      <c r="A791" s="398"/>
      <c r="B791" s="386"/>
      <c r="C791" s="387" t="str">
        <f>IF(A791="","",IFERROR(IF(VLOOKUP(A791,'1. Inbound Leads'!A:G,7,FALSE)=0,"",VLOOKUP(A791,'1. Inbound Leads'!A:G,7,FALSE)),""))</f>
        <v/>
      </c>
      <c r="D791" s="387" t="str">
        <f>IF(A791="","",IFERROR(IF(VLOOKUP(A791,'1. Inbound Leads'!A:L,12,FALSE)=0,"",VLOOKUP(A791,'1. Inbound Leads'!A:L,12,FALSE)),""))</f>
        <v/>
      </c>
      <c r="E791" s="388"/>
      <c r="F791" s="389"/>
      <c r="G791" s="387"/>
      <c r="H791" s="387"/>
      <c r="I791" s="387"/>
      <c r="J791" s="387"/>
      <c r="K791" s="387"/>
      <c r="L791" s="387"/>
      <c r="M791" s="388"/>
      <c r="N791" s="388"/>
      <c r="O791" s="390"/>
      <c r="P791" s="391"/>
      <c r="Q791" s="389"/>
      <c r="R791" s="390"/>
      <c r="S791" s="390"/>
      <c r="T791" s="391"/>
      <c r="U791" s="392"/>
      <c r="V791" s="391"/>
      <c r="W791" s="391"/>
      <c r="X791" s="388"/>
      <c r="Y791" s="391"/>
      <c r="Z791" s="393"/>
      <c r="AA791" s="355" t="str">
        <f t="shared" si="1"/>
        <v/>
      </c>
      <c r="AB791" s="391"/>
      <c r="AC791" s="394" t="str">
        <f t="shared" si="2"/>
        <v/>
      </c>
      <c r="AD791" s="389"/>
      <c r="AE791" s="399"/>
      <c r="AF791" s="395"/>
      <c r="AG791" s="396" t="str">
        <f t="shared" si="3"/>
        <v/>
      </c>
      <c r="AH791" s="396" t="str">
        <f t="shared" si="4"/>
        <v/>
      </c>
      <c r="AI791" s="388"/>
      <c r="AJ791" s="388"/>
      <c r="AK791" s="397"/>
    </row>
    <row r="792">
      <c r="A792" s="398"/>
      <c r="B792" s="386"/>
      <c r="C792" s="387" t="str">
        <f>IF(A792="","",IFERROR(IF(VLOOKUP(A792,'1. Inbound Leads'!A:G,7,FALSE)=0,"",VLOOKUP(A792,'1. Inbound Leads'!A:G,7,FALSE)),""))</f>
        <v/>
      </c>
      <c r="D792" s="387" t="str">
        <f>IF(A792="","",IFERROR(IF(VLOOKUP(A792,'1. Inbound Leads'!A:L,12,FALSE)=0,"",VLOOKUP(A792,'1. Inbound Leads'!A:L,12,FALSE)),""))</f>
        <v/>
      </c>
      <c r="E792" s="388"/>
      <c r="F792" s="389"/>
      <c r="G792" s="387"/>
      <c r="H792" s="387"/>
      <c r="I792" s="387"/>
      <c r="J792" s="387"/>
      <c r="K792" s="387"/>
      <c r="L792" s="387"/>
      <c r="M792" s="388"/>
      <c r="N792" s="388"/>
      <c r="O792" s="390"/>
      <c r="P792" s="391"/>
      <c r="Q792" s="389"/>
      <c r="R792" s="390"/>
      <c r="S792" s="390"/>
      <c r="T792" s="391"/>
      <c r="U792" s="392"/>
      <c r="V792" s="391"/>
      <c r="W792" s="391"/>
      <c r="X792" s="388"/>
      <c r="Y792" s="391"/>
      <c r="Z792" s="393"/>
      <c r="AA792" s="355" t="str">
        <f t="shared" si="1"/>
        <v/>
      </c>
      <c r="AB792" s="391"/>
      <c r="AC792" s="394" t="str">
        <f t="shared" si="2"/>
        <v/>
      </c>
      <c r="AD792" s="389"/>
      <c r="AE792" s="399"/>
      <c r="AF792" s="395"/>
      <c r="AG792" s="396" t="str">
        <f t="shared" si="3"/>
        <v/>
      </c>
      <c r="AH792" s="396" t="str">
        <f t="shared" si="4"/>
        <v/>
      </c>
      <c r="AI792" s="388"/>
      <c r="AJ792" s="388"/>
      <c r="AK792" s="397"/>
    </row>
    <row r="793">
      <c r="A793" s="398"/>
      <c r="B793" s="386"/>
      <c r="C793" s="387" t="str">
        <f>IF(A793="","",IFERROR(IF(VLOOKUP(A793,'1. Inbound Leads'!A:G,7,FALSE)=0,"",VLOOKUP(A793,'1. Inbound Leads'!A:G,7,FALSE)),""))</f>
        <v/>
      </c>
      <c r="D793" s="387" t="str">
        <f>IF(A793="","",IFERROR(IF(VLOOKUP(A793,'1. Inbound Leads'!A:L,12,FALSE)=0,"",VLOOKUP(A793,'1. Inbound Leads'!A:L,12,FALSE)),""))</f>
        <v/>
      </c>
      <c r="E793" s="388"/>
      <c r="F793" s="389"/>
      <c r="G793" s="387"/>
      <c r="H793" s="387"/>
      <c r="I793" s="387"/>
      <c r="J793" s="387"/>
      <c r="K793" s="387"/>
      <c r="L793" s="387"/>
      <c r="M793" s="388"/>
      <c r="N793" s="388"/>
      <c r="O793" s="390"/>
      <c r="P793" s="391"/>
      <c r="Q793" s="389"/>
      <c r="R793" s="390"/>
      <c r="S793" s="390"/>
      <c r="T793" s="391"/>
      <c r="U793" s="392"/>
      <c r="V793" s="391"/>
      <c r="W793" s="391"/>
      <c r="X793" s="388"/>
      <c r="Y793" s="391"/>
      <c r="Z793" s="393"/>
      <c r="AA793" s="355" t="str">
        <f t="shared" si="1"/>
        <v/>
      </c>
      <c r="AB793" s="391"/>
      <c r="AC793" s="394" t="str">
        <f t="shared" si="2"/>
        <v/>
      </c>
      <c r="AD793" s="389"/>
      <c r="AE793" s="399"/>
      <c r="AF793" s="395"/>
      <c r="AG793" s="396" t="str">
        <f t="shared" si="3"/>
        <v/>
      </c>
      <c r="AH793" s="396" t="str">
        <f t="shared" si="4"/>
        <v/>
      </c>
      <c r="AI793" s="388"/>
      <c r="AJ793" s="388"/>
      <c r="AK793" s="397"/>
    </row>
    <row r="794">
      <c r="A794" s="398"/>
      <c r="B794" s="386"/>
      <c r="C794" s="387" t="str">
        <f>IF(A794="","",IFERROR(IF(VLOOKUP(A794,'1. Inbound Leads'!A:G,7,FALSE)=0,"",VLOOKUP(A794,'1. Inbound Leads'!A:G,7,FALSE)),""))</f>
        <v/>
      </c>
      <c r="D794" s="387" t="str">
        <f>IF(A794="","",IFERROR(IF(VLOOKUP(A794,'1. Inbound Leads'!A:L,12,FALSE)=0,"",VLOOKUP(A794,'1. Inbound Leads'!A:L,12,FALSE)),""))</f>
        <v/>
      </c>
      <c r="E794" s="388"/>
      <c r="F794" s="389"/>
      <c r="G794" s="387"/>
      <c r="H794" s="387"/>
      <c r="I794" s="387"/>
      <c r="J794" s="387"/>
      <c r="K794" s="387"/>
      <c r="L794" s="387"/>
      <c r="M794" s="388"/>
      <c r="N794" s="388"/>
      <c r="O794" s="390"/>
      <c r="P794" s="391"/>
      <c r="Q794" s="389"/>
      <c r="R794" s="390"/>
      <c r="S794" s="390"/>
      <c r="T794" s="391"/>
      <c r="U794" s="392"/>
      <c r="V794" s="391"/>
      <c r="W794" s="391"/>
      <c r="X794" s="388"/>
      <c r="Y794" s="391"/>
      <c r="Z794" s="393"/>
      <c r="AA794" s="355" t="str">
        <f t="shared" si="1"/>
        <v/>
      </c>
      <c r="AB794" s="391"/>
      <c r="AC794" s="394" t="str">
        <f t="shared" si="2"/>
        <v/>
      </c>
      <c r="AD794" s="389"/>
      <c r="AE794" s="399"/>
      <c r="AF794" s="395"/>
      <c r="AG794" s="396" t="str">
        <f t="shared" si="3"/>
        <v/>
      </c>
      <c r="AH794" s="396" t="str">
        <f t="shared" si="4"/>
        <v/>
      </c>
      <c r="AI794" s="388"/>
      <c r="AJ794" s="388"/>
      <c r="AK794" s="397"/>
    </row>
    <row r="795">
      <c r="A795" s="398"/>
      <c r="B795" s="386"/>
      <c r="C795" s="387" t="str">
        <f>IF(A795="","",IFERROR(IF(VLOOKUP(A795,'1. Inbound Leads'!A:G,7,FALSE)=0,"",VLOOKUP(A795,'1. Inbound Leads'!A:G,7,FALSE)),""))</f>
        <v/>
      </c>
      <c r="D795" s="387" t="str">
        <f>IF(A795="","",IFERROR(IF(VLOOKUP(A795,'1. Inbound Leads'!A:L,12,FALSE)=0,"",VLOOKUP(A795,'1. Inbound Leads'!A:L,12,FALSE)),""))</f>
        <v/>
      </c>
      <c r="E795" s="388"/>
      <c r="F795" s="389"/>
      <c r="G795" s="387"/>
      <c r="H795" s="387"/>
      <c r="I795" s="387"/>
      <c r="J795" s="387"/>
      <c r="K795" s="387"/>
      <c r="L795" s="387"/>
      <c r="M795" s="388"/>
      <c r="N795" s="388"/>
      <c r="O795" s="390"/>
      <c r="P795" s="391"/>
      <c r="Q795" s="389"/>
      <c r="R795" s="390"/>
      <c r="S795" s="390"/>
      <c r="T795" s="391"/>
      <c r="U795" s="392"/>
      <c r="V795" s="391"/>
      <c r="W795" s="391"/>
      <c r="X795" s="388"/>
      <c r="Y795" s="391"/>
      <c r="Z795" s="393"/>
      <c r="AA795" s="355" t="str">
        <f t="shared" si="1"/>
        <v/>
      </c>
      <c r="AB795" s="391"/>
      <c r="AC795" s="394" t="str">
        <f t="shared" si="2"/>
        <v/>
      </c>
      <c r="AD795" s="389"/>
      <c r="AE795" s="399"/>
      <c r="AF795" s="395"/>
      <c r="AG795" s="396" t="str">
        <f t="shared" si="3"/>
        <v/>
      </c>
      <c r="AH795" s="396" t="str">
        <f t="shared" si="4"/>
        <v/>
      </c>
      <c r="AI795" s="388"/>
      <c r="AJ795" s="388"/>
      <c r="AK795" s="397"/>
    </row>
    <row r="796">
      <c r="A796" s="398"/>
      <c r="B796" s="386"/>
      <c r="C796" s="387" t="str">
        <f>IF(A796="","",IFERROR(IF(VLOOKUP(A796,'1. Inbound Leads'!A:G,7,FALSE)=0,"",VLOOKUP(A796,'1. Inbound Leads'!A:G,7,FALSE)),""))</f>
        <v/>
      </c>
      <c r="D796" s="387" t="str">
        <f>IF(A796="","",IFERROR(IF(VLOOKUP(A796,'1. Inbound Leads'!A:L,12,FALSE)=0,"",VLOOKUP(A796,'1. Inbound Leads'!A:L,12,FALSE)),""))</f>
        <v/>
      </c>
      <c r="E796" s="388"/>
      <c r="F796" s="389"/>
      <c r="G796" s="387"/>
      <c r="H796" s="387"/>
      <c r="I796" s="387"/>
      <c r="J796" s="387"/>
      <c r="K796" s="387"/>
      <c r="L796" s="387"/>
      <c r="M796" s="388"/>
      <c r="N796" s="388"/>
      <c r="O796" s="390"/>
      <c r="P796" s="391"/>
      <c r="Q796" s="389"/>
      <c r="R796" s="390"/>
      <c r="S796" s="390"/>
      <c r="T796" s="391"/>
      <c r="U796" s="392"/>
      <c r="V796" s="391"/>
      <c r="W796" s="391"/>
      <c r="X796" s="388"/>
      <c r="Y796" s="391"/>
      <c r="Z796" s="393"/>
      <c r="AA796" s="355" t="str">
        <f t="shared" si="1"/>
        <v/>
      </c>
      <c r="AB796" s="391"/>
      <c r="AC796" s="394" t="str">
        <f t="shared" si="2"/>
        <v/>
      </c>
      <c r="AD796" s="389"/>
      <c r="AE796" s="399"/>
      <c r="AF796" s="395"/>
      <c r="AG796" s="396" t="str">
        <f t="shared" si="3"/>
        <v/>
      </c>
      <c r="AH796" s="396" t="str">
        <f t="shared" si="4"/>
        <v/>
      </c>
      <c r="AI796" s="388"/>
      <c r="AJ796" s="388"/>
      <c r="AK796" s="397"/>
    </row>
    <row r="797">
      <c r="A797" s="398"/>
      <c r="B797" s="386"/>
      <c r="C797" s="387" t="str">
        <f>IF(A797="","",IFERROR(IF(VLOOKUP(A797,'1. Inbound Leads'!A:G,7,FALSE)=0,"",VLOOKUP(A797,'1. Inbound Leads'!A:G,7,FALSE)),""))</f>
        <v/>
      </c>
      <c r="D797" s="387" t="str">
        <f>IF(A797="","",IFERROR(IF(VLOOKUP(A797,'1. Inbound Leads'!A:L,12,FALSE)=0,"",VLOOKUP(A797,'1. Inbound Leads'!A:L,12,FALSE)),""))</f>
        <v/>
      </c>
      <c r="E797" s="388"/>
      <c r="F797" s="389"/>
      <c r="G797" s="387"/>
      <c r="H797" s="387"/>
      <c r="I797" s="387"/>
      <c r="J797" s="387"/>
      <c r="K797" s="387"/>
      <c r="L797" s="387"/>
      <c r="M797" s="388"/>
      <c r="N797" s="388"/>
      <c r="O797" s="390"/>
      <c r="P797" s="391"/>
      <c r="Q797" s="389"/>
      <c r="R797" s="390"/>
      <c r="S797" s="390"/>
      <c r="T797" s="391"/>
      <c r="U797" s="392"/>
      <c r="V797" s="391"/>
      <c r="W797" s="391"/>
      <c r="X797" s="388"/>
      <c r="Y797" s="391"/>
      <c r="Z797" s="393"/>
      <c r="AA797" s="355" t="str">
        <f t="shared" si="1"/>
        <v/>
      </c>
      <c r="AB797" s="391"/>
      <c r="AC797" s="394" t="str">
        <f t="shared" si="2"/>
        <v/>
      </c>
      <c r="AD797" s="389"/>
      <c r="AE797" s="399"/>
      <c r="AF797" s="395"/>
      <c r="AG797" s="396" t="str">
        <f t="shared" si="3"/>
        <v/>
      </c>
      <c r="AH797" s="396" t="str">
        <f t="shared" si="4"/>
        <v/>
      </c>
      <c r="AI797" s="388"/>
      <c r="AJ797" s="388"/>
      <c r="AK797" s="397"/>
    </row>
    <row r="798">
      <c r="A798" s="398"/>
      <c r="B798" s="386"/>
      <c r="C798" s="387" t="str">
        <f>IF(A798="","",IFERROR(IF(VLOOKUP(A798,'1. Inbound Leads'!A:G,7,FALSE)=0,"",VLOOKUP(A798,'1. Inbound Leads'!A:G,7,FALSE)),""))</f>
        <v/>
      </c>
      <c r="D798" s="387" t="str">
        <f>IF(A798="","",IFERROR(IF(VLOOKUP(A798,'1. Inbound Leads'!A:L,12,FALSE)=0,"",VLOOKUP(A798,'1. Inbound Leads'!A:L,12,FALSE)),""))</f>
        <v/>
      </c>
      <c r="E798" s="388"/>
      <c r="F798" s="389"/>
      <c r="G798" s="387"/>
      <c r="H798" s="387"/>
      <c r="I798" s="387"/>
      <c r="J798" s="387"/>
      <c r="K798" s="387"/>
      <c r="L798" s="387"/>
      <c r="M798" s="388"/>
      <c r="N798" s="388"/>
      <c r="O798" s="390"/>
      <c r="P798" s="391"/>
      <c r="Q798" s="389"/>
      <c r="R798" s="390"/>
      <c r="S798" s="390"/>
      <c r="T798" s="391"/>
      <c r="U798" s="392"/>
      <c r="V798" s="391"/>
      <c r="W798" s="391"/>
      <c r="X798" s="388"/>
      <c r="Y798" s="391"/>
      <c r="Z798" s="393"/>
      <c r="AA798" s="355" t="str">
        <f t="shared" si="1"/>
        <v/>
      </c>
      <c r="AB798" s="391"/>
      <c r="AC798" s="394" t="str">
        <f t="shared" si="2"/>
        <v/>
      </c>
      <c r="AD798" s="389"/>
      <c r="AE798" s="399"/>
      <c r="AF798" s="395"/>
      <c r="AG798" s="396" t="str">
        <f t="shared" si="3"/>
        <v/>
      </c>
      <c r="AH798" s="396" t="str">
        <f t="shared" si="4"/>
        <v/>
      </c>
      <c r="AI798" s="388"/>
      <c r="AJ798" s="388"/>
      <c r="AK798" s="397"/>
    </row>
    <row r="799">
      <c r="A799" s="398"/>
      <c r="B799" s="386"/>
      <c r="C799" s="387" t="str">
        <f>IF(A799="","",IFERROR(IF(VLOOKUP(A799,'1. Inbound Leads'!A:G,7,FALSE)=0,"",VLOOKUP(A799,'1. Inbound Leads'!A:G,7,FALSE)),""))</f>
        <v/>
      </c>
      <c r="D799" s="387" t="str">
        <f>IF(A799="","",IFERROR(IF(VLOOKUP(A799,'1. Inbound Leads'!A:L,12,FALSE)=0,"",VLOOKUP(A799,'1. Inbound Leads'!A:L,12,FALSE)),""))</f>
        <v/>
      </c>
      <c r="E799" s="388"/>
      <c r="F799" s="389"/>
      <c r="G799" s="387"/>
      <c r="H799" s="387"/>
      <c r="I799" s="387"/>
      <c r="J799" s="387"/>
      <c r="K799" s="387"/>
      <c r="L799" s="387"/>
      <c r="M799" s="388"/>
      <c r="N799" s="388"/>
      <c r="O799" s="390"/>
      <c r="P799" s="391"/>
      <c r="Q799" s="389"/>
      <c r="R799" s="390"/>
      <c r="S799" s="390"/>
      <c r="T799" s="391"/>
      <c r="U799" s="392"/>
      <c r="V799" s="391"/>
      <c r="W799" s="391"/>
      <c r="X799" s="388"/>
      <c r="Y799" s="391"/>
      <c r="Z799" s="393"/>
      <c r="AA799" s="355" t="str">
        <f t="shared" si="1"/>
        <v/>
      </c>
      <c r="AB799" s="391"/>
      <c r="AC799" s="394" t="str">
        <f t="shared" si="2"/>
        <v/>
      </c>
      <c r="AD799" s="389"/>
      <c r="AE799" s="399"/>
      <c r="AF799" s="395"/>
      <c r="AG799" s="396" t="str">
        <f t="shared" si="3"/>
        <v/>
      </c>
      <c r="AH799" s="396" t="str">
        <f t="shared" si="4"/>
        <v/>
      </c>
      <c r="AI799" s="388"/>
      <c r="AJ799" s="388"/>
      <c r="AK799" s="397"/>
    </row>
    <row r="800">
      <c r="A800" s="398"/>
      <c r="B800" s="386"/>
      <c r="C800" s="387" t="str">
        <f>IF(A800="","",IFERROR(IF(VLOOKUP(A800,'1. Inbound Leads'!A:G,7,FALSE)=0,"",VLOOKUP(A800,'1. Inbound Leads'!A:G,7,FALSE)),""))</f>
        <v/>
      </c>
      <c r="D800" s="387" t="str">
        <f>IF(A800="","",IFERROR(IF(VLOOKUP(A800,'1. Inbound Leads'!A:L,12,FALSE)=0,"",VLOOKUP(A800,'1. Inbound Leads'!A:L,12,FALSE)),""))</f>
        <v/>
      </c>
      <c r="E800" s="388"/>
      <c r="F800" s="389"/>
      <c r="G800" s="387"/>
      <c r="H800" s="387"/>
      <c r="I800" s="387"/>
      <c r="J800" s="387"/>
      <c r="K800" s="387"/>
      <c r="L800" s="387"/>
      <c r="M800" s="388"/>
      <c r="N800" s="388"/>
      <c r="O800" s="390"/>
      <c r="P800" s="391"/>
      <c r="Q800" s="389"/>
      <c r="R800" s="390"/>
      <c r="S800" s="390"/>
      <c r="T800" s="391"/>
      <c r="U800" s="392"/>
      <c r="V800" s="391"/>
      <c r="W800" s="391"/>
      <c r="X800" s="388"/>
      <c r="Y800" s="391"/>
      <c r="Z800" s="393"/>
      <c r="AA800" s="355" t="str">
        <f t="shared" si="1"/>
        <v/>
      </c>
      <c r="AB800" s="391"/>
      <c r="AC800" s="394" t="str">
        <f t="shared" si="2"/>
        <v/>
      </c>
      <c r="AD800" s="389"/>
      <c r="AE800" s="399"/>
      <c r="AF800" s="395"/>
      <c r="AG800" s="396" t="str">
        <f t="shared" si="3"/>
        <v/>
      </c>
      <c r="AH800" s="396" t="str">
        <f t="shared" si="4"/>
        <v/>
      </c>
      <c r="AI800" s="388"/>
      <c r="AJ800" s="388"/>
      <c r="AK800" s="397"/>
    </row>
    <row r="801">
      <c r="A801" s="398"/>
      <c r="B801" s="386"/>
      <c r="C801" s="387" t="str">
        <f>IF(A801="","",IFERROR(IF(VLOOKUP(A801,'1. Inbound Leads'!A:G,7,FALSE)=0,"",VLOOKUP(A801,'1. Inbound Leads'!A:G,7,FALSE)),""))</f>
        <v/>
      </c>
      <c r="D801" s="387" t="str">
        <f>IF(A801="","",IFERROR(IF(VLOOKUP(A801,'1. Inbound Leads'!A:L,12,FALSE)=0,"",VLOOKUP(A801,'1. Inbound Leads'!A:L,12,FALSE)),""))</f>
        <v/>
      </c>
      <c r="E801" s="388"/>
      <c r="F801" s="389"/>
      <c r="G801" s="387"/>
      <c r="H801" s="387"/>
      <c r="I801" s="387"/>
      <c r="J801" s="387"/>
      <c r="K801" s="387"/>
      <c r="L801" s="387"/>
      <c r="M801" s="388"/>
      <c r="N801" s="388"/>
      <c r="O801" s="390"/>
      <c r="P801" s="391"/>
      <c r="Q801" s="389"/>
      <c r="R801" s="390"/>
      <c r="S801" s="390"/>
      <c r="T801" s="391"/>
      <c r="U801" s="392"/>
      <c r="V801" s="391"/>
      <c r="W801" s="391"/>
      <c r="X801" s="388"/>
      <c r="Y801" s="391"/>
      <c r="Z801" s="393"/>
      <c r="AA801" s="355" t="str">
        <f t="shared" si="1"/>
        <v/>
      </c>
      <c r="AB801" s="391"/>
      <c r="AC801" s="394" t="str">
        <f t="shared" si="2"/>
        <v/>
      </c>
      <c r="AD801" s="389"/>
      <c r="AE801" s="399"/>
      <c r="AF801" s="395"/>
      <c r="AG801" s="396" t="str">
        <f t="shared" si="3"/>
        <v/>
      </c>
      <c r="AH801" s="396" t="str">
        <f t="shared" si="4"/>
        <v/>
      </c>
      <c r="AI801" s="388"/>
      <c r="AJ801" s="388"/>
      <c r="AK801" s="397"/>
    </row>
    <row r="802">
      <c r="A802" s="398"/>
      <c r="B802" s="386"/>
      <c r="C802" s="387" t="str">
        <f>IF(A802="","",IFERROR(IF(VLOOKUP(A802,'1. Inbound Leads'!A:G,7,FALSE)=0,"",VLOOKUP(A802,'1. Inbound Leads'!A:G,7,FALSE)),""))</f>
        <v/>
      </c>
      <c r="D802" s="387" t="str">
        <f>IF(A802="","",IFERROR(IF(VLOOKUP(A802,'1. Inbound Leads'!A:L,12,FALSE)=0,"",VLOOKUP(A802,'1. Inbound Leads'!A:L,12,FALSE)),""))</f>
        <v/>
      </c>
      <c r="E802" s="388"/>
      <c r="F802" s="389"/>
      <c r="G802" s="387"/>
      <c r="H802" s="387"/>
      <c r="I802" s="387"/>
      <c r="J802" s="387"/>
      <c r="K802" s="387"/>
      <c r="L802" s="387"/>
      <c r="M802" s="388"/>
      <c r="N802" s="388"/>
      <c r="O802" s="390"/>
      <c r="P802" s="391"/>
      <c r="Q802" s="389"/>
      <c r="R802" s="390"/>
      <c r="S802" s="390"/>
      <c r="T802" s="391"/>
      <c r="U802" s="392"/>
      <c r="V802" s="391"/>
      <c r="W802" s="391"/>
      <c r="X802" s="388"/>
      <c r="Y802" s="391"/>
      <c r="Z802" s="393"/>
      <c r="AA802" s="355" t="str">
        <f t="shared" si="1"/>
        <v/>
      </c>
      <c r="AB802" s="391"/>
      <c r="AC802" s="394" t="str">
        <f t="shared" si="2"/>
        <v/>
      </c>
      <c r="AD802" s="389"/>
      <c r="AE802" s="399"/>
      <c r="AF802" s="395"/>
      <c r="AG802" s="396" t="str">
        <f t="shared" si="3"/>
        <v/>
      </c>
      <c r="AH802" s="396" t="str">
        <f t="shared" si="4"/>
        <v/>
      </c>
      <c r="AI802" s="388"/>
      <c r="AJ802" s="388"/>
      <c r="AK802" s="397"/>
    </row>
    <row r="803">
      <c r="A803" s="398"/>
      <c r="B803" s="386"/>
      <c r="C803" s="387" t="str">
        <f>IF(A803="","",IFERROR(IF(VLOOKUP(A803,'1. Inbound Leads'!A:G,7,FALSE)=0,"",VLOOKUP(A803,'1. Inbound Leads'!A:G,7,FALSE)),""))</f>
        <v/>
      </c>
      <c r="D803" s="387" t="str">
        <f>IF(A803="","",IFERROR(IF(VLOOKUP(A803,'1. Inbound Leads'!A:L,12,FALSE)=0,"",VLOOKUP(A803,'1. Inbound Leads'!A:L,12,FALSE)),""))</f>
        <v/>
      </c>
      <c r="E803" s="388"/>
      <c r="F803" s="389"/>
      <c r="G803" s="387"/>
      <c r="H803" s="387"/>
      <c r="I803" s="387"/>
      <c r="J803" s="387"/>
      <c r="K803" s="387"/>
      <c r="L803" s="387"/>
      <c r="M803" s="388"/>
      <c r="N803" s="388"/>
      <c r="O803" s="390"/>
      <c r="P803" s="391"/>
      <c r="Q803" s="389"/>
      <c r="R803" s="390"/>
      <c r="S803" s="390"/>
      <c r="T803" s="391"/>
      <c r="U803" s="392"/>
      <c r="V803" s="391"/>
      <c r="W803" s="391"/>
      <c r="X803" s="388"/>
      <c r="Y803" s="391"/>
      <c r="Z803" s="393"/>
      <c r="AA803" s="355" t="str">
        <f t="shared" si="1"/>
        <v/>
      </c>
      <c r="AB803" s="391"/>
      <c r="AC803" s="394" t="str">
        <f t="shared" si="2"/>
        <v/>
      </c>
      <c r="AD803" s="389"/>
      <c r="AE803" s="399"/>
      <c r="AF803" s="395"/>
      <c r="AG803" s="396" t="str">
        <f t="shared" si="3"/>
        <v/>
      </c>
      <c r="AH803" s="396" t="str">
        <f t="shared" si="4"/>
        <v/>
      </c>
      <c r="AI803" s="388"/>
      <c r="AJ803" s="388"/>
      <c r="AK803" s="397"/>
    </row>
    <row r="804">
      <c r="A804" s="398"/>
      <c r="B804" s="386"/>
      <c r="C804" s="387" t="str">
        <f>IF(A804="","",IFERROR(IF(VLOOKUP(A804,'1. Inbound Leads'!A:G,7,FALSE)=0,"",VLOOKUP(A804,'1. Inbound Leads'!A:G,7,FALSE)),""))</f>
        <v/>
      </c>
      <c r="D804" s="387" t="str">
        <f>IF(A804="","",IFERROR(IF(VLOOKUP(A804,'1. Inbound Leads'!A:L,12,FALSE)=0,"",VLOOKUP(A804,'1. Inbound Leads'!A:L,12,FALSE)),""))</f>
        <v/>
      </c>
      <c r="E804" s="388"/>
      <c r="F804" s="389"/>
      <c r="G804" s="387"/>
      <c r="H804" s="387"/>
      <c r="I804" s="387"/>
      <c r="J804" s="387"/>
      <c r="K804" s="387"/>
      <c r="L804" s="387"/>
      <c r="M804" s="388"/>
      <c r="N804" s="388"/>
      <c r="O804" s="390"/>
      <c r="P804" s="391"/>
      <c r="Q804" s="389"/>
      <c r="R804" s="390"/>
      <c r="S804" s="390"/>
      <c r="T804" s="391"/>
      <c r="U804" s="392"/>
      <c r="V804" s="391"/>
      <c r="W804" s="391"/>
      <c r="X804" s="388"/>
      <c r="Y804" s="391"/>
      <c r="Z804" s="393"/>
      <c r="AA804" s="355" t="str">
        <f t="shared" si="1"/>
        <v/>
      </c>
      <c r="AB804" s="391"/>
      <c r="AC804" s="394" t="str">
        <f t="shared" si="2"/>
        <v/>
      </c>
      <c r="AD804" s="389"/>
      <c r="AE804" s="399"/>
      <c r="AF804" s="395"/>
      <c r="AG804" s="396" t="str">
        <f t="shared" si="3"/>
        <v/>
      </c>
      <c r="AH804" s="396" t="str">
        <f t="shared" si="4"/>
        <v/>
      </c>
      <c r="AI804" s="388"/>
      <c r="AJ804" s="388"/>
      <c r="AK804" s="397"/>
    </row>
    <row r="805">
      <c r="A805" s="398"/>
      <c r="B805" s="386"/>
      <c r="C805" s="387" t="str">
        <f>IF(A805="","",IFERROR(IF(VLOOKUP(A805,'1. Inbound Leads'!A:G,7,FALSE)=0,"",VLOOKUP(A805,'1. Inbound Leads'!A:G,7,FALSE)),""))</f>
        <v/>
      </c>
      <c r="D805" s="387" t="str">
        <f>IF(A805="","",IFERROR(IF(VLOOKUP(A805,'1. Inbound Leads'!A:L,12,FALSE)=0,"",VLOOKUP(A805,'1. Inbound Leads'!A:L,12,FALSE)),""))</f>
        <v/>
      </c>
      <c r="E805" s="388"/>
      <c r="F805" s="389"/>
      <c r="G805" s="387"/>
      <c r="H805" s="387"/>
      <c r="I805" s="387"/>
      <c r="J805" s="387"/>
      <c r="K805" s="387"/>
      <c r="L805" s="387"/>
      <c r="M805" s="388"/>
      <c r="N805" s="388"/>
      <c r="O805" s="390"/>
      <c r="P805" s="391"/>
      <c r="Q805" s="389"/>
      <c r="R805" s="390"/>
      <c r="S805" s="390"/>
      <c r="T805" s="391"/>
      <c r="U805" s="392"/>
      <c r="V805" s="391"/>
      <c r="W805" s="391"/>
      <c r="X805" s="388"/>
      <c r="Y805" s="391"/>
      <c r="Z805" s="393"/>
      <c r="AA805" s="355" t="str">
        <f t="shared" si="1"/>
        <v/>
      </c>
      <c r="AB805" s="391"/>
      <c r="AC805" s="394" t="str">
        <f t="shared" si="2"/>
        <v/>
      </c>
      <c r="AD805" s="389"/>
      <c r="AE805" s="399"/>
      <c r="AF805" s="395"/>
      <c r="AG805" s="396" t="str">
        <f t="shared" si="3"/>
        <v/>
      </c>
      <c r="AH805" s="396" t="str">
        <f t="shared" si="4"/>
        <v/>
      </c>
      <c r="AI805" s="388"/>
      <c r="AJ805" s="388"/>
      <c r="AK805" s="397"/>
    </row>
    <row r="806">
      <c r="A806" s="398"/>
      <c r="B806" s="386"/>
      <c r="C806" s="387" t="str">
        <f>IF(A806="","",IFERROR(IF(VLOOKUP(A806,'1. Inbound Leads'!A:G,7,FALSE)=0,"",VLOOKUP(A806,'1. Inbound Leads'!A:G,7,FALSE)),""))</f>
        <v/>
      </c>
      <c r="D806" s="387" t="str">
        <f>IF(A806="","",IFERROR(IF(VLOOKUP(A806,'1. Inbound Leads'!A:L,12,FALSE)=0,"",VLOOKUP(A806,'1. Inbound Leads'!A:L,12,FALSE)),""))</f>
        <v/>
      </c>
      <c r="E806" s="388"/>
      <c r="F806" s="389"/>
      <c r="G806" s="387"/>
      <c r="H806" s="387"/>
      <c r="I806" s="387"/>
      <c r="J806" s="387"/>
      <c r="K806" s="387"/>
      <c r="L806" s="387"/>
      <c r="M806" s="388"/>
      <c r="N806" s="388"/>
      <c r="O806" s="390"/>
      <c r="P806" s="391"/>
      <c r="Q806" s="389"/>
      <c r="R806" s="390"/>
      <c r="S806" s="390"/>
      <c r="T806" s="391"/>
      <c r="U806" s="392"/>
      <c r="V806" s="391"/>
      <c r="W806" s="391"/>
      <c r="X806" s="388"/>
      <c r="Y806" s="391"/>
      <c r="Z806" s="393"/>
      <c r="AA806" s="355" t="str">
        <f t="shared" si="1"/>
        <v/>
      </c>
      <c r="AB806" s="391"/>
      <c r="AC806" s="394" t="str">
        <f t="shared" si="2"/>
        <v/>
      </c>
      <c r="AD806" s="389"/>
      <c r="AE806" s="399"/>
      <c r="AF806" s="395"/>
      <c r="AG806" s="396" t="str">
        <f t="shared" si="3"/>
        <v/>
      </c>
      <c r="AH806" s="396" t="str">
        <f t="shared" si="4"/>
        <v/>
      </c>
      <c r="AI806" s="388"/>
      <c r="AJ806" s="388"/>
      <c r="AK806" s="397"/>
    </row>
    <row r="807">
      <c r="A807" s="398"/>
      <c r="B807" s="386"/>
      <c r="C807" s="387" t="str">
        <f>IF(A807="","",IFERROR(IF(VLOOKUP(A807,'1. Inbound Leads'!A:G,7,FALSE)=0,"",VLOOKUP(A807,'1. Inbound Leads'!A:G,7,FALSE)),""))</f>
        <v/>
      </c>
      <c r="D807" s="387" t="str">
        <f>IF(A807="","",IFERROR(IF(VLOOKUP(A807,'1. Inbound Leads'!A:L,12,FALSE)=0,"",VLOOKUP(A807,'1. Inbound Leads'!A:L,12,FALSE)),""))</f>
        <v/>
      </c>
      <c r="E807" s="388"/>
      <c r="F807" s="389"/>
      <c r="G807" s="387"/>
      <c r="H807" s="387"/>
      <c r="I807" s="387"/>
      <c r="J807" s="387"/>
      <c r="K807" s="387"/>
      <c r="L807" s="387"/>
      <c r="M807" s="388"/>
      <c r="N807" s="388"/>
      <c r="O807" s="390"/>
      <c r="P807" s="391"/>
      <c r="Q807" s="389"/>
      <c r="R807" s="390"/>
      <c r="S807" s="390"/>
      <c r="T807" s="391"/>
      <c r="U807" s="392"/>
      <c r="V807" s="391"/>
      <c r="W807" s="391"/>
      <c r="X807" s="388"/>
      <c r="Y807" s="391"/>
      <c r="Z807" s="393"/>
      <c r="AA807" s="355" t="str">
        <f t="shared" si="1"/>
        <v/>
      </c>
      <c r="AB807" s="391"/>
      <c r="AC807" s="394" t="str">
        <f t="shared" si="2"/>
        <v/>
      </c>
      <c r="AD807" s="389"/>
      <c r="AE807" s="399"/>
      <c r="AF807" s="395"/>
      <c r="AG807" s="396" t="str">
        <f t="shared" si="3"/>
        <v/>
      </c>
      <c r="AH807" s="396" t="str">
        <f t="shared" si="4"/>
        <v/>
      </c>
      <c r="AI807" s="388"/>
      <c r="AJ807" s="388"/>
      <c r="AK807" s="397"/>
    </row>
    <row r="808">
      <c r="A808" s="398"/>
      <c r="B808" s="386"/>
      <c r="C808" s="387" t="str">
        <f>IF(A808="","",IFERROR(IF(VLOOKUP(A808,'1. Inbound Leads'!A:G,7,FALSE)=0,"",VLOOKUP(A808,'1. Inbound Leads'!A:G,7,FALSE)),""))</f>
        <v/>
      </c>
      <c r="D808" s="387" t="str">
        <f>IF(A808="","",IFERROR(IF(VLOOKUP(A808,'1. Inbound Leads'!A:L,12,FALSE)=0,"",VLOOKUP(A808,'1. Inbound Leads'!A:L,12,FALSE)),""))</f>
        <v/>
      </c>
      <c r="E808" s="388"/>
      <c r="F808" s="389"/>
      <c r="G808" s="387"/>
      <c r="H808" s="387"/>
      <c r="I808" s="387"/>
      <c r="J808" s="387"/>
      <c r="K808" s="387"/>
      <c r="L808" s="387"/>
      <c r="M808" s="388"/>
      <c r="N808" s="388"/>
      <c r="O808" s="390"/>
      <c r="P808" s="391"/>
      <c r="Q808" s="389"/>
      <c r="R808" s="390"/>
      <c r="S808" s="390"/>
      <c r="T808" s="391"/>
      <c r="U808" s="392"/>
      <c r="V808" s="391"/>
      <c r="W808" s="391"/>
      <c r="X808" s="388"/>
      <c r="Y808" s="391"/>
      <c r="Z808" s="393"/>
      <c r="AA808" s="355" t="str">
        <f t="shared" si="1"/>
        <v/>
      </c>
      <c r="AB808" s="391"/>
      <c r="AC808" s="394" t="str">
        <f t="shared" si="2"/>
        <v/>
      </c>
      <c r="AD808" s="389"/>
      <c r="AE808" s="399"/>
      <c r="AF808" s="395"/>
      <c r="AG808" s="396" t="str">
        <f t="shared" si="3"/>
        <v/>
      </c>
      <c r="AH808" s="396" t="str">
        <f t="shared" si="4"/>
        <v/>
      </c>
      <c r="AI808" s="388"/>
      <c r="AJ808" s="388"/>
      <c r="AK808" s="397"/>
    </row>
    <row r="809">
      <c r="A809" s="398"/>
      <c r="B809" s="386"/>
      <c r="C809" s="387" t="str">
        <f>IF(A809="","",IFERROR(IF(VLOOKUP(A809,'1. Inbound Leads'!A:G,7,FALSE)=0,"",VLOOKUP(A809,'1. Inbound Leads'!A:G,7,FALSE)),""))</f>
        <v/>
      </c>
      <c r="D809" s="387" t="str">
        <f>IF(A809="","",IFERROR(IF(VLOOKUP(A809,'1. Inbound Leads'!A:L,12,FALSE)=0,"",VLOOKUP(A809,'1. Inbound Leads'!A:L,12,FALSE)),""))</f>
        <v/>
      </c>
      <c r="E809" s="388"/>
      <c r="F809" s="389"/>
      <c r="G809" s="387"/>
      <c r="H809" s="387"/>
      <c r="I809" s="387"/>
      <c r="J809" s="387"/>
      <c r="K809" s="387"/>
      <c r="L809" s="387"/>
      <c r="M809" s="388"/>
      <c r="N809" s="388"/>
      <c r="O809" s="390"/>
      <c r="P809" s="391"/>
      <c r="Q809" s="389"/>
      <c r="R809" s="390"/>
      <c r="S809" s="390"/>
      <c r="T809" s="391"/>
      <c r="U809" s="392"/>
      <c r="V809" s="391"/>
      <c r="W809" s="391"/>
      <c r="X809" s="388"/>
      <c r="Y809" s="391"/>
      <c r="Z809" s="393"/>
      <c r="AA809" s="355" t="str">
        <f t="shared" si="1"/>
        <v/>
      </c>
      <c r="AB809" s="391"/>
      <c r="AC809" s="394" t="str">
        <f t="shared" si="2"/>
        <v/>
      </c>
      <c r="AD809" s="389"/>
      <c r="AE809" s="399"/>
      <c r="AF809" s="395"/>
      <c r="AG809" s="396" t="str">
        <f t="shared" si="3"/>
        <v/>
      </c>
      <c r="AH809" s="396" t="str">
        <f t="shared" si="4"/>
        <v/>
      </c>
      <c r="AI809" s="388"/>
      <c r="AJ809" s="388"/>
      <c r="AK809" s="397"/>
    </row>
    <row r="810">
      <c r="A810" s="398"/>
      <c r="B810" s="386"/>
      <c r="C810" s="387" t="str">
        <f>IF(A810="","",IFERROR(IF(VLOOKUP(A810,'1. Inbound Leads'!A:G,7,FALSE)=0,"",VLOOKUP(A810,'1. Inbound Leads'!A:G,7,FALSE)),""))</f>
        <v/>
      </c>
      <c r="D810" s="387" t="str">
        <f>IF(A810="","",IFERROR(IF(VLOOKUP(A810,'1. Inbound Leads'!A:L,12,FALSE)=0,"",VLOOKUP(A810,'1. Inbound Leads'!A:L,12,FALSE)),""))</f>
        <v/>
      </c>
      <c r="E810" s="388"/>
      <c r="F810" s="389"/>
      <c r="G810" s="387"/>
      <c r="H810" s="387"/>
      <c r="I810" s="387"/>
      <c r="J810" s="387"/>
      <c r="K810" s="387"/>
      <c r="L810" s="387"/>
      <c r="M810" s="388"/>
      <c r="N810" s="388"/>
      <c r="O810" s="390"/>
      <c r="P810" s="391"/>
      <c r="Q810" s="389"/>
      <c r="R810" s="390"/>
      <c r="S810" s="390"/>
      <c r="T810" s="391"/>
      <c r="U810" s="392"/>
      <c r="V810" s="391"/>
      <c r="W810" s="391"/>
      <c r="X810" s="388"/>
      <c r="Y810" s="391"/>
      <c r="Z810" s="393"/>
      <c r="AA810" s="355" t="str">
        <f t="shared" si="1"/>
        <v/>
      </c>
      <c r="AB810" s="391"/>
      <c r="AC810" s="394" t="str">
        <f t="shared" si="2"/>
        <v/>
      </c>
      <c r="AD810" s="389"/>
      <c r="AE810" s="399"/>
      <c r="AF810" s="395"/>
      <c r="AG810" s="396" t="str">
        <f t="shared" si="3"/>
        <v/>
      </c>
      <c r="AH810" s="396" t="str">
        <f t="shared" si="4"/>
        <v/>
      </c>
      <c r="AI810" s="388"/>
      <c r="AJ810" s="388"/>
      <c r="AK810" s="397"/>
    </row>
    <row r="811">
      <c r="A811" s="398"/>
      <c r="B811" s="386"/>
      <c r="C811" s="387" t="str">
        <f>IF(A811="","",IFERROR(IF(VLOOKUP(A811,'1. Inbound Leads'!A:G,7,FALSE)=0,"",VLOOKUP(A811,'1. Inbound Leads'!A:G,7,FALSE)),""))</f>
        <v/>
      </c>
      <c r="D811" s="387" t="str">
        <f>IF(A811="","",IFERROR(IF(VLOOKUP(A811,'1. Inbound Leads'!A:L,12,FALSE)=0,"",VLOOKUP(A811,'1. Inbound Leads'!A:L,12,FALSE)),""))</f>
        <v/>
      </c>
      <c r="E811" s="388"/>
      <c r="F811" s="389"/>
      <c r="G811" s="387"/>
      <c r="H811" s="387"/>
      <c r="I811" s="387"/>
      <c r="J811" s="387"/>
      <c r="K811" s="387"/>
      <c r="L811" s="387"/>
      <c r="M811" s="388"/>
      <c r="N811" s="388"/>
      <c r="O811" s="390"/>
      <c r="P811" s="391"/>
      <c r="Q811" s="389"/>
      <c r="R811" s="390"/>
      <c r="S811" s="390"/>
      <c r="T811" s="391"/>
      <c r="U811" s="392"/>
      <c r="V811" s="391"/>
      <c r="W811" s="391"/>
      <c r="X811" s="388"/>
      <c r="Y811" s="391"/>
      <c r="Z811" s="393"/>
      <c r="AA811" s="355" t="str">
        <f t="shared" si="1"/>
        <v/>
      </c>
      <c r="AB811" s="391"/>
      <c r="AC811" s="394" t="str">
        <f t="shared" si="2"/>
        <v/>
      </c>
      <c r="AD811" s="389"/>
      <c r="AE811" s="399"/>
      <c r="AF811" s="395"/>
      <c r="AG811" s="396" t="str">
        <f t="shared" si="3"/>
        <v/>
      </c>
      <c r="AH811" s="396" t="str">
        <f t="shared" si="4"/>
        <v/>
      </c>
      <c r="AI811" s="388"/>
      <c r="AJ811" s="388"/>
      <c r="AK811" s="397"/>
    </row>
    <row r="812">
      <c r="A812" s="398"/>
      <c r="B812" s="386"/>
      <c r="C812" s="387" t="str">
        <f>IF(A812="","",IFERROR(IF(VLOOKUP(A812,'1. Inbound Leads'!A:G,7,FALSE)=0,"",VLOOKUP(A812,'1. Inbound Leads'!A:G,7,FALSE)),""))</f>
        <v/>
      </c>
      <c r="D812" s="387" t="str">
        <f>IF(A812="","",IFERROR(IF(VLOOKUP(A812,'1. Inbound Leads'!A:L,12,FALSE)=0,"",VLOOKUP(A812,'1. Inbound Leads'!A:L,12,FALSE)),""))</f>
        <v/>
      </c>
      <c r="E812" s="388"/>
      <c r="F812" s="389"/>
      <c r="G812" s="387"/>
      <c r="H812" s="387"/>
      <c r="I812" s="387"/>
      <c r="J812" s="387"/>
      <c r="K812" s="387"/>
      <c r="L812" s="387"/>
      <c r="M812" s="388"/>
      <c r="N812" s="388"/>
      <c r="O812" s="390"/>
      <c r="P812" s="391"/>
      <c r="Q812" s="389"/>
      <c r="R812" s="390"/>
      <c r="S812" s="390"/>
      <c r="T812" s="391"/>
      <c r="U812" s="392"/>
      <c r="V812" s="391"/>
      <c r="W812" s="391"/>
      <c r="X812" s="388"/>
      <c r="Y812" s="391"/>
      <c r="Z812" s="393"/>
      <c r="AA812" s="355" t="str">
        <f t="shared" si="1"/>
        <v/>
      </c>
      <c r="AB812" s="391"/>
      <c r="AC812" s="394" t="str">
        <f t="shared" si="2"/>
        <v/>
      </c>
      <c r="AD812" s="389"/>
      <c r="AE812" s="399"/>
      <c r="AF812" s="395"/>
      <c r="AG812" s="396" t="str">
        <f t="shared" si="3"/>
        <v/>
      </c>
      <c r="AH812" s="396" t="str">
        <f t="shared" si="4"/>
        <v/>
      </c>
      <c r="AI812" s="388"/>
      <c r="AJ812" s="388"/>
      <c r="AK812" s="397"/>
    </row>
    <row r="813">
      <c r="A813" s="398"/>
      <c r="B813" s="386"/>
      <c r="C813" s="387" t="str">
        <f>IF(A813="","",IFERROR(IF(VLOOKUP(A813,'1. Inbound Leads'!A:G,7,FALSE)=0,"",VLOOKUP(A813,'1. Inbound Leads'!A:G,7,FALSE)),""))</f>
        <v/>
      </c>
      <c r="D813" s="387" t="str">
        <f>IF(A813="","",IFERROR(IF(VLOOKUP(A813,'1. Inbound Leads'!A:L,12,FALSE)=0,"",VLOOKUP(A813,'1. Inbound Leads'!A:L,12,FALSE)),""))</f>
        <v/>
      </c>
      <c r="E813" s="388"/>
      <c r="F813" s="389"/>
      <c r="G813" s="387"/>
      <c r="H813" s="387"/>
      <c r="I813" s="387"/>
      <c r="J813" s="387"/>
      <c r="K813" s="387"/>
      <c r="L813" s="387"/>
      <c r="M813" s="388"/>
      <c r="N813" s="388"/>
      <c r="O813" s="390"/>
      <c r="P813" s="391"/>
      <c r="Q813" s="389"/>
      <c r="R813" s="390"/>
      <c r="S813" s="390"/>
      <c r="T813" s="391"/>
      <c r="U813" s="392"/>
      <c r="V813" s="391"/>
      <c r="W813" s="391"/>
      <c r="X813" s="388"/>
      <c r="Y813" s="391"/>
      <c r="Z813" s="393"/>
      <c r="AA813" s="355" t="str">
        <f t="shared" si="1"/>
        <v/>
      </c>
      <c r="AB813" s="391"/>
      <c r="AC813" s="394" t="str">
        <f t="shared" si="2"/>
        <v/>
      </c>
      <c r="AD813" s="389"/>
      <c r="AE813" s="399"/>
      <c r="AF813" s="395"/>
      <c r="AG813" s="396" t="str">
        <f t="shared" si="3"/>
        <v/>
      </c>
      <c r="AH813" s="396" t="str">
        <f t="shared" si="4"/>
        <v/>
      </c>
      <c r="AI813" s="388"/>
      <c r="AJ813" s="388"/>
      <c r="AK813" s="397"/>
    </row>
    <row r="814">
      <c r="A814" s="398"/>
      <c r="B814" s="386"/>
      <c r="C814" s="387" t="str">
        <f>IF(A814="","",IFERROR(IF(VLOOKUP(A814,'1. Inbound Leads'!A:G,7,FALSE)=0,"",VLOOKUP(A814,'1. Inbound Leads'!A:G,7,FALSE)),""))</f>
        <v/>
      </c>
      <c r="D814" s="387" t="str">
        <f>IF(A814="","",IFERROR(IF(VLOOKUP(A814,'1. Inbound Leads'!A:L,12,FALSE)=0,"",VLOOKUP(A814,'1. Inbound Leads'!A:L,12,FALSE)),""))</f>
        <v/>
      </c>
      <c r="E814" s="388"/>
      <c r="F814" s="389"/>
      <c r="G814" s="387"/>
      <c r="H814" s="387"/>
      <c r="I814" s="387"/>
      <c r="J814" s="387"/>
      <c r="K814" s="387"/>
      <c r="L814" s="387"/>
      <c r="M814" s="388"/>
      <c r="N814" s="388"/>
      <c r="O814" s="390"/>
      <c r="P814" s="391"/>
      <c r="Q814" s="389"/>
      <c r="R814" s="390"/>
      <c r="S814" s="390"/>
      <c r="T814" s="391"/>
      <c r="U814" s="392"/>
      <c r="V814" s="391"/>
      <c r="W814" s="391"/>
      <c r="X814" s="388"/>
      <c r="Y814" s="391"/>
      <c r="Z814" s="393"/>
      <c r="AA814" s="355" t="str">
        <f t="shared" si="1"/>
        <v/>
      </c>
      <c r="AB814" s="391"/>
      <c r="AC814" s="394" t="str">
        <f t="shared" si="2"/>
        <v/>
      </c>
      <c r="AD814" s="389"/>
      <c r="AE814" s="399"/>
      <c r="AF814" s="395"/>
      <c r="AG814" s="396" t="str">
        <f t="shared" si="3"/>
        <v/>
      </c>
      <c r="AH814" s="396" t="str">
        <f t="shared" si="4"/>
        <v/>
      </c>
      <c r="AI814" s="388"/>
      <c r="AJ814" s="388"/>
      <c r="AK814" s="397"/>
    </row>
    <row r="815">
      <c r="A815" s="398"/>
      <c r="B815" s="386"/>
      <c r="C815" s="387" t="str">
        <f>IF(A815="","",IFERROR(IF(VLOOKUP(A815,'1. Inbound Leads'!A:G,7,FALSE)=0,"",VLOOKUP(A815,'1. Inbound Leads'!A:G,7,FALSE)),""))</f>
        <v/>
      </c>
      <c r="D815" s="387" t="str">
        <f>IF(A815="","",IFERROR(IF(VLOOKUP(A815,'1. Inbound Leads'!A:L,12,FALSE)=0,"",VLOOKUP(A815,'1. Inbound Leads'!A:L,12,FALSE)),""))</f>
        <v/>
      </c>
      <c r="E815" s="388"/>
      <c r="F815" s="389"/>
      <c r="G815" s="387"/>
      <c r="H815" s="387"/>
      <c r="I815" s="387"/>
      <c r="J815" s="387"/>
      <c r="K815" s="387"/>
      <c r="L815" s="387"/>
      <c r="M815" s="388"/>
      <c r="N815" s="388"/>
      <c r="O815" s="390"/>
      <c r="P815" s="391"/>
      <c r="Q815" s="389"/>
      <c r="R815" s="390"/>
      <c r="S815" s="390"/>
      <c r="T815" s="391"/>
      <c r="U815" s="392"/>
      <c r="V815" s="391"/>
      <c r="W815" s="391"/>
      <c r="X815" s="388"/>
      <c r="Y815" s="391"/>
      <c r="Z815" s="393"/>
      <c r="AA815" s="355" t="str">
        <f t="shared" si="1"/>
        <v/>
      </c>
      <c r="AB815" s="391"/>
      <c r="AC815" s="394" t="str">
        <f t="shared" si="2"/>
        <v/>
      </c>
      <c r="AD815" s="389"/>
      <c r="AE815" s="399"/>
      <c r="AF815" s="395"/>
      <c r="AG815" s="396" t="str">
        <f t="shared" si="3"/>
        <v/>
      </c>
      <c r="AH815" s="396" t="str">
        <f t="shared" si="4"/>
        <v/>
      </c>
      <c r="AI815" s="388"/>
      <c r="AJ815" s="388"/>
      <c r="AK815" s="397"/>
    </row>
    <row r="816">
      <c r="A816" s="398"/>
      <c r="B816" s="386"/>
      <c r="C816" s="387" t="str">
        <f>IF(A816="","",IFERROR(IF(VLOOKUP(A816,'1. Inbound Leads'!A:G,7,FALSE)=0,"",VLOOKUP(A816,'1. Inbound Leads'!A:G,7,FALSE)),""))</f>
        <v/>
      </c>
      <c r="D816" s="387" t="str">
        <f>IF(A816="","",IFERROR(IF(VLOOKUP(A816,'1. Inbound Leads'!A:L,12,FALSE)=0,"",VLOOKUP(A816,'1. Inbound Leads'!A:L,12,FALSE)),""))</f>
        <v/>
      </c>
      <c r="E816" s="388"/>
      <c r="F816" s="389"/>
      <c r="G816" s="387"/>
      <c r="H816" s="387"/>
      <c r="I816" s="387"/>
      <c r="J816" s="387"/>
      <c r="K816" s="387"/>
      <c r="L816" s="387"/>
      <c r="M816" s="388"/>
      <c r="N816" s="388"/>
      <c r="O816" s="390"/>
      <c r="P816" s="391"/>
      <c r="Q816" s="389"/>
      <c r="R816" s="390"/>
      <c r="S816" s="390"/>
      <c r="T816" s="391"/>
      <c r="U816" s="392"/>
      <c r="V816" s="391"/>
      <c r="W816" s="391"/>
      <c r="X816" s="388"/>
      <c r="Y816" s="391"/>
      <c r="Z816" s="393"/>
      <c r="AA816" s="355" t="str">
        <f t="shared" si="1"/>
        <v/>
      </c>
      <c r="AB816" s="391"/>
      <c r="AC816" s="394" t="str">
        <f t="shared" si="2"/>
        <v/>
      </c>
      <c r="AD816" s="389"/>
      <c r="AE816" s="399"/>
      <c r="AF816" s="395"/>
      <c r="AG816" s="396" t="str">
        <f t="shared" si="3"/>
        <v/>
      </c>
      <c r="AH816" s="396" t="str">
        <f t="shared" si="4"/>
        <v/>
      </c>
      <c r="AI816" s="388"/>
      <c r="AJ816" s="388"/>
      <c r="AK816" s="397"/>
    </row>
    <row r="817">
      <c r="A817" s="398"/>
      <c r="B817" s="386"/>
      <c r="C817" s="387" t="str">
        <f>IF(A817="","",IFERROR(IF(VLOOKUP(A817,'1. Inbound Leads'!A:G,7,FALSE)=0,"",VLOOKUP(A817,'1. Inbound Leads'!A:G,7,FALSE)),""))</f>
        <v/>
      </c>
      <c r="D817" s="387" t="str">
        <f>IF(A817="","",IFERROR(IF(VLOOKUP(A817,'1. Inbound Leads'!A:L,12,FALSE)=0,"",VLOOKUP(A817,'1. Inbound Leads'!A:L,12,FALSE)),""))</f>
        <v/>
      </c>
      <c r="E817" s="388"/>
      <c r="F817" s="389"/>
      <c r="G817" s="387"/>
      <c r="H817" s="387"/>
      <c r="I817" s="387"/>
      <c r="J817" s="387"/>
      <c r="K817" s="387"/>
      <c r="L817" s="387"/>
      <c r="M817" s="388"/>
      <c r="N817" s="388"/>
      <c r="O817" s="390"/>
      <c r="P817" s="391"/>
      <c r="Q817" s="389"/>
      <c r="R817" s="390"/>
      <c r="S817" s="390"/>
      <c r="T817" s="391"/>
      <c r="U817" s="392"/>
      <c r="V817" s="391"/>
      <c r="W817" s="391"/>
      <c r="X817" s="388"/>
      <c r="Y817" s="391"/>
      <c r="Z817" s="393"/>
      <c r="AA817" s="355" t="str">
        <f t="shared" si="1"/>
        <v/>
      </c>
      <c r="AB817" s="391"/>
      <c r="AC817" s="394" t="str">
        <f t="shared" si="2"/>
        <v/>
      </c>
      <c r="AD817" s="389"/>
      <c r="AE817" s="399"/>
      <c r="AF817" s="395"/>
      <c r="AG817" s="396" t="str">
        <f t="shared" si="3"/>
        <v/>
      </c>
      <c r="AH817" s="396" t="str">
        <f t="shared" si="4"/>
        <v/>
      </c>
      <c r="AI817" s="388"/>
      <c r="AJ817" s="388"/>
      <c r="AK817" s="397"/>
    </row>
    <row r="818">
      <c r="A818" s="398"/>
      <c r="B818" s="386"/>
      <c r="C818" s="387" t="str">
        <f>IF(A818="","",IFERROR(IF(VLOOKUP(A818,'1. Inbound Leads'!A:G,7,FALSE)=0,"",VLOOKUP(A818,'1. Inbound Leads'!A:G,7,FALSE)),""))</f>
        <v/>
      </c>
      <c r="D818" s="387" t="str">
        <f>IF(A818="","",IFERROR(IF(VLOOKUP(A818,'1. Inbound Leads'!A:L,12,FALSE)=0,"",VLOOKUP(A818,'1. Inbound Leads'!A:L,12,FALSE)),""))</f>
        <v/>
      </c>
      <c r="E818" s="388"/>
      <c r="F818" s="389"/>
      <c r="G818" s="387"/>
      <c r="H818" s="387"/>
      <c r="I818" s="387"/>
      <c r="J818" s="387"/>
      <c r="K818" s="387"/>
      <c r="L818" s="387"/>
      <c r="M818" s="388"/>
      <c r="N818" s="388"/>
      <c r="O818" s="390"/>
      <c r="P818" s="391"/>
      <c r="Q818" s="389"/>
      <c r="R818" s="390"/>
      <c r="S818" s="390"/>
      <c r="T818" s="391"/>
      <c r="U818" s="392"/>
      <c r="V818" s="391"/>
      <c r="W818" s="391"/>
      <c r="X818" s="388"/>
      <c r="Y818" s="391"/>
      <c r="Z818" s="393"/>
      <c r="AA818" s="355" t="str">
        <f t="shared" si="1"/>
        <v/>
      </c>
      <c r="AB818" s="391"/>
      <c r="AC818" s="394" t="str">
        <f t="shared" si="2"/>
        <v/>
      </c>
      <c r="AD818" s="389"/>
      <c r="AE818" s="399"/>
      <c r="AF818" s="395"/>
      <c r="AG818" s="396" t="str">
        <f t="shared" si="3"/>
        <v/>
      </c>
      <c r="AH818" s="396" t="str">
        <f t="shared" si="4"/>
        <v/>
      </c>
      <c r="AI818" s="388"/>
      <c r="AJ818" s="388"/>
      <c r="AK818" s="397"/>
    </row>
    <row r="819">
      <c r="A819" s="398"/>
      <c r="B819" s="386"/>
      <c r="C819" s="387" t="str">
        <f>IF(A819="","",IFERROR(IF(VLOOKUP(A819,'1. Inbound Leads'!A:G,7,FALSE)=0,"",VLOOKUP(A819,'1. Inbound Leads'!A:G,7,FALSE)),""))</f>
        <v/>
      </c>
      <c r="D819" s="387" t="str">
        <f>IF(A819="","",IFERROR(IF(VLOOKUP(A819,'1. Inbound Leads'!A:L,12,FALSE)=0,"",VLOOKUP(A819,'1. Inbound Leads'!A:L,12,FALSE)),""))</f>
        <v/>
      </c>
      <c r="E819" s="388"/>
      <c r="F819" s="389"/>
      <c r="G819" s="387"/>
      <c r="H819" s="387"/>
      <c r="I819" s="387"/>
      <c r="J819" s="387"/>
      <c r="K819" s="387"/>
      <c r="L819" s="387"/>
      <c r="M819" s="388"/>
      <c r="N819" s="388"/>
      <c r="O819" s="390"/>
      <c r="P819" s="391"/>
      <c r="Q819" s="389"/>
      <c r="R819" s="390"/>
      <c r="S819" s="390"/>
      <c r="T819" s="391"/>
      <c r="U819" s="392"/>
      <c r="V819" s="391"/>
      <c r="W819" s="391"/>
      <c r="X819" s="388"/>
      <c r="Y819" s="391"/>
      <c r="Z819" s="393"/>
      <c r="AA819" s="355" t="str">
        <f t="shared" si="1"/>
        <v/>
      </c>
      <c r="AB819" s="391"/>
      <c r="AC819" s="394" t="str">
        <f t="shared" si="2"/>
        <v/>
      </c>
      <c r="AD819" s="389"/>
      <c r="AE819" s="399"/>
      <c r="AF819" s="395"/>
      <c r="AG819" s="396" t="str">
        <f t="shared" si="3"/>
        <v/>
      </c>
      <c r="AH819" s="396" t="str">
        <f t="shared" si="4"/>
        <v/>
      </c>
      <c r="AI819" s="388"/>
      <c r="AJ819" s="388"/>
      <c r="AK819" s="397"/>
    </row>
    <row r="820">
      <c r="A820" s="398"/>
      <c r="B820" s="386"/>
      <c r="C820" s="387" t="str">
        <f>IF(A820="","",IFERROR(IF(VLOOKUP(A820,'1. Inbound Leads'!A:G,7,FALSE)=0,"",VLOOKUP(A820,'1. Inbound Leads'!A:G,7,FALSE)),""))</f>
        <v/>
      </c>
      <c r="D820" s="387" t="str">
        <f>IF(A820="","",IFERROR(IF(VLOOKUP(A820,'1. Inbound Leads'!A:L,12,FALSE)=0,"",VLOOKUP(A820,'1. Inbound Leads'!A:L,12,FALSE)),""))</f>
        <v/>
      </c>
      <c r="E820" s="388"/>
      <c r="F820" s="389"/>
      <c r="G820" s="387"/>
      <c r="H820" s="387"/>
      <c r="I820" s="387"/>
      <c r="J820" s="387"/>
      <c r="K820" s="387"/>
      <c r="L820" s="387"/>
      <c r="M820" s="388"/>
      <c r="N820" s="388"/>
      <c r="O820" s="390"/>
      <c r="P820" s="391"/>
      <c r="Q820" s="389"/>
      <c r="R820" s="390"/>
      <c r="S820" s="390"/>
      <c r="T820" s="391"/>
      <c r="U820" s="392"/>
      <c r="V820" s="391"/>
      <c r="W820" s="391"/>
      <c r="X820" s="388"/>
      <c r="Y820" s="391"/>
      <c r="Z820" s="393"/>
      <c r="AA820" s="355" t="str">
        <f t="shared" si="1"/>
        <v/>
      </c>
      <c r="AB820" s="391"/>
      <c r="AC820" s="394" t="str">
        <f t="shared" si="2"/>
        <v/>
      </c>
      <c r="AD820" s="389"/>
      <c r="AE820" s="399"/>
      <c r="AF820" s="395"/>
      <c r="AG820" s="396" t="str">
        <f t="shared" si="3"/>
        <v/>
      </c>
      <c r="AH820" s="396" t="str">
        <f t="shared" si="4"/>
        <v/>
      </c>
      <c r="AI820" s="388"/>
      <c r="AJ820" s="388"/>
      <c r="AK820" s="397"/>
    </row>
    <row r="821">
      <c r="A821" s="398"/>
      <c r="B821" s="386"/>
      <c r="C821" s="387" t="str">
        <f>IF(A821="","",IFERROR(IF(VLOOKUP(A821,'1. Inbound Leads'!A:G,7,FALSE)=0,"",VLOOKUP(A821,'1. Inbound Leads'!A:G,7,FALSE)),""))</f>
        <v/>
      </c>
      <c r="D821" s="387" t="str">
        <f>IF(A821="","",IFERROR(IF(VLOOKUP(A821,'1. Inbound Leads'!A:L,12,FALSE)=0,"",VLOOKUP(A821,'1. Inbound Leads'!A:L,12,FALSE)),""))</f>
        <v/>
      </c>
      <c r="E821" s="388"/>
      <c r="F821" s="389"/>
      <c r="G821" s="387"/>
      <c r="H821" s="387"/>
      <c r="I821" s="387"/>
      <c r="J821" s="387"/>
      <c r="K821" s="387"/>
      <c r="L821" s="387"/>
      <c r="M821" s="388"/>
      <c r="N821" s="388"/>
      <c r="O821" s="390"/>
      <c r="P821" s="391"/>
      <c r="Q821" s="389"/>
      <c r="R821" s="390"/>
      <c r="S821" s="390"/>
      <c r="T821" s="391"/>
      <c r="U821" s="392"/>
      <c r="V821" s="391"/>
      <c r="W821" s="391"/>
      <c r="X821" s="388"/>
      <c r="Y821" s="391"/>
      <c r="Z821" s="393"/>
      <c r="AA821" s="355" t="str">
        <f t="shared" si="1"/>
        <v/>
      </c>
      <c r="AB821" s="391"/>
      <c r="AC821" s="394" t="str">
        <f t="shared" si="2"/>
        <v/>
      </c>
      <c r="AD821" s="389"/>
      <c r="AE821" s="399"/>
      <c r="AF821" s="395"/>
      <c r="AG821" s="396" t="str">
        <f t="shared" si="3"/>
        <v/>
      </c>
      <c r="AH821" s="396" t="str">
        <f t="shared" si="4"/>
        <v/>
      </c>
      <c r="AI821" s="388"/>
      <c r="AJ821" s="388"/>
      <c r="AK821" s="397"/>
    </row>
    <row r="822">
      <c r="A822" s="398"/>
      <c r="B822" s="386"/>
      <c r="C822" s="387" t="str">
        <f>IF(A822="","",IFERROR(IF(VLOOKUP(A822,'1. Inbound Leads'!A:G,7,FALSE)=0,"",VLOOKUP(A822,'1. Inbound Leads'!A:G,7,FALSE)),""))</f>
        <v/>
      </c>
      <c r="D822" s="387" t="str">
        <f>IF(A822="","",IFERROR(IF(VLOOKUP(A822,'1. Inbound Leads'!A:L,12,FALSE)=0,"",VLOOKUP(A822,'1. Inbound Leads'!A:L,12,FALSE)),""))</f>
        <v/>
      </c>
      <c r="E822" s="388"/>
      <c r="F822" s="389"/>
      <c r="G822" s="387"/>
      <c r="H822" s="387"/>
      <c r="I822" s="387"/>
      <c r="J822" s="387"/>
      <c r="K822" s="387"/>
      <c r="L822" s="387"/>
      <c r="M822" s="388"/>
      <c r="N822" s="388"/>
      <c r="O822" s="390"/>
      <c r="P822" s="391"/>
      <c r="Q822" s="389"/>
      <c r="R822" s="390"/>
      <c r="S822" s="390"/>
      <c r="T822" s="391"/>
      <c r="U822" s="392"/>
      <c r="V822" s="391"/>
      <c r="W822" s="391"/>
      <c r="X822" s="388"/>
      <c r="Y822" s="391"/>
      <c r="Z822" s="393"/>
      <c r="AA822" s="355" t="str">
        <f t="shared" si="1"/>
        <v/>
      </c>
      <c r="AB822" s="391"/>
      <c r="AC822" s="394" t="str">
        <f t="shared" si="2"/>
        <v/>
      </c>
      <c r="AD822" s="389"/>
      <c r="AE822" s="399"/>
      <c r="AF822" s="395"/>
      <c r="AG822" s="396" t="str">
        <f t="shared" si="3"/>
        <v/>
      </c>
      <c r="AH822" s="396" t="str">
        <f t="shared" si="4"/>
        <v/>
      </c>
      <c r="AI822" s="388"/>
      <c r="AJ822" s="388"/>
      <c r="AK822" s="397"/>
    </row>
    <row r="823">
      <c r="A823" s="398"/>
      <c r="B823" s="386"/>
      <c r="C823" s="387" t="str">
        <f>IF(A823="","",IFERROR(IF(VLOOKUP(A823,'1. Inbound Leads'!A:G,7,FALSE)=0,"",VLOOKUP(A823,'1. Inbound Leads'!A:G,7,FALSE)),""))</f>
        <v/>
      </c>
      <c r="D823" s="387" t="str">
        <f>IF(A823="","",IFERROR(IF(VLOOKUP(A823,'1. Inbound Leads'!A:L,12,FALSE)=0,"",VLOOKUP(A823,'1. Inbound Leads'!A:L,12,FALSE)),""))</f>
        <v/>
      </c>
      <c r="E823" s="388"/>
      <c r="F823" s="389"/>
      <c r="G823" s="387"/>
      <c r="H823" s="387"/>
      <c r="I823" s="387"/>
      <c r="J823" s="387"/>
      <c r="K823" s="387"/>
      <c r="L823" s="387"/>
      <c r="M823" s="388"/>
      <c r="N823" s="388"/>
      <c r="O823" s="390"/>
      <c r="P823" s="391"/>
      <c r="Q823" s="389"/>
      <c r="R823" s="390"/>
      <c r="S823" s="390"/>
      <c r="T823" s="391"/>
      <c r="U823" s="392"/>
      <c r="V823" s="391"/>
      <c r="W823" s="391"/>
      <c r="X823" s="388"/>
      <c r="Y823" s="391"/>
      <c r="Z823" s="393"/>
      <c r="AA823" s="355" t="str">
        <f t="shared" si="1"/>
        <v/>
      </c>
      <c r="AB823" s="391"/>
      <c r="AC823" s="394" t="str">
        <f t="shared" si="2"/>
        <v/>
      </c>
      <c r="AD823" s="389"/>
      <c r="AE823" s="399"/>
      <c r="AF823" s="395"/>
      <c r="AG823" s="396" t="str">
        <f t="shared" si="3"/>
        <v/>
      </c>
      <c r="AH823" s="396" t="str">
        <f t="shared" si="4"/>
        <v/>
      </c>
      <c r="AI823" s="388"/>
      <c r="AJ823" s="388"/>
      <c r="AK823" s="397"/>
    </row>
    <row r="824">
      <c r="A824" s="398"/>
      <c r="B824" s="386"/>
      <c r="C824" s="387" t="str">
        <f>IF(A824="","",IFERROR(IF(VLOOKUP(A824,'1. Inbound Leads'!A:G,7,FALSE)=0,"",VLOOKUP(A824,'1. Inbound Leads'!A:G,7,FALSE)),""))</f>
        <v/>
      </c>
      <c r="D824" s="387" t="str">
        <f>IF(A824="","",IFERROR(IF(VLOOKUP(A824,'1. Inbound Leads'!A:L,12,FALSE)=0,"",VLOOKUP(A824,'1. Inbound Leads'!A:L,12,FALSE)),""))</f>
        <v/>
      </c>
      <c r="E824" s="388"/>
      <c r="F824" s="389"/>
      <c r="G824" s="387"/>
      <c r="H824" s="387"/>
      <c r="I824" s="387"/>
      <c r="J824" s="387"/>
      <c r="K824" s="387"/>
      <c r="L824" s="387"/>
      <c r="M824" s="388"/>
      <c r="N824" s="388"/>
      <c r="O824" s="390"/>
      <c r="P824" s="391"/>
      <c r="Q824" s="389"/>
      <c r="R824" s="390"/>
      <c r="S824" s="390"/>
      <c r="T824" s="391"/>
      <c r="U824" s="392"/>
      <c r="V824" s="391"/>
      <c r="W824" s="391"/>
      <c r="X824" s="388"/>
      <c r="Y824" s="391"/>
      <c r="Z824" s="393"/>
      <c r="AA824" s="355" t="str">
        <f t="shared" si="1"/>
        <v/>
      </c>
      <c r="AB824" s="391"/>
      <c r="AC824" s="394" t="str">
        <f t="shared" si="2"/>
        <v/>
      </c>
      <c r="AD824" s="389"/>
      <c r="AE824" s="399"/>
      <c r="AF824" s="395"/>
      <c r="AG824" s="396" t="str">
        <f t="shared" si="3"/>
        <v/>
      </c>
      <c r="AH824" s="396" t="str">
        <f t="shared" si="4"/>
        <v/>
      </c>
      <c r="AI824" s="388"/>
      <c r="AJ824" s="388"/>
      <c r="AK824" s="397"/>
    </row>
    <row r="825">
      <c r="A825" s="398"/>
      <c r="B825" s="386"/>
      <c r="C825" s="387" t="str">
        <f>IF(A825="","",IFERROR(IF(VLOOKUP(A825,'1. Inbound Leads'!A:G,7,FALSE)=0,"",VLOOKUP(A825,'1. Inbound Leads'!A:G,7,FALSE)),""))</f>
        <v/>
      </c>
      <c r="D825" s="387" t="str">
        <f>IF(A825="","",IFERROR(IF(VLOOKUP(A825,'1. Inbound Leads'!A:L,12,FALSE)=0,"",VLOOKUP(A825,'1. Inbound Leads'!A:L,12,FALSE)),""))</f>
        <v/>
      </c>
      <c r="E825" s="388"/>
      <c r="F825" s="389"/>
      <c r="G825" s="387"/>
      <c r="H825" s="387"/>
      <c r="I825" s="387"/>
      <c r="J825" s="387"/>
      <c r="K825" s="387"/>
      <c r="L825" s="387"/>
      <c r="M825" s="388"/>
      <c r="N825" s="388"/>
      <c r="O825" s="390"/>
      <c r="P825" s="391"/>
      <c r="Q825" s="389"/>
      <c r="R825" s="390"/>
      <c r="S825" s="390"/>
      <c r="T825" s="391"/>
      <c r="U825" s="392"/>
      <c r="V825" s="391"/>
      <c r="W825" s="391"/>
      <c r="X825" s="388"/>
      <c r="Y825" s="391"/>
      <c r="Z825" s="393"/>
      <c r="AA825" s="355" t="str">
        <f t="shared" si="1"/>
        <v/>
      </c>
      <c r="AB825" s="391"/>
      <c r="AC825" s="394" t="str">
        <f t="shared" si="2"/>
        <v/>
      </c>
      <c r="AD825" s="389"/>
      <c r="AE825" s="399"/>
      <c r="AF825" s="395"/>
      <c r="AG825" s="396" t="str">
        <f t="shared" si="3"/>
        <v/>
      </c>
      <c r="AH825" s="396" t="str">
        <f t="shared" si="4"/>
        <v/>
      </c>
      <c r="AI825" s="388"/>
      <c r="AJ825" s="388"/>
      <c r="AK825" s="397"/>
    </row>
    <row r="826">
      <c r="A826" s="398"/>
      <c r="B826" s="386"/>
      <c r="C826" s="387" t="str">
        <f>IF(A826="","",IFERROR(IF(VLOOKUP(A826,'1. Inbound Leads'!A:G,7,FALSE)=0,"",VLOOKUP(A826,'1. Inbound Leads'!A:G,7,FALSE)),""))</f>
        <v/>
      </c>
      <c r="D826" s="387" t="str">
        <f>IF(A826="","",IFERROR(IF(VLOOKUP(A826,'1. Inbound Leads'!A:L,12,FALSE)=0,"",VLOOKUP(A826,'1. Inbound Leads'!A:L,12,FALSE)),""))</f>
        <v/>
      </c>
      <c r="E826" s="388"/>
      <c r="F826" s="389"/>
      <c r="G826" s="387"/>
      <c r="H826" s="387"/>
      <c r="I826" s="387"/>
      <c r="J826" s="387"/>
      <c r="K826" s="387"/>
      <c r="L826" s="387"/>
      <c r="M826" s="388"/>
      <c r="N826" s="388"/>
      <c r="O826" s="390"/>
      <c r="P826" s="391"/>
      <c r="Q826" s="389"/>
      <c r="R826" s="390"/>
      <c r="S826" s="390"/>
      <c r="T826" s="391"/>
      <c r="U826" s="392"/>
      <c r="V826" s="391"/>
      <c r="W826" s="391"/>
      <c r="X826" s="388"/>
      <c r="Y826" s="391"/>
      <c r="Z826" s="393"/>
      <c r="AA826" s="355" t="str">
        <f t="shared" si="1"/>
        <v/>
      </c>
      <c r="AB826" s="391"/>
      <c r="AC826" s="394" t="str">
        <f t="shared" si="2"/>
        <v/>
      </c>
      <c r="AD826" s="389"/>
      <c r="AE826" s="399"/>
      <c r="AF826" s="395"/>
      <c r="AG826" s="396" t="str">
        <f t="shared" si="3"/>
        <v/>
      </c>
      <c r="AH826" s="396" t="str">
        <f t="shared" si="4"/>
        <v/>
      </c>
      <c r="AI826" s="388"/>
      <c r="AJ826" s="388"/>
      <c r="AK826" s="397"/>
    </row>
    <row r="827">
      <c r="A827" s="398"/>
      <c r="B827" s="386"/>
      <c r="C827" s="387" t="str">
        <f>IF(A827="","",IFERROR(IF(VLOOKUP(A827,'1. Inbound Leads'!A:G,7,FALSE)=0,"",VLOOKUP(A827,'1. Inbound Leads'!A:G,7,FALSE)),""))</f>
        <v/>
      </c>
      <c r="D827" s="387" t="str">
        <f>IF(A827="","",IFERROR(IF(VLOOKUP(A827,'1. Inbound Leads'!A:L,12,FALSE)=0,"",VLOOKUP(A827,'1. Inbound Leads'!A:L,12,FALSE)),""))</f>
        <v/>
      </c>
      <c r="E827" s="388"/>
      <c r="F827" s="389"/>
      <c r="G827" s="387"/>
      <c r="H827" s="387"/>
      <c r="I827" s="387"/>
      <c r="J827" s="387"/>
      <c r="K827" s="387"/>
      <c r="L827" s="387"/>
      <c r="M827" s="388"/>
      <c r="N827" s="388"/>
      <c r="O827" s="390"/>
      <c r="P827" s="391"/>
      <c r="Q827" s="389"/>
      <c r="R827" s="390"/>
      <c r="S827" s="390"/>
      <c r="T827" s="391"/>
      <c r="U827" s="392"/>
      <c r="V827" s="391"/>
      <c r="W827" s="391"/>
      <c r="X827" s="388"/>
      <c r="Y827" s="391"/>
      <c r="Z827" s="393"/>
      <c r="AA827" s="355" t="str">
        <f t="shared" si="1"/>
        <v/>
      </c>
      <c r="AB827" s="391"/>
      <c r="AC827" s="394" t="str">
        <f t="shared" si="2"/>
        <v/>
      </c>
      <c r="AD827" s="389"/>
      <c r="AE827" s="399"/>
      <c r="AF827" s="395"/>
      <c r="AG827" s="396" t="str">
        <f t="shared" si="3"/>
        <v/>
      </c>
      <c r="AH827" s="396" t="str">
        <f t="shared" si="4"/>
        <v/>
      </c>
      <c r="AI827" s="388"/>
      <c r="AJ827" s="388"/>
      <c r="AK827" s="397"/>
    </row>
    <row r="828">
      <c r="A828" s="398"/>
      <c r="B828" s="386"/>
      <c r="C828" s="387" t="str">
        <f>IF(A828="","",IFERROR(IF(VLOOKUP(A828,'1. Inbound Leads'!A:G,7,FALSE)=0,"",VLOOKUP(A828,'1. Inbound Leads'!A:G,7,FALSE)),""))</f>
        <v/>
      </c>
      <c r="D828" s="387" t="str">
        <f>IF(A828="","",IFERROR(IF(VLOOKUP(A828,'1. Inbound Leads'!A:L,12,FALSE)=0,"",VLOOKUP(A828,'1. Inbound Leads'!A:L,12,FALSE)),""))</f>
        <v/>
      </c>
      <c r="E828" s="388"/>
      <c r="F828" s="389"/>
      <c r="G828" s="387"/>
      <c r="H828" s="387"/>
      <c r="I828" s="387"/>
      <c r="J828" s="387"/>
      <c r="K828" s="387"/>
      <c r="L828" s="387"/>
      <c r="M828" s="388"/>
      <c r="N828" s="388"/>
      <c r="O828" s="390"/>
      <c r="P828" s="391"/>
      <c r="Q828" s="389"/>
      <c r="R828" s="390"/>
      <c r="S828" s="390"/>
      <c r="T828" s="391"/>
      <c r="U828" s="392"/>
      <c r="V828" s="391"/>
      <c r="W828" s="391"/>
      <c r="X828" s="388"/>
      <c r="Y828" s="391"/>
      <c r="Z828" s="393"/>
      <c r="AA828" s="355" t="str">
        <f t="shared" si="1"/>
        <v/>
      </c>
      <c r="AB828" s="391"/>
      <c r="AC828" s="394" t="str">
        <f t="shared" si="2"/>
        <v/>
      </c>
      <c r="AD828" s="389"/>
      <c r="AE828" s="399"/>
      <c r="AF828" s="395"/>
      <c r="AG828" s="396" t="str">
        <f t="shared" si="3"/>
        <v/>
      </c>
      <c r="AH828" s="396" t="str">
        <f t="shared" si="4"/>
        <v/>
      </c>
      <c r="AI828" s="388"/>
      <c r="AJ828" s="388"/>
      <c r="AK828" s="397"/>
    </row>
    <row r="829">
      <c r="A829" s="398"/>
      <c r="B829" s="386"/>
      <c r="C829" s="387" t="str">
        <f>IF(A829="","",IFERROR(IF(VLOOKUP(A829,'1. Inbound Leads'!A:G,7,FALSE)=0,"",VLOOKUP(A829,'1. Inbound Leads'!A:G,7,FALSE)),""))</f>
        <v/>
      </c>
      <c r="D829" s="387" t="str">
        <f>IF(A829="","",IFERROR(IF(VLOOKUP(A829,'1. Inbound Leads'!A:L,12,FALSE)=0,"",VLOOKUP(A829,'1. Inbound Leads'!A:L,12,FALSE)),""))</f>
        <v/>
      </c>
      <c r="E829" s="388"/>
      <c r="F829" s="389"/>
      <c r="G829" s="387"/>
      <c r="H829" s="387"/>
      <c r="I829" s="387"/>
      <c r="J829" s="387"/>
      <c r="K829" s="387"/>
      <c r="L829" s="387"/>
      <c r="M829" s="388"/>
      <c r="N829" s="388"/>
      <c r="O829" s="390"/>
      <c r="P829" s="391"/>
      <c r="Q829" s="389"/>
      <c r="R829" s="390"/>
      <c r="S829" s="390"/>
      <c r="T829" s="391"/>
      <c r="U829" s="392"/>
      <c r="V829" s="391"/>
      <c r="W829" s="391"/>
      <c r="X829" s="388"/>
      <c r="Y829" s="391"/>
      <c r="Z829" s="393"/>
      <c r="AA829" s="355" t="str">
        <f t="shared" si="1"/>
        <v/>
      </c>
      <c r="AB829" s="391"/>
      <c r="AC829" s="394" t="str">
        <f t="shared" si="2"/>
        <v/>
      </c>
      <c r="AD829" s="389"/>
      <c r="AE829" s="399"/>
      <c r="AF829" s="395"/>
      <c r="AG829" s="396" t="str">
        <f t="shared" si="3"/>
        <v/>
      </c>
      <c r="AH829" s="396" t="str">
        <f t="shared" si="4"/>
        <v/>
      </c>
      <c r="AI829" s="388"/>
      <c r="AJ829" s="388"/>
      <c r="AK829" s="397"/>
    </row>
    <row r="830">
      <c r="A830" s="398"/>
      <c r="B830" s="386"/>
      <c r="C830" s="387" t="str">
        <f>IF(A830="","",IFERROR(IF(VLOOKUP(A830,'1. Inbound Leads'!A:G,7,FALSE)=0,"",VLOOKUP(A830,'1. Inbound Leads'!A:G,7,FALSE)),""))</f>
        <v/>
      </c>
      <c r="D830" s="387" t="str">
        <f>IF(A830="","",IFERROR(IF(VLOOKUP(A830,'1. Inbound Leads'!A:L,12,FALSE)=0,"",VLOOKUP(A830,'1. Inbound Leads'!A:L,12,FALSE)),""))</f>
        <v/>
      </c>
      <c r="E830" s="388"/>
      <c r="F830" s="389"/>
      <c r="G830" s="387"/>
      <c r="H830" s="387"/>
      <c r="I830" s="387"/>
      <c r="J830" s="387"/>
      <c r="K830" s="387"/>
      <c r="L830" s="387"/>
      <c r="M830" s="388"/>
      <c r="N830" s="388"/>
      <c r="O830" s="390"/>
      <c r="P830" s="391"/>
      <c r="Q830" s="389"/>
      <c r="R830" s="390"/>
      <c r="S830" s="390"/>
      <c r="T830" s="391"/>
      <c r="U830" s="392"/>
      <c r="V830" s="391"/>
      <c r="W830" s="391"/>
      <c r="X830" s="388"/>
      <c r="Y830" s="391"/>
      <c r="Z830" s="393"/>
      <c r="AA830" s="355" t="str">
        <f t="shared" si="1"/>
        <v/>
      </c>
      <c r="AB830" s="391"/>
      <c r="AC830" s="394" t="str">
        <f t="shared" si="2"/>
        <v/>
      </c>
      <c r="AD830" s="389"/>
      <c r="AE830" s="399"/>
      <c r="AF830" s="395"/>
      <c r="AG830" s="396" t="str">
        <f t="shared" si="3"/>
        <v/>
      </c>
      <c r="AH830" s="396" t="str">
        <f t="shared" si="4"/>
        <v/>
      </c>
      <c r="AI830" s="388"/>
      <c r="AJ830" s="388"/>
      <c r="AK830" s="397"/>
    </row>
    <row r="831">
      <c r="A831" s="398"/>
      <c r="B831" s="386"/>
      <c r="C831" s="387" t="str">
        <f>IF(A831="","",IFERROR(IF(VLOOKUP(A831,'1. Inbound Leads'!A:G,7,FALSE)=0,"",VLOOKUP(A831,'1. Inbound Leads'!A:G,7,FALSE)),""))</f>
        <v/>
      </c>
      <c r="D831" s="387" t="str">
        <f>IF(A831="","",IFERROR(IF(VLOOKUP(A831,'1. Inbound Leads'!A:L,12,FALSE)=0,"",VLOOKUP(A831,'1. Inbound Leads'!A:L,12,FALSE)),""))</f>
        <v/>
      </c>
      <c r="E831" s="388"/>
      <c r="F831" s="389"/>
      <c r="G831" s="387"/>
      <c r="H831" s="387"/>
      <c r="I831" s="387"/>
      <c r="J831" s="387"/>
      <c r="K831" s="387"/>
      <c r="L831" s="387"/>
      <c r="M831" s="388"/>
      <c r="N831" s="388"/>
      <c r="O831" s="390"/>
      <c r="P831" s="391"/>
      <c r="Q831" s="389"/>
      <c r="R831" s="390"/>
      <c r="S831" s="390"/>
      <c r="T831" s="391"/>
      <c r="U831" s="392"/>
      <c r="V831" s="391"/>
      <c r="W831" s="391"/>
      <c r="X831" s="388"/>
      <c r="Y831" s="391"/>
      <c r="Z831" s="393"/>
      <c r="AA831" s="355" t="str">
        <f t="shared" si="1"/>
        <v/>
      </c>
      <c r="AB831" s="391"/>
      <c r="AC831" s="394" t="str">
        <f t="shared" si="2"/>
        <v/>
      </c>
      <c r="AD831" s="389"/>
      <c r="AE831" s="399"/>
      <c r="AF831" s="395"/>
      <c r="AG831" s="396" t="str">
        <f t="shared" si="3"/>
        <v/>
      </c>
      <c r="AH831" s="396" t="str">
        <f t="shared" si="4"/>
        <v/>
      </c>
      <c r="AI831" s="388"/>
      <c r="AJ831" s="388"/>
      <c r="AK831" s="397"/>
    </row>
    <row r="832">
      <c r="A832" s="398"/>
      <c r="B832" s="386"/>
      <c r="C832" s="387" t="str">
        <f>IF(A832="","",IFERROR(IF(VLOOKUP(A832,'1. Inbound Leads'!A:G,7,FALSE)=0,"",VLOOKUP(A832,'1. Inbound Leads'!A:G,7,FALSE)),""))</f>
        <v/>
      </c>
      <c r="D832" s="387" t="str">
        <f>IF(A832="","",IFERROR(IF(VLOOKUP(A832,'1. Inbound Leads'!A:L,12,FALSE)=0,"",VLOOKUP(A832,'1. Inbound Leads'!A:L,12,FALSE)),""))</f>
        <v/>
      </c>
      <c r="E832" s="388"/>
      <c r="F832" s="389"/>
      <c r="G832" s="387"/>
      <c r="H832" s="387"/>
      <c r="I832" s="387"/>
      <c r="J832" s="387"/>
      <c r="K832" s="387"/>
      <c r="L832" s="387"/>
      <c r="M832" s="388"/>
      <c r="N832" s="388"/>
      <c r="O832" s="390"/>
      <c r="P832" s="391"/>
      <c r="Q832" s="389"/>
      <c r="R832" s="390"/>
      <c r="S832" s="390"/>
      <c r="T832" s="391"/>
      <c r="U832" s="392"/>
      <c r="V832" s="391"/>
      <c r="W832" s="391"/>
      <c r="X832" s="388"/>
      <c r="Y832" s="391"/>
      <c r="Z832" s="393"/>
      <c r="AA832" s="355" t="str">
        <f t="shared" si="1"/>
        <v/>
      </c>
      <c r="AB832" s="391"/>
      <c r="AC832" s="394" t="str">
        <f t="shared" si="2"/>
        <v/>
      </c>
      <c r="AD832" s="389"/>
      <c r="AE832" s="399"/>
      <c r="AF832" s="395"/>
      <c r="AG832" s="396" t="str">
        <f t="shared" si="3"/>
        <v/>
      </c>
      <c r="AH832" s="396" t="str">
        <f t="shared" si="4"/>
        <v/>
      </c>
      <c r="AI832" s="388"/>
      <c r="AJ832" s="388"/>
      <c r="AK832" s="397"/>
    </row>
    <row r="833">
      <c r="A833" s="398"/>
      <c r="B833" s="386"/>
      <c r="C833" s="387" t="str">
        <f>IF(A833="","",IFERROR(IF(VLOOKUP(A833,'1. Inbound Leads'!A:G,7,FALSE)=0,"",VLOOKUP(A833,'1. Inbound Leads'!A:G,7,FALSE)),""))</f>
        <v/>
      </c>
      <c r="D833" s="387" t="str">
        <f>IF(A833="","",IFERROR(IF(VLOOKUP(A833,'1. Inbound Leads'!A:L,12,FALSE)=0,"",VLOOKUP(A833,'1. Inbound Leads'!A:L,12,FALSE)),""))</f>
        <v/>
      </c>
      <c r="E833" s="388"/>
      <c r="F833" s="389"/>
      <c r="G833" s="387"/>
      <c r="H833" s="387"/>
      <c r="I833" s="387"/>
      <c r="J833" s="387"/>
      <c r="K833" s="387"/>
      <c r="L833" s="387"/>
      <c r="M833" s="388"/>
      <c r="N833" s="388"/>
      <c r="O833" s="390"/>
      <c r="P833" s="391"/>
      <c r="Q833" s="389"/>
      <c r="R833" s="390"/>
      <c r="S833" s="390"/>
      <c r="T833" s="391"/>
      <c r="U833" s="392"/>
      <c r="V833" s="391"/>
      <c r="W833" s="391"/>
      <c r="X833" s="388"/>
      <c r="Y833" s="391"/>
      <c r="Z833" s="393"/>
      <c r="AA833" s="355" t="str">
        <f t="shared" si="1"/>
        <v/>
      </c>
      <c r="AB833" s="391"/>
      <c r="AC833" s="394" t="str">
        <f t="shared" si="2"/>
        <v/>
      </c>
      <c r="AD833" s="389"/>
      <c r="AE833" s="399"/>
      <c r="AF833" s="395"/>
      <c r="AG833" s="396" t="str">
        <f t="shared" si="3"/>
        <v/>
      </c>
      <c r="AH833" s="396" t="str">
        <f t="shared" si="4"/>
        <v/>
      </c>
      <c r="AI833" s="388"/>
      <c r="AJ833" s="388"/>
      <c r="AK833" s="397"/>
    </row>
    <row r="834">
      <c r="A834" s="398"/>
      <c r="B834" s="386"/>
      <c r="C834" s="387" t="str">
        <f>IF(A834="","",IFERROR(IF(VLOOKUP(A834,'1. Inbound Leads'!A:G,7,FALSE)=0,"",VLOOKUP(A834,'1. Inbound Leads'!A:G,7,FALSE)),""))</f>
        <v/>
      </c>
      <c r="D834" s="387" t="str">
        <f>IF(A834="","",IFERROR(IF(VLOOKUP(A834,'1. Inbound Leads'!A:L,12,FALSE)=0,"",VLOOKUP(A834,'1. Inbound Leads'!A:L,12,FALSE)),""))</f>
        <v/>
      </c>
      <c r="E834" s="388"/>
      <c r="F834" s="389"/>
      <c r="G834" s="387"/>
      <c r="H834" s="387"/>
      <c r="I834" s="387"/>
      <c r="J834" s="387"/>
      <c r="K834" s="387"/>
      <c r="L834" s="387"/>
      <c r="M834" s="388"/>
      <c r="N834" s="388"/>
      <c r="O834" s="390"/>
      <c r="P834" s="391"/>
      <c r="Q834" s="389"/>
      <c r="R834" s="390"/>
      <c r="S834" s="390"/>
      <c r="T834" s="391"/>
      <c r="U834" s="392"/>
      <c r="V834" s="391"/>
      <c r="W834" s="391"/>
      <c r="X834" s="388"/>
      <c r="Y834" s="391"/>
      <c r="Z834" s="393"/>
      <c r="AA834" s="355" t="str">
        <f t="shared" si="1"/>
        <v/>
      </c>
      <c r="AB834" s="391"/>
      <c r="AC834" s="394" t="str">
        <f t="shared" si="2"/>
        <v/>
      </c>
      <c r="AD834" s="389"/>
      <c r="AE834" s="399"/>
      <c r="AF834" s="395"/>
      <c r="AG834" s="396" t="str">
        <f t="shared" si="3"/>
        <v/>
      </c>
      <c r="AH834" s="396" t="str">
        <f t="shared" si="4"/>
        <v/>
      </c>
      <c r="AI834" s="388"/>
      <c r="AJ834" s="388"/>
      <c r="AK834" s="397"/>
    </row>
    <row r="835">
      <c r="A835" s="398"/>
      <c r="B835" s="386"/>
      <c r="C835" s="387" t="str">
        <f>IF(A835="","",IFERROR(IF(VLOOKUP(A835,'1. Inbound Leads'!A:G,7,FALSE)=0,"",VLOOKUP(A835,'1. Inbound Leads'!A:G,7,FALSE)),""))</f>
        <v/>
      </c>
      <c r="D835" s="387" t="str">
        <f>IF(A835="","",IFERROR(IF(VLOOKUP(A835,'1. Inbound Leads'!A:L,12,FALSE)=0,"",VLOOKUP(A835,'1. Inbound Leads'!A:L,12,FALSE)),""))</f>
        <v/>
      </c>
      <c r="E835" s="388"/>
      <c r="F835" s="389"/>
      <c r="G835" s="387"/>
      <c r="H835" s="387"/>
      <c r="I835" s="387"/>
      <c r="J835" s="387"/>
      <c r="K835" s="387"/>
      <c r="L835" s="387"/>
      <c r="M835" s="388"/>
      <c r="N835" s="388"/>
      <c r="O835" s="390"/>
      <c r="P835" s="391"/>
      <c r="Q835" s="389"/>
      <c r="R835" s="390"/>
      <c r="S835" s="390"/>
      <c r="T835" s="391"/>
      <c r="U835" s="392"/>
      <c r="V835" s="391"/>
      <c r="W835" s="391"/>
      <c r="X835" s="388"/>
      <c r="Y835" s="391"/>
      <c r="Z835" s="393"/>
      <c r="AA835" s="355" t="str">
        <f t="shared" si="1"/>
        <v/>
      </c>
      <c r="AB835" s="391"/>
      <c r="AC835" s="394" t="str">
        <f t="shared" si="2"/>
        <v/>
      </c>
      <c r="AD835" s="389"/>
      <c r="AE835" s="399"/>
      <c r="AF835" s="395"/>
      <c r="AG835" s="396" t="str">
        <f t="shared" si="3"/>
        <v/>
      </c>
      <c r="AH835" s="396" t="str">
        <f t="shared" si="4"/>
        <v/>
      </c>
      <c r="AI835" s="388"/>
      <c r="AJ835" s="388"/>
      <c r="AK835" s="397"/>
    </row>
    <row r="836">
      <c r="A836" s="398"/>
      <c r="B836" s="386"/>
      <c r="C836" s="387" t="str">
        <f>IF(A836="","",IFERROR(IF(VLOOKUP(A836,'1. Inbound Leads'!A:G,7,FALSE)=0,"",VLOOKUP(A836,'1. Inbound Leads'!A:G,7,FALSE)),""))</f>
        <v/>
      </c>
      <c r="D836" s="387" t="str">
        <f>IF(A836="","",IFERROR(IF(VLOOKUP(A836,'1. Inbound Leads'!A:L,12,FALSE)=0,"",VLOOKUP(A836,'1. Inbound Leads'!A:L,12,FALSE)),""))</f>
        <v/>
      </c>
      <c r="E836" s="388"/>
      <c r="F836" s="389"/>
      <c r="G836" s="387"/>
      <c r="H836" s="387"/>
      <c r="I836" s="387"/>
      <c r="J836" s="387"/>
      <c r="K836" s="387"/>
      <c r="L836" s="387"/>
      <c r="M836" s="388"/>
      <c r="N836" s="388"/>
      <c r="O836" s="390"/>
      <c r="P836" s="391"/>
      <c r="Q836" s="389"/>
      <c r="R836" s="390"/>
      <c r="S836" s="390"/>
      <c r="T836" s="391"/>
      <c r="U836" s="392"/>
      <c r="V836" s="391"/>
      <c r="W836" s="391"/>
      <c r="X836" s="388"/>
      <c r="Y836" s="391"/>
      <c r="Z836" s="393"/>
      <c r="AA836" s="355" t="str">
        <f t="shared" si="1"/>
        <v/>
      </c>
      <c r="AB836" s="391"/>
      <c r="AC836" s="394" t="str">
        <f t="shared" si="2"/>
        <v/>
      </c>
      <c r="AD836" s="389"/>
      <c r="AE836" s="399"/>
      <c r="AF836" s="395"/>
      <c r="AG836" s="396" t="str">
        <f t="shared" si="3"/>
        <v/>
      </c>
      <c r="AH836" s="396" t="str">
        <f t="shared" si="4"/>
        <v/>
      </c>
      <c r="AI836" s="388"/>
      <c r="AJ836" s="388"/>
      <c r="AK836" s="397"/>
    </row>
    <row r="837">
      <c r="A837" s="398"/>
      <c r="B837" s="386"/>
      <c r="C837" s="387" t="str">
        <f>IF(A837="","",IFERROR(IF(VLOOKUP(A837,'1. Inbound Leads'!A:G,7,FALSE)=0,"",VLOOKUP(A837,'1. Inbound Leads'!A:G,7,FALSE)),""))</f>
        <v/>
      </c>
      <c r="D837" s="387" t="str">
        <f>IF(A837="","",IFERROR(IF(VLOOKUP(A837,'1. Inbound Leads'!A:L,12,FALSE)=0,"",VLOOKUP(A837,'1. Inbound Leads'!A:L,12,FALSE)),""))</f>
        <v/>
      </c>
      <c r="E837" s="388"/>
      <c r="F837" s="389"/>
      <c r="G837" s="387"/>
      <c r="H837" s="387"/>
      <c r="I837" s="387"/>
      <c r="J837" s="387"/>
      <c r="K837" s="387"/>
      <c r="L837" s="387"/>
      <c r="M837" s="388"/>
      <c r="N837" s="388"/>
      <c r="O837" s="390"/>
      <c r="P837" s="391"/>
      <c r="Q837" s="389"/>
      <c r="R837" s="390"/>
      <c r="S837" s="390"/>
      <c r="T837" s="391"/>
      <c r="U837" s="392"/>
      <c r="V837" s="391"/>
      <c r="W837" s="391"/>
      <c r="X837" s="388"/>
      <c r="Y837" s="391"/>
      <c r="Z837" s="393"/>
      <c r="AA837" s="355" t="str">
        <f t="shared" si="1"/>
        <v/>
      </c>
      <c r="AB837" s="391"/>
      <c r="AC837" s="394" t="str">
        <f t="shared" si="2"/>
        <v/>
      </c>
      <c r="AD837" s="389"/>
      <c r="AE837" s="399"/>
      <c r="AF837" s="395"/>
      <c r="AG837" s="396" t="str">
        <f t="shared" si="3"/>
        <v/>
      </c>
      <c r="AH837" s="396" t="str">
        <f t="shared" si="4"/>
        <v/>
      </c>
      <c r="AI837" s="388"/>
      <c r="AJ837" s="388"/>
      <c r="AK837" s="397"/>
    </row>
    <row r="838">
      <c r="A838" s="398"/>
      <c r="B838" s="386"/>
      <c r="C838" s="387" t="str">
        <f>IF(A838="","",IFERROR(IF(VLOOKUP(A838,'1. Inbound Leads'!A:G,7,FALSE)=0,"",VLOOKUP(A838,'1. Inbound Leads'!A:G,7,FALSE)),""))</f>
        <v/>
      </c>
      <c r="D838" s="387" t="str">
        <f>IF(A838="","",IFERROR(IF(VLOOKUP(A838,'1. Inbound Leads'!A:L,12,FALSE)=0,"",VLOOKUP(A838,'1. Inbound Leads'!A:L,12,FALSE)),""))</f>
        <v/>
      </c>
      <c r="E838" s="388"/>
      <c r="F838" s="389"/>
      <c r="G838" s="387"/>
      <c r="H838" s="387"/>
      <c r="I838" s="387"/>
      <c r="J838" s="387"/>
      <c r="K838" s="387"/>
      <c r="L838" s="387"/>
      <c r="M838" s="388"/>
      <c r="N838" s="388"/>
      <c r="O838" s="390"/>
      <c r="P838" s="391"/>
      <c r="Q838" s="389"/>
      <c r="R838" s="390"/>
      <c r="S838" s="390"/>
      <c r="T838" s="391"/>
      <c r="U838" s="392"/>
      <c r="V838" s="391"/>
      <c r="W838" s="391"/>
      <c r="X838" s="388"/>
      <c r="Y838" s="391"/>
      <c r="Z838" s="393"/>
      <c r="AA838" s="355" t="str">
        <f t="shared" si="1"/>
        <v/>
      </c>
      <c r="AB838" s="391"/>
      <c r="AC838" s="394" t="str">
        <f t="shared" si="2"/>
        <v/>
      </c>
      <c r="AD838" s="389"/>
      <c r="AE838" s="399"/>
      <c r="AF838" s="395"/>
      <c r="AG838" s="396" t="str">
        <f t="shared" si="3"/>
        <v/>
      </c>
      <c r="AH838" s="396" t="str">
        <f t="shared" si="4"/>
        <v/>
      </c>
      <c r="AI838" s="388"/>
      <c r="AJ838" s="388"/>
      <c r="AK838" s="397"/>
    </row>
    <row r="839">
      <c r="A839" s="398"/>
      <c r="B839" s="386"/>
      <c r="C839" s="387" t="str">
        <f>IF(A839="","",IFERROR(IF(VLOOKUP(A839,'1. Inbound Leads'!A:G,7,FALSE)=0,"",VLOOKUP(A839,'1. Inbound Leads'!A:G,7,FALSE)),""))</f>
        <v/>
      </c>
      <c r="D839" s="387" t="str">
        <f>IF(A839="","",IFERROR(IF(VLOOKUP(A839,'1. Inbound Leads'!A:L,12,FALSE)=0,"",VLOOKUP(A839,'1. Inbound Leads'!A:L,12,FALSE)),""))</f>
        <v/>
      </c>
      <c r="E839" s="388"/>
      <c r="F839" s="389"/>
      <c r="G839" s="387"/>
      <c r="H839" s="387"/>
      <c r="I839" s="387"/>
      <c r="J839" s="387"/>
      <c r="K839" s="387"/>
      <c r="L839" s="387"/>
      <c r="M839" s="388"/>
      <c r="N839" s="388"/>
      <c r="O839" s="390"/>
      <c r="P839" s="391"/>
      <c r="Q839" s="389"/>
      <c r="R839" s="390"/>
      <c r="S839" s="390"/>
      <c r="T839" s="391"/>
      <c r="U839" s="392"/>
      <c r="V839" s="391"/>
      <c r="W839" s="391"/>
      <c r="X839" s="388"/>
      <c r="Y839" s="391"/>
      <c r="Z839" s="393"/>
      <c r="AA839" s="355" t="str">
        <f t="shared" si="1"/>
        <v/>
      </c>
      <c r="AB839" s="391"/>
      <c r="AC839" s="394" t="str">
        <f t="shared" si="2"/>
        <v/>
      </c>
      <c r="AD839" s="389"/>
      <c r="AE839" s="399"/>
      <c r="AF839" s="395"/>
      <c r="AG839" s="396" t="str">
        <f t="shared" si="3"/>
        <v/>
      </c>
      <c r="AH839" s="396" t="str">
        <f t="shared" si="4"/>
        <v/>
      </c>
      <c r="AI839" s="388"/>
      <c r="AJ839" s="388"/>
      <c r="AK839" s="397"/>
    </row>
    <row r="840">
      <c r="A840" s="398"/>
      <c r="B840" s="386"/>
      <c r="C840" s="387" t="str">
        <f>IF(A840="","",IFERROR(IF(VLOOKUP(A840,'1. Inbound Leads'!A:G,7,FALSE)=0,"",VLOOKUP(A840,'1. Inbound Leads'!A:G,7,FALSE)),""))</f>
        <v/>
      </c>
      <c r="D840" s="387" t="str">
        <f>IF(A840="","",IFERROR(IF(VLOOKUP(A840,'1. Inbound Leads'!A:L,12,FALSE)=0,"",VLOOKUP(A840,'1. Inbound Leads'!A:L,12,FALSE)),""))</f>
        <v/>
      </c>
      <c r="E840" s="388"/>
      <c r="F840" s="389"/>
      <c r="G840" s="387"/>
      <c r="H840" s="387"/>
      <c r="I840" s="387"/>
      <c r="J840" s="387"/>
      <c r="K840" s="387"/>
      <c r="L840" s="387"/>
      <c r="M840" s="388"/>
      <c r="N840" s="388"/>
      <c r="O840" s="390"/>
      <c r="P840" s="391"/>
      <c r="Q840" s="389"/>
      <c r="R840" s="390"/>
      <c r="S840" s="390"/>
      <c r="T840" s="391"/>
      <c r="U840" s="392"/>
      <c r="V840" s="391"/>
      <c r="W840" s="391"/>
      <c r="X840" s="388"/>
      <c r="Y840" s="391"/>
      <c r="Z840" s="393"/>
      <c r="AA840" s="355" t="str">
        <f t="shared" si="1"/>
        <v/>
      </c>
      <c r="AB840" s="391"/>
      <c r="AC840" s="394" t="str">
        <f t="shared" si="2"/>
        <v/>
      </c>
      <c r="AD840" s="389"/>
      <c r="AE840" s="399"/>
      <c r="AF840" s="395"/>
      <c r="AG840" s="396" t="str">
        <f t="shared" si="3"/>
        <v/>
      </c>
      <c r="AH840" s="396" t="str">
        <f t="shared" si="4"/>
        <v/>
      </c>
      <c r="AI840" s="388"/>
      <c r="AJ840" s="388"/>
      <c r="AK840" s="397"/>
    </row>
    <row r="841">
      <c r="A841" s="398"/>
      <c r="B841" s="386"/>
      <c r="C841" s="387" t="str">
        <f>IF(A841="","",IFERROR(IF(VLOOKUP(A841,'1. Inbound Leads'!A:G,7,FALSE)=0,"",VLOOKUP(A841,'1. Inbound Leads'!A:G,7,FALSE)),""))</f>
        <v/>
      </c>
      <c r="D841" s="387" t="str">
        <f>IF(A841="","",IFERROR(IF(VLOOKUP(A841,'1. Inbound Leads'!A:L,12,FALSE)=0,"",VLOOKUP(A841,'1. Inbound Leads'!A:L,12,FALSE)),""))</f>
        <v/>
      </c>
      <c r="E841" s="388"/>
      <c r="F841" s="389"/>
      <c r="G841" s="387"/>
      <c r="H841" s="387"/>
      <c r="I841" s="387"/>
      <c r="J841" s="387"/>
      <c r="K841" s="387"/>
      <c r="L841" s="387"/>
      <c r="M841" s="388"/>
      <c r="N841" s="388"/>
      <c r="O841" s="390"/>
      <c r="P841" s="391"/>
      <c r="Q841" s="389"/>
      <c r="R841" s="390"/>
      <c r="S841" s="390"/>
      <c r="T841" s="391"/>
      <c r="U841" s="392"/>
      <c r="V841" s="391"/>
      <c r="W841" s="391"/>
      <c r="X841" s="388"/>
      <c r="Y841" s="391"/>
      <c r="Z841" s="393"/>
      <c r="AA841" s="355" t="str">
        <f t="shared" si="1"/>
        <v/>
      </c>
      <c r="AB841" s="391"/>
      <c r="AC841" s="394" t="str">
        <f t="shared" si="2"/>
        <v/>
      </c>
      <c r="AD841" s="389"/>
      <c r="AE841" s="399"/>
      <c r="AF841" s="395"/>
      <c r="AG841" s="396" t="str">
        <f t="shared" si="3"/>
        <v/>
      </c>
      <c r="AH841" s="396" t="str">
        <f t="shared" si="4"/>
        <v/>
      </c>
      <c r="AI841" s="388"/>
      <c r="AJ841" s="388"/>
      <c r="AK841" s="397"/>
    </row>
    <row r="842">
      <c r="A842" s="398"/>
      <c r="B842" s="386"/>
      <c r="C842" s="387" t="str">
        <f>IF(A842="","",IFERROR(IF(VLOOKUP(A842,'1. Inbound Leads'!A:G,7,FALSE)=0,"",VLOOKUP(A842,'1. Inbound Leads'!A:G,7,FALSE)),""))</f>
        <v/>
      </c>
      <c r="D842" s="387" t="str">
        <f>IF(A842="","",IFERROR(IF(VLOOKUP(A842,'1. Inbound Leads'!A:L,12,FALSE)=0,"",VLOOKUP(A842,'1. Inbound Leads'!A:L,12,FALSE)),""))</f>
        <v/>
      </c>
      <c r="E842" s="388"/>
      <c r="F842" s="389"/>
      <c r="G842" s="387"/>
      <c r="H842" s="387"/>
      <c r="I842" s="387"/>
      <c r="J842" s="387"/>
      <c r="K842" s="387"/>
      <c r="L842" s="387"/>
      <c r="M842" s="388"/>
      <c r="N842" s="388"/>
      <c r="O842" s="390"/>
      <c r="P842" s="391"/>
      <c r="Q842" s="389"/>
      <c r="R842" s="390"/>
      <c r="S842" s="390"/>
      <c r="T842" s="391"/>
      <c r="U842" s="392"/>
      <c r="V842" s="391"/>
      <c r="W842" s="391"/>
      <c r="X842" s="388"/>
      <c r="Y842" s="391"/>
      <c r="Z842" s="393"/>
      <c r="AA842" s="355" t="str">
        <f t="shared" si="1"/>
        <v/>
      </c>
      <c r="AB842" s="391"/>
      <c r="AC842" s="394" t="str">
        <f t="shared" si="2"/>
        <v/>
      </c>
      <c r="AD842" s="389"/>
      <c r="AE842" s="399"/>
      <c r="AF842" s="395"/>
      <c r="AG842" s="396" t="str">
        <f t="shared" si="3"/>
        <v/>
      </c>
      <c r="AH842" s="396" t="str">
        <f t="shared" si="4"/>
        <v/>
      </c>
      <c r="AI842" s="388"/>
      <c r="AJ842" s="388"/>
      <c r="AK842" s="397"/>
    </row>
    <row r="843">
      <c r="A843" s="398"/>
      <c r="B843" s="386"/>
      <c r="C843" s="387" t="str">
        <f>IF(A843="","",IFERROR(IF(VLOOKUP(A843,'1. Inbound Leads'!A:G,7,FALSE)=0,"",VLOOKUP(A843,'1. Inbound Leads'!A:G,7,FALSE)),""))</f>
        <v/>
      </c>
      <c r="D843" s="387" t="str">
        <f>IF(A843="","",IFERROR(IF(VLOOKUP(A843,'1. Inbound Leads'!A:L,12,FALSE)=0,"",VLOOKUP(A843,'1. Inbound Leads'!A:L,12,FALSE)),""))</f>
        <v/>
      </c>
      <c r="E843" s="388"/>
      <c r="F843" s="389"/>
      <c r="G843" s="387"/>
      <c r="H843" s="387"/>
      <c r="I843" s="387"/>
      <c r="J843" s="387"/>
      <c r="K843" s="387"/>
      <c r="L843" s="387"/>
      <c r="M843" s="388"/>
      <c r="N843" s="388"/>
      <c r="O843" s="390"/>
      <c r="P843" s="391"/>
      <c r="Q843" s="389"/>
      <c r="R843" s="390"/>
      <c r="S843" s="390"/>
      <c r="T843" s="391"/>
      <c r="U843" s="392"/>
      <c r="V843" s="391"/>
      <c r="W843" s="391"/>
      <c r="X843" s="388"/>
      <c r="Y843" s="391"/>
      <c r="Z843" s="393"/>
      <c r="AA843" s="355" t="str">
        <f t="shared" si="1"/>
        <v/>
      </c>
      <c r="AB843" s="391"/>
      <c r="AC843" s="394" t="str">
        <f t="shared" si="2"/>
        <v/>
      </c>
      <c r="AD843" s="389"/>
      <c r="AE843" s="399"/>
      <c r="AF843" s="395"/>
      <c r="AG843" s="396" t="str">
        <f t="shared" si="3"/>
        <v/>
      </c>
      <c r="AH843" s="396" t="str">
        <f t="shared" si="4"/>
        <v/>
      </c>
      <c r="AI843" s="388"/>
      <c r="AJ843" s="388"/>
      <c r="AK843" s="397"/>
    </row>
    <row r="844">
      <c r="A844" s="398"/>
      <c r="B844" s="386"/>
      <c r="C844" s="387" t="str">
        <f>IF(A844="","",IFERROR(IF(VLOOKUP(A844,'1. Inbound Leads'!A:G,7,FALSE)=0,"",VLOOKUP(A844,'1. Inbound Leads'!A:G,7,FALSE)),""))</f>
        <v/>
      </c>
      <c r="D844" s="387" t="str">
        <f>IF(A844="","",IFERROR(IF(VLOOKUP(A844,'1. Inbound Leads'!A:L,12,FALSE)=0,"",VLOOKUP(A844,'1. Inbound Leads'!A:L,12,FALSE)),""))</f>
        <v/>
      </c>
      <c r="E844" s="388"/>
      <c r="F844" s="389"/>
      <c r="G844" s="387"/>
      <c r="H844" s="387"/>
      <c r="I844" s="387"/>
      <c r="J844" s="387"/>
      <c r="K844" s="387"/>
      <c r="L844" s="387"/>
      <c r="M844" s="388"/>
      <c r="N844" s="388"/>
      <c r="O844" s="390"/>
      <c r="P844" s="391"/>
      <c r="Q844" s="389"/>
      <c r="R844" s="390"/>
      <c r="S844" s="390"/>
      <c r="T844" s="391"/>
      <c r="U844" s="392"/>
      <c r="V844" s="391"/>
      <c r="W844" s="391"/>
      <c r="X844" s="388"/>
      <c r="Y844" s="391"/>
      <c r="Z844" s="393"/>
      <c r="AA844" s="355" t="str">
        <f t="shared" si="1"/>
        <v/>
      </c>
      <c r="AB844" s="391"/>
      <c r="AC844" s="394" t="str">
        <f t="shared" si="2"/>
        <v/>
      </c>
      <c r="AD844" s="389"/>
      <c r="AE844" s="399"/>
      <c r="AF844" s="395"/>
      <c r="AG844" s="396" t="str">
        <f t="shared" si="3"/>
        <v/>
      </c>
      <c r="AH844" s="396" t="str">
        <f t="shared" si="4"/>
        <v/>
      </c>
      <c r="AI844" s="388"/>
      <c r="AJ844" s="388"/>
      <c r="AK844" s="397"/>
    </row>
    <row r="845">
      <c r="A845" s="398"/>
      <c r="B845" s="386"/>
      <c r="C845" s="387" t="str">
        <f>IF(A845="","",IFERROR(IF(VLOOKUP(A845,'1. Inbound Leads'!A:G,7,FALSE)=0,"",VLOOKUP(A845,'1. Inbound Leads'!A:G,7,FALSE)),""))</f>
        <v/>
      </c>
      <c r="D845" s="387" t="str">
        <f>IF(A845="","",IFERROR(IF(VLOOKUP(A845,'1. Inbound Leads'!A:L,12,FALSE)=0,"",VLOOKUP(A845,'1. Inbound Leads'!A:L,12,FALSE)),""))</f>
        <v/>
      </c>
      <c r="E845" s="388"/>
      <c r="F845" s="389"/>
      <c r="G845" s="387"/>
      <c r="H845" s="387"/>
      <c r="I845" s="387"/>
      <c r="J845" s="387"/>
      <c r="K845" s="387"/>
      <c r="L845" s="387"/>
      <c r="M845" s="388"/>
      <c r="N845" s="388"/>
      <c r="O845" s="390"/>
      <c r="P845" s="391"/>
      <c r="Q845" s="389"/>
      <c r="R845" s="390"/>
      <c r="S845" s="390"/>
      <c r="T845" s="391"/>
      <c r="U845" s="392"/>
      <c r="V845" s="391"/>
      <c r="W845" s="391"/>
      <c r="X845" s="388"/>
      <c r="Y845" s="391"/>
      <c r="Z845" s="393"/>
      <c r="AA845" s="355" t="str">
        <f t="shared" si="1"/>
        <v/>
      </c>
      <c r="AB845" s="391"/>
      <c r="AC845" s="394" t="str">
        <f t="shared" si="2"/>
        <v/>
      </c>
      <c r="AD845" s="389"/>
      <c r="AE845" s="399"/>
      <c r="AF845" s="395"/>
      <c r="AG845" s="396" t="str">
        <f t="shared" si="3"/>
        <v/>
      </c>
      <c r="AH845" s="396" t="str">
        <f t="shared" si="4"/>
        <v/>
      </c>
      <c r="AI845" s="388"/>
      <c r="AJ845" s="388"/>
      <c r="AK845" s="397"/>
    </row>
    <row r="846">
      <c r="A846" s="398"/>
      <c r="B846" s="386"/>
      <c r="C846" s="387" t="str">
        <f>IF(A846="","",IFERROR(IF(VLOOKUP(A846,'1. Inbound Leads'!A:G,7,FALSE)=0,"",VLOOKUP(A846,'1. Inbound Leads'!A:G,7,FALSE)),""))</f>
        <v/>
      </c>
      <c r="D846" s="387" t="str">
        <f>IF(A846="","",IFERROR(IF(VLOOKUP(A846,'1. Inbound Leads'!A:L,12,FALSE)=0,"",VLOOKUP(A846,'1. Inbound Leads'!A:L,12,FALSE)),""))</f>
        <v/>
      </c>
      <c r="E846" s="388"/>
      <c r="F846" s="389"/>
      <c r="G846" s="387"/>
      <c r="H846" s="387"/>
      <c r="I846" s="387"/>
      <c r="J846" s="387"/>
      <c r="K846" s="387"/>
      <c r="L846" s="387"/>
      <c r="M846" s="388"/>
      <c r="N846" s="388"/>
      <c r="O846" s="390"/>
      <c r="P846" s="391"/>
      <c r="Q846" s="389"/>
      <c r="R846" s="390"/>
      <c r="S846" s="390"/>
      <c r="T846" s="391"/>
      <c r="U846" s="392"/>
      <c r="V846" s="391"/>
      <c r="W846" s="391"/>
      <c r="X846" s="388"/>
      <c r="Y846" s="391"/>
      <c r="Z846" s="393"/>
      <c r="AA846" s="355" t="str">
        <f t="shared" si="1"/>
        <v/>
      </c>
      <c r="AB846" s="391"/>
      <c r="AC846" s="394" t="str">
        <f t="shared" si="2"/>
        <v/>
      </c>
      <c r="AD846" s="389"/>
      <c r="AE846" s="399"/>
      <c r="AF846" s="395"/>
      <c r="AG846" s="396" t="str">
        <f t="shared" si="3"/>
        <v/>
      </c>
      <c r="AH846" s="396" t="str">
        <f t="shared" si="4"/>
        <v/>
      </c>
      <c r="AI846" s="388"/>
      <c r="AJ846" s="388"/>
      <c r="AK846" s="397"/>
    </row>
    <row r="847">
      <c r="A847" s="398"/>
      <c r="B847" s="386"/>
      <c r="C847" s="387" t="str">
        <f>IF(A847="","",IFERROR(IF(VLOOKUP(A847,'1. Inbound Leads'!A:G,7,FALSE)=0,"",VLOOKUP(A847,'1. Inbound Leads'!A:G,7,FALSE)),""))</f>
        <v/>
      </c>
      <c r="D847" s="387" t="str">
        <f>IF(A847="","",IFERROR(IF(VLOOKUP(A847,'1. Inbound Leads'!A:L,12,FALSE)=0,"",VLOOKUP(A847,'1. Inbound Leads'!A:L,12,FALSE)),""))</f>
        <v/>
      </c>
      <c r="E847" s="388"/>
      <c r="F847" s="389"/>
      <c r="G847" s="387"/>
      <c r="H847" s="387"/>
      <c r="I847" s="387"/>
      <c r="J847" s="387"/>
      <c r="K847" s="387"/>
      <c r="L847" s="387"/>
      <c r="M847" s="388"/>
      <c r="N847" s="388"/>
      <c r="O847" s="390"/>
      <c r="P847" s="391"/>
      <c r="Q847" s="389"/>
      <c r="R847" s="390"/>
      <c r="S847" s="390"/>
      <c r="T847" s="391"/>
      <c r="U847" s="392"/>
      <c r="V847" s="391"/>
      <c r="W847" s="391"/>
      <c r="X847" s="388"/>
      <c r="Y847" s="391"/>
      <c r="Z847" s="393"/>
      <c r="AA847" s="355" t="str">
        <f t="shared" si="1"/>
        <v/>
      </c>
      <c r="AB847" s="391"/>
      <c r="AC847" s="394" t="str">
        <f t="shared" si="2"/>
        <v/>
      </c>
      <c r="AD847" s="389"/>
      <c r="AE847" s="399"/>
      <c r="AF847" s="395"/>
      <c r="AG847" s="396" t="str">
        <f t="shared" si="3"/>
        <v/>
      </c>
      <c r="AH847" s="396" t="str">
        <f t="shared" si="4"/>
        <v/>
      </c>
      <c r="AI847" s="388"/>
      <c r="AJ847" s="388"/>
      <c r="AK847" s="397"/>
    </row>
    <row r="848">
      <c r="A848" s="398"/>
      <c r="B848" s="386"/>
      <c r="C848" s="387" t="str">
        <f>IF(A848="","",IFERROR(IF(VLOOKUP(A848,'1. Inbound Leads'!A:G,7,FALSE)=0,"",VLOOKUP(A848,'1. Inbound Leads'!A:G,7,FALSE)),""))</f>
        <v/>
      </c>
      <c r="D848" s="387" t="str">
        <f>IF(A848="","",IFERROR(IF(VLOOKUP(A848,'1. Inbound Leads'!A:L,12,FALSE)=0,"",VLOOKUP(A848,'1. Inbound Leads'!A:L,12,FALSE)),""))</f>
        <v/>
      </c>
      <c r="E848" s="388"/>
      <c r="F848" s="389"/>
      <c r="G848" s="387"/>
      <c r="H848" s="387"/>
      <c r="I848" s="387"/>
      <c r="J848" s="387"/>
      <c r="K848" s="387"/>
      <c r="L848" s="387"/>
      <c r="M848" s="388"/>
      <c r="N848" s="388"/>
      <c r="O848" s="390"/>
      <c r="P848" s="391"/>
      <c r="Q848" s="389"/>
      <c r="R848" s="390"/>
      <c r="S848" s="390"/>
      <c r="T848" s="391"/>
      <c r="U848" s="392"/>
      <c r="V848" s="391"/>
      <c r="W848" s="391"/>
      <c r="X848" s="388"/>
      <c r="Y848" s="391"/>
      <c r="Z848" s="393"/>
      <c r="AA848" s="355" t="str">
        <f t="shared" si="1"/>
        <v/>
      </c>
      <c r="AB848" s="391"/>
      <c r="AC848" s="394" t="str">
        <f t="shared" si="2"/>
        <v/>
      </c>
      <c r="AD848" s="389"/>
      <c r="AE848" s="399"/>
      <c r="AF848" s="395"/>
      <c r="AG848" s="396" t="str">
        <f t="shared" si="3"/>
        <v/>
      </c>
      <c r="AH848" s="396" t="str">
        <f t="shared" si="4"/>
        <v/>
      </c>
      <c r="AI848" s="388"/>
      <c r="AJ848" s="388"/>
      <c r="AK848" s="397"/>
    </row>
    <row r="849">
      <c r="A849" s="398"/>
      <c r="B849" s="386"/>
      <c r="C849" s="387" t="str">
        <f>IF(A849="","",IFERROR(IF(VLOOKUP(A849,'1. Inbound Leads'!A:G,7,FALSE)=0,"",VLOOKUP(A849,'1. Inbound Leads'!A:G,7,FALSE)),""))</f>
        <v/>
      </c>
      <c r="D849" s="387" t="str">
        <f>IF(A849="","",IFERROR(IF(VLOOKUP(A849,'1. Inbound Leads'!A:L,12,FALSE)=0,"",VLOOKUP(A849,'1. Inbound Leads'!A:L,12,FALSE)),""))</f>
        <v/>
      </c>
      <c r="E849" s="388"/>
      <c r="F849" s="389"/>
      <c r="G849" s="387"/>
      <c r="H849" s="387"/>
      <c r="I849" s="387"/>
      <c r="J849" s="387"/>
      <c r="K849" s="387"/>
      <c r="L849" s="387"/>
      <c r="M849" s="388"/>
      <c r="N849" s="388"/>
      <c r="O849" s="390"/>
      <c r="P849" s="391"/>
      <c r="Q849" s="389"/>
      <c r="R849" s="390"/>
      <c r="S849" s="390"/>
      <c r="T849" s="391"/>
      <c r="U849" s="392"/>
      <c r="V849" s="391"/>
      <c r="W849" s="391"/>
      <c r="X849" s="388"/>
      <c r="Y849" s="391"/>
      <c r="Z849" s="393"/>
      <c r="AA849" s="355" t="str">
        <f t="shared" si="1"/>
        <v/>
      </c>
      <c r="AB849" s="391"/>
      <c r="AC849" s="394" t="str">
        <f t="shared" si="2"/>
        <v/>
      </c>
      <c r="AD849" s="389"/>
      <c r="AE849" s="399"/>
      <c r="AF849" s="395"/>
      <c r="AG849" s="396" t="str">
        <f t="shared" si="3"/>
        <v/>
      </c>
      <c r="AH849" s="396" t="str">
        <f t="shared" si="4"/>
        <v/>
      </c>
      <c r="AI849" s="388"/>
      <c r="AJ849" s="388"/>
      <c r="AK849" s="397"/>
    </row>
    <row r="850">
      <c r="A850" s="398"/>
      <c r="B850" s="386"/>
      <c r="C850" s="387" t="str">
        <f>IF(A850="","",IFERROR(IF(VLOOKUP(A850,'1. Inbound Leads'!A:G,7,FALSE)=0,"",VLOOKUP(A850,'1. Inbound Leads'!A:G,7,FALSE)),""))</f>
        <v/>
      </c>
      <c r="D850" s="387" t="str">
        <f>IF(A850="","",IFERROR(IF(VLOOKUP(A850,'1. Inbound Leads'!A:L,12,FALSE)=0,"",VLOOKUP(A850,'1. Inbound Leads'!A:L,12,FALSE)),""))</f>
        <v/>
      </c>
      <c r="E850" s="388"/>
      <c r="F850" s="389"/>
      <c r="G850" s="387"/>
      <c r="H850" s="387"/>
      <c r="I850" s="387"/>
      <c r="J850" s="387"/>
      <c r="K850" s="387"/>
      <c r="L850" s="387"/>
      <c r="M850" s="388"/>
      <c r="N850" s="388"/>
      <c r="O850" s="390"/>
      <c r="P850" s="391"/>
      <c r="Q850" s="389"/>
      <c r="R850" s="390"/>
      <c r="S850" s="390"/>
      <c r="T850" s="391"/>
      <c r="U850" s="392"/>
      <c r="V850" s="391"/>
      <c r="W850" s="391"/>
      <c r="X850" s="388"/>
      <c r="Y850" s="391"/>
      <c r="Z850" s="393"/>
      <c r="AA850" s="355" t="str">
        <f t="shared" si="1"/>
        <v/>
      </c>
      <c r="AB850" s="391"/>
      <c r="AC850" s="394" t="str">
        <f t="shared" si="2"/>
        <v/>
      </c>
      <c r="AD850" s="389"/>
      <c r="AE850" s="399"/>
      <c r="AF850" s="395"/>
      <c r="AG850" s="396" t="str">
        <f t="shared" si="3"/>
        <v/>
      </c>
      <c r="AH850" s="396" t="str">
        <f t="shared" si="4"/>
        <v/>
      </c>
      <c r="AI850" s="388"/>
      <c r="AJ850" s="388"/>
      <c r="AK850" s="397"/>
    </row>
    <row r="851">
      <c r="A851" s="398"/>
      <c r="B851" s="386"/>
      <c r="C851" s="387" t="str">
        <f>IF(A851="","",IFERROR(IF(VLOOKUP(A851,'1. Inbound Leads'!A:G,7,FALSE)=0,"",VLOOKUP(A851,'1. Inbound Leads'!A:G,7,FALSE)),""))</f>
        <v/>
      </c>
      <c r="D851" s="387" t="str">
        <f>IF(A851="","",IFERROR(IF(VLOOKUP(A851,'1. Inbound Leads'!A:L,12,FALSE)=0,"",VLOOKUP(A851,'1. Inbound Leads'!A:L,12,FALSE)),""))</f>
        <v/>
      </c>
      <c r="E851" s="388"/>
      <c r="F851" s="389"/>
      <c r="G851" s="387"/>
      <c r="H851" s="387"/>
      <c r="I851" s="387"/>
      <c r="J851" s="387"/>
      <c r="K851" s="387"/>
      <c r="L851" s="387"/>
      <c r="M851" s="388"/>
      <c r="N851" s="388"/>
      <c r="O851" s="390"/>
      <c r="P851" s="391"/>
      <c r="Q851" s="389"/>
      <c r="R851" s="390"/>
      <c r="S851" s="390"/>
      <c r="T851" s="391"/>
      <c r="U851" s="392"/>
      <c r="V851" s="391"/>
      <c r="W851" s="391"/>
      <c r="X851" s="388"/>
      <c r="Y851" s="391"/>
      <c r="Z851" s="393"/>
      <c r="AA851" s="355" t="str">
        <f t="shared" si="1"/>
        <v/>
      </c>
      <c r="AB851" s="391"/>
      <c r="AC851" s="394" t="str">
        <f t="shared" si="2"/>
        <v/>
      </c>
      <c r="AD851" s="389"/>
      <c r="AE851" s="399"/>
      <c r="AF851" s="395"/>
      <c r="AG851" s="396" t="str">
        <f t="shared" si="3"/>
        <v/>
      </c>
      <c r="AH851" s="396" t="str">
        <f t="shared" si="4"/>
        <v/>
      </c>
      <c r="AI851" s="388"/>
      <c r="AJ851" s="388"/>
      <c r="AK851" s="397"/>
    </row>
    <row r="852">
      <c r="A852" s="398"/>
      <c r="B852" s="386"/>
      <c r="C852" s="387" t="str">
        <f>IF(A852="","",IFERROR(IF(VLOOKUP(A852,'1. Inbound Leads'!A:G,7,FALSE)=0,"",VLOOKUP(A852,'1. Inbound Leads'!A:G,7,FALSE)),""))</f>
        <v/>
      </c>
      <c r="D852" s="387" t="str">
        <f>IF(A852="","",IFERROR(IF(VLOOKUP(A852,'1. Inbound Leads'!A:L,12,FALSE)=0,"",VLOOKUP(A852,'1. Inbound Leads'!A:L,12,FALSE)),""))</f>
        <v/>
      </c>
      <c r="E852" s="388"/>
      <c r="F852" s="389"/>
      <c r="G852" s="387"/>
      <c r="H852" s="387"/>
      <c r="I852" s="387"/>
      <c r="J852" s="387"/>
      <c r="K852" s="387"/>
      <c r="L852" s="387"/>
      <c r="M852" s="388"/>
      <c r="N852" s="388"/>
      <c r="O852" s="390"/>
      <c r="P852" s="391"/>
      <c r="Q852" s="389"/>
      <c r="R852" s="390"/>
      <c r="S852" s="390"/>
      <c r="T852" s="391"/>
      <c r="U852" s="392"/>
      <c r="V852" s="391"/>
      <c r="W852" s="391"/>
      <c r="X852" s="388"/>
      <c r="Y852" s="391"/>
      <c r="Z852" s="393"/>
      <c r="AA852" s="355" t="str">
        <f t="shared" si="1"/>
        <v/>
      </c>
      <c r="AB852" s="391"/>
      <c r="AC852" s="394" t="str">
        <f t="shared" si="2"/>
        <v/>
      </c>
      <c r="AD852" s="389"/>
      <c r="AE852" s="399"/>
      <c r="AF852" s="395"/>
      <c r="AG852" s="396" t="str">
        <f t="shared" si="3"/>
        <v/>
      </c>
      <c r="AH852" s="396" t="str">
        <f t="shared" si="4"/>
        <v/>
      </c>
      <c r="AI852" s="388"/>
      <c r="AJ852" s="388"/>
      <c r="AK852" s="397"/>
    </row>
    <row r="853">
      <c r="A853" s="398"/>
      <c r="B853" s="386"/>
      <c r="C853" s="387" t="str">
        <f>IF(A853="","",IFERROR(IF(VLOOKUP(A853,'1. Inbound Leads'!A:G,7,FALSE)=0,"",VLOOKUP(A853,'1. Inbound Leads'!A:G,7,FALSE)),""))</f>
        <v/>
      </c>
      <c r="D853" s="387" t="str">
        <f>IF(A853="","",IFERROR(IF(VLOOKUP(A853,'1. Inbound Leads'!A:L,12,FALSE)=0,"",VLOOKUP(A853,'1. Inbound Leads'!A:L,12,FALSE)),""))</f>
        <v/>
      </c>
      <c r="E853" s="388"/>
      <c r="F853" s="389"/>
      <c r="G853" s="387"/>
      <c r="H853" s="387"/>
      <c r="I853" s="387"/>
      <c r="J853" s="387"/>
      <c r="K853" s="387"/>
      <c r="L853" s="387"/>
      <c r="M853" s="388"/>
      <c r="N853" s="388"/>
      <c r="O853" s="390"/>
      <c r="P853" s="391"/>
      <c r="Q853" s="389"/>
      <c r="R853" s="390"/>
      <c r="S853" s="390"/>
      <c r="T853" s="391"/>
      <c r="U853" s="392"/>
      <c r="V853" s="391"/>
      <c r="W853" s="391"/>
      <c r="X853" s="388"/>
      <c r="Y853" s="391"/>
      <c r="Z853" s="393"/>
      <c r="AA853" s="355" t="str">
        <f t="shared" si="1"/>
        <v/>
      </c>
      <c r="AB853" s="391"/>
      <c r="AC853" s="394" t="str">
        <f t="shared" si="2"/>
        <v/>
      </c>
      <c r="AD853" s="389"/>
      <c r="AE853" s="399"/>
      <c r="AF853" s="395"/>
      <c r="AG853" s="396" t="str">
        <f t="shared" si="3"/>
        <v/>
      </c>
      <c r="AH853" s="396" t="str">
        <f t="shared" si="4"/>
        <v/>
      </c>
      <c r="AI853" s="388"/>
      <c r="AJ853" s="388"/>
      <c r="AK853" s="397"/>
    </row>
    <row r="854">
      <c r="A854" s="398"/>
      <c r="B854" s="386"/>
      <c r="C854" s="387" t="str">
        <f>IF(A854="","",IFERROR(IF(VLOOKUP(A854,'1. Inbound Leads'!A:G,7,FALSE)=0,"",VLOOKUP(A854,'1. Inbound Leads'!A:G,7,FALSE)),""))</f>
        <v/>
      </c>
      <c r="D854" s="387" t="str">
        <f>IF(A854="","",IFERROR(IF(VLOOKUP(A854,'1. Inbound Leads'!A:L,12,FALSE)=0,"",VLOOKUP(A854,'1. Inbound Leads'!A:L,12,FALSE)),""))</f>
        <v/>
      </c>
      <c r="E854" s="388"/>
      <c r="F854" s="389"/>
      <c r="G854" s="387"/>
      <c r="H854" s="387"/>
      <c r="I854" s="387"/>
      <c r="J854" s="387"/>
      <c r="K854" s="387"/>
      <c r="L854" s="387"/>
      <c r="M854" s="388"/>
      <c r="N854" s="388"/>
      <c r="O854" s="390"/>
      <c r="P854" s="391"/>
      <c r="Q854" s="389"/>
      <c r="R854" s="390"/>
      <c r="S854" s="390"/>
      <c r="T854" s="391"/>
      <c r="U854" s="392"/>
      <c r="V854" s="391"/>
      <c r="W854" s="391"/>
      <c r="X854" s="388"/>
      <c r="Y854" s="391"/>
      <c r="Z854" s="393"/>
      <c r="AA854" s="355" t="str">
        <f t="shared" si="1"/>
        <v/>
      </c>
      <c r="AB854" s="391"/>
      <c r="AC854" s="394" t="str">
        <f t="shared" si="2"/>
        <v/>
      </c>
      <c r="AD854" s="389"/>
      <c r="AE854" s="399"/>
      <c r="AF854" s="395"/>
      <c r="AG854" s="396" t="str">
        <f t="shared" si="3"/>
        <v/>
      </c>
      <c r="AH854" s="396" t="str">
        <f t="shared" si="4"/>
        <v/>
      </c>
      <c r="AI854" s="388"/>
      <c r="AJ854" s="388"/>
      <c r="AK854" s="397"/>
    </row>
    <row r="855">
      <c r="A855" s="398"/>
      <c r="B855" s="386"/>
      <c r="C855" s="387" t="str">
        <f>IF(A855="","",IFERROR(IF(VLOOKUP(A855,'1. Inbound Leads'!A:G,7,FALSE)=0,"",VLOOKUP(A855,'1. Inbound Leads'!A:G,7,FALSE)),""))</f>
        <v/>
      </c>
      <c r="D855" s="387" t="str">
        <f>IF(A855="","",IFERROR(IF(VLOOKUP(A855,'1. Inbound Leads'!A:L,12,FALSE)=0,"",VLOOKUP(A855,'1. Inbound Leads'!A:L,12,FALSE)),""))</f>
        <v/>
      </c>
      <c r="E855" s="388"/>
      <c r="F855" s="389"/>
      <c r="G855" s="387"/>
      <c r="H855" s="387"/>
      <c r="I855" s="387"/>
      <c r="J855" s="387"/>
      <c r="K855" s="387"/>
      <c r="L855" s="387"/>
      <c r="M855" s="388"/>
      <c r="N855" s="388"/>
      <c r="O855" s="390"/>
      <c r="P855" s="391"/>
      <c r="Q855" s="389"/>
      <c r="R855" s="390"/>
      <c r="S855" s="390"/>
      <c r="T855" s="391"/>
      <c r="U855" s="392"/>
      <c r="V855" s="391"/>
      <c r="W855" s="391"/>
      <c r="X855" s="388"/>
      <c r="Y855" s="391"/>
      <c r="Z855" s="393"/>
      <c r="AA855" s="355" t="str">
        <f t="shared" si="1"/>
        <v/>
      </c>
      <c r="AB855" s="391"/>
      <c r="AC855" s="394" t="str">
        <f t="shared" si="2"/>
        <v/>
      </c>
      <c r="AD855" s="389"/>
      <c r="AE855" s="399"/>
      <c r="AF855" s="395"/>
      <c r="AG855" s="396" t="str">
        <f t="shared" si="3"/>
        <v/>
      </c>
      <c r="AH855" s="396" t="str">
        <f t="shared" si="4"/>
        <v/>
      </c>
      <c r="AI855" s="388"/>
      <c r="AJ855" s="388"/>
      <c r="AK855" s="397"/>
    </row>
    <row r="856">
      <c r="A856" s="398"/>
      <c r="B856" s="386"/>
      <c r="C856" s="387" t="str">
        <f>IF(A856="","",IFERROR(IF(VLOOKUP(A856,'1. Inbound Leads'!A:G,7,FALSE)=0,"",VLOOKUP(A856,'1. Inbound Leads'!A:G,7,FALSE)),""))</f>
        <v/>
      </c>
      <c r="D856" s="387" t="str">
        <f>IF(A856="","",IFERROR(IF(VLOOKUP(A856,'1. Inbound Leads'!A:L,12,FALSE)=0,"",VLOOKUP(A856,'1. Inbound Leads'!A:L,12,FALSE)),""))</f>
        <v/>
      </c>
      <c r="E856" s="388"/>
      <c r="F856" s="389"/>
      <c r="G856" s="387"/>
      <c r="H856" s="387"/>
      <c r="I856" s="387"/>
      <c r="J856" s="387"/>
      <c r="K856" s="387"/>
      <c r="L856" s="387"/>
      <c r="M856" s="388"/>
      <c r="N856" s="388"/>
      <c r="O856" s="390"/>
      <c r="P856" s="391"/>
      <c r="Q856" s="389"/>
      <c r="R856" s="390"/>
      <c r="S856" s="390"/>
      <c r="T856" s="391"/>
      <c r="U856" s="392"/>
      <c r="V856" s="391"/>
      <c r="W856" s="391"/>
      <c r="X856" s="388"/>
      <c r="Y856" s="391"/>
      <c r="Z856" s="393"/>
      <c r="AA856" s="355" t="str">
        <f t="shared" si="1"/>
        <v/>
      </c>
      <c r="AB856" s="391"/>
      <c r="AC856" s="394" t="str">
        <f t="shared" si="2"/>
        <v/>
      </c>
      <c r="AD856" s="389"/>
      <c r="AE856" s="399"/>
      <c r="AF856" s="395"/>
      <c r="AG856" s="396" t="str">
        <f t="shared" si="3"/>
        <v/>
      </c>
      <c r="AH856" s="396" t="str">
        <f t="shared" si="4"/>
        <v/>
      </c>
      <c r="AI856" s="388"/>
      <c r="AJ856" s="388"/>
      <c r="AK856" s="397"/>
    </row>
    <row r="857">
      <c r="A857" s="398"/>
      <c r="B857" s="386"/>
      <c r="C857" s="387" t="str">
        <f>IF(A857="","",IFERROR(IF(VLOOKUP(A857,'1. Inbound Leads'!A:G,7,FALSE)=0,"",VLOOKUP(A857,'1. Inbound Leads'!A:G,7,FALSE)),""))</f>
        <v/>
      </c>
      <c r="D857" s="387" t="str">
        <f>IF(A857="","",IFERROR(IF(VLOOKUP(A857,'1. Inbound Leads'!A:L,12,FALSE)=0,"",VLOOKUP(A857,'1. Inbound Leads'!A:L,12,FALSE)),""))</f>
        <v/>
      </c>
      <c r="E857" s="388"/>
      <c r="F857" s="389"/>
      <c r="G857" s="387"/>
      <c r="H857" s="387"/>
      <c r="I857" s="387"/>
      <c r="J857" s="387"/>
      <c r="K857" s="387"/>
      <c r="L857" s="387"/>
      <c r="M857" s="388"/>
      <c r="N857" s="388"/>
      <c r="O857" s="390"/>
      <c r="P857" s="391"/>
      <c r="Q857" s="389"/>
      <c r="R857" s="390"/>
      <c r="S857" s="390"/>
      <c r="T857" s="391"/>
      <c r="U857" s="392"/>
      <c r="V857" s="391"/>
      <c r="W857" s="391"/>
      <c r="X857" s="388"/>
      <c r="Y857" s="391"/>
      <c r="Z857" s="393"/>
      <c r="AA857" s="355" t="str">
        <f t="shared" si="1"/>
        <v/>
      </c>
      <c r="AB857" s="391"/>
      <c r="AC857" s="394" t="str">
        <f t="shared" si="2"/>
        <v/>
      </c>
      <c r="AD857" s="389"/>
      <c r="AE857" s="399"/>
      <c r="AF857" s="395"/>
      <c r="AG857" s="396" t="str">
        <f t="shared" si="3"/>
        <v/>
      </c>
      <c r="AH857" s="396" t="str">
        <f t="shared" si="4"/>
        <v/>
      </c>
      <c r="AI857" s="388"/>
      <c r="AJ857" s="388"/>
      <c r="AK857" s="397"/>
    </row>
    <row r="858">
      <c r="A858" s="398"/>
      <c r="B858" s="386"/>
      <c r="C858" s="387" t="str">
        <f>IF(A858="","",IFERROR(IF(VLOOKUP(A858,'1. Inbound Leads'!A:G,7,FALSE)=0,"",VLOOKUP(A858,'1. Inbound Leads'!A:G,7,FALSE)),""))</f>
        <v/>
      </c>
      <c r="D858" s="387" t="str">
        <f>IF(A858="","",IFERROR(IF(VLOOKUP(A858,'1. Inbound Leads'!A:L,12,FALSE)=0,"",VLOOKUP(A858,'1. Inbound Leads'!A:L,12,FALSE)),""))</f>
        <v/>
      </c>
      <c r="E858" s="388"/>
      <c r="F858" s="389"/>
      <c r="G858" s="387"/>
      <c r="H858" s="387"/>
      <c r="I858" s="387"/>
      <c r="J858" s="387"/>
      <c r="K858" s="387"/>
      <c r="L858" s="387"/>
      <c r="M858" s="388"/>
      <c r="N858" s="388"/>
      <c r="O858" s="390"/>
      <c r="P858" s="391"/>
      <c r="Q858" s="389"/>
      <c r="R858" s="390"/>
      <c r="S858" s="390"/>
      <c r="T858" s="391"/>
      <c r="U858" s="392"/>
      <c r="V858" s="391"/>
      <c r="W858" s="391"/>
      <c r="X858" s="388"/>
      <c r="Y858" s="391"/>
      <c r="Z858" s="393"/>
      <c r="AA858" s="355" t="str">
        <f t="shared" si="1"/>
        <v/>
      </c>
      <c r="AB858" s="391"/>
      <c r="AC858" s="394" t="str">
        <f t="shared" si="2"/>
        <v/>
      </c>
      <c r="AD858" s="389"/>
      <c r="AE858" s="399"/>
      <c r="AF858" s="395"/>
      <c r="AG858" s="396" t="str">
        <f t="shared" si="3"/>
        <v/>
      </c>
      <c r="AH858" s="396" t="str">
        <f t="shared" si="4"/>
        <v/>
      </c>
      <c r="AI858" s="388"/>
      <c r="AJ858" s="388"/>
      <c r="AK858" s="397"/>
    </row>
    <row r="859">
      <c r="A859" s="398"/>
      <c r="B859" s="386"/>
      <c r="C859" s="387" t="str">
        <f>IF(A859="","",IFERROR(IF(VLOOKUP(A859,'1. Inbound Leads'!A:G,7,FALSE)=0,"",VLOOKUP(A859,'1. Inbound Leads'!A:G,7,FALSE)),""))</f>
        <v/>
      </c>
      <c r="D859" s="387" t="str">
        <f>IF(A859="","",IFERROR(IF(VLOOKUP(A859,'1. Inbound Leads'!A:L,12,FALSE)=0,"",VLOOKUP(A859,'1. Inbound Leads'!A:L,12,FALSE)),""))</f>
        <v/>
      </c>
      <c r="E859" s="388"/>
      <c r="F859" s="389"/>
      <c r="G859" s="387"/>
      <c r="H859" s="387"/>
      <c r="I859" s="387"/>
      <c r="J859" s="387"/>
      <c r="K859" s="387"/>
      <c r="L859" s="387"/>
      <c r="M859" s="388"/>
      <c r="N859" s="388"/>
      <c r="O859" s="390"/>
      <c r="P859" s="391"/>
      <c r="Q859" s="389"/>
      <c r="R859" s="390"/>
      <c r="S859" s="390"/>
      <c r="T859" s="391"/>
      <c r="U859" s="392"/>
      <c r="V859" s="391"/>
      <c r="W859" s="391"/>
      <c r="X859" s="388"/>
      <c r="Y859" s="391"/>
      <c r="Z859" s="393"/>
      <c r="AA859" s="355" t="str">
        <f t="shared" si="1"/>
        <v/>
      </c>
      <c r="AB859" s="391"/>
      <c r="AC859" s="394" t="str">
        <f t="shared" si="2"/>
        <v/>
      </c>
      <c r="AD859" s="389"/>
      <c r="AE859" s="399"/>
      <c r="AF859" s="395"/>
      <c r="AG859" s="396" t="str">
        <f t="shared" si="3"/>
        <v/>
      </c>
      <c r="AH859" s="396" t="str">
        <f t="shared" si="4"/>
        <v/>
      </c>
      <c r="AI859" s="388"/>
      <c r="AJ859" s="388"/>
      <c r="AK859" s="397"/>
    </row>
    <row r="860">
      <c r="A860" s="398"/>
      <c r="B860" s="386"/>
      <c r="C860" s="387" t="str">
        <f>IF(A860="","",IFERROR(IF(VLOOKUP(A860,'1. Inbound Leads'!A:G,7,FALSE)=0,"",VLOOKUP(A860,'1. Inbound Leads'!A:G,7,FALSE)),""))</f>
        <v/>
      </c>
      <c r="D860" s="387" t="str">
        <f>IF(A860="","",IFERROR(IF(VLOOKUP(A860,'1. Inbound Leads'!A:L,12,FALSE)=0,"",VLOOKUP(A860,'1. Inbound Leads'!A:L,12,FALSE)),""))</f>
        <v/>
      </c>
      <c r="E860" s="388"/>
      <c r="F860" s="389"/>
      <c r="G860" s="387"/>
      <c r="H860" s="387"/>
      <c r="I860" s="387"/>
      <c r="J860" s="387"/>
      <c r="K860" s="387"/>
      <c r="L860" s="387"/>
      <c r="M860" s="388"/>
      <c r="N860" s="388"/>
      <c r="O860" s="390"/>
      <c r="P860" s="391"/>
      <c r="Q860" s="389"/>
      <c r="R860" s="390"/>
      <c r="S860" s="390"/>
      <c r="T860" s="391"/>
      <c r="U860" s="392"/>
      <c r="V860" s="391"/>
      <c r="W860" s="391"/>
      <c r="X860" s="388"/>
      <c r="Y860" s="391"/>
      <c r="Z860" s="393"/>
      <c r="AA860" s="355" t="str">
        <f t="shared" si="1"/>
        <v/>
      </c>
      <c r="AB860" s="391"/>
      <c r="AC860" s="394" t="str">
        <f t="shared" si="2"/>
        <v/>
      </c>
      <c r="AD860" s="389"/>
      <c r="AE860" s="399"/>
      <c r="AF860" s="395"/>
      <c r="AG860" s="396" t="str">
        <f t="shared" si="3"/>
        <v/>
      </c>
      <c r="AH860" s="396" t="str">
        <f t="shared" si="4"/>
        <v/>
      </c>
      <c r="AI860" s="388"/>
      <c r="AJ860" s="388"/>
      <c r="AK860" s="397"/>
    </row>
    <row r="861">
      <c r="A861" s="398"/>
      <c r="B861" s="386"/>
      <c r="C861" s="387" t="str">
        <f>IF(A861="","",IFERROR(IF(VLOOKUP(A861,'1. Inbound Leads'!A:G,7,FALSE)=0,"",VLOOKUP(A861,'1. Inbound Leads'!A:G,7,FALSE)),""))</f>
        <v/>
      </c>
      <c r="D861" s="387" t="str">
        <f>IF(A861="","",IFERROR(IF(VLOOKUP(A861,'1. Inbound Leads'!A:L,12,FALSE)=0,"",VLOOKUP(A861,'1. Inbound Leads'!A:L,12,FALSE)),""))</f>
        <v/>
      </c>
      <c r="E861" s="388"/>
      <c r="F861" s="389"/>
      <c r="G861" s="387"/>
      <c r="H861" s="387"/>
      <c r="I861" s="387"/>
      <c r="J861" s="387"/>
      <c r="K861" s="387"/>
      <c r="L861" s="387"/>
      <c r="M861" s="388"/>
      <c r="N861" s="388"/>
      <c r="O861" s="390"/>
      <c r="P861" s="391"/>
      <c r="Q861" s="389"/>
      <c r="R861" s="390"/>
      <c r="S861" s="390"/>
      <c r="T861" s="391"/>
      <c r="U861" s="392"/>
      <c r="V861" s="391"/>
      <c r="W861" s="391"/>
      <c r="X861" s="388"/>
      <c r="Y861" s="391"/>
      <c r="Z861" s="393"/>
      <c r="AA861" s="355" t="str">
        <f t="shared" si="1"/>
        <v/>
      </c>
      <c r="AB861" s="391"/>
      <c r="AC861" s="394" t="str">
        <f t="shared" si="2"/>
        <v/>
      </c>
      <c r="AD861" s="389"/>
      <c r="AE861" s="399"/>
      <c r="AF861" s="395"/>
      <c r="AG861" s="396" t="str">
        <f t="shared" si="3"/>
        <v/>
      </c>
      <c r="AH861" s="396" t="str">
        <f t="shared" si="4"/>
        <v/>
      </c>
      <c r="AI861" s="388"/>
      <c r="AJ861" s="388"/>
      <c r="AK861" s="397"/>
    </row>
    <row r="862">
      <c r="A862" s="398"/>
      <c r="B862" s="386"/>
      <c r="C862" s="387" t="str">
        <f>IF(A862="","",IFERROR(IF(VLOOKUP(A862,'1. Inbound Leads'!A:G,7,FALSE)=0,"",VLOOKUP(A862,'1. Inbound Leads'!A:G,7,FALSE)),""))</f>
        <v/>
      </c>
      <c r="D862" s="387" t="str">
        <f>IF(A862="","",IFERROR(IF(VLOOKUP(A862,'1. Inbound Leads'!A:L,12,FALSE)=0,"",VLOOKUP(A862,'1. Inbound Leads'!A:L,12,FALSE)),""))</f>
        <v/>
      </c>
      <c r="E862" s="388"/>
      <c r="F862" s="389"/>
      <c r="G862" s="387"/>
      <c r="H862" s="387"/>
      <c r="I862" s="387"/>
      <c r="J862" s="387"/>
      <c r="K862" s="387"/>
      <c r="L862" s="387"/>
      <c r="M862" s="388"/>
      <c r="N862" s="388"/>
      <c r="O862" s="390"/>
      <c r="P862" s="391"/>
      <c r="Q862" s="389"/>
      <c r="R862" s="390"/>
      <c r="S862" s="390"/>
      <c r="T862" s="391"/>
      <c r="U862" s="392"/>
      <c r="V862" s="391"/>
      <c r="W862" s="391"/>
      <c r="X862" s="388"/>
      <c r="Y862" s="391"/>
      <c r="Z862" s="393"/>
      <c r="AA862" s="355" t="str">
        <f t="shared" si="1"/>
        <v/>
      </c>
      <c r="AB862" s="391"/>
      <c r="AC862" s="394" t="str">
        <f t="shared" si="2"/>
        <v/>
      </c>
      <c r="AD862" s="389"/>
      <c r="AE862" s="399"/>
      <c r="AF862" s="395"/>
      <c r="AG862" s="396" t="str">
        <f t="shared" si="3"/>
        <v/>
      </c>
      <c r="AH862" s="396" t="str">
        <f t="shared" si="4"/>
        <v/>
      </c>
      <c r="AI862" s="388"/>
      <c r="AJ862" s="388"/>
      <c r="AK862" s="397"/>
    </row>
    <row r="863">
      <c r="A863" s="398"/>
      <c r="B863" s="386"/>
      <c r="C863" s="387" t="str">
        <f>IF(A863="","",IFERROR(IF(VLOOKUP(A863,'1. Inbound Leads'!A:G,7,FALSE)=0,"",VLOOKUP(A863,'1. Inbound Leads'!A:G,7,FALSE)),""))</f>
        <v/>
      </c>
      <c r="D863" s="387" t="str">
        <f>IF(A863="","",IFERROR(IF(VLOOKUP(A863,'1. Inbound Leads'!A:L,12,FALSE)=0,"",VLOOKUP(A863,'1. Inbound Leads'!A:L,12,FALSE)),""))</f>
        <v/>
      </c>
      <c r="E863" s="388"/>
      <c r="F863" s="389"/>
      <c r="G863" s="387"/>
      <c r="H863" s="387"/>
      <c r="I863" s="387"/>
      <c r="J863" s="387"/>
      <c r="K863" s="387"/>
      <c r="L863" s="387"/>
      <c r="M863" s="388"/>
      <c r="N863" s="388"/>
      <c r="O863" s="390"/>
      <c r="P863" s="391"/>
      <c r="Q863" s="389"/>
      <c r="R863" s="390"/>
      <c r="S863" s="390"/>
      <c r="T863" s="391"/>
      <c r="U863" s="392"/>
      <c r="V863" s="391"/>
      <c r="W863" s="391"/>
      <c r="X863" s="388"/>
      <c r="Y863" s="391"/>
      <c r="Z863" s="393"/>
      <c r="AA863" s="355" t="str">
        <f t="shared" si="1"/>
        <v/>
      </c>
      <c r="AB863" s="391"/>
      <c r="AC863" s="394" t="str">
        <f t="shared" si="2"/>
        <v/>
      </c>
      <c r="AD863" s="389"/>
      <c r="AE863" s="399"/>
      <c r="AF863" s="395"/>
      <c r="AG863" s="396" t="str">
        <f t="shared" si="3"/>
        <v/>
      </c>
      <c r="AH863" s="396" t="str">
        <f t="shared" si="4"/>
        <v/>
      </c>
      <c r="AI863" s="388"/>
      <c r="AJ863" s="388"/>
      <c r="AK863" s="397"/>
    </row>
    <row r="864">
      <c r="A864" s="398"/>
      <c r="B864" s="386"/>
      <c r="C864" s="387" t="str">
        <f>IF(A864="","",IFERROR(IF(VLOOKUP(A864,'1. Inbound Leads'!A:G,7,FALSE)=0,"",VLOOKUP(A864,'1. Inbound Leads'!A:G,7,FALSE)),""))</f>
        <v/>
      </c>
      <c r="D864" s="387" t="str">
        <f>IF(A864="","",IFERROR(IF(VLOOKUP(A864,'1. Inbound Leads'!A:L,12,FALSE)=0,"",VLOOKUP(A864,'1. Inbound Leads'!A:L,12,FALSE)),""))</f>
        <v/>
      </c>
      <c r="E864" s="388"/>
      <c r="F864" s="389"/>
      <c r="G864" s="387"/>
      <c r="H864" s="387"/>
      <c r="I864" s="387"/>
      <c r="J864" s="387"/>
      <c r="K864" s="387"/>
      <c r="L864" s="387"/>
      <c r="M864" s="388"/>
      <c r="N864" s="388"/>
      <c r="O864" s="390"/>
      <c r="P864" s="391"/>
      <c r="Q864" s="389"/>
      <c r="R864" s="390"/>
      <c r="S864" s="390"/>
      <c r="T864" s="391"/>
      <c r="U864" s="392"/>
      <c r="V864" s="391"/>
      <c r="W864" s="391"/>
      <c r="X864" s="388"/>
      <c r="Y864" s="391"/>
      <c r="Z864" s="393"/>
      <c r="AA864" s="355" t="str">
        <f t="shared" si="1"/>
        <v/>
      </c>
      <c r="AB864" s="391"/>
      <c r="AC864" s="394" t="str">
        <f t="shared" si="2"/>
        <v/>
      </c>
      <c r="AD864" s="389"/>
      <c r="AE864" s="399"/>
      <c r="AF864" s="395"/>
      <c r="AG864" s="396" t="str">
        <f t="shared" si="3"/>
        <v/>
      </c>
      <c r="AH864" s="396" t="str">
        <f t="shared" si="4"/>
        <v/>
      </c>
      <c r="AI864" s="388"/>
      <c r="AJ864" s="388"/>
      <c r="AK864" s="397"/>
    </row>
    <row r="865">
      <c r="A865" s="398"/>
      <c r="B865" s="386"/>
      <c r="C865" s="387" t="str">
        <f>IF(A865="","",IFERROR(IF(VLOOKUP(A865,'1. Inbound Leads'!A:G,7,FALSE)=0,"",VLOOKUP(A865,'1. Inbound Leads'!A:G,7,FALSE)),""))</f>
        <v/>
      </c>
      <c r="D865" s="387" t="str">
        <f>IF(A865="","",IFERROR(IF(VLOOKUP(A865,'1. Inbound Leads'!A:L,12,FALSE)=0,"",VLOOKUP(A865,'1. Inbound Leads'!A:L,12,FALSE)),""))</f>
        <v/>
      </c>
      <c r="E865" s="388"/>
      <c r="F865" s="389"/>
      <c r="G865" s="387"/>
      <c r="H865" s="387"/>
      <c r="I865" s="387"/>
      <c r="J865" s="387"/>
      <c r="K865" s="387"/>
      <c r="L865" s="387"/>
      <c r="M865" s="388"/>
      <c r="N865" s="388"/>
      <c r="O865" s="390"/>
      <c r="P865" s="391"/>
      <c r="Q865" s="389"/>
      <c r="R865" s="390"/>
      <c r="S865" s="390"/>
      <c r="T865" s="391"/>
      <c r="U865" s="392"/>
      <c r="V865" s="391"/>
      <c r="W865" s="391"/>
      <c r="X865" s="388"/>
      <c r="Y865" s="391"/>
      <c r="Z865" s="393"/>
      <c r="AA865" s="355" t="str">
        <f t="shared" si="1"/>
        <v/>
      </c>
      <c r="AB865" s="391"/>
      <c r="AC865" s="394" t="str">
        <f t="shared" si="2"/>
        <v/>
      </c>
      <c r="AD865" s="389"/>
      <c r="AE865" s="399"/>
      <c r="AF865" s="395"/>
      <c r="AG865" s="396" t="str">
        <f t="shared" si="3"/>
        <v/>
      </c>
      <c r="AH865" s="396" t="str">
        <f t="shared" si="4"/>
        <v/>
      </c>
      <c r="AI865" s="388"/>
      <c r="AJ865" s="388"/>
      <c r="AK865" s="397"/>
    </row>
    <row r="866">
      <c r="A866" s="398"/>
      <c r="B866" s="386"/>
      <c r="C866" s="387" t="str">
        <f>IF(A866="","",IFERROR(IF(VLOOKUP(A866,'1. Inbound Leads'!A:G,7,FALSE)=0,"",VLOOKUP(A866,'1. Inbound Leads'!A:G,7,FALSE)),""))</f>
        <v/>
      </c>
      <c r="D866" s="387" t="str">
        <f>IF(A866="","",IFERROR(IF(VLOOKUP(A866,'1. Inbound Leads'!A:L,12,FALSE)=0,"",VLOOKUP(A866,'1. Inbound Leads'!A:L,12,FALSE)),""))</f>
        <v/>
      </c>
      <c r="E866" s="388"/>
      <c r="F866" s="389"/>
      <c r="G866" s="387"/>
      <c r="H866" s="387"/>
      <c r="I866" s="387"/>
      <c r="J866" s="387"/>
      <c r="K866" s="387"/>
      <c r="L866" s="387"/>
      <c r="M866" s="388"/>
      <c r="N866" s="388"/>
      <c r="O866" s="390"/>
      <c r="P866" s="391"/>
      <c r="Q866" s="389"/>
      <c r="R866" s="390"/>
      <c r="S866" s="390"/>
      <c r="T866" s="391"/>
      <c r="U866" s="392"/>
      <c r="V866" s="391"/>
      <c r="W866" s="391"/>
      <c r="X866" s="388"/>
      <c r="Y866" s="391"/>
      <c r="Z866" s="393"/>
      <c r="AA866" s="355" t="str">
        <f t="shared" si="1"/>
        <v/>
      </c>
      <c r="AB866" s="391"/>
      <c r="AC866" s="394" t="str">
        <f t="shared" si="2"/>
        <v/>
      </c>
      <c r="AD866" s="389"/>
      <c r="AE866" s="399"/>
      <c r="AF866" s="395"/>
      <c r="AG866" s="396" t="str">
        <f t="shared" si="3"/>
        <v/>
      </c>
      <c r="AH866" s="396" t="str">
        <f t="shared" si="4"/>
        <v/>
      </c>
      <c r="AI866" s="388"/>
      <c r="AJ866" s="388"/>
      <c r="AK866" s="397"/>
    </row>
    <row r="867">
      <c r="A867" s="398"/>
      <c r="B867" s="386"/>
      <c r="C867" s="387" t="str">
        <f>IF(A867="","",IFERROR(IF(VLOOKUP(A867,'1. Inbound Leads'!A:G,7,FALSE)=0,"",VLOOKUP(A867,'1. Inbound Leads'!A:G,7,FALSE)),""))</f>
        <v/>
      </c>
      <c r="D867" s="387" t="str">
        <f>IF(A867="","",IFERROR(IF(VLOOKUP(A867,'1. Inbound Leads'!A:L,12,FALSE)=0,"",VLOOKUP(A867,'1. Inbound Leads'!A:L,12,FALSE)),""))</f>
        <v/>
      </c>
      <c r="E867" s="388"/>
      <c r="F867" s="389"/>
      <c r="G867" s="387"/>
      <c r="H867" s="387"/>
      <c r="I867" s="387"/>
      <c r="J867" s="387"/>
      <c r="K867" s="387"/>
      <c r="L867" s="387"/>
      <c r="M867" s="388"/>
      <c r="N867" s="388"/>
      <c r="O867" s="390"/>
      <c r="P867" s="391"/>
      <c r="Q867" s="389"/>
      <c r="R867" s="390"/>
      <c r="S867" s="390"/>
      <c r="T867" s="391"/>
      <c r="U867" s="392"/>
      <c r="V867" s="391"/>
      <c r="W867" s="391"/>
      <c r="X867" s="388"/>
      <c r="Y867" s="391"/>
      <c r="Z867" s="393"/>
      <c r="AA867" s="355" t="str">
        <f t="shared" si="1"/>
        <v/>
      </c>
      <c r="AB867" s="391"/>
      <c r="AC867" s="394" t="str">
        <f t="shared" si="2"/>
        <v/>
      </c>
      <c r="AD867" s="389"/>
      <c r="AE867" s="399"/>
      <c r="AF867" s="395"/>
      <c r="AG867" s="396" t="str">
        <f t="shared" si="3"/>
        <v/>
      </c>
      <c r="AH867" s="396" t="str">
        <f t="shared" si="4"/>
        <v/>
      </c>
      <c r="AI867" s="388"/>
      <c r="AJ867" s="388"/>
      <c r="AK867" s="397"/>
    </row>
    <row r="868">
      <c r="A868" s="398"/>
      <c r="B868" s="386"/>
      <c r="C868" s="387" t="str">
        <f>IF(A868="","",IFERROR(IF(VLOOKUP(A868,'1. Inbound Leads'!A:G,7,FALSE)=0,"",VLOOKUP(A868,'1. Inbound Leads'!A:G,7,FALSE)),""))</f>
        <v/>
      </c>
      <c r="D868" s="387" t="str">
        <f>IF(A868="","",IFERROR(IF(VLOOKUP(A868,'1. Inbound Leads'!A:L,12,FALSE)=0,"",VLOOKUP(A868,'1. Inbound Leads'!A:L,12,FALSE)),""))</f>
        <v/>
      </c>
      <c r="E868" s="388"/>
      <c r="F868" s="389"/>
      <c r="G868" s="387"/>
      <c r="H868" s="387"/>
      <c r="I868" s="387"/>
      <c r="J868" s="387"/>
      <c r="K868" s="387"/>
      <c r="L868" s="387"/>
      <c r="M868" s="388"/>
      <c r="N868" s="388"/>
      <c r="O868" s="390"/>
      <c r="P868" s="391"/>
      <c r="Q868" s="389"/>
      <c r="R868" s="390"/>
      <c r="S868" s="390"/>
      <c r="T868" s="391"/>
      <c r="U868" s="392"/>
      <c r="V868" s="391"/>
      <c r="W868" s="391"/>
      <c r="X868" s="388"/>
      <c r="Y868" s="391"/>
      <c r="Z868" s="393"/>
      <c r="AA868" s="355" t="str">
        <f t="shared" si="1"/>
        <v/>
      </c>
      <c r="AB868" s="391"/>
      <c r="AC868" s="394" t="str">
        <f t="shared" si="2"/>
        <v/>
      </c>
      <c r="AD868" s="389"/>
      <c r="AE868" s="399"/>
      <c r="AF868" s="395"/>
      <c r="AG868" s="396" t="str">
        <f t="shared" si="3"/>
        <v/>
      </c>
      <c r="AH868" s="396" t="str">
        <f t="shared" si="4"/>
        <v/>
      </c>
      <c r="AI868" s="388"/>
      <c r="AJ868" s="388"/>
      <c r="AK868" s="397"/>
    </row>
    <row r="869">
      <c r="A869" s="398"/>
      <c r="B869" s="386"/>
      <c r="C869" s="387" t="str">
        <f>IF(A869="","",IFERROR(IF(VLOOKUP(A869,'1. Inbound Leads'!A:G,7,FALSE)=0,"",VLOOKUP(A869,'1. Inbound Leads'!A:G,7,FALSE)),""))</f>
        <v/>
      </c>
      <c r="D869" s="387" t="str">
        <f>IF(A869="","",IFERROR(IF(VLOOKUP(A869,'1. Inbound Leads'!A:L,12,FALSE)=0,"",VLOOKUP(A869,'1. Inbound Leads'!A:L,12,FALSE)),""))</f>
        <v/>
      </c>
      <c r="E869" s="388"/>
      <c r="F869" s="389"/>
      <c r="G869" s="387"/>
      <c r="H869" s="387"/>
      <c r="I869" s="387"/>
      <c r="J869" s="387"/>
      <c r="K869" s="387"/>
      <c r="L869" s="387"/>
      <c r="M869" s="388"/>
      <c r="N869" s="388"/>
      <c r="O869" s="390"/>
      <c r="P869" s="391"/>
      <c r="Q869" s="389"/>
      <c r="R869" s="390"/>
      <c r="S869" s="390"/>
      <c r="T869" s="391"/>
      <c r="U869" s="392"/>
      <c r="V869" s="391"/>
      <c r="W869" s="391"/>
      <c r="X869" s="388"/>
      <c r="Y869" s="391"/>
      <c r="Z869" s="393"/>
      <c r="AA869" s="355" t="str">
        <f t="shared" si="1"/>
        <v/>
      </c>
      <c r="AB869" s="391"/>
      <c r="AC869" s="394" t="str">
        <f t="shared" si="2"/>
        <v/>
      </c>
      <c r="AD869" s="389"/>
      <c r="AE869" s="399"/>
      <c r="AF869" s="395"/>
      <c r="AG869" s="396" t="str">
        <f t="shared" si="3"/>
        <v/>
      </c>
      <c r="AH869" s="396" t="str">
        <f t="shared" si="4"/>
        <v/>
      </c>
      <c r="AI869" s="388"/>
      <c r="AJ869" s="388"/>
      <c r="AK869" s="397"/>
    </row>
    <row r="870">
      <c r="A870" s="398"/>
      <c r="B870" s="386"/>
      <c r="C870" s="387" t="str">
        <f>IF(A870="","",IFERROR(IF(VLOOKUP(A870,'1. Inbound Leads'!A:G,7,FALSE)=0,"",VLOOKUP(A870,'1. Inbound Leads'!A:G,7,FALSE)),""))</f>
        <v/>
      </c>
      <c r="D870" s="387" t="str">
        <f>IF(A870="","",IFERROR(IF(VLOOKUP(A870,'1. Inbound Leads'!A:L,12,FALSE)=0,"",VLOOKUP(A870,'1. Inbound Leads'!A:L,12,FALSE)),""))</f>
        <v/>
      </c>
      <c r="E870" s="388"/>
      <c r="F870" s="389"/>
      <c r="G870" s="387"/>
      <c r="H870" s="387"/>
      <c r="I870" s="387"/>
      <c r="J870" s="387"/>
      <c r="K870" s="387"/>
      <c r="L870" s="387"/>
      <c r="M870" s="388"/>
      <c r="N870" s="388"/>
      <c r="O870" s="390"/>
      <c r="P870" s="391"/>
      <c r="Q870" s="389"/>
      <c r="R870" s="390"/>
      <c r="S870" s="390"/>
      <c r="T870" s="391"/>
      <c r="U870" s="392"/>
      <c r="V870" s="391"/>
      <c r="W870" s="391"/>
      <c r="X870" s="388"/>
      <c r="Y870" s="391"/>
      <c r="Z870" s="393"/>
      <c r="AA870" s="355" t="str">
        <f t="shared" si="1"/>
        <v/>
      </c>
      <c r="AB870" s="391"/>
      <c r="AC870" s="394" t="str">
        <f t="shared" si="2"/>
        <v/>
      </c>
      <c r="AD870" s="389"/>
      <c r="AE870" s="399"/>
      <c r="AF870" s="395"/>
      <c r="AG870" s="396" t="str">
        <f t="shared" si="3"/>
        <v/>
      </c>
      <c r="AH870" s="396" t="str">
        <f t="shared" si="4"/>
        <v/>
      </c>
      <c r="AI870" s="388"/>
      <c r="AJ870" s="388"/>
      <c r="AK870" s="397"/>
    </row>
    <row r="871">
      <c r="A871" s="398"/>
      <c r="B871" s="386"/>
      <c r="C871" s="387" t="str">
        <f>IF(A871="","",IFERROR(IF(VLOOKUP(A871,'1. Inbound Leads'!A:G,7,FALSE)=0,"",VLOOKUP(A871,'1. Inbound Leads'!A:G,7,FALSE)),""))</f>
        <v/>
      </c>
      <c r="D871" s="387" t="str">
        <f>IF(A871="","",IFERROR(IF(VLOOKUP(A871,'1. Inbound Leads'!A:L,12,FALSE)=0,"",VLOOKUP(A871,'1. Inbound Leads'!A:L,12,FALSE)),""))</f>
        <v/>
      </c>
      <c r="E871" s="388"/>
      <c r="F871" s="389"/>
      <c r="G871" s="387"/>
      <c r="H871" s="387"/>
      <c r="I871" s="387"/>
      <c r="J871" s="387"/>
      <c r="K871" s="387"/>
      <c r="L871" s="387"/>
      <c r="M871" s="388"/>
      <c r="N871" s="388"/>
      <c r="O871" s="390"/>
      <c r="P871" s="391"/>
      <c r="Q871" s="389"/>
      <c r="R871" s="390"/>
      <c r="S871" s="390"/>
      <c r="T871" s="391"/>
      <c r="U871" s="392"/>
      <c r="V871" s="391"/>
      <c r="W871" s="391"/>
      <c r="X871" s="388"/>
      <c r="Y871" s="391"/>
      <c r="Z871" s="393"/>
      <c r="AA871" s="355" t="str">
        <f t="shared" si="1"/>
        <v/>
      </c>
      <c r="AB871" s="391"/>
      <c r="AC871" s="394" t="str">
        <f t="shared" si="2"/>
        <v/>
      </c>
      <c r="AD871" s="389"/>
      <c r="AE871" s="399"/>
      <c r="AF871" s="395"/>
      <c r="AG871" s="396" t="str">
        <f t="shared" si="3"/>
        <v/>
      </c>
      <c r="AH871" s="396" t="str">
        <f t="shared" si="4"/>
        <v/>
      </c>
      <c r="AI871" s="388"/>
      <c r="AJ871" s="388"/>
      <c r="AK871" s="397"/>
    </row>
    <row r="872">
      <c r="A872" s="398"/>
      <c r="B872" s="386"/>
      <c r="C872" s="387" t="str">
        <f>IF(A872="","",IFERROR(IF(VLOOKUP(A872,'1. Inbound Leads'!A:G,7,FALSE)=0,"",VLOOKUP(A872,'1. Inbound Leads'!A:G,7,FALSE)),""))</f>
        <v/>
      </c>
      <c r="D872" s="387" t="str">
        <f>IF(A872="","",IFERROR(IF(VLOOKUP(A872,'1. Inbound Leads'!A:L,12,FALSE)=0,"",VLOOKUP(A872,'1. Inbound Leads'!A:L,12,FALSE)),""))</f>
        <v/>
      </c>
      <c r="E872" s="388"/>
      <c r="F872" s="389"/>
      <c r="G872" s="387"/>
      <c r="H872" s="387"/>
      <c r="I872" s="387"/>
      <c r="J872" s="387"/>
      <c r="K872" s="387"/>
      <c r="L872" s="387"/>
      <c r="M872" s="388"/>
      <c r="N872" s="388"/>
      <c r="O872" s="390"/>
      <c r="P872" s="391"/>
      <c r="Q872" s="389"/>
      <c r="R872" s="390"/>
      <c r="S872" s="390"/>
      <c r="T872" s="391"/>
      <c r="U872" s="392"/>
      <c r="V872" s="391"/>
      <c r="W872" s="391"/>
      <c r="X872" s="388"/>
      <c r="Y872" s="391"/>
      <c r="Z872" s="393"/>
      <c r="AA872" s="355" t="str">
        <f t="shared" si="1"/>
        <v/>
      </c>
      <c r="AB872" s="391"/>
      <c r="AC872" s="394" t="str">
        <f t="shared" si="2"/>
        <v/>
      </c>
      <c r="AD872" s="389"/>
      <c r="AE872" s="399"/>
      <c r="AF872" s="395"/>
      <c r="AG872" s="396" t="str">
        <f t="shared" si="3"/>
        <v/>
      </c>
      <c r="AH872" s="396" t="str">
        <f t="shared" si="4"/>
        <v/>
      </c>
      <c r="AI872" s="388"/>
      <c r="AJ872" s="388"/>
      <c r="AK872" s="397"/>
    </row>
    <row r="873">
      <c r="A873" s="398"/>
      <c r="B873" s="386"/>
      <c r="C873" s="387" t="str">
        <f>IF(A873="","",IFERROR(IF(VLOOKUP(A873,'1. Inbound Leads'!A:G,7,FALSE)=0,"",VLOOKUP(A873,'1. Inbound Leads'!A:G,7,FALSE)),""))</f>
        <v/>
      </c>
      <c r="D873" s="387" t="str">
        <f>IF(A873="","",IFERROR(IF(VLOOKUP(A873,'1. Inbound Leads'!A:L,12,FALSE)=0,"",VLOOKUP(A873,'1. Inbound Leads'!A:L,12,FALSE)),""))</f>
        <v/>
      </c>
      <c r="E873" s="388"/>
      <c r="F873" s="389"/>
      <c r="G873" s="387"/>
      <c r="H873" s="387"/>
      <c r="I873" s="387"/>
      <c r="J873" s="387"/>
      <c r="K873" s="387"/>
      <c r="L873" s="387"/>
      <c r="M873" s="388"/>
      <c r="N873" s="388"/>
      <c r="O873" s="390"/>
      <c r="P873" s="391"/>
      <c r="Q873" s="389"/>
      <c r="R873" s="390"/>
      <c r="S873" s="390"/>
      <c r="T873" s="391"/>
      <c r="U873" s="392"/>
      <c r="V873" s="391"/>
      <c r="W873" s="391"/>
      <c r="X873" s="388"/>
      <c r="Y873" s="391"/>
      <c r="Z873" s="393"/>
      <c r="AA873" s="355" t="str">
        <f t="shared" si="1"/>
        <v/>
      </c>
      <c r="AB873" s="391"/>
      <c r="AC873" s="394" t="str">
        <f t="shared" si="2"/>
        <v/>
      </c>
      <c r="AD873" s="389"/>
      <c r="AE873" s="399"/>
      <c r="AF873" s="395"/>
      <c r="AG873" s="396" t="str">
        <f t="shared" si="3"/>
        <v/>
      </c>
      <c r="AH873" s="396" t="str">
        <f t="shared" si="4"/>
        <v/>
      </c>
      <c r="AI873" s="388"/>
      <c r="AJ873" s="388"/>
      <c r="AK873" s="397"/>
    </row>
    <row r="874">
      <c r="A874" s="398"/>
      <c r="B874" s="386"/>
      <c r="C874" s="387" t="str">
        <f>IF(A874="","",IFERROR(IF(VLOOKUP(A874,'1. Inbound Leads'!A:G,7,FALSE)=0,"",VLOOKUP(A874,'1. Inbound Leads'!A:G,7,FALSE)),""))</f>
        <v/>
      </c>
      <c r="D874" s="387" t="str">
        <f>IF(A874="","",IFERROR(IF(VLOOKUP(A874,'1. Inbound Leads'!A:L,12,FALSE)=0,"",VLOOKUP(A874,'1. Inbound Leads'!A:L,12,FALSE)),""))</f>
        <v/>
      </c>
      <c r="E874" s="388"/>
      <c r="F874" s="389"/>
      <c r="G874" s="387"/>
      <c r="H874" s="387"/>
      <c r="I874" s="387"/>
      <c r="J874" s="387"/>
      <c r="K874" s="387"/>
      <c r="L874" s="387"/>
      <c r="M874" s="388"/>
      <c r="N874" s="388"/>
      <c r="O874" s="390"/>
      <c r="P874" s="391"/>
      <c r="Q874" s="389"/>
      <c r="R874" s="390"/>
      <c r="S874" s="390"/>
      <c r="T874" s="391"/>
      <c r="U874" s="392"/>
      <c r="V874" s="391"/>
      <c r="W874" s="391"/>
      <c r="X874" s="388"/>
      <c r="Y874" s="391"/>
      <c r="Z874" s="393"/>
      <c r="AA874" s="355" t="str">
        <f t="shared" si="1"/>
        <v/>
      </c>
      <c r="AB874" s="391"/>
      <c r="AC874" s="394" t="str">
        <f t="shared" si="2"/>
        <v/>
      </c>
      <c r="AD874" s="389"/>
      <c r="AE874" s="399"/>
      <c r="AF874" s="395"/>
      <c r="AG874" s="396" t="str">
        <f t="shared" si="3"/>
        <v/>
      </c>
      <c r="AH874" s="396" t="str">
        <f t="shared" si="4"/>
        <v/>
      </c>
      <c r="AI874" s="388"/>
      <c r="AJ874" s="388"/>
      <c r="AK874" s="397"/>
    </row>
    <row r="875">
      <c r="A875" s="398"/>
      <c r="B875" s="386"/>
      <c r="C875" s="387" t="str">
        <f>IF(A875="","",IFERROR(IF(VLOOKUP(A875,'1. Inbound Leads'!A:G,7,FALSE)=0,"",VLOOKUP(A875,'1. Inbound Leads'!A:G,7,FALSE)),""))</f>
        <v/>
      </c>
      <c r="D875" s="387" t="str">
        <f>IF(A875="","",IFERROR(IF(VLOOKUP(A875,'1. Inbound Leads'!A:L,12,FALSE)=0,"",VLOOKUP(A875,'1. Inbound Leads'!A:L,12,FALSE)),""))</f>
        <v/>
      </c>
      <c r="E875" s="388"/>
      <c r="F875" s="389"/>
      <c r="G875" s="387"/>
      <c r="H875" s="387"/>
      <c r="I875" s="387"/>
      <c r="J875" s="387"/>
      <c r="K875" s="387"/>
      <c r="L875" s="387"/>
      <c r="M875" s="388"/>
      <c r="N875" s="388"/>
      <c r="O875" s="390"/>
      <c r="P875" s="391"/>
      <c r="Q875" s="389"/>
      <c r="R875" s="390"/>
      <c r="S875" s="390"/>
      <c r="T875" s="391"/>
      <c r="U875" s="392"/>
      <c r="V875" s="391"/>
      <c r="W875" s="391"/>
      <c r="X875" s="388"/>
      <c r="Y875" s="391"/>
      <c r="Z875" s="393"/>
      <c r="AA875" s="355" t="str">
        <f t="shared" si="1"/>
        <v/>
      </c>
      <c r="AB875" s="391"/>
      <c r="AC875" s="394" t="str">
        <f t="shared" si="2"/>
        <v/>
      </c>
      <c r="AD875" s="389"/>
      <c r="AE875" s="399"/>
      <c r="AF875" s="395"/>
      <c r="AG875" s="396" t="str">
        <f t="shared" si="3"/>
        <v/>
      </c>
      <c r="AH875" s="396" t="str">
        <f t="shared" si="4"/>
        <v/>
      </c>
      <c r="AI875" s="388"/>
      <c r="AJ875" s="388"/>
      <c r="AK875" s="397"/>
    </row>
    <row r="876">
      <c r="A876" s="398"/>
      <c r="B876" s="386"/>
      <c r="C876" s="387" t="str">
        <f>IF(A876="","",IFERROR(IF(VLOOKUP(A876,'1. Inbound Leads'!A:G,7,FALSE)=0,"",VLOOKUP(A876,'1. Inbound Leads'!A:G,7,FALSE)),""))</f>
        <v/>
      </c>
      <c r="D876" s="387" t="str">
        <f>IF(A876="","",IFERROR(IF(VLOOKUP(A876,'1. Inbound Leads'!A:L,12,FALSE)=0,"",VLOOKUP(A876,'1. Inbound Leads'!A:L,12,FALSE)),""))</f>
        <v/>
      </c>
      <c r="E876" s="388"/>
      <c r="F876" s="389"/>
      <c r="G876" s="387"/>
      <c r="H876" s="387"/>
      <c r="I876" s="387"/>
      <c r="J876" s="387"/>
      <c r="K876" s="387"/>
      <c r="L876" s="387"/>
      <c r="M876" s="388"/>
      <c r="N876" s="388"/>
      <c r="O876" s="390"/>
      <c r="P876" s="391"/>
      <c r="Q876" s="389"/>
      <c r="R876" s="390"/>
      <c r="S876" s="390"/>
      <c r="T876" s="391"/>
      <c r="U876" s="392"/>
      <c r="V876" s="391"/>
      <c r="W876" s="391"/>
      <c r="X876" s="388"/>
      <c r="Y876" s="391"/>
      <c r="Z876" s="393"/>
      <c r="AA876" s="355" t="str">
        <f t="shared" si="1"/>
        <v/>
      </c>
      <c r="AB876" s="391"/>
      <c r="AC876" s="394" t="str">
        <f t="shared" si="2"/>
        <v/>
      </c>
      <c r="AD876" s="389"/>
      <c r="AE876" s="399"/>
      <c r="AF876" s="395"/>
      <c r="AG876" s="396" t="str">
        <f t="shared" si="3"/>
        <v/>
      </c>
      <c r="AH876" s="396" t="str">
        <f t="shared" si="4"/>
        <v/>
      </c>
      <c r="AI876" s="388"/>
      <c r="AJ876" s="388"/>
      <c r="AK876" s="397"/>
    </row>
    <row r="877">
      <c r="A877" s="398"/>
      <c r="B877" s="386"/>
      <c r="C877" s="387" t="str">
        <f>IF(A877="","",IFERROR(IF(VLOOKUP(A877,'1. Inbound Leads'!A:G,7,FALSE)=0,"",VLOOKUP(A877,'1. Inbound Leads'!A:G,7,FALSE)),""))</f>
        <v/>
      </c>
      <c r="D877" s="387" t="str">
        <f>IF(A877="","",IFERROR(IF(VLOOKUP(A877,'1. Inbound Leads'!A:L,12,FALSE)=0,"",VLOOKUP(A877,'1. Inbound Leads'!A:L,12,FALSE)),""))</f>
        <v/>
      </c>
      <c r="E877" s="388"/>
      <c r="F877" s="389"/>
      <c r="G877" s="387"/>
      <c r="H877" s="387"/>
      <c r="I877" s="387"/>
      <c r="J877" s="387"/>
      <c r="K877" s="387"/>
      <c r="L877" s="387"/>
      <c r="M877" s="388"/>
      <c r="N877" s="388"/>
      <c r="O877" s="390"/>
      <c r="P877" s="391"/>
      <c r="Q877" s="389"/>
      <c r="R877" s="390"/>
      <c r="S877" s="390"/>
      <c r="T877" s="391"/>
      <c r="U877" s="392"/>
      <c r="V877" s="391"/>
      <c r="W877" s="391"/>
      <c r="X877" s="388"/>
      <c r="Y877" s="391"/>
      <c r="Z877" s="393"/>
      <c r="AA877" s="355" t="str">
        <f t="shared" si="1"/>
        <v/>
      </c>
      <c r="AB877" s="391"/>
      <c r="AC877" s="394" t="str">
        <f t="shared" si="2"/>
        <v/>
      </c>
      <c r="AD877" s="389"/>
      <c r="AE877" s="399"/>
      <c r="AF877" s="395"/>
      <c r="AG877" s="396" t="str">
        <f t="shared" si="3"/>
        <v/>
      </c>
      <c r="AH877" s="396" t="str">
        <f t="shared" si="4"/>
        <v/>
      </c>
      <c r="AI877" s="388"/>
      <c r="AJ877" s="388"/>
      <c r="AK877" s="397"/>
    </row>
    <row r="878">
      <c r="A878" s="398"/>
      <c r="B878" s="386"/>
      <c r="C878" s="387" t="str">
        <f>IF(A878="","",IFERROR(IF(VLOOKUP(A878,'1. Inbound Leads'!A:G,7,FALSE)=0,"",VLOOKUP(A878,'1. Inbound Leads'!A:G,7,FALSE)),""))</f>
        <v/>
      </c>
      <c r="D878" s="387" t="str">
        <f>IF(A878="","",IFERROR(IF(VLOOKUP(A878,'1. Inbound Leads'!A:L,12,FALSE)=0,"",VLOOKUP(A878,'1. Inbound Leads'!A:L,12,FALSE)),""))</f>
        <v/>
      </c>
      <c r="E878" s="388"/>
      <c r="F878" s="389"/>
      <c r="G878" s="387"/>
      <c r="H878" s="387"/>
      <c r="I878" s="387"/>
      <c r="J878" s="387"/>
      <c r="K878" s="387"/>
      <c r="L878" s="387"/>
      <c r="M878" s="388"/>
      <c r="N878" s="388"/>
      <c r="O878" s="390"/>
      <c r="P878" s="391"/>
      <c r="Q878" s="389"/>
      <c r="R878" s="390"/>
      <c r="S878" s="390"/>
      <c r="T878" s="391"/>
      <c r="U878" s="392"/>
      <c r="V878" s="391"/>
      <c r="W878" s="391"/>
      <c r="X878" s="388"/>
      <c r="Y878" s="391"/>
      <c r="Z878" s="393"/>
      <c r="AA878" s="355" t="str">
        <f t="shared" si="1"/>
        <v/>
      </c>
      <c r="AB878" s="391"/>
      <c r="AC878" s="394" t="str">
        <f t="shared" si="2"/>
        <v/>
      </c>
      <c r="AD878" s="389"/>
      <c r="AE878" s="399"/>
      <c r="AF878" s="395"/>
      <c r="AG878" s="396" t="str">
        <f t="shared" si="3"/>
        <v/>
      </c>
      <c r="AH878" s="396" t="str">
        <f t="shared" si="4"/>
        <v/>
      </c>
      <c r="AI878" s="388"/>
      <c r="AJ878" s="388"/>
      <c r="AK878" s="397"/>
    </row>
    <row r="879">
      <c r="A879" s="398"/>
      <c r="B879" s="386"/>
      <c r="C879" s="387" t="str">
        <f>IF(A879="","",IFERROR(IF(VLOOKUP(A879,'1. Inbound Leads'!A:G,7,FALSE)=0,"",VLOOKUP(A879,'1. Inbound Leads'!A:G,7,FALSE)),""))</f>
        <v/>
      </c>
      <c r="D879" s="387" t="str">
        <f>IF(A879="","",IFERROR(IF(VLOOKUP(A879,'1. Inbound Leads'!A:L,12,FALSE)=0,"",VLOOKUP(A879,'1. Inbound Leads'!A:L,12,FALSE)),""))</f>
        <v/>
      </c>
      <c r="E879" s="388"/>
      <c r="F879" s="389"/>
      <c r="G879" s="387"/>
      <c r="H879" s="387"/>
      <c r="I879" s="387"/>
      <c r="J879" s="387"/>
      <c r="K879" s="387"/>
      <c r="L879" s="387"/>
      <c r="M879" s="388"/>
      <c r="N879" s="388"/>
      <c r="O879" s="390"/>
      <c r="P879" s="391"/>
      <c r="Q879" s="389"/>
      <c r="R879" s="390"/>
      <c r="S879" s="390"/>
      <c r="T879" s="391"/>
      <c r="U879" s="392"/>
      <c r="V879" s="391"/>
      <c r="W879" s="391"/>
      <c r="X879" s="388"/>
      <c r="Y879" s="391"/>
      <c r="Z879" s="393"/>
      <c r="AA879" s="355" t="str">
        <f t="shared" si="1"/>
        <v/>
      </c>
      <c r="AB879" s="391"/>
      <c r="AC879" s="394" t="str">
        <f t="shared" si="2"/>
        <v/>
      </c>
      <c r="AD879" s="389"/>
      <c r="AE879" s="399"/>
      <c r="AF879" s="395"/>
      <c r="AG879" s="396" t="str">
        <f t="shared" si="3"/>
        <v/>
      </c>
      <c r="AH879" s="396" t="str">
        <f t="shared" si="4"/>
        <v/>
      </c>
      <c r="AI879" s="388"/>
      <c r="AJ879" s="388"/>
      <c r="AK879" s="397"/>
    </row>
    <row r="880">
      <c r="A880" s="398"/>
      <c r="B880" s="386"/>
      <c r="C880" s="387" t="str">
        <f>IF(A880="","",IFERROR(IF(VLOOKUP(A880,'1. Inbound Leads'!A:G,7,FALSE)=0,"",VLOOKUP(A880,'1. Inbound Leads'!A:G,7,FALSE)),""))</f>
        <v/>
      </c>
      <c r="D880" s="387" t="str">
        <f>IF(A880="","",IFERROR(IF(VLOOKUP(A880,'1. Inbound Leads'!A:L,12,FALSE)=0,"",VLOOKUP(A880,'1. Inbound Leads'!A:L,12,FALSE)),""))</f>
        <v/>
      </c>
      <c r="E880" s="388"/>
      <c r="F880" s="389"/>
      <c r="G880" s="387"/>
      <c r="H880" s="387"/>
      <c r="I880" s="387"/>
      <c r="J880" s="387"/>
      <c r="K880" s="387"/>
      <c r="L880" s="387"/>
      <c r="M880" s="388"/>
      <c r="N880" s="388"/>
      <c r="O880" s="390"/>
      <c r="P880" s="391"/>
      <c r="Q880" s="389"/>
      <c r="R880" s="390"/>
      <c r="S880" s="390"/>
      <c r="T880" s="391"/>
      <c r="U880" s="392"/>
      <c r="V880" s="391"/>
      <c r="W880" s="391"/>
      <c r="X880" s="388"/>
      <c r="Y880" s="391"/>
      <c r="Z880" s="393"/>
      <c r="AA880" s="355" t="str">
        <f t="shared" si="1"/>
        <v/>
      </c>
      <c r="AB880" s="391"/>
      <c r="AC880" s="394" t="str">
        <f t="shared" si="2"/>
        <v/>
      </c>
      <c r="AD880" s="389"/>
      <c r="AE880" s="399"/>
      <c r="AF880" s="395"/>
      <c r="AG880" s="396" t="str">
        <f t="shared" si="3"/>
        <v/>
      </c>
      <c r="AH880" s="396" t="str">
        <f t="shared" si="4"/>
        <v/>
      </c>
      <c r="AI880" s="388"/>
      <c r="AJ880" s="388"/>
      <c r="AK880" s="397"/>
    </row>
    <row r="881">
      <c r="A881" s="398"/>
      <c r="B881" s="386"/>
      <c r="C881" s="387" t="str">
        <f>IF(A881="","",IFERROR(IF(VLOOKUP(A881,'1. Inbound Leads'!A:G,7,FALSE)=0,"",VLOOKUP(A881,'1. Inbound Leads'!A:G,7,FALSE)),""))</f>
        <v/>
      </c>
      <c r="D881" s="387" t="str">
        <f>IF(A881="","",IFERROR(IF(VLOOKUP(A881,'1. Inbound Leads'!A:L,12,FALSE)=0,"",VLOOKUP(A881,'1. Inbound Leads'!A:L,12,FALSE)),""))</f>
        <v/>
      </c>
      <c r="E881" s="388"/>
      <c r="F881" s="389"/>
      <c r="G881" s="387"/>
      <c r="H881" s="387"/>
      <c r="I881" s="387"/>
      <c r="J881" s="387"/>
      <c r="K881" s="387"/>
      <c r="L881" s="387"/>
      <c r="M881" s="388"/>
      <c r="N881" s="388"/>
      <c r="O881" s="390"/>
      <c r="P881" s="391"/>
      <c r="Q881" s="389"/>
      <c r="R881" s="390"/>
      <c r="S881" s="390"/>
      <c r="T881" s="391"/>
      <c r="U881" s="392"/>
      <c r="V881" s="391"/>
      <c r="W881" s="391"/>
      <c r="X881" s="388"/>
      <c r="Y881" s="391"/>
      <c r="Z881" s="393"/>
      <c r="AA881" s="355" t="str">
        <f t="shared" si="1"/>
        <v/>
      </c>
      <c r="AB881" s="391"/>
      <c r="AC881" s="394" t="str">
        <f t="shared" si="2"/>
        <v/>
      </c>
      <c r="AD881" s="389"/>
      <c r="AE881" s="399"/>
      <c r="AF881" s="395"/>
      <c r="AG881" s="396" t="str">
        <f t="shared" si="3"/>
        <v/>
      </c>
      <c r="AH881" s="396" t="str">
        <f t="shared" si="4"/>
        <v/>
      </c>
      <c r="AI881" s="388"/>
      <c r="AJ881" s="388"/>
      <c r="AK881" s="397"/>
    </row>
    <row r="882">
      <c r="A882" s="398"/>
      <c r="B882" s="386"/>
      <c r="C882" s="387" t="str">
        <f>IF(A882="","",IFERROR(IF(VLOOKUP(A882,'1. Inbound Leads'!A:G,7,FALSE)=0,"",VLOOKUP(A882,'1. Inbound Leads'!A:G,7,FALSE)),""))</f>
        <v/>
      </c>
      <c r="D882" s="387" t="str">
        <f>IF(A882="","",IFERROR(IF(VLOOKUP(A882,'1. Inbound Leads'!A:L,12,FALSE)=0,"",VLOOKUP(A882,'1. Inbound Leads'!A:L,12,FALSE)),""))</f>
        <v/>
      </c>
      <c r="E882" s="388"/>
      <c r="F882" s="389"/>
      <c r="G882" s="387"/>
      <c r="H882" s="387"/>
      <c r="I882" s="387"/>
      <c r="J882" s="387"/>
      <c r="K882" s="387"/>
      <c r="L882" s="387"/>
      <c r="M882" s="388"/>
      <c r="N882" s="388"/>
      <c r="O882" s="390"/>
      <c r="P882" s="391"/>
      <c r="Q882" s="389"/>
      <c r="R882" s="390"/>
      <c r="S882" s="390"/>
      <c r="T882" s="391"/>
      <c r="U882" s="392"/>
      <c r="V882" s="391"/>
      <c r="W882" s="391"/>
      <c r="X882" s="388"/>
      <c r="Y882" s="391"/>
      <c r="Z882" s="393"/>
      <c r="AA882" s="355" t="str">
        <f t="shared" si="1"/>
        <v/>
      </c>
      <c r="AB882" s="391"/>
      <c r="AC882" s="394" t="str">
        <f t="shared" si="2"/>
        <v/>
      </c>
      <c r="AD882" s="389"/>
      <c r="AE882" s="399"/>
      <c r="AF882" s="395"/>
      <c r="AG882" s="396" t="str">
        <f t="shared" si="3"/>
        <v/>
      </c>
      <c r="AH882" s="396" t="str">
        <f t="shared" si="4"/>
        <v/>
      </c>
      <c r="AI882" s="388"/>
      <c r="AJ882" s="388"/>
      <c r="AK882" s="397"/>
    </row>
    <row r="883">
      <c r="A883" s="398"/>
      <c r="B883" s="386"/>
      <c r="C883" s="387" t="str">
        <f>IF(A883="","",IFERROR(IF(VLOOKUP(A883,'1. Inbound Leads'!A:G,7,FALSE)=0,"",VLOOKUP(A883,'1. Inbound Leads'!A:G,7,FALSE)),""))</f>
        <v/>
      </c>
      <c r="D883" s="387" t="str">
        <f>IF(A883="","",IFERROR(IF(VLOOKUP(A883,'1. Inbound Leads'!A:L,12,FALSE)=0,"",VLOOKUP(A883,'1. Inbound Leads'!A:L,12,FALSE)),""))</f>
        <v/>
      </c>
      <c r="E883" s="388"/>
      <c r="F883" s="389"/>
      <c r="G883" s="387"/>
      <c r="H883" s="387"/>
      <c r="I883" s="387"/>
      <c r="J883" s="387"/>
      <c r="K883" s="387"/>
      <c r="L883" s="387"/>
      <c r="M883" s="388"/>
      <c r="N883" s="388"/>
      <c r="O883" s="390"/>
      <c r="P883" s="391"/>
      <c r="Q883" s="389"/>
      <c r="R883" s="390"/>
      <c r="S883" s="390"/>
      <c r="T883" s="391"/>
      <c r="U883" s="392"/>
      <c r="V883" s="391"/>
      <c r="W883" s="391"/>
      <c r="X883" s="388"/>
      <c r="Y883" s="391"/>
      <c r="Z883" s="393"/>
      <c r="AA883" s="355" t="str">
        <f t="shared" si="1"/>
        <v/>
      </c>
      <c r="AB883" s="391"/>
      <c r="AC883" s="394" t="str">
        <f t="shared" si="2"/>
        <v/>
      </c>
      <c r="AD883" s="389"/>
      <c r="AE883" s="399"/>
      <c r="AF883" s="395"/>
      <c r="AG883" s="396" t="str">
        <f t="shared" si="3"/>
        <v/>
      </c>
      <c r="AH883" s="396" t="str">
        <f t="shared" si="4"/>
        <v/>
      </c>
      <c r="AI883" s="388"/>
      <c r="AJ883" s="388"/>
      <c r="AK883" s="397"/>
    </row>
    <row r="884">
      <c r="A884" s="398"/>
      <c r="B884" s="386"/>
      <c r="C884" s="387" t="str">
        <f>IF(A884="","",IFERROR(IF(VLOOKUP(A884,'1. Inbound Leads'!A:G,7,FALSE)=0,"",VLOOKUP(A884,'1. Inbound Leads'!A:G,7,FALSE)),""))</f>
        <v/>
      </c>
      <c r="D884" s="387" t="str">
        <f>IF(A884="","",IFERROR(IF(VLOOKUP(A884,'1. Inbound Leads'!A:L,12,FALSE)=0,"",VLOOKUP(A884,'1. Inbound Leads'!A:L,12,FALSE)),""))</f>
        <v/>
      </c>
      <c r="E884" s="388"/>
      <c r="F884" s="389"/>
      <c r="G884" s="387"/>
      <c r="H884" s="387"/>
      <c r="I884" s="387"/>
      <c r="J884" s="387"/>
      <c r="K884" s="387"/>
      <c r="L884" s="387"/>
      <c r="M884" s="388"/>
      <c r="N884" s="388"/>
      <c r="O884" s="390"/>
      <c r="P884" s="391"/>
      <c r="Q884" s="389"/>
      <c r="R884" s="390"/>
      <c r="S884" s="390"/>
      <c r="T884" s="391"/>
      <c r="U884" s="392"/>
      <c r="V884" s="391"/>
      <c r="W884" s="391"/>
      <c r="X884" s="388"/>
      <c r="Y884" s="391"/>
      <c r="Z884" s="393"/>
      <c r="AA884" s="355" t="str">
        <f t="shared" si="1"/>
        <v/>
      </c>
      <c r="AB884" s="391"/>
      <c r="AC884" s="394" t="str">
        <f t="shared" si="2"/>
        <v/>
      </c>
      <c r="AD884" s="389"/>
      <c r="AE884" s="399"/>
      <c r="AF884" s="395"/>
      <c r="AG884" s="396" t="str">
        <f t="shared" si="3"/>
        <v/>
      </c>
      <c r="AH884" s="396" t="str">
        <f t="shared" si="4"/>
        <v/>
      </c>
      <c r="AI884" s="388"/>
      <c r="AJ884" s="388"/>
      <c r="AK884" s="397"/>
    </row>
    <row r="885">
      <c r="A885" s="398"/>
      <c r="B885" s="386"/>
      <c r="C885" s="387" t="str">
        <f>IF(A885="","",IFERROR(IF(VLOOKUP(A885,'1. Inbound Leads'!A:G,7,FALSE)=0,"",VLOOKUP(A885,'1. Inbound Leads'!A:G,7,FALSE)),""))</f>
        <v/>
      </c>
      <c r="D885" s="387" t="str">
        <f>IF(A885="","",IFERROR(IF(VLOOKUP(A885,'1. Inbound Leads'!A:L,12,FALSE)=0,"",VLOOKUP(A885,'1. Inbound Leads'!A:L,12,FALSE)),""))</f>
        <v/>
      </c>
      <c r="E885" s="388"/>
      <c r="F885" s="389"/>
      <c r="G885" s="387"/>
      <c r="H885" s="387"/>
      <c r="I885" s="387"/>
      <c r="J885" s="387"/>
      <c r="K885" s="387"/>
      <c r="L885" s="387"/>
      <c r="M885" s="388"/>
      <c r="N885" s="388"/>
      <c r="O885" s="390"/>
      <c r="P885" s="391"/>
      <c r="Q885" s="389"/>
      <c r="R885" s="390"/>
      <c r="S885" s="390"/>
      <c r="T885" s="391"/>
      <c r="U885" s="392"/>
      <c r="V885" s="391"/>
      <c r="W885" s="391"/>
      <c r="X885" s="388"/>
      <c r="Y885" s="391"/>
      <c r="Z885" s="393"/>
      <c r="AA885" s="355" t="str">
        <f t="shared" si="1"/>
        <v/>
      </c>
      <c r="AB885" s="391"/>
      <c r="AC885" s="394" t="str">
        <f t="shared" si="2"/>
        <v/>
      </c>
      <c r="AD885" s="389"/>
      <c r="AE885" s="399"/>
      <c r="AF885" s="395"/>
      <c r="AG885" s="396" t="str">
        <f t="shared" si="3"/>
        <v/>
      </c>
      <c r="AH885" s="396" t="str">
        <f t="shared" si="4"/>
        <v/>
      </c>
      <c r="AI885" s="388"/>
      <c r="AJ885" s="388"/>
      <c r="AK885" s="397"/>
    </row>
    <row r="886">
      <c r="A886" s="398"/>
      <c r="B886" s="386"/>
      <c r="C886" s="387" t="str">
        <f>IF(A886="","",IFERROR(IF(VLOOKUP(A886,'1. Inbound Leads'!A:G,7,FALSE)=0,"",VLOOKUP(A886,'1. Inbound Leads'!A:G,7,FALSE)),""))</f>
        <v/>
      </c>
      <c r="D886" s="387" t="str">
        <f>IF(A886="","",IFERROR(IF(VLOOKUP(A886,'1. Inbound Leads'!A:L,12,FALSE)=0,"",VLOOKUP(A886,'1. Inbound Leads'!A:L,12,FALSE)),""))</f>
        <v/>
      </c>
      <c r="E886" s="388"/>
      <c r="F886" s="389"/>
      <c r="G886" s="387"/>
      <c r="H886" s="387"/>
      <c r="I886" s="387"/>
      <c r="J886" s="387"/>
      <c r="K886" s="387"/>
      <c r="L886" s="387"/>
      <c r="M886" s="388"/>
      <c r="N886" s="388"/>
      <c r="O886" s="390"/>
      <c r="P886" s="391"/>
      <c r="Q886" s="389"/>
      <c r="R886" s="390"/>
      <c r="S886" s="390"/>
      <c r="T886" s="391"/>
      <c r="U886" s="392"/>
      <c r="V886" s="391"/>
      <c r="W886" s="391"/>
      <c r="X886" s="388"/>
      <c r="Y886" s="391"/>
      <c r="Z886" s="393"/>
      <c r="AA886" s="355" t="str">
        <f t="shared" si="1"/>
        <v/>
      </c>
      <c r="AB886" s="391"/>
      <c r="AC886" s="394" t="str">
        <f t="shared" si="2"/>
        <v/>
      </c>
      <c r="AD886" s="389"/>
      <c r="AE886" s="399"/>
      <c r="AF886" s="395"/>
      <c r="AG886" s="396" t="str">
        <f t="shared" si="3"/>
        <v/>
      </c>
      <c r="AH886" s="396" t="str">
        <f t="shared" si="4"/>
        <v/>
      </c>
      <c r="AI886" s="388"/>
      <c r="AJ886" s="388"/>
      <c r="AK886" s="397"/>
    </row>
    <row r="887">
      <c r="A887" s="398"/>
      <c r="B887" s="386"/>
      <c r="C887" s="387" t="str">
        <f>IF(A887="","",IFERROR(IF(VLOOKUP(A887,'1. Inbound Leads'!A:G,7,FALSE)=0,"",VLOOKUP(A887,'1. Inbound Leads'!A:G,7,FALSE)),""))</f>
        <v/>
      </c>
      <c r="D887" s="387" t="str">
        <f>IF(A887="","",IFERROR(IF(VLOOKUP(A887,'1. Inbound Leads'!A:L,12,FALSE)=0,"",VLOOKUP(A887,'1. Inbound Leads'!A:L,12,FALSE)),""))</f>
        <v/>
      </c>
      <c r="E887" s="388"/>
      <c r="F887" s="389"/>
      <c r="G887" s="387"/>
      <c r="H887" s="387"/>
      <c r="I887" s="387"/>
      <c r="J887" s="387"/>
      <c r="K887" s="387"/>
      <c r="L887" s="387"/>
      <c r="M887" s="388"/>
      <c r="N887" s="388"/>
      <c r="O887" s="390"/>
      <c r="P887" s="391"/>
      <c r="Q887" s="389"/>
      <c r="R887" s="390"/>
      <c r="S887" s="390"/>
      <c r="T887" s="391"/>
      <c r="U887" s="392"/>
      <c r="V887" s="391"/>
      <c r="W887" s="391"/>
      <c r="X887" s="388"/>
      <c r="Y887" s="391"/>
      <c r="Z887" s="393"/>
      <c r="AA887" s="355" t="str">
        <f t="shared" si="1"/>
        <v/>
      </c>
      <c r="AB887" s="391"/>
      <c r="AC887" s="394" t="str">
        <f t="shared" si="2"/>
        <v/>
      </c>
      <c r="AD887" s="389"/>
      <c r="AE887" s="399"/>
      <c r="AF887" s="395"/>
      <c r="AG887" s="396" t="str">
        <f t="shared" si="3"/>
        <v/>
      </c>
      <c r="AH887" s="396" t="str">
        <f t="shared" si="4"/>
        <v/>
      </c>
      <c r="AI887" s="388"/>
      <c r="AJ887" s="388"/>
      <c r="AK887" s="397"/>
    </row>
    <row r="888">
      <c r="A888" s="398"/>
      <c r="B888" s="386"/>
      <c r="C888" s="387" t="str">
        <f>IF(A888="","",IFERROR(IF(VLOOKUP(A888,'1. Inbound Leads'!A:G,7,FALSE)=0,"",VLOOKUP(A888,'1. Inbound Leads'!A:G,7,FALSE)),""))</f>
        <v/>
      </c>
      <c r="D888" s="387" t="str">
        <f>IF(A888="","",IFERROR(IF(VLOOKUP(A888,'1. Inbound Leads'!A:L,12,FALSE)=0,"",VLOOKUP(A888,'1. Inbound Leads'!A:L,12,FALSE)),""))</f>
        <v/>
      </c>
      <c r="E888" s="388"/>
      <c r="F888" s="389"/>
      <c r="G888" s="387"/>
      <c r="H888" s="387"/>
      <c r="I888" s="387"/>
      <c r="J888" s="387"/>
      <c r="K888" s="387"/>
      <c r="L888" s="387"/>
      <c r="M888" s="388"/>
      <c r="N888" s="388"/>
      <c r="O888" s="390"/>
      <c r="P888" s="391"/>
      <c r="Q888" s="389"/>
      <c r="R888" s="390"/>
      <c r="S888" s="390"/>
      <c r="T888" s="391"/>
      <c r="U888" s="392"/>
      <c r="V888" s="391"/>
      <c r="W888" s="391"/>
      <c r="X888" s="388"/>
      <c r="Y888" s="391"/>
      <c r="Z888" s="393"/>
      <c r="AA888" s="355" t="str">
        <f t="shared" si="1"/>
        <v/>
      </c>
      <c r="AB888" s="391"/>
      <c r="AC888" s="394" t="str">
        <f t="shared" si="2"/>
        <v/>
      </c>
      <c r="AD888" s="389"/>
      <c r="AE888" s="399"/>
      <c r="AF888" s="395"/>
      <c r="AG888" s="396" t="str">
        <f t="shared" si="3"/>
        <v/>
      </c>
      <c r="AH888" s="396" t="str">
        <f t="shared" si="4"/>
        <v/>
      </c>
      <c r="AI888" s="388"/>
      <c r="AJ888" s="388"/>
      <c r="AK888" s="397"/>
    </row>
    <row r="889">
      <c r="A889" s="398"/>
      <c r="B889" s="386"/>
      <c r="C889" s="387" t="str">
        <f>IF(A889="","",IFERROR(IF(VLOOKUP(A889,'1. Inbound Leads'!A:G,7,FALSE)=0,"",VLOOKUP(A889,'1. Inbound Leads'!A:G,7,FALSE)),""))</f>
        <v/>
      </c>
      <c r="D889" s="387" t="str">
        <f>IF(A889="","",IFERROR(IF(VLOOKUP(A889,'1. Inbound Leads'!A:L,12,FALSE)=0,"",VLOOKUP(A889,'1. Inbound Leads'!A:L,12,FALSE)),""))</f>
        <v/>
      </c>
      <c r="E889" s="388"/>
      <c r="F889" s="389"/>
      <c r="G889" s="387"/>
      <c r="H889" s="387"/>
      <c r="I889" s="387"/>
      <c r="J889" s="387"/>
      <c r="K889" s="387"/>
      <c r="L889" s="387"/>
      <c r="M889" s="388"/>
      <c r="N889" s="388"/>
      <c r="O889" s="390"/>
      <c r="P889" s="391"/>
      <c r="Q889" s="389"/>
      <c r="R889" s="390"/>
      <c r="S889" s="390"/>
      <c r="T889" s="391"/>
      <c r="U889" s="392"/>
      <c r="V889" s="391"/>
      <c r="W889" s="391"/>
      <c r="X889" s="388"/>
      <c r="Y889" s="391"/>
      <c r="Z889" s="393"/>
      <c r="AA889" s="355" t="str">
        <f t="shared" si="1"/>
        <v/>
      </c>
      <c r="AB889" s="391"/>
      <c r="AC889" s="394" t="str">
        <f t="shared" si="2"/>
        <v/>
      </c>
      <c r="AD889" s="389"/>
      <c r="AE889" s="399"/>
      <c r="AF889" s="395"/>
      <c r="AG889" s="396" t="str">
        <f t="shared" si="3"/>
        <v/>
      </c>
      <c r="AH889" s="396" t="str">
        <f t="shared" si="4"/>
        <v/>
      </c>
      <c r="AI889" s="388"/>
      <c r="AJ889" s="388"/>
      <c r="AK889" s="397"/>
    </row>
    <row r="890">
      <c r="A890" s="398"/>
      <c r="B890" s="386"/>
      <c r="C890" s="387" t="str">
        <f>IF(A890="","",IFERROR(IF(VLOOKUP(A890,'1. Inbound Leads'!A:G,7,FALSE)=0,"",VLOOKUP(A890,'1. Inbound Leads'!A:G,7,FALSE)),""))</f>
        <v/>
      </c>
      <c r="D890" s="387" t="str">
        <f>IF(A890="","",IFERROR(IF(VLOOKUP(A890,'1. Inbound Leads'!A:L,12,FALSE)=0,"",VLOOKUP(A890,'1. Inbound Leads'!A:L,12,FALSE)),""))</f>
        <v/>
      </c>
      <c r="E890" s="388"/>
      <c r="F890" s="389"/>
      <c r="G890" s="387"/>
      <c r="H890" s="387"/>
      <c r="I890" s="387"/>
      <c r="J890" s="387"/>
      <c r="K890" s="387"/>
      <c r="L890" s="387"/>
      <c r="M890" s="388"/>
      <c r="N890" s="388"/>
      <c r="O890" s="390"/>
      <c r="P890" s="391"/>
      <c r="Q890" s="389"/>
      <c r="R890" s="390"/>
      <c r="S890" s="390"/>
      <c r="T890" s="391"/>
      <c r="U890" s="392"/>
      <c r="V890" s="391"/>
      <c r="W890" s="391"/>
      <c r="X890" s="388"/>
      <c r="Y890" s="391"/>
      <c r="Z890" s="393"/>
      <c r="AA890" s="355" t="str">
        <f t="shared" si="1"/>
        <v/>
      </c>
      <c r="AB890" s="391"/>
      <c r="AC890" s="394" t="str">
        <f t="shared" si="2"/>
        <v/>
      </c>
      <c r="AD890" s="389"/>
      <c r="AE890" s="399"/>
      <c r="AF890" s="395"/>
      <c r="AG890" s="396" t="str">
        <f t="shared" si="3"/>
        <v/>
      </c>
      <c r="AH890" s="396" t="str">
        <f t="shared" si="4"/>
        <v/>
      </c>
      <c r="AI890" s="388"/>
      <c r="AJ890" s="388"/>
      <c r="AK890" s="397"/>
    </row>
    <row r="891">
      <c r="A891" s="398"/>
      <c r="B891" s="386"/>
      <c r="C891" s="387" t="str">
        <f>IF(A891="","",IFERROR(IF(VLOOKUP(A891,'1. Inbound Leads'!A:G,7,FALSE)=0,"",VLOOKUP(A891,'1. Inbound Leads'!A:G,7,FALSE)),""))</f>
        <v/>
      </c>
      <c r="D891" s="387" t="str">
        <f>IF(A891="","",IFERROR(IF(VLOOKUP(A891,'1. Inbound Leads'!A:L,12,FALSE)=0,"",VLOOKUP(A891,'1. Inbound Leads'!A:L,12,FALSE)),""))</f>
        <v/>
      </c>
      <c r="E891" s="388"/>
      <c r="F891" s="389"/>
      <c r="G891" s="387"/>
      <c r="H891" s="387"/>
      <c r="I891" s="387"/>
      <c r="J891" s="387"/>
      <c r="K891" s="387"/>
      <c r="L891" s="387"/>
      <c r="M891" s="388"/>
      <c r="N891" s="388"/>
      <c r="O891" s="390"/>
      <c r="P891" s="391"/>
      <c r="Q891" s="389"/>
      <c r="R891" s="390"/>
      <c r="S891" s="390"/>
      <c r="T891" s="391"/>
      <c r="U891" s="392"/>
      <c r="V891" s="391"/>
      <c r="W891" s="391"/>
      <c r="X891" s="388"/>
      <c r="Y891" s="391"/>
      <c r="Z891" s="393"/>
      <c r="AA891" s="355" t="str">
        <f t="shared" si="1"/>
        <v/>
      </c>
      <c r="AB891" s="391"/>
      <c r="AC891" s="394" t="str">
        <f t="shared" si="2"/>
        <v/>
      </c>
      <c r="AD891" s="389"/>
      <c r="AE891" s="399"/>
      <c r="AF891" s="395"/>
      <c r="AG891" s="396" t="str">
        <f t="shared" si="3"/>
        <v/>
      </c>
      <c r="AH891" s="396" t="str">
        <f t="shared" si="4"/>
        <v/>
      </c>
      <c r="AI891" s="388"/>
      <c r="AJ891" s="388"/>
      <c r="AK891" s="397"/>
    </row>
    <row r="892">
      <c r="A892" s="398"/>
      <c r="B892" s="386"/>
      <c r="C892" s="387" t="str">
        <f>IF(A892="","",IFERROR(IF(VLOOKUP(A892,'1. Inbound Leads'!A:G,7,FALSE)=0,"",VLOOKUP(A892,'1. Inbound Leads'!A:G,7,FALSE)),""))</f>
        <v/>
      </c>
      <c r="D892" s="387" t="str">
        <f>IF(A892="","",IFERROR(IF(VLOOKUP(A892,'1. Inbound Leads'!A:L,12,FALSE)=0,"",VLOOKUP(A892,'1. Inbound Leads'!A:L,12,FALSE)),""))</f>
        <v/>
      </c>
      <c r="E892" s="388"/>
      <c r="F892" s="389"/>
      <c r="G892" s="387"/>
      <c r="H892" s="387"/>
      <c r="I892" s="387"/>
      <c r="J892" s="387"/>
      <c r="K892" s="387"/>
      <c r="L892" s="387"/>
      <c r="M892" s="388"/>
      <c r="N892" s="388"/>
      <c r="O892" s="390"/>
      <c r="P892" s="391"/>
      <c r="Q892" s="389"/>
      <c r="R892" s="390"/>
      <c r="S892" s="390"/>
      <c r="T892" s="391"/>
      <c r="U892" s="392"/>
      <c r="V892" s="391"/>
      <c r="W892" s="391"/>
      <c r="X892" s="388"/>
      <c r="Y892" s="391"/>
      <c r="Z892" s="393"/>
      <c r="AA892" s="355" t="str">
        <f t="shared" si="1"/>
        <v/>
      </c>
      <c r="AB892" s="391"/>
      <c r="AC892" s="394" t="str">
        <f t="shared" si="2"/>
        <v/>
      </c>
      <c r="AD892" s="389"/>
      <c r="AE892" s="399"/>
      <c r="AF892" s="395"/>
      <c r="AG892" s="396" t="str">
        <f t="shared" si="3"/>
        <v/>
      </c>
      <c r="AH892" s="396" t="str">
        <f t="shared" si="4"/>
        <v/>
      </c>
      <c r="AI892" s="388"/>
      <c r="AJ892" s="388"/>
      <c r="AK892" s="397"/>
    </row>
    <row r="893">
      <c r="A893" s="398"/>
      <c r="B893" s="386"/>
      <c r="C893" s="387" t="str">
        <f>IF(A893="","",IFERROR(IF(VLOOKUP(A893,'1. Inbound Leads'!A:G,7,FALSE)=0,"",VLOOKUP(A893,'1. Inbound Leads'!A:G,7,FALSE)),""))</f>
        <v/>
      </c>
      <c r="D893" s="387" t="str">
        <f>IF(A893="","",IFERROR(IF(VLOOKUP(A893,'1. Inbound Leads'!A:L,12,FALSE)=0,"",VLOOKUP(A893,'1. Inbound Leads'!A:L,12,FALSE)),""))</f>
        <v/>
      </c>
      <c r="E893" s="388"/>
      <c r="F893" s="389"/>
      <c r="G893" s="387"/>
      <c r="H893" s="387"/>
      <c r="I893" s="387"/>
      <c r="J893" s="387"/>
      <c r="K893" s="387"/>
      <c r="L893" s="387"/>
      <c r="M893" s="388"/>
      <c r="N893" s="388"/>
      <c r="O893" s="390"/>
      <c r="P893" s="391"/>
      <c r="Q893" s="389"/>
      <c r="R893" s="390"/>
      <c r="S893" s="390"/>
      <c r="T893" s="391"/>
      <c r="U893" s="392"/>
      <c r="V893" s="391"/>
      <c r="W893" s="391"/>
      <c r="X893" s="388"/>
      <c r="Y893" s="391"/>
      <c r="Z893" s="393"/>
      <c r="AA893" s="355" t="str">
        <f t="shared" si="1"/>
        <v/>
      </c>
      <c r="AB893" s="391"/>
      <c r="AC893" s="394" t="str">
        <f t="shared" si="2"/>
        <v/>
      </c>
      <c r="AD893" s="389"/>
      <c r="AE893" s="399"/>
      <c r="AF893" s="395"/>
      <c r="AG893" s="396" t="str">
        <f t="shared" si="3"/>
        <v/>
      </c>
      <c r="AH893" s="396" t="str">
        <f t="shared" si="4"/>
        <v/>
      </c>
      <c r="AI893" s="388"/>
      <c r="AJ893" s="388"/>
      <c r="AK893" s="397"/>
    </row>
    <row r="894">
      <c r="A894" s="398"/>
      <c r="B894" s="386"/>
      <c r="C894" s="387" t="str">
        <f>IF(A894="","",IFERROR(IF(VLOOKUP(A894,'1. Inbound Leads'!A:G,7,FALSE)=0,"",VLOOKUP(A894,'1. Inbound Leads'!A:G,7,FALSE)),""))</f>
        <v/>
      </c>
      <c r="D894" s="387" t="str">
        <f>IF(A894="","",IFERROR(IF(VLOOKUP(A894,'1. Inbound Leads'!A:L,12,FALSE)=0,"",VLOOKUP(A894,'1. Inbound Leads'!A:L,12,FALSE)),""))</f>
        <v/>
      </c>
      <c r="E894" s="388"/>
      <c r="F894" s="389"/>
      <c r="G894" s="387"/>
      <c r="H894" s="387"/>
      <c r="I894" s="387"/>
      <c r="J894" s="387"/>
      <c r="K894" s="387"/>
      <c r="L894" s="387"/>
      <c r="M894" s="388"/>
      <c r="N894" s="388"/>
      <c r="O894" s="390"/>
      <c r="P894" s="391"/>
      <c r="Q894" s="389"/>
      <c r="R894" s="390"/>
      <c r="S894" s="390"/>
      <c r="T894" s="391"/>
      <c r="U894" s="392"/>
      <c r="V894" s="391"/>
      <c r="W894" s="391"/>
      <c r="X894" s="388"/>
      <c r="Y894" s="391"/>
      <c r="Z894" s="393"/>
      <c r="AA894" s="355" t="str">
        <f t="shared" si="1"/>
        <v/>
      </c>
      <c r="AB894" s="391"/>
      <c r="AC894" s="394" t="str">
        <f t="shared" si="2"/>
        <v/>
      </c>
      <c r="AD894" s="389"/>
      <c r="AE894" s="399"/>
      <c r="AF894" s="395"/>
      <c r="AG894" s="396" t="str">
        <f t="shared" si="3"/>
        <v/>
      </c>
      <c r="AH894" s="396" t="str">
        <f t="shared" si="4"/>
        <v/>
      </c>
      <c r="AI894" s="388"/>
      <c r="AJ894" s="388"/>
      <c r="AK894" s="397"/>
    </row>
    <row r="895">
      <c r="A895" s="398"/>
      <c r="B895" s="386"/>
      <c r="C895" s="387" t="str">
        <f>IF(A895="","",IFERROR(IF(VLOOKUP(A895,'1. Inbound Leads'!A:G,7,FALSE)=0,"",VLOOKUP(A895,'1. Inbound Leads'!A:G,7,FALSE)),""))</f>
        <v/>
      </c>
      <c r="D895" s="387" t="str">
        <f>IF(A895="","",IFERROR(IF(VLOOKUP(A895,'1. Inbound Leads'!A:L,12,FALSE)=0,"",VLOOKUP(A895,'1. Inbound Leads'!A:L,12,FALSE)),""))</f>
        <v/>
      </c>
      <c r="E895" s="388"/>
      <c r="F895" s="389"/>
      <c r="G895" s="387"/>
      <c r="H895" s="387"/>
      <c r="I895" s="387"/>
      <c r="J895" s="387"/>
      <c r="K895" s="387"/>
      <c r="L895" s="387"/>
      <c r="M895" s="388"/>
      <c r="N895" s="388"/>
      <c r="O895" s="390"/>
      <c r="P895" s="391"/>
      <c r="Q895" s="389"/>
      <c r="R895" s="390"/>
      <c r="S895" s="390"/>
      <c r="T895" s="391"/>
      <c r="U895" s="392"/>
      <c r="V895" s="391"/>
      <c r="W895" s="391"/>
      <c r="X895" s="388"/>
      <c r="Y895" s="391"/>
      <c r="Z895" s="393"/>
      <c r="AA895" s="355" t="str">
        <f t="shared" si="1"/>
        <v/>
      </c>
      <c r="AB895" s="391"/>
      <c r="AC895" s="394" t="str">
        <f t="shared" si="2"/>
        <v/>
      </c>
      <c r="AD895" s="389"/>
      <c r="AE895" s="399"/>
      <c r="AF895" s="395"/>
      <c r="AG895" s="396" t="str">
        <f t="shared" si="3"/>
        <v/>
      </c>
      <c r="AH895" s="396" t="str">
        <f t="shared" si="4"/>
        <v/>
      </c>
      <c r="AI895" s="388"/>
      <c r="AJ895" s="388"/>
      <c r="AK895" s="397"/>
    </row>
    <row r="896">
      <c r="A896" s="398"/>
      <c r="B896" s="386"/>
      <c r="C896" s="387" t="str">
        <f>IF(A896="","",IFERROR(IF(VLOOKUP(A896,'1. Inbound Leads'!A:G,7,FALSE)=0,"",VLOOKUP(A896,'1. Inbound Leads'!A:G,7,FALSE)),""))</f>
        <v/>
      </c>
      <c r="D896" s="387" t="str">
        <f>IF(A896="","",IFERROR(IF(VLOOKUP(A896,'1. Inbound Leads'!A:L,12,FALSE)=0,"",VLOOKUP(A896,'1. Inbound Leads'!A:L,12,FALSE)),""))</f>
        <v/>
      </c>
      <c r="E896" s="388"/>
      <c r="F896" s="389"/>
      <c r="G896" s="387"/>
      <c r="H896" s="387"/>
      <c r="I896" s="387"/>
      <c r="J896" s="387"/>
      <c r="K896" s="387"/>
      <c r="L896" s="387"/>
      <c r="M896" s="388"/>
      <c r="N896" s="388"/>
      <c r="O896" s="390"/>
      <c r="P896" s="391"/>
      <c r="Q896" s="389"/>
      <c r="R896" s="390"/>
      <c r="S896" s="390"/>
      <c r="T896" s="391"/>
      <c r="U896" s="392"/>
      <c r="V896" s="391"/>
      <c r="W896" s="391"/>
      <c r="X896" s="388"/>
      <c r="Y896" s="391"/>
      <c r="Z896" s="393"/>
      <c r="AA896" s="355" t="str">
        <f t="shared" si="1"/>
        <v/>
      </c>
      <c r="AB896" s="391"/>
      <c r="AC896" s="394" t="str">
        <f t="shared" si="2"/>
        <v/>
      </c>
      <c r="AD896" s="389"/>
      <c r="AE896" s="399"/>
      <c r="AF896" s="395"/>
      <c r="AG896" s="396" t="str">
        <f t="shared" si="3"/>
        <v/>
      </c>
      <c r="AH896" s="396" t="str">
        <f t="shared" si="4"/>
        <v/>
      </c>
      <c r="AI896" s="388"/>
      <c r="AJ896" s="388"/>
      <c r="AK896" s="397"/>
    </row>
    <row r="897">
      <c r="A897" s="398"/>
      <c r="B897" s="386"/>
      <c r="C897" s="387" t="str">
        <f>IF(A897="","",IFERROR(IF(VLOOKUP(A897,'1. Inbound Leads'!A:G,7,FALSE)=0,"",VLOOKUP(A897,'1. Inbound Leads'!A:G,7,FALSE)),""))</f>
        <v/>
      </c>
      <c r="D897" s="387" t="str">
        <f>IF(A897="","",IFERROR(IF(VLOOKUP(A897,'1. Inbound Leads'!A:L,12,FALSE)=0,"",VLOOKUP(A897,'1. Inbound Leads'!A:L,12,FALSE)),""))</f>
        <v/>
      </c>
      <c r="E897" s="388"/>
      <c r="F897" s="389"/>
      <c r="G897" s="387"/>
      <c r="H897" s="387"/>
      <c r="I897" s="387"/>
      <c r="J897" s="387"/>
      <c r="K897" s="387"/>
      <c r="L897" s="387"/>
      <c r="M897" s="388"/>
      <c r="N897" s="388"/>
      <c r="O897" s="390"/>
      <c r="P897" s="391"/>
      <c r="Q897" s="389"/>
      <c r="R897" s="390"/>
      <c r="S897" s="390"/>
      <c r="T897" s="391"/>
      <c r="U897" s="392"/>
      <c r="V897" s="391"/>
      <c r="W897" s="391"/>
      <c r="X897" s="388"/>
      <c r="Y897" s="391"/>
      <c r="Z897" s="393"/>
      <c r="AA897" s="355" t="str">
        <f t="shared" si="1"/>
        <v/>
      </c>
      <c r="AB897" s="391"/>
      <c r="AC897" s="394" t="str">
        <f t="shared" si="2"/>
        <v/>
      </c>
      <c r="AD897" s="389"/>
      <c r="AE897" s="399"/>
      <c r="AF897" s="395"/>
      <c r="AG897" s="396" t="str">
        <f t="shared" si="3"/>
        <v/>
      </c>
      <c r="AH897" s="396" t="str">
        <f t="shared" si="4"/>
        <v/>
      </c>
      <c r="AI897" s="388"/>
      <c r="AJ897" s="388"/>
      <c r="AK897" s="397"/>
    </row>
    <row r="898">
      <c r="A898" s="398"/>
      <c r="B898" s="386"/>
      <c r="C898" s="387" t="str">
        <f>IF(A898="","",IFERROR(IF(VLOOKUP(A898,'1. Inbound Leads'!A:G,7,FALSE)=0,"",VLOOKUP(A898,'1. Inbound Leads'!A:G,7,FALSE)),""))</f>
        <v/>
      </c>
      <c r="D898" s="387" t="str">
        <f>IF(A898="","",IFERROR(IF(VLOOKUP(A898,'1. Inbound Leads'!A:L,12,FALSE)=0,"",VLOOKUP(A898,'1. Inbound Leads'!A:L,12,FALSE)),""))</f>
        <v/>
      </c>
      <c r="E898" s="388"/>
      <c r="F898" s="389"/>
      <c r="G898" s="387"/>
      <c r="H898" s="387"/>
      <c r="I898" s="387"/>
      <c r="J898" s="387"/>
      <c r="K898" s="387"/>
      <c r="L898" s="387"/>
      <c r="M898" s="388"/>
      <c r="N898" s="388"/>
      <c r="O898" s="390"/>
      <c r="P898" s="391"/>
      <c r="Q898" s="389"/>
      <c r="R898" s="390"/>
      <c r="S898" s="390"/>
      <c r="T898" s="391"/>
      <c r="U898" s="392"/>
      <c r="V898" s="391"/>
      <c r="W898" s="391"/>
      <c r="X898" s="388"/>
      <c r="Y898" s="391"/>
      <c r="Z898" s="393"/>
      <c r="AA898" s="355" t="str">
        <f t="shared" si="1"/>
        <v/>
      </c>
      <c r="AB898" s="391"/>
      <c r="AC898" s="394" t="str">
        <f t="shared" si="2"/>
        <v/>
      </c>
      <c r="AD898" s="389"/>
      <c r="AE898" s="399"/>
      <c r="AF898" s="395"/>
      <c r="AG898" s="396" t="str">
        <f t="shared" si="3"/>
        <v/>
      </c>
      <c r="AH898" s="396" t="str">
        <f t="shared" si="4"/>
        <v/>
      </c>
      <c r="AI898" s="388"/>
      <c r="AJ898" s="388"/>
      <c r="AK898" s="397"/>
    </row>
    <row r="899">
      <c r="A899" s="398"/>
      <c r="B899" s="386"/>
      <c r="C899" s="387" t="str">
        <f>IF(A899="","",IFERROR(IF(VLOOKUP(A899,'1. Inbound Leads'!A:G,7,FALSE)=0,"",VLOOKUP(A899,'1. Inbound Leads'!A:G,7,FALSE)),""))</f>
        <v/>
      </c>
      <c r="D899" s="387" t="str">
        <f>IF(A899="","",IFERROR(IF(VLOOKUP(A899,'1. Inbound Leads'!A:L,12,FALSE)=0,"",VLOOKUP(A899,'1. Inbound Leads'!A:L,12,FALSE)),""))</f>
        <v/>
      </c>
      <c r="E899" s="388"/>
      <c r="F899" s="389"/>
      <c r="G899" s="387"/>
      <c r="H899" s="387"/>
      <c r="I899" s="387"/>
      <c r="J899" s="387"/>
      <c r="K899" s="387"/>
      <c r="L899" s="387"/>
      <c r="M899" s="388"/>
      <c r="N899" s="388"/>
      <c r="O899" s="390"/>
      <c r="P899" s="391"/>
      <c r="Q899" s="389"/>
      <c r="R899" s="390"/>
      <c r="S899" s="390"/>
      <c r="T899" s="391"/>
      <c r="U899" s="392"/>
      <c r="V899" s="391"/>
      <c r="W899" s="391"/>
      <c r="X899" s="388"/>
      <c r="Y899" s="391"/>
      <c r="Z899" s="393"/>
      <c r="AA899" s="355" t="str">
        <f t="shared" si="1"/>
        <v/>
      </c>
      <c r="AB899" s="391"/>
      <c r="AC899" s="394" t="str">
        <f t="shared" si="2"/>
        <v/>
      </c>
      <c r="AD899" s="389"/>
      <c r="AE899" s="399"/>
      <c r="AF899" s="395"/>
      <c r="AG899" s="396" t="str">
        <f t="shared" si="3"/>
        <v/>
      </c>
      <c r="AH899" s="396" t="str">
        <f t="shared" si="4"/>
        <v/>
      </c>
      <c r="AI899" s="388"/>
      <c r="AJ899" s="388"/>
      <c r="AK899" s="397"/>
    </row>
    <row r="900">
      <c r="A900" s="398"/>
      <c r="B900" s="386"/>
      <c r="C900" s="387" t="str">
        <f>IF(A900="","",IFERROR(IF(VLOOKUP(A900,'1. Inbound Leads'!A:G,7,FALSE)=0,"",VLOOKUP(A900,'1. Inbound Leads'!A:G,7,FALSE)),""))</f>
        <v/>
      </c>
      <c r="D900" s="387" t="str">
        <f>IF(A900="","",IFERROR(IF(VLOOKUP(A900,'1. Inbound Leads'!A:L,12,FALSE)=0,"",VLOOKUP(A900,'1. Inbound Leads'!A:L,12,FALSE)),""))</f>
        <v/>
      </c>
      <c r="E900" s="388"/>
      <c r="F900" s="389"/>
      <c r="G900" s="387"/>
      <c r="H900" s="387"/>
      <c r="I900" s="387"/>
      <c r="J900" s="387"/>
      <c r="K900" s="387"/>
      <c r="L900" s="387"/>
      <c r="M900" s="388"/>
      <c r="N900" s="388"/>
      <c r="O900" s="390"/>
      <c r="P900" s="391"/>
      <c r="Q900" s="389"/>
      <c r="R900" s="390"/>
      <c r="S900" s="390"/>
      <c r="T900" s="391"/>
      <c r="U900" s="392"/>
      <c r="V900" s="391"/>
      <c r="W900" s="391"/>
      <c r="X900" s="388"/>
      <c r="Y900" s="391"/>
      <c r="Z900" s="393"/>
      <c r="AA900" s="355" t="str">
        <f t="shared" si="1"/>
        <v/>
      </c>
      <c r="AB900" s="391"/>
      <c r="AC900" s="394" t="str">
        <f t="shared" si="2"/>
        <v/>
      </c>
      <c r="AD900" s="389"/>
      <c r="AE900" s="399"/>
      <c r="AF900" s="395"/>
      <c r="AG900" s="396" t="str">
        <f t="shared" si="3"/>
        <v/>
      </c>
      <c r="AH900" s="396" t="str">
        <f t="shared" si="4"/>
        <v/>
      </c>
      <c r="AI900" s="388"/>
      <c r="AJ900" s="388"/>
      <c r="AK900" s="397"/>
    </row>
    <row r="901">
      <c r="A901" s="398"/>
      <c r="B901" s="386"/>
      <c r="C901" s="387" t="str">
        <f>IF(A901="","",IFERROR(IF(VLOOKUP(A901,'1. Inbound Leads'!A:G,7,FALSE)=0,"",VLOOKUP(A901,'1. Inbound Leads'!A:G,7,FALSE)),""))</f>
        <v/>
      </c>
      <c r="D901" s="387" t="str">
        <f>IF(A901="","",IFERROR(IF(VLOOKUP(A901,'1. Inbound Leads'!A:L,12,FALSE)=0,"",VLOOKUP(A901,'1. Inbound Leads'!A:L,12,FALSE)),""))</f>
        <v/>
      </c>
      <c r="E901" s="388"/>
      <c r="F901" s="389"/>
      <c r="G901" s="387"/>
      <c r="H901" s="387"/>
      <c r="I901" s="387"/>
      <c r="J901" s="387"/>
      <c r="K901" s="387"/>
      <c r="L901" s="387"/>
      <c r="M901" s="388"/>
      <c r="N901" s="388"/>
      <c r="O901" s="390"/>
      <c r="P901" s="391"/>
      <c r="Q901" s="389"/>
      <c r="R901" s="390"/>
      <c r="S901" s="390"/>
      <c r="T901" s="391"/>
      <c r="U901" s="392"/>
      <c r="V901" s="391"/>
      <c r="W901" s="391"/>
      <c r="X901" s="388"/>
      <c r="Y901" s="391"/>
      <c r="Z901" s="393"/>
      <c r="AA901" s="355" t="str">
        <f t="shared" si="1"/>
        <v/>
      </c>
      <c r="AB901" s="391"/>
      <c r="AC901" s="394" t="str">
        <f t="shared" si="2"/>
        <v/>
      </c>
      <c r="AD901" s="389"/>
      <c r="AE901" s="399"/>
      <c r="AF901" s="395"/>
      <c r="AG901" s="396" t="str">
        <f t="shared" si="3"/>
        <v/>
      </c>
      <c r="AH901" s="396" t="str">
        <f t="shared" si="4"/>
        <v/>
      </c>
      <c r="AI901" s="388"/>
      <c r="AJ901" s="388"/>
      <c r="AK901" s="397"/>
    </row>
    <row r="902">
      <c r="A902" s="398"/>
      <c r="B902" s="386"/>
      <c r="C902" s="387" t="str">
        <f>IF(A902="","",IFERROR(IF(VLOOKUP(A902,'1. Inbound Leads'!A:G,7,FALSE)=0,"",VLOOKUP(A902,'1. Inbound Leads'!A:G,7,FALSE)),""))</f>
        <v/>
      </c>
      <c r="D902" s="387" t="str">
        <f>IF(A902="","",IFERROR(IF(VLOOKUP(A902,'1. Inbound Leads'!A:L,12,FALSE)=0,"",VLOOKUP(A902,'1. Inbound Leads'!A:L,12,FALSE)),""))</f>
        <v/>
      </c>
      <c r="E902" s="388"/>
      <c r="F902" s="389"/>
      <c r="G902" s="387"/>
      <c r="H902" s="387"/>
      <c r="I902" s="387"/>
      <c r="J902" s="387"/>
      <c r="K902" s="387"/>
      <c r="L902" s="387"/>
      <c r="M902" s="388"/>
      <c r="N902" s="388"/>
      <c r="O902" s="390"/>
      <c r="P902" s="391"/>
      <c r="Q902" s="389"/>
      <c r="R902" s="390"/>
      <c r="S902" s="390"/>
      <c r="T902" s="391"/>
      <c r="U902" s="392"/>
      <c r="V902" s="391"/>
      <c r="W902" s="391"/>
      <c r="X902" s="388"/>
      <c r="Y902" s="391"/>
      <c r="Z902" s="393"/>
      <c r="AA902" s="355" t="str">
        <f t="shared" si="1"/>
        <v/>
      </c>
      <c r="AB902" s="391"/>
      <c r="AC902" s="394" t="str">
        <f t="shared" si="2"/>
        <v/>
      </c>
      <c r="AD902" s="389"/>
      <c r="AE902" s="399"/>
      <c r="AF902" s="395"/>
      <c r="AG902" s="396" t="str">
        <f t="shared" si="3"/>
        <v/>
      </c>
      <c r="AH902" s="396" t="str">
        <f t="shared" si="4"/>
        <v/>
      </c>
      <c r="AI902" s="388"/>
      <c r="AJ902" s="388"/>
      <c r="AK902" s="397"/>
    </row>
    <row r="903">
      <c r="A903" s="398"/>
      <c r="B903" s="386"/>
      <c r="C903" s="387" t="str">
        <f>IF(A903="","",IFERROR(IF(VLOOKUP(A903,'1. Inbound Leads'!A:G,7,FALSE)=0,"",VLOOKUP(A903,'1. Inbound Leads'!A:G,7,FALSE)),""))</f>
        <v/>
      </c>
      <c r="D903" s="387" t="str">
        <f>IF(A903="","",IFERROR(IF(VLOOKUP(A903,'1. Inbound Leads'!A:L,12,FALSE)=0,"",VLOOKUP(A903,'1. Inbound Leads'!A:L,12,FALSE)),""))</f>
        <v/>
      </c>
      <c r="E903" s="388"/>
      <c r="F903" s="389"/>
      <c r="G903" s="387"/>
      <c r="H903" s="387"/>
      <c r="I903" s="387"/>
      <c r="J903" s="387"/>
      <c r="K903" s="387"/>
      <c r="L903" s="387"/>
      <c r="M903" s="388"/>
      <c r="N903" s="388"/>
      <c r="O903" s="390"/>
      <c r="P903" s="391"/>
      <c r="Q903" s="389"/>
      <c r="R903" s="390"/>
      <c r="S903" s="390"/>
      <c r="T903" s="391"/>
      <c r="U903" s="392"/>
      <c r="V903" s="391"/>
      <c r="W903" s="391"/>
      <c r="X903" s="388"/>
      <c r="Y903" s="391"/>
      <c r="Z903" s="393"/>
      <c r="AA903" s="355" t="str">
        <f t="shared" si="1"/>
        <v/>
      </c>
      <c r="AB903" s="391"/>
      <c r="AC903" s="394" t="str">
        <f t="shared" si="2"/>
        <v/>
      </c>
      <c r="AD903" s="389"/>
      <c r="AE903" s="399"/>
      <c r="AF903" s="395"/>
      <c r="AG903" s="396" t="str">
        <f t="shared" si="3"/>
        <v/>
      </c>
      <c r="AH903" s="396" t="str">
        <f t="shared" si="4"/>
        <v/>
      </c>
      <c r="AI903" s="388"/>
      <c r="AJ903" s="388"/>
      <c r="AK903" s="397"/>
    </row>
    <row r="904">
      <c r="A904" s="398"/>
      <c r="B904" s="386"/>
      <c r="C904" s="387" t="str">
        <f>IF(A904="","",IFERROR(IF(VLOOKUP(A904,'1. Inbound Leads'!A:G,7,FALSE)=0,"",VLOOKUP(A904,'1. Inbound Leads'!A:G,7,FALSE)),""))</f>
        <v/>
      </c>
      <c r="D904" s="387" t="str">
        <f>IF(A904="","",IFERROR(IF(VLOOKUP(A904,'1. Inbound Leads'!A:L,12,FALSE)=0,"",VLOOKUP(A904,'1. Inbound Leads'!A:L,12,FALSE)),""))</f>
        <v/>
      </c>
      <c r="E904" s="388"/>
      <c r="F904" s="389"/>
      <c r="G904" s="387"/>
      <c r="H904" s="387"/>
      <c r="I904" s="387"/>
      <c r="J904" s="387"/>
      <c r="K904" s="387"/>
      <c r="L904" s="387"/>
      <c r="M904" s="388"/>
      <c r="N904" s="388"/>
      <c r="O904" s="390"/>
      <c r="P904" s="391"/>
      <c r="Q904" s="389"/>
      <c r="R904" s="390"/>
      <c r="S904" s="390"/>
      <c r="T904" s="391"/>
      <c r="U904" s="392"/>
      <c r="V904" s="391"/>
      <c r="W904" s="391"/>
      <c r="X904" s="388"/>
      <c r="Y904" s="391"/>
      <c r="Z904" s="393"/>
      <c r="AA904" s="355" t="str">
        <f t="shared" si="1"/>
        <v/>
      </c>
      <c r="AB904" s="391"/>
      <c r="AC904" s="394" t="str">
        <f t="shared" si="2"/>
        <v/>
      </c>
      <c r="AD904" s="389"/>
      <c r="AE904" s="399"/>
      <c r="AF904" s="395"/>
      <c r="AG904" s="396" t="str">
        <f t="shared" si="3"/>
        <v/>
      </c>
      <c r="AH904" s="396" t="str">
        <f t="shared" si="4"/>
        <v/>
      </c>
      <c r="AI904" s="388"/>
      <c r="AJ904" s="388"/>
      <c r="AK904" s="397"/>
    </row>
    <row r="905">
      <c r="A905" s="398"/>
      <c r="B905" s="386"/>
      <c r="C905" s="387" t="str">
        <f>IF(A905="","",IFERROR(IF(VLOOKUP(A905,'1. Inbound Leads'!A:G,7,FALSE)=0,"",VLOOKUP(A905,'1. Inbound Leads'!A:G,7,FALSE)),""))</f>
        <v/>
      </c>
      <c r="D905" s="387" t="str">
        <f>IF(A905="","",IFERROR(IF(VLOOKUP(A905,'1. Inbound Leads'!A:L,12,FALSE)=0,"",VLOOKUP(A905,'1. Inbound Leads'!A:L,12,FALSE)),""))</f>
        <v/>
      </c>
      <c r="E905" s="388"/>
      <c r="F905" s="389"/>
      <c r="G905" s="387"/>
      <c r="H905" s="387"/>
      <c r="I905" s="387"/>
      <c r="J905" s="387"/>
      <c r="K905" s="387"/>
      <c r="L905" s="387"/>
      <c r="M905" s="388"/>
      <c r="N905" s="388"/>
      <c r="O905" s="390"/>
      <c r="P905" s="391"/>
      <c r="Q905" s="389"/>
      <c r="R905" s="390"/>
      <c r="S905" s="390"/>
      <c r="T905" s="391"/>
      <c r="U905" s="392"/>
      <c r="V905" s="391"/>
      <c r="W905" s="391"/>
      <c r="X905" s="388"/>
      <c r="Y905" s="391"/>
      <c r="Z905" s="393"/>
      <c r="AA905" s="355" t="str">
        <f t="shared" si="1"/>
        <v/>
      </c>
      <c r="AB905" s="391"/>
      <c r="AC905" s="394" t="str">
        <f t="shared" si="2"/>
        <v/>
      </c>
      <c r="AD905" s="389"/>
      <c r="AE905" s="399"/>
      <c r="AF905" s="395"/>
      <c r="AG905" s="396" t="str">
        <f t="shared" si="3"/>
        <v/>
      </c>
      <c r="AH905" s="396" t="str">
        <f t="shared" si="4"/>
        <v/>
      </c>
      <c r="AI905" s="388"/>
      <c r="AJ905" s="388"/>
      <c r="AK905" s="397"/>
    </row>
    <row r="906">
      <c r="A906" s="398"/>
      <c r="B906" s="386"/>
      <c r="C906" s="387" t="str">
        <f>IF(A906="","",IFERROR(IF(VLOOKUP(A906,'1. Inbound Leads'!A:G,7,FALSE)=0,"",VLOOKUP(A906,'1. Inbound Leads'!A:G,7,FALSE)),""))</f>
        <v/>
      </c>
      <c r="D906" s="387" t="str">
        <f>IF(A906="","",IFERROR(IF(VLOOKUP(A906,'1. Inbound Leads'!A:L,12,FALSE)=0,"",VLOOKUP(A906,'1. Inbound Leads'!A:L,12,FALSE)),""))</f>
        <v/>
      </c>
      <c r="E906" s="388"/>
      <c r="F906" s="389"/>
      <c r="G906" s="387"/>
      <c r="H906" s="387"/>
      <c r="I906" s="387"/>
      <c r="J906" s="387"/>
      <c r="K906" s="387"/>
      <c r="L906" s="387"/>
      <c r="M906" s="388"/>
      <c r="N906" s="388"/>
      <c r="O906" s="390"/>
      <c r="P906" s="391"/>
      <c r="Q906" s="389"/>
      <c r="R906" s="390"/>
      <c r="S906" s="390"/>
      <c r="T906" s="391"/>
      <c r="U906" s="392"/>
      <c r="V906" s="391"/>
      <c r="W906" s="391"/>
      <c r="X906" s="388"/>
      <c r="Y906" s="391"/>
      <c r="Z906" s="393"/>
      <c r="AA906" s="355" t="str">
        <f t="shared" si="1"/>
        <v/>
      </c>
      <c r="AB906" s="391"/>
      <c r="AC906" s="394" t="str">
        <f t="shared" si="2"/>
        <v/>
      </c>
      <c r="AD906" s="389"/>
      <c r="AE906" s="399"/>
      <c r="AF906" s="395"/>
      <c r="AG906" s="396" t="str">
        <f t="shared" si="3"/>
        <v/>
      </c>
      <c r="AH906" s="396" t="str">
        <f t="shared" si="4"/>
        <v/>
      </c>
      <c r="AI906" s="388"/>
      <c r="AJ906" s="388"/>
      <c r="AK906" s="397"/>
    </row>
    <row r="907">
      <c r="A907" s="398"/>
      <c r="B907" s="386"/>
      <c r="C907" s="387" t="str">
        <f>IF(A907="","",IFERROR(IF(VLOOKUP(A907,'1. Inbound Leads'!A:G,7,FALSE)=0,"",VLOOKUP(A907,'1. Inbound Leads'!A:G,7,FALSE)),""))</f>
        <v/>
      </c>
      <c r="D907" s="387" t="str">
        <f>IF(A907="","",IFERROR(IF(VLOOKUP(A907,'1. Inbound Leads'!A:L,12,FALSE)=0,"",VLOOKUP(A907,'1. Inbound Leads'!A:L,12,FALSE)),""))</f>
        <v/>
      </c>
      <c r="E907" s="388"/>
      <c r="F907" s="389"/>
      <c r="G907" s="387"/>
      <c r="H907" s="387"/>
      <c r="I907" s="387"/>
      <c r="J907" s="387"/>
      <c r="K907" s="387"/>
      <c r="L907" s="387"/>
      <c r="M907" s="388"/>
      <c r="N907" s="388"/>
      <c r="O907" s="390"/>
      <c r="P907" s="391"/>
      <c r="Q907" s="389"/>
      <c r="R907" s="390"/>
      <c r="S907" s="390"/>
      <c r="T907" s="391"/>
      <c r="U907" s="392"/>
      <c r="V907" s="391"/>
      <c r="W907" s="391"/>
      <c r="X907" s="388"/>
      <c r="Y907" s="391"/>
      <c r="Z907" s="393"/>
      <c r="AA907" s="355" t="str">
        <f t="shared" si="1"/>
        <v/>
      </c>
      <c r="AB907" s="391"/>
      <c r="AC907" s="394" t="str">
        <f t="shared" si="2"/>
        <v/>
      </c>
      <c r="AD907" s="389"/>
      <c r="AE907" s="399"/>
      <c r="AF907" s="395"/>
      <c r="AG907" s="396" t="str">
        <f t="shared" si="3"/>
        <v/>
      </c>
      <c r="AH907" s="396" t="str">
        <f t="shared" si="4"/>
        <v/>
      </c>
      <c r="AI907" s="388"/>
      <c r="AJ907" s="388"/>
      <c r="AK907" s="397"/>
    </row>
    <row r="908">
      <c r="A908" s="398"/>
      <c r="B908" s="386"/>
      <c r="C908" s="387" t="str">
        <f>IF(A908="","",IFERROR(IF(VLOOKUP(A908,'1. Inbound Leads'!A:G,7,FALSE)=0,"",VLOOKUP(A908,'1. Inbound Leads'!A:G,7,FALSE)),""))</f>
        <v/>
      </c>
      <c r="D908" s="387" t="str">
        <f>IF(A908="","",IFERROR(IF(VLOOKUP(A908,'1. Inbound Leads'!A:L,12,FALSE)=0,"",VLOOKUP(A908,'1. Inbound Leads'!A:L,12,FALSE)),""))</f>
        <v/>
      </c>
      <c r="E908" s="388"/>
      <c r="F908" s="389"/>
      <c r="G908" s="387"/>
      <c r="H908" s="387"/>
      <c r="I908" s="387"/>
      <c r="J908" s="387"/>
      <c r="K908" s="387"/>
      <c r="L908" s="387"/>
      <c r="M908" s="388"/>
      <c r="N908" s="388"/>
      <c r="O908" s="390"/>
      <c r="P908" s="391"/>
      <c r="Q908" s="389"/>
      <c r="R908" s="390"/>
      <c r="S908" s="390"/>
      <c r="T908" s="391"/>
      <c r="U908" s="392"/>
      <c r="V908" s="391"/>
      <c r="W908" s="391"/>
      <c r="X908" s="388"/>
      <c r="Y908" s="391"/>
      <c r="Z908" s="393"/>
      <c r="AA908" s="355" t="str">
        <f t="shared" si="1"/>
        <v/>
      </c>
      <c r="AB908" s="391"/>
      <c r="AC908" s="394" t="str">
        <f t="shared" si="2"/>
        <v/>
      </c>
      <c r="AD908" s="389"/>
      <c r="AE908" s="399"/>
      <c r="AF908" s="395"/>
      <c r="AG908" s="396" t="str">
        <f t="shared" si="3"/>
        <v/>
      </c>
      <c r="AH908" s="396" t="str">
        <f t="shared" si="4"/>
        <v/>
      </c>
      <c r="AI908" s="388"/>
      <c r="AJ908" s="388"/>
      <c r="AK908" s="397"/>
    </row>
    <row r="909">
      <c r="A909" s="398"/>
      <c r="B909" s="386"/>
      <c r="C909" s="387" t="str">
        <f>IF(A909="","",IFERROR(IF(VLOOKUP(A909,'1. Inbound Leads'!A:G,7,FALSE)=0,"",VLOOKUP(A909,'1. Inbound Leads'!A:G,7,FALSE)),""))</f>
        <v/>
      </c>
      <c r="D909" s="387" t="str">
        <f>IF(A909="","",IFERROR(IF(VLOOKUP(A909,'1. Inbound Leads'!A:L,12,FALSE)=0,"",VLOOKUP(A909,'1. Inbound Leads'!A:L,12,FALSE)),""))</f>
        <v/>
      </c>
      <c r="E909" s="388"/>
      <c r="F909" s="389"/>
      <c r="G909" s="387"/>
      <c r="H909" s="387"/>
      <c r="I909" s="387"/>
      <c r="J909" s="387"/>
      <c r="K909" s="387"/>
      <c r="L909" s="387"/>
      <c r="M909" s="388"/>
      <c r="N909" s="388"/>
      <c r="O909" s="390"/>
      <c r="P909" s="391"/>
      <c r="Q909" s="389"/>
      <c r="R909" s="390"/>
      <c r="S909" s="390"/>
      <c r="T909" s="391"/>
      <c r="U909" s="392"/>
      <c r="V909" s="391"/>
      <c r="W909" s="391"/>
      <c r="X909" s="388"/>
      <c r="Y909" s="391"/>
      <c r="Z909" s="393"/>
      <c r="AA909" s="355" t="str">
        <f t="shared" si="1"/>
        <v/>
      </c>
      <c r="AB909" s="391"/>
      <c r="AC909" s="394" t="str">
        <f t="shared" si="2"/>
        <v/>
      </c>
      <c r="AD909" s="389"/>
      <c r="AE909" s="399"/>
      <c r="AF909" s="395"/>
      <c r="AG909" s="396" t="str">
        <f t="shared" si="3"/>
        <v/>
      </c>
      <c r="AH909" s="396" t="str">
        <f t="shared" si="4"/>
        <v/>
      </c>
      <c r="AI909" s="388"/>
      <c r="AJ909" s="388"/>
      <c r="AK909" s="397"/>
    </row>
    <row r="910">
      <c r="A910" s="398"/>
      <c r="B910" s="386"/>
      <c r="C910" s="387" t="str">
        <f>IF(A910="","",IFERROR(IF(VLOOKUP(A910,'1. Inbound Leads'!A:G,7,FALSE)=0,"",VLOOKUP(A910,'1. Inbound Leads'!A:G,7,FALSE)),""))</f>
        <v/>
      </c>
      <c r="D910" s="387" t="str">
        <f>IF(A910="","",IFERROR(IF(VLOOKUP(A910,'1. Inbound Leads'!A:L,12,FALSE)=0,"",VLOOKUP(A910,'1. Inbound Leads'!A:L,12,FALSE)),""))</f>
        <v/>
      </c>
      <c r="E910" s="388"/>
      <c r="F910" s="389"/>
      <c r="G910" s="387"/>
      <c r="H910" s="387"/>
      <c r="I910" s="387"/>
      <c r="J910" s="387"/>
      <c r="K910" s="387"/>
      <c r="L910" s="387"/>
      <c r="M910" s="388"/>
      <c r="N910" s="388"/>
      <c r="O910" s="390"/>
      <c r="P910" s="391"/>
      <c r="Q910" s="389"/>
      <c r="R910" s="390"/>
      <c r="S910" s="390"/>
      <c r="T910" s="391"/>
      <c r="U910" s="392"/>
      <c r="V910" s="391"/>
      <c r="W910" s="391"/>
      <c r="X910" s="388"/>
      <c r="Y910" s="391"/>
      <c r="Z910" s="393"/>
      <c r="AA910" s="355" t="str">
        <f t="shared" si="1"/>
        <v/>
      </c>
      <c r="AB910" s="391"/>
      <c r="AC910" s="394" t="str">
        <f t="shared" si="2"/>
        <v/>
      </c>
      <c r="AD910" s="389"/>
      <c r="AE910" s="399"/>
      <c r="AF910" s="395"/>
      <c r="AG910" s="396" t="str">
        <f t="shared" si="3"/>
        <v/>
      </c>
      <c r="AH910" s="396" t="str">
        <f t="shared" si="4"/>
        <v/>
      </c>
      <c r="AI910" s="388"/>
      <c r="AJ910" s="388"/>
      <c r="AK910" s="397"/>
    </row>
    <row r="911">
      <c r="A911" s="398"/>
      <c r="B911" s="386"/>
      <c r="C911" s="387" t="str">
        <f>IF(A911="","",IFERROR(IF(VLOOKUP(A911,'1. Inbound Leads'!A:G,7,FALSE)=0,"",VLOOKUP(A911,'1. Inbound Leads'!A:G,7,FALSE)),""))</f>
        <v/>
      </c>
      <c r="D911" s="387" t="str">
        <f>IF(A911="","",IFERROR(IF(VLOOKUP(A911,'1. Inbound Leads'!A:L,12,FALSE)=0,"",VLOOKUP(A911,'1. Inbound Leads'!A:L,12,FALSE)),""))</f>
        <v/>
      </c>
      <c r="E911" s="388"/>
      <c r="F911" s="389"/>
      <c r="G911" s="387"/>
      <c r="H911" s="387"/>
      <c r="I911" s="387"/>
      <c r="J911" s="387"/>
      <c r="K911" s="387"/>
      <c r="L911" s="387"/>
      <c r="M911" s="388"/>
      <c r="N911" s="388"/>
      <c r="O911" s="390"/>
      <c r="P911" s="391"/>
      <c r="Q911" s="389"/>
      <c r="R911" s="390"/>
      <c r="S911" s="390"/>
      <c r="T911" s="391"/>
      <c r="U911" s="392"/>
      <c r="V911" s="391"/>
      <c r="W911" s="391"/>
      <c r="X911" s="388"/>
      <c r="Y911" s="391"/>
      <c r="Z911" s="393"/>
      <c r="AA911" s="355" t="str">
        <f t="shared" si="1"/>
        <v/>
      </c>
      <c r="AB911" s="391"/>
      <c r="AC911" s="394" t="str">
        <f t="shared" si="2"/>
        <v/>
      </c>
      <c r="AD911" s="389"/>
      <c r="AE911" s="399"/>
      <c r="AF911" s="395"/>
      <c r="AG911" s="396" t="str">
        <f t="shared" si="3"/>
        <v/>
      </c>
      <c r="AH911" s="396" t="str">
        <f t="shared" si="4"/>
        <v/>
      </c>
      <c r="AI911" s="388"/>
      <c r="AJ911" s="388"/>
      <c r="AK911" s="397"/>
    </row>
    <row r="912">
      <c r="A912" s="398"/>
      <c r="B912" s="386"/>
      <c r="C912" s="387" t="str">
        <f>IF(A912="","",IFERROR(IF(VLOOKUP(A912,'1. Inbound Leads'!A:G,7,FALSE)=0,"",VLOOKUP(A912,'1. Inbound Leads'!A:G,7,FALSE)),""))</f>
        <v/>
      </c>
      <c r="D912" s="387" t="str">
        <f>IF(A912="","",IFERROR(IF(VLOOKUP(A912,'1. Inbound Leads'!A:L,12,FALSE)=0,"",VLOOKUP(A912,'1. Inbound Leads'!A:L,12,FALSE)),""))</f>
        <v/>
      </c>
      <c r="E912" s="388"/>
      <c r="F912" s="389"/>
      <c r="G912" s="387"/>
      <c r="H912" s="387"/>
      <c r="I912" s="387"/>
      <c r="J912" s="387"/>
      <c r="K912" s="387"/>
      <c r="L912" s="387"/>
      <c r="M912" s="388"/>
      <c r="N912" s="388"/>
      <c r="O912" s="390"/>
      <c r="P912" s="391"/>
      <c r="Q912" s="389"/>
      <c r="R912" s="390"/>
      <c r="S912" s="390"/>
      <c r="T912" s="391"/>
      <c r="U912" s="392"/>
      <c r="V912" s="391"/>
      <c r="W912" s="391"/>
      <c r="X912" s="388"/>
      <c r="Y912" s="391"/>
      <c r="Z912" s="393"/>
      <c r="AA912" s="355" t="str">
        <f t="shared" si="1"/>
        <v/>
      </c>
      <c r="AB912" s="391"/>
      <c r="AC912" s="394" t="str">
        <f t="shared" si="2"/>
        <v/>
      </c>
      <c r="AD912" s="389"/>
      <c r="AE912" s="399"/>
      <c r="AF912" s="395"/>
      <c r="AG912" s="396" t="str">
        <f t="shared" si="3"/>
        <v/>
      </c>
      <c r="AH912" s="396" t="str">
        <f t="shared" si="4"/>
        <v/>
      </c>
      <c r="AI912" s="388"/>
      <c r="AJ912" s="388"/>
      <c r="AK912" s="397"/>
    </row>
    <row r="913">
      <c r="A913" s="398"/>
      <c r="B913" s="386"/>
      <c r="C913" s="387" t="str">
        <f>IF(A913="","",IFERROR(IF(VLOOKUP(A913,'1. Inbound Leads'!A:G,7,FALSE)=0,"",VLOOKUP(A913,'1. Inbound Leads'!A:G,7,FALSE)),""))</f>
        <v/>
      </c>
      <c r="D913" s="387" t="str">
        <f>IF(A913="","",IFERROR(IF(VLOOKUP(A913,'1. Inbound Leads'!A:L,12,FALSE)=0,"",VLOOKUP(A913,'1. Inbound Leads'!A:L,12,FALSE)),""))</f>
        <v/>
      </c>
      <c r="E913" s="388"/>
      <c r="F913" s="389"/>
      <c r="G913" s="387"/>
      <c r="H913" s="387"/>
      <c r="I913" s="387"/>
      <c r="J913" s="387"/>
      <c r="K913" s="387"/>
      <c r="L913" s="387"/>
      <c r="M913" s="388"/>
      <c r="N913" s="388"/>
      <c r="O913" s="390"/>
      <c r="P913" s="391"/>
      <c r="Q913" s="389"/>
      <c r="R913" s="390"/>
      <c r="S913" s="390"/>
      <c r="T913" s="391"/>
      <c r="U913" s="392"/>
      <c r="V913" s="391"/>
      <c r="W913" s="391"/>
      <c r="X913" s="388"/>
      <c r="Y913" s="391"/>
      <c r="Z913" s="393"/>
      <c r="AA913" s="355" t="str">
        <f t="shared" si="1"/>
        <v/>
      </c>
      <c r="AB913" s="391"/>
      <c r="AC913" s="394" t="str">
        <f t="shared" si="2"/>
        <v/>
      </c>
      <c r="AD913" s="389"/>
      <c r="AE913" s="399"/>
      <c r="AF913" s="395"/>
      <c r="AG913" s="396" t="str">
        <f t="shared" si="3"/>
        <v/>
      </c>
      <c r="AH913" s="396" t="str">
        <f t="shared" si="4"/>
        <v/>
      </c>
      <c r="AI913" s="388"/>
      <c r="AJ913" s="388"/>
      <c r="AK913" s="397"/>
    </row>
    <row r="914">
      <c r="A914" s="398"/>
      <c r="B914" s="386"/>
      <c r="C914" s="387" t="str">
        <f>IF(A914="","",IFERROR(IF(VLOOKUP(A914,'1. Inbound Leads'!A:G,7,FALSE)=0,"",VLOOKUP(A914,'1. Inbound Leads'!A:G,7,FALSE)),""))</f>
        <v/>
      </c>
      <c r="D914" s="387" t="str">
        <f>IF(A914="","",IFERROR(IF(VLOOKUP(A914,'1. Inbound Leads'!A:L,12,FALSE)=0,"",VLOOKUP(A914,'1. Inbound Leads'!A:L,12,FALSE)),""))</f>
        <v/>
      </c>
      <c r="E914" s="388"/>
      <c r="F914" s="389"/>
      <c r="G914" s="387"/>
      <c r="H914" s="387"/>
      <c r="I914" s="387"/>
      <c r="J914" s="387"/>
      <c r="K914" s="387"/>
      <c r="L914" s="387"/>
      <c r="M914" s="388"/>
      <c r="N914" s="388"/>
      <c r="O914" s="390"/>
      <c r="P914" s="391"/>
      <c r="Q914" s="389"/>
      <c r="R914" s="390"/>
      <c r="S914" s="390"/>
      <c r="T914" s="391"/>
      <c r="U914" s="392"/>
      <c r="V914" s="391"/>
      <c r="W914" s="391"/>
      <c r="X914" s="388"/>
      <c r="Y914" s="391"/>
      <c r="Z914" s="393"/>
      <c r="AA914" s="355" t="str">
        <f t="shared" si="1"/>
        <v/>
      </c>
      <c r="AB914" s="391"/>
      <c r="AC914" s="394" t="str">
        <f t="shared" si="2"/>
        <v/>
      </c>
      <c r="AD914" s="389"/>
      <c r="AE914" s="399"/>
      <c r="AF914" s="395"/>
      <c r="AG914" s="396" t="str">
        <f t="shared" si="3"/>
        <v/>
      </c>
      <c r="AH914" s="396" t="str">
        <f t="shared" si="4"/>
        <v/>
      </c>
      <c r="AI914" s="388"/>
      <c r="AJ914" s="388"/>
      <c r="AK914" s="397"/>
    </row>
    <row r="915">
      <c r="A915" s="398"/>
      <c r="B915" s="386"/>
      <c r="C915" s="387" t="str">
        <f>IF(A915="","",IFERROR(IF(VLOOKUP(A915,'1. Inbound Leads'!A:G,7,FALSE)=0,"",VLOOKUP(A915,'1. Inbound Leads'!A:G,7,FALSE)),""))</f>
        <v/>
      </c>
      <c r="D915" s="387" t="str">
        <f>IF(A915="","",IFERROR(IF(VLOOKUP(A915,'1. Inbound Leads'!A:L,12,FALSE)=0,"",VLOOKUP(A915,'1. Inbound Leads'!A:L,12,FALSE)),""))</f>
        <v/>
      </c>
      <c r="E915" s="388"/>
      <c r="F915" s="389"/>
      <c r="G915" s="387"/>
      <c r="H915" s="387"/>
      <c r="I915" s="387"/>
      <c r="J915" s="387"/>
      <c r="K915" s="387"/>
      <c r="L915" s="387"/>
      <c r="M915" s="388"/>
      <c r="N915" s="388"/>
      <c r="O915" s="390"/>
      <c r="P915" s="391"/>
      <c r="Q915" s="389"/>
      <c r="R915" s="390"/>
      <c r="S915" s="390"/>
      <c r="T915" s="391"/>
      <c r="U915" s="392"/>
      <c r="V915" s="391"/>
      <c r="W915" s="391"/>
      <c r="X915" s="388"/>
      <c r="Y915" s="391"/>
      <c r="Z915" s="393"/>
      <c r="AA915" s="355" t="str">
        <f t="shared" si="1"/>
        <v/>
      </c>
      <c r="AB915" s="391"/>
      <c r="AC915" s="394" t="str">
        <f t="shared" si="2"/>
        <v/>
      </c>
      <c r="AD915" s="389"/>
      <c r="AE915" s="399"/>
      <c r="AF915" s="395"/>
      <c r="AG915" s="396" t="str">
        <f t="shared" si="3"/>
        <v/>
      </c>
      <c r="AH915" s="396" t="str">
        <f t="shared" si="4"/>
        <v/>
      </c>
      <c r="AI915" s="388"/>
      <c r="AJ915" s="388"/>
      <c r="AK915" s="397"/>
    </row>
    <row r="916">
      <c r="A916" s="398"/>
      <c r="B916" s="386"/>
      <c r="C916" s="387" t="str">
        <f>IF(A916="","",IFERROR(IF(VLOOKUP(A916,'1. Inbound Leads'!A:G,7,FALSE)=0,"",VLOOKUP(A916,'1. Inbound Leads'!A:G,7,FALSE)),""))</f>
        <v/>
      </c>
      <c r="D916" s="387" t="str">
        <f>IF(A916="","",IFERROR(IF(VLOOKUP(A916,'1. Inbound Leads'!A:L,12,FALSE)=0,"",VLOOKUP(A916,'1. Inbound Leads'!A:L,12,FALSE)),""))</f>
        <v/>
      </c>
      <c r="E916" s="388"/>
      <c r="F916" s="389"/>
      <c r="G916" s="387"/>
      <c r="H916" s="387"/>
      <c r="I916" s="387"/>
      <c r="J916" s="387"/>
      <c r="K916" s="387"/>
      <c r="L916" s="387"/>
      <c r="M916" s="388"/>
      <c r="N916" s="388"/>
      <c r="O916" s="390"/>
      <c r="P916" s="391"/>
      <c r="Q916" s="389"/>
      <c r="R916" s="390"/>
      <c r="S916" s="390"/>
      <c r="T916" s="391"/>
      <c r="U916" s="392"/>
      <c r="V916" s="391"/>
      <c r="W916" s="391"/>
      <c r="X916" s="388"/>
      <c r="Y916" s="391"/>
      <c r="Z916" s="393"/>
      <c r="AA916" s="355" t="str">
        <f t="shared" si="1"/>
        <v/>
      </c>
      <c r="AB916" s="391"/>
      <c r="AC916" s="394" t="str">
        <f t="shared" si="2"/>
        <v/>
      </c>
      <c r="AD916" s="389"/>
      <c r="AE916" s="399"/>
      <c r="AF916" s="395"/>
      <c r="AG916" s="396" t="str">
        <f t="shared" si="3"/>
        <v/>
      </c>
      <c r="AH916" s="396" t="str">
        <f t="shared" si="4"/>
        <v/>
      </c>
      <c r="AI916" s="388"/>
      <c r="AJ916" s="388"/>
      <c r="AK916" s="397"/>
    </row>
    <row r="917">
      <c r="A917" s="398"/>
      <c r="B917" s="386"/>
      <c r="C917" s="387" t="str">
        <f>IF(A917="","",IFERROR(IF(VLOOKUP(A917,'1. Inbound Leads'!A:G,7,FALSE)=0,"",VLOOKUP(A917,'1. Inbound Leads'!A:G,7,FALSE)),""))</f>
        <v/>
      </c>
      <c r="D917" s="387" t="str">
        <f>IF(A917="","",IFERROR(IF(VLOOKUP(A917,'1. Inbound Leads'!A:L,12,FALSE)=0,"",VLOOKUP(A917,'1. Inbound Leads'!A:L,12,FALSE)),""))</f>
        <v/>
      </c>
      <c r="E917" s="388"/>
      <c r="F917" s="389"/>
      <c r="G917" s="387"/>
      <c r="H917" s="387"/>
      <c r="I917" s="387"/>
      <c r="J917" s="387"/>
      <c r="K917" s="387"/>
      <c r="L917" s="387"/>
      <c r="M917" s="388"/>
      <c r="N917" s="388"/>
      <c r="O917" s="390"/>
      <c r="P917" s="391"/>
      <c r="Q917" s="389"/>
      <c r="R917" s="390"/>
      <c r="S917" s="390"/>
      <c r="T917" s="391"/>
      <c r="U917" s="392"/>
      <c r="V917" s="391"/>
      <c r="W917" s="391"/>
      <c r="X917" s="388"/>
      <c r="Y917" s="391"/>
      <c r="Z917" s="393"/>
      <c r="AA917" s="355" t="str">
        <f t="shared" si="1"/>
        <v/>
      </c>
      <c r="AB917" s="391"/>
      <c r="AC917" s="394" t="str">
        <f t="shared" si="2"/>
        <v/>
      </c>
      <c r="AD917" s="389"/>
      <c r="AE917" s="399"/>
      <c r="AF917" s="395"/>
      <c r="AG917" s="396" t="str">
        <f t="shared" si="3"/>
        <v/>
      </c>
      <c r="AH917" s="396" t="str">
        <f t="shared" si="4"/>
        <v/>
      </c>
      <c r="AI917" s="388"/>
      <c r="AJ917" s="388"/>
      <c r="AK917" s="397"/>
    </row>
    <row r="918">
      <c r="A918" s="398"/>
      <c r="B918" s="386"/>
      <c r="C918" s="387" t="str">
        <f>IF(A918="","",IFERROR(IF(VLOOKUP(A918,'1. Inbound Leads'!A:G,7,FALSE)=0,"",VLOOKUP(A918,'1. Inbound Leads'!A:G,7,FALSE)),""))</f>
        <v/>
      </c>
      <c r="D918" s="387" t="str">
        <f>IF(A918="","",IFERROR(IF(VLOOKUP(A918,'1. Inbound Leads'!A:L,12,FALSE)=0,"",VLOOKUP(A918,'1. Inbound Leads'!A:L,12,FALSE)),""))</f>
        <v/>
      </c>
      <c r="E918" s="388"/>
      <c r="F918" s="389"/>
      <c r="G918" s="387"/>
      <c r="H918" s="387"/>
      <c r="I918" s="387"/>
      <c r="J918" s="387"/>
      <c r="K918" s="387"/>
      <c r="L918" s="387"/>
      <c r="M918" s="388"/>
      <c r="N918" s="388"/>
      <c r="O918" s="390"/>
      <c r="P918" s="391"/>
      <c r="Q918" s="389"/>
      <c r="R918" s="390"/>
      <c r="S918" s="390"/>
      <c r="T918" s="391"/>
      <c r="U918" s="392"/>
      <c r="V918" s="391"/>
      <c r="W918" s="391"/>
      <c r="X918" s="388"/>
      <c r="Y918" s="391"/>
      <c r="Z918" s="393"/>
      <c r="AA918" s="355" t="str">
        <f t="shared" si="1"/>
        <v/>
      </c>
      <c r="AB918" s="391"/>
      <c r="AC918" s="394" t="str">
        <f t="shared" si="2"/>
        <v/>
      </c>
      <c r="AD918" s="389"/>
      <c r="AE918" s="399"/>
      <c r="AF918" s="395"/>
      <c r="AG918" s="396" t="str">
        <f t="shared" si="3"/>
        <v/>
      </c>
      <c r="AH918" s="396" t="str">
        <f t="shared" si="4"/>
        <v/>
      </c>
      <c r="AI918" s="388"/>
      <c r="AJ918" s="388"/>
      <c r="AK918" s="397"/>
    </row>
    <row r="919">
      <c r="A919" s="398"/>
      <c r="B919" s="386"/>
      <c r="C919" s="387" t="str">
        <f>IF(A919="","",IFERROR(IF(VLOOKUP(A919,'1. Inbound Leads'!A:G,7,FALSE)=0,"",VLOOKUP(A919,'1. Inbound Leads'!A:G,7,FALSE)),""))</f>
        <v/>
      </c>
      <c r="D919" s="387" t="str">
        <f>IF(A919="","",IFERROR(IF(VLOOKUP(A919,'1. Inbound Leads'!A:L,12,FALSE)=0,"",VLOOKUP(A919,'1. Inbound Leads'!A:L,12,FALSE)),""))</f>
        <v/>
      </c>
      <c r="E919" s="388"/>
      <c r="F919" s="389"/>
      <c r="G919" s="387"/>
      <c r="H919" s="387"/>
      <c r="I919" s="387"/>
      <c r="J919" s="387"/>
      <c r="K919" s="387"/>
      <c r="L919" s="387"/>
      <c r="M919" s="388"/>
      <c r="N919" s="388"/>
      <c r="O919" s="390"/>
      <c r="P919" s="391"/>
      <c r="Q919" s="389"/>
      <c r="R919" s="390"/>
      <c r="S919" s="390"/>
      <c r="T919" s="391"/>
      <c r="U919" s="392"/>
      <c r="V919" s="391"/>
      <c r="W919" s="391"/>
      <c r="X919" s="388"/>
      <c r="Y919" s="391"/>
      <c r="Z919" s="393"/>
      <c r="AA919" s="355" t="str">
        <f t="shared" si="1"/>
        <v/>
      </c>
      <c r="AB919" s="391"/>
      <c r="AC919" s="394" t="str">
        <f t="shared" si="2"/>
        <v/>
      </c>
      <c r="AD919" s="389"/>
      <c r="AE919" s="399"/>
      <c r="AF919" s="395"/>
      <c r="AG919" s="396" t="str">
        <f t="shared" si="3"/>
        <v/>
      </c>
      <c r="AH919" s="396" t="str">
        <f t="shared" si="4"/>
        <v/>
      </c>
      <c r="AI919" s="388"/>
      <c r="AJ919" s="388"/>
      <c r="AK919" s="397"/>
    </row>
    <row r="920">
      <c r="A920" s="398"/>
      <c r="B920" s="386"/>
      <c r="C920" s="387" t="str">
        <f>IF(A920="","",IFERROR(IF(VLOOKUP(A920,'1. Inbound Leads'!A:G,7,FALSE)=0,"",VLOOKUP(A920,'1. Inbound Leads'!A:G,7,FALSE)),""))</f>
        <v/>
      </c>
      <c r="D920" s="387" t="str">
        <f>IF(A920="","",IFERROR(IF(VLOOKUP(A920,'1. Inbound Leads'!A:L,12,FALSE)=0,"",VLOOKUP(A920,'1. Inbound Leads'!A:L,12,FALSE)),""))</f>
        <v/>
      </c>
      <c r="E920" s="388"/>
      <c r="F920" s="389"/>
      <c r="G920" s="387"/>
      <c r="H920" s="387"/>
      <c r="I920" s="387"/>
      <c r="J920" s="387"/>
      <c r="K920" s="387"/>
      <c r="L920" s="387"/>
      <c r="M920" s="388"/>
      <c r="N920" s="388"/>
      <c r="O920" s="390"/>
      <c r="P920" s="391"/>
      <c r="Q920" s="389"/>
      <c r="R920" s="390"/>
      <c r="S920" s="390"/>
      <c r="T920" s="391"/>
      <c r="U920" s="392"/>
      <c r="V920" s="391"/>
      <c r="W920" s="391"/>
      <c r="X920" s="388"/>
      <c r="Y920" s="391"/>
      <c r="Z920" s="393"/>
      <c r="AA920" s="355" t="str">
        <f t="shared" si="1"/>
        <v/>
      </c>
      <c r="AB920" s="391"/>
      <c r="AC920" s="394" t="str">
        <f t="shared" si="2"/>
        <v/>
      </c>
      <c r="AD920" s="389"/>
      <c r="AE920" s="399"/>
      <c r="AF920" s="395"/>
      <c r="AG920" s="396" t="str">
        <f t="shared" si="3"/>
        <v/>
      </c>
      <c r="AH920" s="396" t="str">
        <f t="shared" si="4"/>
        <v/>
      </c>
      <c r="AI920" s="388"/>
      <c r="AJ920" s="388"/>
      <c r="AK920" s="397"/>
    </row>
    <row r="921">
      <c r="A921" s="398"/>
      <c r="B921" s="386"/>
      <c r="C921" s="387" t="str">
        <f>IF(A921="","",IFERROR(IF(VLOOKUP(A921,'1. Inbound Leads'!A:G,7,FALSE)=0,"",VLOOKUP(A921,'1. Inbound Leads'!A:G,7,FALSE)),""))</f>
        <v/>
      </c>
      <c r="D921" s="387" t="str">
        <f>IF(A921="","",IFERROR(IF(VLOOKUP(A921,'1. Inbound Leads'!A:L,12,FALSE)=0,"",VLOOKUP(A921,'1. Inbound Leads'!A:L,12,FALSE)),""))</f>
        <v/>
      </c>
      <c r="E921" s="388"/>
      <c r="F921" s="389"/>
      <c r="G921" s="387"/>
      <c r="H921" s="387"/>
      <c r="I921" s="387"/>
      <c r="J921" s="387"/>
      <c r="K921" s="387"/>
      <c r="L921" s="387"/>
      <c r="M921" s="388"/>
      <c r="N921" s="388"/>
      <c r="O921" s="390"/>
      <c r="P921" s="391"/>
      <c r="Q921" s="389"/>
      <c r="R921" s="390"/>
      <c r="S921" s="390"/>
      <c r="T921" s="391"/>
      <c r="U921" s="392"/>
      <c r="V921" s="391"/>
      <c r="W921" s="391"/>
      <c r="X921" s="388"/>
      <c r="Y921" s="391"/>
      <c r="Z921" s="393"/>
      <c r="AA921" s="355" t="str">
        <f t="shared" si="1"/>
        <v/>
      </c>
      <c r="AB921" s="391"/>
      <c r="AC921" s="394" t="str">
        <f t="shared" si="2"/>
        <v/>
      </c>
      <c r="AD921" s="389"/>
      <c r="AE921" s="399"/>
      <c r="AF921" s="395"/>
      <c r="AG921" s="396" t="str">
        <f t="shared" si="3"/>
        <v/>
      </c>
      <c r="AH921" s="396" t="str">
        <f t="shared" si="4"/>
        <v/>
      </c>
      <c r="AI921" s="388"/>
      <c r="AJ921" s="388"/>
      <c r="AK921" s="397"/>
    </row>
    <row r="922">
      <c r="A922" s="398"/>
      <c r="B922" s="386"/>
      <c r="C922" s="387" t="str">
        <f>IF(A922="","",IFERROR(IF(VLOOKUP(A922,'1. Inbound Leads'!A:G,7,FALSE)=0,"",VLOOKUP(A922,'1. Inbound Leads'!A:G,7,FALSE)),""))</f>
        <v/>
      </c>
      <c r="D922" s="387" t="str">
        <f>IF(A922="","",IFERROR(IF(VLOOKUP(A922,'1. Inbound Leads'!A:L,12,FALSE)=0,"",VLOOKUP(A922,'1. Inbound Leads'!A:L,12,FALSE)),""))</f>
        <v/>
      </c>
      <c r="E922" s="388"/>
      <c r="F922" s="389"/>
      <c r="G922" s="387"/>
      <c r="H922" s="387"/>
      <c r="I922" s="387"/>
      <c r="J922" s="387"/>
      <c r="K922" s="387"/>
      <c r="L922" s="387"/>
      <c r="M922" s="388"/>
      <c r="N922" s="388"/>
      <c r="O922" s="390"/>
      <c r="P922" s="391"/>
      <c r="Q922" s="389"/>
      <c r="R922" s="390"/>
      <c r="S922" s="390"/>
      <c r="T922" s="391"/>
      <c r="U922" s="392"/>
      <c r="V922" s="391"/>
      <c r="W922" s="391"/>
      <c r="X922" s="388"/>
      <c r="Y922" s="391"/>
      <c r="Z922" s="393"/>
      <c r="AA922" s="355" t="str">
        <f t="shared" si="1"/>
        <v/>
      </c>
      <c r="AB922" s="391"/>
      <c r="AC922" s="394" t="str">
        <f t="shared" si="2"/>
        <v/>
      </c>
      <c r="AD922" s="389"/>
      <c r="AE922" s="399"/>
      <c r="AF922" s="395"/>
      <c r="AG922" s="396" t="str">
        <f t="shared" si="3"/>
        <v/>
      </c>
      <c r="AH922" s="396" t="str">
        <f t="shared" si="4"/>
        <v/>
      </c>
      <c r="AI922" s="388"/>
      <c r="AJ922" s="388"/>
      <c r="AK922" s="397"/>
    </row>
    <row r="923">
      <c r="A923" s="398"/>
      <c r="B923" s="386"/>
      <c r="C923" s="387" t="str">
        <f>IF(A923="","",IFERROR(IF(VLOOKUP(A923,'1. Inbound Leads'!A:G,7,FALSE)=0,"",VLOOKUP(A923,'1. Inbound Leads'!A:G,7,FALSE)),""))</f>
        <v/>
      </c>
      <c r="D923" s="387" t="str">
        <f>IF(A923="","",IFERROR(IF(VLOOKUP(A923,'1. Inbound Leads'!A:L,12,FALSE)=0,"",VLOOKUP(A923,'1. Inbound Leads'!A:L,12,FALSE)),""))</f>
        <v/>
      </c>
      <c r="E923" s="388"/>
      <c r="F923" s="389"/>
      <c r="G923" s="387"/>
      <c r="H923" s="387"/>
      <c r="I923" s="387"/>
      <c r="J923" s="387"/>
      <c r="K923" s="387"/>
      <c r="L923" s="387"/>
      <c r="M923" s="388"/>
      <c r="N923" s="388"/>
      <c r="O923" s="390"/>
      <c r="P923" s="391"/>
      <c r="Q923" s="389"/>
      <c r="R923" s="390"/>
      <c r="S923" s="390"/>
      <c r="T923" s="391"/>
      <c r="U923" s="392"/>
      <c r="V923" s="391"/>
      <c r="W923" s="391"/>
      <c r="X923" s="388"/>
      <c r="Y923" s="391"/>
      <c r="Z923" s="393"/>
      <c r="AA923" s="355" t="str">
        <f t="shared" si="1"/>
        <v/>
      </c>
      <c r="AB923" s="391"/>
      <c r="AC923" s="394" t="str">
        <f t="shared" si="2"/>
        <v/>
      </c>
      <c r="AD923" s="389"/>
      <c r="AE923" s="399"/>
      <c r="AF923" s="395"/>
      <c r="AG923" s="396" t="str">
        <f t="shared" si="3"/>
        <v/>
      </c>
      <c r="AH923" s="396" t="str">
        <f t="shared" si="4"/>
        <v/>
      </c>
      <c r="AI923" s="388"/>
      <c r="AJ923" s="388"/>
      <c r="AK923" s="397"/>
    </row>
    <row r="924">
      <c r="A924" s="398"/>
      <c r="B924" s="386"/>
      <c r="C924" s="387" t="str">
        <f>IF(A924="","",IFERROR(IF(VLOOKUP(A924,'1. Inbound Leads'!A:G,7,FALSE)=0,"",VLOOKUP(A924,'1. Inbound Leads'!A:G,7,FALSE)),""))</f>
        <v/>
      </c>
      <c r="D924" s="387" t="str">
        <f>IF(A924="","",IFERROR(IF(VLOOKUP(A924,'1. Inbound Leads'!A:L,12,FALSE)=0,"",VLOOKUP(A924,'1. Inbound Leads'!A:L,12,FALSE)),""))</f>
        <v/>
      </c>
      <c r="E924" s="388"/>
      <c r="F924" s="389"/>
      <c r="G924" s="387"/>
      <c r="H924" s="387"/>
      <c r="I924" s="387"/>
      <c r="J924" s="387"/>
      <c r="K924" s="387"/>
      <c r="L924" s="387"/>
      <c r="M924" s="388"/>
      <c r="N924" s="388"/>
      <c r="O924" s="390"/>
      <c r="P924" s="391"/>
      <c r="Q924" s="389"/>
      <c r="R924" s="390"/>
      <c r="S924" s="390"/>
      <c r="T924" s="391"/>
      <c r="U924" s="392"/>
      <c r="V924" s="391"/>
      <c r="W924" s="391"/>
      <c r="X924" s="388"/>
      <c r="Y924" s="391"/>
      <c r="Z924" s="393"/>
      <c r="AA924" s="355" t="str">
        <f t="shared" si="1"/>
        <v/>
      </c>
      <c r="AB924" s="391"/>
      <c r="AC924" s="394" t="str">
        <f t="shared" si="2"/>
        <v/>
      </c>
      <c r="AD924" s="389"/>
      <c r="AE924" s="399"/>
      <c r="AF924" s="395"/>
      <c r="AG924" s="396" t="str">
        <f t="shared" si="3"/>
        <v/>
      </c>
      <c r="AH924" s="396" t="str">
        <f t="shared" si="4"/>
        <v/>
      </c>
      <c r="AI924" s="388"/>
      <c r="AJ924" s="388"/>
      <c r="AK924" s="397"/>
    </row>
    <row r="925">
      <c r="A925" s="398"/>
      <c r="B925" s="386"/>
      <c r="C925" s="387" t="str">
        <f>IF(A925="","",IFERROR(IF(VLOOKUP(A925,'1. Inbound Leads'!A:G,7,FALSE)=0,"",VLOOKUP(A925,'1. Inbound Leads'!A:G,7,FALSE)),""))</f>
        <v/>
      </c>
      <c r="D925" s="387" t="str">
        <f>IF(A925="","",IFERROR(IF(VLOOKUP(A925,'1. Inbound Leads'!A:L,12,FALSE)=0,"",VLOOKUP(A925,'1. Inbound Leads'!A:L,12,FALSE)),""))</f>
        <v/>
      </c>
      <c r="E925" s="388"/>
      <c r="F925" s="389"/>
      <c r="G925" s="387"/>
      <c r="H925" s="387"/>
      <c r="I925" s="387"/>
      <c r="J925" s="387"/>
      <c r="K925" s="387"/>
      <c r="L925" s="387"/>
      <c r="M925" s="388"/>
      <c r="N925" s="388"/>
      <c r="O925" s="390"/>
      <c r="P925" s="391"/>
      <c r="Q925" s="389"/>
      <c r="R925" s="390"/>
      <c r="S925" s="390"/>
      <c r="T925" s="391"/>
      <c r="U925" s="392"/>
      <c r="V925" s="391"/>
      <c r="W925" s="391"/>
      <c r="X925" s="388"/>
      <c r="Y925" s="391"/>
      <c r="Z925" s="393"/>
      <c r="AA925" s="355" t="str">
        <f t="shared" si="1"/>
        <v/>
      </c>
      <c r="AB925" s="391"/>
      <c r="AC925" s="394" t="str">
        <f t="shared" si="2"/>
        <v/>
      </c>
      <c r="AD925" s="389"/>
      <c r="AE925" s="399"/>
      <c r="AF925" s="395"/>
      <c r="AG925" s="396" t="str">
        <f t="shared" si="3"/>
        <v/>
      </c>
      <c r="AH925" s="396" t="str">
        <f t="shared" si="4"/>
        <v/>
      </c>
      <c r="AI925" s="388"/>
      <c r="AJ925" s="388"/>
      <c r="AK925" s="397"/>
    </row>
    <row r="926">
      <c r="A926" s="398"/>
      <c r="B926" s="386"/>
      <c r="C926" s="387" t="str">
        <f>IF(A926="","",IFERROR(IF(VLOOKUP(A926,'1. Inbound Leads'!A:G,7,FALSE)=0,"",VLOOKUP(A926,'1. Inbound Leads'!A:G,7,FALSE)),""))</f>
        <v/>
      </c>
      <c r="D926" s="387" t="str">
        <f>IF(A926="","",IFERROR(IF(VLOOKUP(A926,'1. Inbound Leads'!A:L,12,FALSE)=0,"",VLOOKUP(A926,'1. Inbound Leads'!A:L,12,FALSE)),""))</f>
        <v/>
      </c>
      <c r="E926" s="388"/>
      <c r="F926" s="389"/>
      <c r="G926" s="387"/>
      <c r="H926" s="387"/>
      <c r="I926" s="387"/>
      <c r="J926" s="387"/>
      <c r="K926" s="387"/>
      <c r="L926" s="387"/>
      <c r="M926" s="388"/>
      <c r="N926" s="388"/>
      <c r="O926" s="390"/>
      <c r="P926" s="391"/>
      <c r="Q926" s="389"/>
      <c r="R926" s="390"/>
      <c r="S926" s="390"/>
      <c r="T926" s="391"/>
      <c r="U926" s="392"/>
      <c r="V926" s="391"/>
      <c r="W926" s="391"/>
      <c r="X926" s="388"/>
      <c r="Y926" s="391"/>
      <c r="Z926" s="393"/>
      <c r="AA926" s="355" t="str">
        <f t="shared" si="1"/>
        <v/>
      </c>
      <c r="AB926" s="391"/>
      <c r="AC926" s="394" t="str">
        <f t="shared" si="2"/>
        <v/>
      </c>
      <c r="AD926" s="389"/>
      <c r="AE926" s="399"/>
      <c r="AF926" s="395"/>
      <c r="AG926" s="396" t="str">
        <f t="shared" si="3"/>
        <v/>
      </c>
      <c r="AH926" s="396" t="str">
        <f t="shared" si="4"/>
        <v/>
      </c>
      <c r="AI926" s="388"/>
      <c r="AJ926" s="388"/>
      <c r="AK926" s="397"/>
    </row>
    <row r="927">
      <c r="A927" s="398"/>
      <c r="B927" s="386"/>
      <c r="C927" s="387" t="str">
        <f>IF(A927="","",IFERROR(IF(VLOOKUP(A927,'1. Inbound Leads'!A:G,7,FALSE)=0,"",VLOOKUP(A927,'1. Inbound Leads'!A:G,7,FALSE)),""))</f>
        <v/>
      </c>
      <c r="D927" s="387" t="str">
        <f>IF(A927="","",IFERROR(IF(VLOOKUP(A927,'1. Inbound Leads'!A:L,12,FALSE)=0,"",VLOOKUP(A927,'1. Inbound Leads'!A:L,12,FALSE)),""))</f>
        <v/>
      </c>
      <c r="E927" s="388"/>
      <c r="F927" s="389"/>
      <c r="G927" s="387"/>
      <c r="H927" s="387"/>
      <c r="I927" s="387"/>
      <c r="J927" s="387"/>
      <c r="K927" s="387"/>
      <c r="L927" s="387"/>
      <c r="M927" s="388"/>
      <c r="N927" s="388"/>
      <c r="O927" s="390"/>
      <c r="P927" s="391"/>
      <c r="Q927" s="389"/>
      <c r="R927" s="390"/>
      <c r="S927" s="390"/>
      <c r="T927" s="391"/>
      <c r="U927" s="392"/>
      <c r="V927" s="391"/>
      <c r="W927" s="391"/>
      <c r="X927" s="388"/>
      <c r="Y927" s="391"/>
      <c r="Z927" s="393"/>
      <c r="AA927" s="355" t="str">
        <f t="shared" si="1"/>
        <v/>
      </c>
      <c r="AB927" s="391"/>
      <c r="AC927" s="394" t="str">
        <f t="shared" si="2"/>
        <v/>
      </c>
      <c r="AD927" s="389"/>
      <c r="AE927" s="399"/>
      <c r="AF927" s="395"/>
      <c r="AG927" s="396" t="str">
        <f t="shared" si="3"/>
        <v/>
      </c>
      <c r="AH927" s="396" t="str">
        <f t="shared" si="4"/>
        <v/>
      </c>
      <c r="AI927" s="388"/>
      <c r="AJ927" s="388"/>
      <c r="AK927" s="397"/>
    </row>
    <row r="928">
      <c r="A928" s="398"/>
      <c r="B928" s="386"/>
      <c r="C928" s="387" t="str">
        <f>IF(A928="","",IFERROR(IF(VLOOKUP(A928,'1. Inbound Leads'!A:G,7,FALSE)=0,"",VLOOKUP(A928,'1. Inbound Leads'!A:G,7,FALSE)),""))</f>
        <v/>
      </c>
      <c r="D928" s="387" t="str">
        <f>IF(A928="","",IFERROR(IF(VLOOKUP(A928,'1. Inbound Leads'!A:L,12,FALSE)=0,"",VLOOKUP(A928,'1. Inbound Leads'!A:L,12,FALSE)),""))</f>
        <v/>
      </c>
      <c r="E928" s="388"/>
      <c r="F928" s="389"/>
      <c r="G928" s="387"/>
      <c r="H928" s="387"/>
      <c r="I928" s="387"/>
      <c r="J928" s="387"/>
      <c r="K928" s="387"/>
      <c r="L928" s="387"/>
      <c r="M928" s="388"/>
      <c r="N928" s="388"/>
      <c r="O928" s="390"/>
      <c r="P928" s="391"/>
      <c r="Q928" s="389"/>
      <c r="R928" s="390"/>
      <c r="S928" s="390"/>
      <c r="T928" s="391"/>
      <c r="U928" s="392"/>
      <c r="V928" s="391"/>
      <c r="W928" s="391"/>
      <c r="X928" s="388"/>
      <c r="Y928" s="391"/>
      <c r="Z928" s="393"/>
      <c r="AA928" s="355" t="str">
        <f t="shared" si="1"/>
        <v/>
      </c>
      <c r="AB928" s="391"/>
      <c r="AC928" s="394" t="str">
        <f t="shared" si="2"/>
        <v/>
      </c>
      <c r="AD928" s="389"/>
      <c r="AE928" s="399"/>
      <c r="AF928" s="395"/>
      <c r="AG928" s="396" t="str">
        <f t="shared" si="3"/>
        <v/>
      </c>
      <c r="AH928" s="396" t="str">
        <f t="shared" si="4"/>
        <v/>
      </c>
      <c r="AI928" s="388"/>
      <c r="AJ928" s="388"/>
      <c r="AK928" s="397"/>
    </row>
    <row r="929">
      <c r="A929" s="398"/>
      <c r="B929" s="386"/>
      <c r="C929" s="387" t="str">
        <f>IF(A929="","",IFERROR(IF(VLOOKUP(A929,'1. Inbound Leads'!A:G,7,FALSE)=0,"",VLOOKUP(A929,'1. Inbound Leads'!A:G,7,FALSE)),""))</f>
        <v/>
      </c>
      <c r="D929" s="387" t="str">
        <f>IF(A929="","",IFERROR(IF(VLOOKUP(A929,'1. Inbound Leads'!A:L,12,FALSE)=0,"",VLOOKUP(A929,'1. Inbound Leads'!A:L,12,FALSE)),""))</f>
        <v/>
      </c>
      <c r="E929" s="388"/>
      <c r="F929" s="389"/>
      <c r="G929" s="387"/>
      <c r="H929" s="387"/>
      <c r="I929" s="387"/>
      <c r="J929" s="387"/>
      <c r="K929" s="387"/>
      <c r="L929" s="387"/>
      <c r="M929" s="388"/>
      <c r="N929" s="388"/>
      <c r="O929" s="390"/>
      <c r="P929" s="391"/>
      <c r="Q929" s="389"/>
      <c r="R929" s="390"/>
      <c r="S929" s="390"/>
      <c r="T929" s="391"/>
      <c r="U929" s="392"/>
      <c r="V929" s="391"/>
      <c r="W929" s="391"/>
      <c r="X929" s="388"/>
      <c r="Y929" s="391"/>
      <c r="Z929" s="393"/>
      <c r="AA929" s="355" t="str">
        <f t="shared" si="1"/>
        <v/>
      </c>
      <c r="AB929" s="391"/>
      <c r="AC929" s="394" t="str">
        <f t="shared" si="2"/>
        <v/>
      </c>
      <c r="AD929" s="389"/>
      <c r="AE929" s="399"/>
      <c r="AF929" s="395"/>
      <c r="AG929" s="396" t="str">
        <f t="shared" si="3"/>
        <v/>
      </c>
      <c r="AH929" s="396" t="str">
        <f t="shared" si="4"/>
        <v/>
      </c>
      <c r="AI929" s="388"/>
      <c r="AJ929" s="388"/>
      <c r="AK929" s="397"/>
    </row>
    <row r="930">
      <c r="A930" s="398"/>
      <c r="B930" s="386"/>
      <c r="C930" s="387" t="str">
        <f>IF(A930="","",IFERROR(IF(VLOOKUP(A930,'1. Inbound Leads'!A:G,7,FALSE)=0,"",VLOOKUP(A930,'1. Inbound Leads'!A:G,7,FALSE)),""))</f>
        <v/>
      </c>
      <c r="D930" s="387" t="str">
        <f>IF(A930="","",IFERROR(IF(VLOOKUP(A930,'1. Inbound Leads'!A:L,12,FALSE)=0,"",VLOOKUP(A930,'1. Inbound Leads'!A:L,12,FALSE)),""))</f>
        <v/>
      </c>
      <c r="E930" s="388"/>
      <c r="F930" s="389"/>
      <c r="G930" s="387"/>
      <c r="H930" s="387"/>
      <c r="I930" s="387"/>
      <c r="J930" s="387"/>
      <c r="K930" s="387"/>
      <c r="L930" s="387"/>
      <c r="M930" s="388"/>
      <c r="N930" s="388"/>
      <c r="O930" s="390"/>
      <c r="P930" s="391"/>
      <c r="Q930" s="389"/>
      <c r="R930" s="390"/>
      <c r="S930" s="390"/>
      <c r="T930" s="391"/>
      <c r="U930" s="392"/>
      <c r="V930" s="391"/>
      <c r="W930" s="391"/>
      <c r="X930" s="388"/>
      <c r="Y930" s="391"/>
      <c r="Z930" s="393"/>
      <c r="AA930" s="355" t="str">
        <f t="shared" si="1"/>
        <v/>
      </c>
      <c r="AB930" s="391"/>
      <c r="AC930" s="394" t="str">
        <f t="shared" si="2"/>
        <v/>
      </c>
      <c r="AD930" s="389"/>
      <c r="AE930" s="399"/>
      <c r="AF930" s="395"/>
      <c r="AG930" s="396" t="str">
        <f t="shared" si="3"/>
        <v/>
      </c>
      <c r="AH930" s="396" t="str">
        <f t="shared" si="4"/>
        <v/>
      </c>
      <c r="AI930" s="388"/>
      <c r="AJ930" s="388"/>
      <c r="AK930" s="397"/>
    </row>
    <row r="931">
      <c r="A931" s="398"/>
      <c r="B931" s="386"/>
      <c r="C931" s="387" t="str">
        <f>IF(A931="","",IFERROR(IF(VLOOKUP(A931,'1. Inbound Leads'!A:G,7,FALSE)=0,"",VLOOKUP(A931,'1. Inbound Leads'!A:G,7,FALSE)),""))</f>
        <v/>
      </c>
      <c r="D931" s="387" t="str">
        <f>IF(A931="","",IFERROR(IF(VLOOKUP(A931,'1. Inbound Leads'!A:L,12,FALSE)=0,"",VLOOKUP(A931,'1. Inbound Leads'!A:L,12,FALSE)),""))</f>
        <v/>
      </c>
      <c r="E931" s="388"/>
      <c r="F931" s="389"/>
      <c r="G931" s="387"/>
      <c r="H931" s="387"/>
      <c r="I931" s="387"/>
      <c r="J931" s="387"/>
      <c r="K931" s="387"/>
      <c r="L931" s="387"/>
      <c r="M931" s="388"/>
      <c r="N931" s="388"/>
      <c r="O931" s="390"/>
      <c r="P931" s="391"/>
      <c r="Q931" s="389"/>
      <c r="R931" s="390"/>
      <c r="S931" s="390"/>
      <c r="T931" s="391"/>
      <c r="U931" s="392"/>
      <c r="V931" s="391"/>
      <c r="W931" s="391"/>
      <c r="X931" s="388"/>
      <c r="Y931" s="391"/>
      <c r="Z931" s="393"/>
      <c r="AA931" s="355" t="str">
        <f t="shared" si="1"/>
        <v/>
      </c>
      <c r="AB931" s="391"/>
      <c r="AC931" s="394" t="str">
        <f t="shared" si="2"/>
        <v/>
      </c>
      <c r="AD931" s="389"/>
      <c r="AE931" s="399"/>
      <c r="AF931" s="395"/>
      <c r="AG931" s="396" t="str">
        <f t="shared" si="3"/>
        <v/>
      </c>
      <c r="AH931" s="396" t="str">
        <f t="shared" si="4"/>
        <v/>
      </c>
      <c r="AI931" s="388"/>
      <c r="AJ931" s="388"/>
      <c r="AK931" s="397"/>
    </row>
    <row r="932">
      <c r="A932" s="398"/>
      <c r="B932" s="386"/>
      <c r="C932" s="387" t="str">
        <f>IF(A932="","",IFERROR(IF(VLOOKUP(A932,'1. Inbound Leads'!A:G,7,FALSE)=0,"",VLOOKUP(A932,'1. Inbound Leads'!A:G,7,FALSE)),""))</f>
        <v/>
      </c>
      <c r="D932" s="387" t="str">
        <f>IF(A932="","",IFERROR(IF(VLOOKUP(A932,'1. Inbound Leads'!A:L,12,FALSE)=0,"",VLOOKUP(A932,'1. Inbound Leads'!A:L,12,FALSE)),""))</f>
        <v/>
      </c>
      <c r="E932" s="388"/>
      <c r="F932" s="389"/>
      <c r="G932" s="387"/>
      <c r="H932" s="387"/>
      <c r="I932" s="387"/>
      <c r="J932" s="387"/>
      <c r="K932" s="387"/>
      <c r="L932" s="387"/>
      <c r="M932" s="388"/>
      <c r="N932" s="388"/>
      <c r="O932" s="390"/>
      <c r="P932" s="391"/>
      <c r="Q932" s="389"/>
      <c r="R932" s="390"/>
      <c r="S932" s="390"/>
      <c r="T932" s="391"/>
      <c r="U932" s="392"/>
      <c r="V932" s="391"/>
      <c r="W932" s="391"/>
      <c r="X932" s="388"/>
      <c r="Y932" s="391"/>
      <c r="Z932" s="393"/>
      <c r="AA932" s="355" t="str">
        <f t="shared" si="1"/>
        <v/>
      </c>
      <c r="AB932" s="391"/>
      <c r="AC932" s="394" t="str">
        <f t="shared" si="2"/>
        <v/>
      </c>
      <c r="AD932" s="389"/>
      <c r="AE932" s="399"/>
      <c r="AF932" s="395"/>
      <c r="AG932" s="396" t="str">
        <f t="shared" si="3"/>
        <v/>
      </c>
      <c r="AH932" s="396" t="str">
        <f t="shared" si="4"/>
        <v/>
      </c>
      <c r="AI932" s="388"/>
      <c r="AJ932" s="388"/>
      <c r="AK932" s="397"/>
    </row>
    <row r="933">
      <c r="A933" s="398"/>
      <c r="B933" s="386"/>
      <c r="C933" s="387" t="str">
        <f>IF(A933="","",IFERROR(IF(VLOOKUP(A933,'1. Inbound Leads'!A:G,7,FALSE)=0,"",VLOOKUP(A933,'1. Inbound Leads'!A:G,7,FALSE)),""))</f>
        <v/>
      </c>
      <c r="D933" s="387" t="str">
        <f>IF(A933="","",IFERROR(IF(VLOOKUP(A933,'1. Inbound Leads'!A:L,12,FALSE)=0,"",VLOOKUP(A933,'1. Inbound Leads'!A:L,12,FALSE)),""))</f>
        <v/>
      </c>
      <c r="E933" s="388"/>
      <c r="F933" s="389"/>
      <c r="G933" s="387"/>
      <c r="H933" s="387"/>
      <c r="I933" s="387"/>
      <c r="J933" s="387"/>
      <c r="K933" s="387"/>
      <c r="L933" s="387"/>
      <c r="M933" s="388"/>
      <c r="N933" s="388"/>
      <c r="O933" s="390"/>
      <c r="P933" s="391"/>
      <c r="Q933" s="389"/>
      <c r="R933" s="390"/>
      <c r="S933" s="390"/>
      <c r="T933" s="391"/>
      <c r="U933" s="392"/>
      <c r="V933" s="391"/>
      <c r="W933" s="391"/>
      <c r="X933" s="388"/>
      <c r="Y933" s="391"/>
      <c r="Z933" s="393"/>
      <c r="AA933" s="355" t="str">
        <f t="shared" si="1"/>
        <v/>
      </c>
      <c r="AB933" s="391"/>
      <c r="AC933" s="394" t="str">
        <f t="shared" si="2"/>
        <v/>
      </c>
      <c r="AD933" s="389"/>
      <c r="AE933" s="399"/>
      <c r="AF933" s="395"/>
      <c r="AG933" s="396" t="str">
        <f t="shared" si="3"/>
        <v/>
      </c>
      <c r="AH933" s="396" t="str">
        <f t="shared" si="4"/>
        <v/>
      </c>
      <c r="AI933" s="388"/>
      <c r="AJ933" s="388"/>
      <c r="AK933" s="397"/>
    </row>
    <row r="934">
      <c r="A934" s="398"/>
      <c r="B934" s="386"/>
      <c r="C934" s="387" t="str">
        <f>IF(A934="","",IFERROR(IF(VLOOKUP(A934,'1. Inbound Leads'!A:G,7,FALSE)=0,"",VLOOKUP(A934,'1. Inbound Leads'!A:G,7,FALSE)),""))</f>
        <v/>
      </c>
      <c r="D934" s="387" t="str">
        <f>IF(A934="","",IFERROR(IF(VLOOKUP(A934,'1. Inbound Leads'!A:L,12,FALSE)=0,"",VLOOKUP(A934,'1. Inbound Leads'!A:L,12,FALSE)),""))</f>
        <v/>
      </c>
      <c r="E934" s="388"/>
      <c r="F934" s="389"/>
      <c r="G934" s="387"/>
      <c r="H934" s="387"/>
      <c r="I934" s="387"/>
      <c r="J934" s="387"/>
      <c r="K934" s="387"/>
      <c r="L934" s="387"/>
      <c r="M934" s="388"/>
      <c r="N934" s="388"/>
      <c r="O934" s="390"/>
      <c r="P934" s="391"/>
      <c r="Q934" s="389"/>
      <c r="R934" s="390"/>
      <c r="S934" s="390"/>
      <c r="T934" s="391"/>
      <c r="U934" s="392"/>
      <c r="V934" s="391"/>
      <c r="W934" s="391"/>
      <c r="X934" s="388"/>
      <c r="Y934" s="391"/>
      <c r="Z934" s="393"/>
      <c r="AA934" s="355" t="str">
        <f t="shared" si="1"/>
        <v/>
      </c>
      <c r="AB934" s="391"/>
      <c r="AC934" s="394" t="str">
        <f t="shared" si="2"/>
        <v/>
      </c>
      <c r="AD934" s="389"/>
      <c r="AE934" s="399"/>
      <c r="AF934" s="395"/>
      <c r="AG934" s="396" t="str">
        <f t="shared" si="3"/>
        <v/>
      </c>
      <c r="AH934" s="396" t="str">
        <f t="shared" si="4"/>
        <v/>
      </c>
      <c r="AI934" s="388"/>
      <c r="AJ934" s="388"/>
      <c r="AK934" s="397"/>
    </row>
    <row r="935">
      <c r="A935" s="398"/>
      <c r="B935" s="386"/>
      <c r="C935" s="387" t="str">
        <f>IF(A935="","",IFERROR(IF(VLOOKUP(A935,'1. Inbound Leads'!A:G,7,FALSE)=0,"",VLOOKUP(A935,'1. Inbound Leads'!A:G,7,FALSE)),""))</f>
        <v/>
      </c>
      <c r="D935" s="387" t="str">
        <f>IF(A935="","",IFERROR(IF(VLOOKUP(A935,'1. Inbound Leads'!A:L,12,FALSE)=0,"",VLOOKUP(A935,'1. Inbound Leads'!A:L,12,FALSE)),""))</f>
        <v/>
      </c>
      <c r="E935" s="388"/>
      <c r="F935" s="389"/>
      <c r="G935" s="387"/>
      <c r="H935" s="387"/>
      <c r="I935" s="387"/>
      <c r="J935" s="387"/>
      <c r="K935" s="387"/>
      <c r="L935" s="387"/>
      <c r="M935" s="388"/>
      <c r="N935" s="388"/>
      <c r="O935" s="390"/>
      <c r="P935" s="391"/>
      <c r="Q935" s="389"/>
      <c r="R935" s="390"/>
      <c r="S935" s="390"/>
      <c r="T935" s="391"/>
      <c r="U935" s="392"/>
      <c r="V935" s="391"/>
      <c r="W935" s="391"/>
      <c r="X935" s="388"/>
      <c r="Y935" s="391"/>
      <c r="Z935" s="393"/>
      <c r="AA935" s="355" t="str">
        <f t="shared" si="1"/>
        <v/>
      </c>
      <c r="AB935" s="391"/>
      <c r="AC935" s="394" t="str">
        <f t="shared" si="2"/>
        <v/>
      </c>
      <c r="AD935" s="389"/>
      <c r="AE935" s="399"/>
      <c r="AF935" s="395"/>
      <c r="AG935" s="396" t="str">
        <f t="shared" si="3"/>
        <v/>
      </c>
      <c r="AH935" s="396" t="str">
        <f t="shared" si="4"/>
        <v/>
      </c>
      <c r="AI935" s="388"/>
      <c r="AJ935" s="388"/>
      <c r="AK935" s="397"/>
    </row>
    <row r="936">
      <c r="A936" s="398"/>
      <c r="B936" s="386"/>
      <c r="C936" s="387" t="str">
        <f>IF(A936="","",IFERROR(IF(VLOOKUP(A936,'1. Inbound Leads'!A:G,7,FALSE)=0,"",VLOOKUP(A936,'1. Inbound Leads'!A:G,7,FALSE)),""))</f>
        <v/>
      </c>
      <c r="D936" s="387" t="str">
        <f>IF(A936="","",IFERROR(IF(VLOOKUP(A936,'1. Inbound Leads'!A:L,12,FALSE)=0,"",VLOOKUP(A936,'1. Inbound Leads'!A:L,12,FALSE)),""))</f>
        <v/>
      </c>
      <c r="E936" s="388"/>
      <c r="F936" s="389"/>
      <c r="G936" s="387"/>
      <c r="H936" s="387"/>
      <c r="I936" s="387"/>
      <c r="J936" s="387"/>
      <c r="K936" s="387"/>
      <c r="L936" s="387"/>
      <c r="M936" s="388"/>
      <c r="N936" s="388"/>
      <c r="O936" s="390"/>
      <c r="P936" s="391"/>
      <c r="Q936" s="389"/>
      <c r="R936" s="390"/>
      <c r="S936" s="390"/>
      <c r="T936" s="391"/>
      <c r="U936" s="392"/>
      <c r="V936" s="391"/>
      <c r="W936" s="391"/>
      <c r="X936" s="388"/>
      <c r="Y936" s="391"/>
      <c r="Z936" s="393"/>
      <c r="AA936" s="355" t="str">
        <f t="shared" si="1"/>
        <v/>
      </c>
      <c r="AB936" s="391"/>
      <c r="AC936" s="394" t="str">
        <f t="shared" si="2"/>
        <v/>
      </c>
      <c r="AD936" s="389"/>
      <c r="AE936" s="399"/>
      <c r="AF936" s="395"/>
      <c r="AG936" s="396" t="str">
        <f t="shared" si="3"/>
        <v/>
      </c>
      <c r="AH936" s="396" t="str">
        <f t="shared" si="4"/>
        <v/>
      </c>
      <c r="AI936" s="388"/>
      <c r="AJ936" s="388"/>
      <c r="AK936" s="397"/>
    </row>
    <row r="937">
      <c r="A937" s="398"/>
      <c r="B937" s="386"/>
      <c r="C937" s="387" t="str">
        <f>IF(A937="","",IFERROR(IF(VLOOKUP(A937,'1. Inbound Leads'!A:G,7,FALSE)=0,"",VLOOKUP(A937,'1. Inbound Leads'!A:G,7,FALSE)),""))</f>
        <v/>
      </c>
      <c r="D937" s="387" t="str">
        <f>IF(A937="","",IFERROR(IF(VLOOKUP(A937,'1. Inbound Leads'!A:L,12,FALSE)=0,"",VLOOKUP(A937,'1. Inbound Leads'!A:L,12,FALSE)),""))</f>
        <v/>
      </c>
      <c r="E937" s="388"/>
      <c r="F937" s="389"/>
      <c r="G937" s="387"/>
      <c r="H937" s="387"/>
      <c r="I937" s="387"/>
      <c r="J937" s="387"/>
      <c r="K937" s="387"/>
      <c r="L937" s="387"/>
      <c r="M937" s="388"/>
      <c r="N937" s="388"/>
      <c r="O937" s="390"/>
      <c r="P937" s="391"/>
      <c r="Q937" s="389"/>
      <c r="R937" s="390"/>
      <c r="S937" s="390"/>
      <c r="T937" s="391"/>
      <c r="U937" s="392"/>
      <c r="V937" s="391"/>
      <c r="W937" s="391"/>
      <c r="X937" s="388"/>
      <c r="Y937" s="391"/>
      <c r="Z937" s="393"/>
      <c r="AA937" s="355" t="str">
        <f t="shared" si="1"/>
        <v/>
      </c>
      <c r="AB937" s="391"/>
      <c r="AC937" s="394" t="str">
        <f t="shared" si="2"/>
        <v/>
      </c>
      <c r="AD937" s="389"/>
      <c r="AE937" s="399"/>
      <c r="AF937" s="395"/>
      <c r="AG937" s="396" t="str">
        <f t="shared" si="3"/>
        <v/>
      </c>
      <c r="AH937" s="396" t="str">
        <f t="shared" si="4"/>
        <v/>
      </c>
      <c r="AI937" s="388"/>
      <c r="AJ937" s="388"/>
      <c r="AK937" s="397"/>
    </row>
    <row r="938">
      <c r="A938" s="398"/>
      <c r="B938" s="386"/>
      <c r="C938" s="387" t="str">
        <f>IF(A938="","",IFERROR(IF(VLOOKUP(A938,'1. Inbound Leads'!A:G,7,FALSE)=0,"",VLOOKUP(A938,'1. Inbound Leads'!A:G,7,FALSE)),""))</f>
        <v/>
      </c>
      <c r="D938" s="387" t="str">
        <f>IF(A938="","",IFERROR(IF(VLOOKUP(A938,'1. Inbound Leads'!A:L,12,FALSE)=0,"",VLOOKUP(A938,'1. Inbound Leads'!A:L,12,FALSE)),""))</f>
        <v/>
      </c>
      <c r="E938" s="388"/>
      <c r="F938" s="389"/>
      <c r="G938" s="387"/>
      <c r="H938" s="387"/>
      <c r="I938" s="387"/>
      <c r="J938" s="387"/>
      <c r="K938" s="387"/>
      <c r="L938" s="387"/>
      <c r="M938" s="388"/>
      <c r="N938" s="388"/>
      <c r="O938" s="390"/>
      <c r="P938" s="391"/>
      <c r="Q938" s="389"/>
      <c r="R938" s="390"/>
      <c r="S938" s="390"/>
      <c r="T938" s="391"/>
      <c r="U938" s="392"/>
      <c r="V938" s="391"/>
      <c r="W938" s="391"/>
      <c r="X938" s="388"/>
      <c r="Y938" s="391"/>
      <c r="Z938" s="393"/>
      <c r="AA938" s="355" t="str">
        <f t="shared" si="1"/>
        <v/>
      </c>
      <c r="AB938" s="391"/>
      <c r="AC938" s="394" t="str">
        <f t="shared" si="2"/>
        <v/>
      </c>
      <c r="AD938" s="389"/>
      <c r="AE938" s="399"/>
      <c r="AF938" s="395"/>
      <c r="AG938" s="396" t="str">
        <f t="shared" si="3"/>
        <v/>
      </c>
      <c r="AH938" s="396" t="str">
        <f t="shared" si="4"/>
        <v/>
      </c>
      <c r="AI938" s="388"/>
      <c r="AJ938" s="388"/>
      <c r="AK938" s="397"/>
    </row>
    <row r="939">
      <c r="A939" s="398"/>
      <c r="B939" s="386"/>
      <c r="C939" s="387" t="str">
        <f>IF(A939="","",IFERROR(IF(VLOOKUP(A939,'1. Inbound Leads'!A:G,7,FALSE)=0,"",VLOOKUP(A939,'1. Inbound Leads'!A:G,7,FALSE)),""))</f>
        <v/>
      </c>
      <c r="D939" s="387" t="str">
        <f>IF(A939="","",IFERROR(IF(VLOOKUP(A939,'1. Inbound Leads'!A:L,12,FALSE)=0,"",VLOOKUP(A939,'1. Inbound Leads'!A:L,12,FALSE)),""))</f>
        <v/>
      </c>
      <c r="E939" s="388"/>
      <c r="F939" s="389"/>
      <c r="G939" s="387"/>
      <c r="H939" s="387"/>
      <c r="I939" s="387"/>
      <c r="J939" s="387"/>
      <c r="K939" s="387"/>
      <c r="L939" s="387"/>
      <c r="M939" s="388"/>
      <c r="N939" s="388"/>
      <c r="O939" s="390"/>
      <c r="P939" s="391"/>
      <c r="Q939" s="389"/>
      <c r="R939" s="390"/>
      <c r="S939" s="390"/>
      <c r="T939" s="391"/>
      <c r="U939" s="392"/>
      <c r="V939" s="391"/>
      <c r="W939" s="391"/>
      <c r="X939" s="388"/>
      <c r="Y939" s="391"/>
      <c r="Z939" s="393"/>
      <c r="AA939" s="355" t="str">
        <f t="shared" si="1"/>
        <v/>
      </c>
      <c r="AB939" s="391"/>
      <c r="AC939" s="394" t="str">
        <f t="shared" si="2"/>
        <v/>
      </c>
      <c r="AD939" s="389"/>
      <c r="AE939" s="399"/>
      <c r="AF939" s="395"/>
      <c r="AG939" s="396" t="str">
        <f t="shared" si="3"/>
        <v/>
      </c>
      <c r="AH939" s="396" t="str">
        <f t="shared" si="4"/>
        <v/>
      </c>
      <c r="AI939" s="388"/>
      <c r="AJ939" s="388"/>
      <c r="AK939" s="397"/>
    </row>
    <row r="940">
      <c r="A940" s="398"/>
      <c r="B940" s="386"/>
      <c r="C940" s="387" t="str">
        <f>IF(A940="","",IFERROR(IF(VLOOKUP(A940,'1. Inbound Leads'!A:G,7,FALSE)=0,"",VLOOKUP(A940,'1. Inbound Leads'!A:G,7,FALSE)),""))</f>
        <v/>
      </c>
      <c r="D940" s="387" t="str">
        <f>IF(A940="","",IFERROR(IF(VLOOKUP(A940,'1. Inbound Leads'!A:L,12,FALSE)=0,"",VLOOKUP(A940,'1. Inbound Leads'!A:L,12,FALSE)),""))</f>
        <v/>
      </c>
      <c r="E940" s="388"/>
      <c r="F940" s="389"/>
      <c r="G940" s="387"/>
      <c r="H940" s="387"/>
      <c r="I940" s="387"/>
      <c r="J940" s="387"/>
      <c r="K940" s="387"/>
      <c r="L940" s="387"/>
      <c r="M940" s="388"/>
      <c r="N940" s="388"/>
      <c r="O940" s="390"/>
      <c r="P940" s="391"/>
      <c r="Q940" s="389"/>
      <c r="R940" s="390"/>
      <c r="S940" s="390"/>
      <c r="T940" s="391"/>
      <c r="U940" s="392"/>
      <c r="V940" s="391"/>
      <c r="W940" s="391"/>
      <c r="X940" s="388"/>
      <c r="Y940" s="391"/>
      <c r="Z940" s="393"/>
      <c r="AA940" s="355" t="str">
        <f t="shared" si="1"/>
        <v/>
      </c>
      <c r="AB940" s="391"/>
      <c r="AC940" s="394" t="str">
        <f t="shared" si="2"/>
        <v/>
      </c>
      <c r="AD940" s="389"/>
      <c r="AE940" s="399"/>
      <c r="AF940" s="395"/>
      <c r="AG940" s="396" t="str">
        <f t="shared" si="3"/>
        <v/>
      </c>
      <c r="AH940" s="396" t="str">
        <f t="shared" si="4"/>
        <v/>
      </c>
      <c r="AI940" s="388"/>
      <c r="AJ940" s="388"/>
      <c r="AK940" s="397"/>
    </row>
    <row r="941">
      <c r="A941" s="398"/>
      <c r="B941" s="386"/>
      <c r="C941" s="387" t="str">
        <f>IF(A941="","",IFERROR(IF(VLOOKUP(A941,'1. Inbound Leads'!A:G,7,FALSE)=0,"",VLOOKUP(A941,'1. Inbound Leads'!A:G,7,FALSE)),""))</f>
        <v/>
      </c>
      <c r="D941" s="387" t="str">
        <f>IF(A941="","",IFERROR(IF(VLOOKUP(A941,'1. Inbound Leads'!A:L,12,FALSE)=0,"",VLOOKUP(A941,'1. Inbound Leads'!A:L,12,FALSE)),""))</f>
        <v/>
      </c>
      <c r="E941" s="388"/>
      <c r="F941" s="389"/>
      <c r="G941" s="387"/>
      <c r="H941" s="387"/>
      <c r="I941" s="387"/>
      <c r="J941" s="387"/>
      <c r="K941" s="387"/>
      <c r="L941" s="387"/>
      <c r="M941" s="388"/>
      <c r="N941" s="388"/>
      <c r="O941" s="390"/>
      <c r="P941" s="391"/>
      <c r="Q941" s="389"/>
      <c r="R941" s="390"/>
      <c r="S941" s="390"/>
      <c r="T941" s="391"/>
      <c r="U941" s="392"/>
      <c r="V941" s="391"/>
      <c r="W941" s="391"/>
      <c r="X941" s="388"/>
      <c r="Y941" s="391"/>
      <c r="Z941" s="393"/>
      <c r="AA941" s="355" t="str">
        <f t="shared" si="1"/>
        <v/>
      </c>
      <c r="AB941" s="391"/>
      <c r="AC941" s="394" t="str">
        <f t="shared" si="2"/>
        <v/>
      </c>
      <c r="AD941" s="389"/>
      <c r="AE941" s="399"/>
      <c r="AF941" s="395"/>
      <c r="AG941" s="396" t="str">
        <f t="shared" si="3"/>
        <v/>
      </c>
      <c r="AH941" s="396" t="str">
        <f t="shared" si="4"/>
        <v/>
      </c>
      <c r="AI941" s="388"/>
      <c r="AJ941" s="388"/>
      <c r="AK941" s="397"/>
    </row>
    <row r="942">
      <c r="A942" s="398"/>
      <c r="B942" s="386"/>
      <c r="C942" s="387" t="str">
        <f>IF(A942="","",IFERROR(IF(VLOOKUP(A942,'1. Inbound Leads'!A:G,7,FALSE)=0,"",VLOOKUP(A942,'1. Inbound Leads'!A:G,7,FALSE)),""))</f>
        <v/>
      </c>
      <c r="D942" s="387" t="str">
        <f>IF(A942="","",IFERROR(IF(VLOOKUP(A942,'1. Inbound Leads'!A:L,12,FALSE)=0,"",VLOOKUP(A942,'1. Inbound Leads'!A:L,12,FALSE)),""))</f>
        <v/>
      </c>
      <c r="E942" s="388"/>
      <c r="F942" s="389"/>
      <c r="G942" s="387"/>
      <c r="H942" s="387"/>
      <c r="I942" s="387"/>
      <c r="J942" s="387"/>
      <c r="K942" s="387"/>
      <c r="L942" s="387"/>
      <c r="M942" s="388"/>
      <c r="N942" s="388"/>
      <c r="O942" s="390"/>
      <c r="P942" s="391"/>
      <c r="Q942" s="389"/>
      <c r="R942" s="390"/>
      <c r="S942" s="390"/>
      <c r="T942" s="391"/>
      <c r="U942" s="392"/>
      <c r="V942" s="391"/>
      <c r="W942" s="391"/>
      <c r="X942" s="388"/>
      <c r="Y942" s="391"/>
      <c r="Z942" s="393"/>
      <c r="AA942" s="355" t="str">
        <f t="shared" si="1"/>
        <v/>
      </c>
      <c r="AB942" s="391"/>
      <c r="AC942" s="394" t="str">
        <f t="shared" si="2"/>
        <v/>
      </c>
      <c r="AD942" s="389"/>
      <c r="AE942" s="399"/>
      <c r="AF942" s="395"/>
      <c r="AG942" s="396" t="str">
        <f t="shared" si="3"/>
        <v/>
      </c>
      <c r="AH942" s="396" t="str">
        <f t="shared" si="4"/>
        <v/>
      </c>
      <c r="AI942" s="388"/>
      <c r="AJ942" s="388"/>
      <c r="AK942" s="397"/>
    </row>
    <row r="943">
      <c r="A943" s="398"/>
      <c r="B943" s="386"/>
      <c r="C943" s="387" t="str">
        <f>IF(A943="","",IFERROR(IF(VLOOKUP(A943,'1. Inbound Leads'!A:G,7,FALSE)=0,"",VLOOKUP(A943,'1. Inbound Leads'!A:G,7,FALSE)),""))</f>
        <v/>
      </c>
      <c r="D943" s="387" t="str">
        <f>IF(A943="","",IFERROR(IF(VLOOKUP(A943,'1. Inbound Leads'!A:L,12,FALSE)=0,"",VLOOKUP(A943,'1. Inbound Leads'!A:L,12,FALSE)),""))</f>
        <v/>
      </c>
      <c r="E943" s="388"/>
      <c r="F943" s="389"/>
      <c r="G943" s="387"/>
      <c r="H943" s="387"/>
      <c r="I943" s="387"/>
      <c r="J943" s="387"/>
      <c r="K943" s="387"/>
      <c r="L943" s="387"/>
      <c r="M943" s="388"/>
      <c r="N943" s="388"/>
      <c r="O943" s="390"/>
      <c r="P943" s="391"/>
      <c r="Q943" s="389"/>
      <c r="R943" s="390"/>
      <c r="S943" s="390"/>
      <c r="T943" s="391"/>
      <c r="U943" s="392"/>
      <c r="V943" s="391"/>
      <c r="W943" s="391"/>
      <c r="X943" s="388"/>
      <c r="Y943" s="391"/>
      <c r="Z943" s="393"/>
      <c r="AA943" s="355" t="str">
        <f t="shared" si="1"/>
        <v/>
      </c>
      <c r="AB943" s="391"/>
      <c r="AC943" s="394" t="str">
        <f t="shared" si="2"/>
        <v/>
      </c>
      <c r="AD943" s="389"/>
      <c r="AE943" s="399"/>
      <c r="AF943" s="395"/>
      <c r="AG943" s="396" t="str">
        <f t="shared" si="3"/>
        <v/>
      </c>
      <c r="AH943" s="396" t="str">
        <f t="shared" si="4"/>
        <v/>
      </c>
      <c r="AI943" s="388"/>
      <c r="AJ943" s="388"/>
      <c r="AK943" s="397"/>
    </row>
    <row r="944">
      <c r="A944" s="398"/>
      <c r="B944" s="386"/>
      <c r="C944" s="387" t="str">
        <f>IF(A944="","",IFERROR(IF(VLOOKUP(A944,'1. Inbound Leads'!A:G,7,FALSE)=0,"",VLOOKUP(A944,'1. Inbound Leads'!A:G,7,FALSE)),""))</f>
        <v/>
      </c>
      <c r="D944" s="387" t="str">
        <f>IF(A944="","",IFERROR(IF(VLOOKUP(A944,'1. Inbound Leads'!A:L,12,FALSE)=0,"",VLOOKUP(A944,'1. Inbound Leads'!A:L,12,FALSE)),""))</f>
        <v/>
      </c>
      <c r="E944" s="388"/>
      <c r="F944" s="389"/>
      <c r="G944" s="387"/>
      <c r="H944" s="387"/>
      <c r="I944" s="387"/>
      <c r="J944" s="387"/>
      <c r="K944" s="387"/>
      <c r="L944" s="387"/>
      <c r="M944" s="388"/>
      <c r="N944" s="388"/>
      <c r="O944" s="390"/>
      <c r="P944" s="391"/>
      <c r="Q944" s="389"/>
      <c r="R944" s="390"/>
      <c r="S944" s="390"/>
      <c r="T944" s="391"/>
      <c r="U944" s="392"/>
      <c r="V944" s="391"/>
      <c r="W944" s="391"/>
      <c r="X944" s="388"/>
      <c r="Y944" s="391"/>
      <c r="Z944" s="393"/>
      <c r="AA944" s="355" t="str">
        <f t="shared" si="1"/>
        <v/>
      </c>
      <c r="AB944" s="391"/>
      <c r="AC944" s="394" t="str">
        <f t="shared" si="2"/>
        <v/>
      </c>
      <c r="AD944" s="389"/>
      <c r="AE944" s="399"/>
      <c r="AF944" s="395"/>
      <c r="AG944" s="396" t="str">
        <f t="shared" si="3"/>
        <v/>
      </c>
      <c r="AH944" s="396" t="str">
        <f t="shared" si="4"/>
        <v/>
      </c>
      <c r="AI944" s="388"/>
      <c r="AJ944" s="388"/>
      <c r="AK944" s="397"/>
    </row>
    <row r="945">
      <c r="A945" s="398"/>
      <c r="B945" s="386"/>
      <c r="C945" s="387" t="str">
        <f>IF(A945="","",IFERROR(IF(VLOOKUP(A945,'1. Inbound Leads'!A:G,7,FALSE)=0,"",VLOOKUP(A945,'1. Inbound Leads'!A:G,7,FALSE)),""))</f>
        <v/>
      </c>
      <c r="D945" s="387" t="str">
        <f>IF(A945="","",IFERROR(IF(VLOOKUP(A945,'1. Inbound Leads'!A:L,12,FALSE)=0,"",VLOOKUP(A945,'1. Inbound Leads'!A:L,12,FALSE)),""))</f>
        <v/>
      </c>
      <c r="E945" s="388"/>
      <c r="F945" s="389"/>
      <c r="G945" s="387"/>
      <c r="H945" s="387"/>
      <c r="I945" s="387"/>
      <c r="J945" s="387"/>
      <c r="K945" s="387"/>
      <c r="L945" s="387"/>
      <c r="M945" s="388"/>
      <c r="N945" s="388"/>
      <c r="O945" s="390"/>
      <c r="P945" s="391"/>
      <c r="Q945" s="389"/>
      <c r="R945" s="390"/>
      <c r="S945" s="390"/>
      <c r="T945" s="391"/>
      <c r="U945" s="392"/>
      <c r="V945" s="391"/>
      <c r="W945" s="391"/>
      <c r="X945" s="388"/>
      <c r="Y945" s="391"/>
      <c r="Z945" s="393"/>
      <c r="AA945" s="355" t="str">
        <f t="shared" si="1"/>
        <v/>
      </c>
      <c r="AB945" s="391"/>
      <c r="AC945" s="394" t="str">
        <f t="shared" si="2"/>
        <v/>
      </c>
      <c r="AD945" s="389"/>
      <c r="AE945" s="399"/>
      <c r="AF945" s="395"/>
      <c r="AG945" s="396" t="str">
        <f t="shared" si="3"/>
        <v/>
      </c>
      <c r="AH945" s="396" t="str">
        <f t="shared" si="4"/>
        <v/>
      </c>
      <c r="AI945" s="388"/>
      <c r="AJ945" s="388"/>
      <c r="AK945" s="397"/>
    </row>
    <row r="946">
      <c r="A946" s="398"/>
      <c r="B946" s="386"/>
      <c r="C946" s="387" t="str">
        <f>IF(A946="","",IFERROR(IF(VLOOKUP(A946,'1. Inbound Leads'!A:G,7,FALSE)=0,"",VLOOKUP(A946,'1. Inbound Leads'!A:G,7,FALSE)),""))</f>
        <v/>
      </c>
      <c r="D946" s="387" t="str">
        <f>IF(A946="","",IFERROR(IF(VLOOKUP(A946,'1. Inbound Leads'!A:L,12,FALSE)=0,"",VLOOKUP(A946,'1. Inbound Leads'!A:L,12,FALSE)),""))</f>
        <v/>
      </c>
      <c r="E946" s="388"/>
      <c r="F946" s="389"/>
      <c r="G946" s="387"/>
      <c r="H946" s="387"/>
      <c r="I946" s="387"/>
      <c r="J946" s="387"/>
      <c r="K946" s="387"/>
      <c r="L946" s="387"/>
      <c r="M946" s="388"/>
      <c r="N946" s="388"/>
      <c r="O946" s="390"/>
      <c r="P946" s="391"/>
      <c r="Q946" s="389"/>
      <c r="R946" s="390"/>
      <c r="S946" s="390"/>
      <c r="T946" s="391"/>
      <c r="U946" s="392"/>
      <c r="V946" s="391"/>
      <c r="W946" s="391"/>
      <c r="X946" s="388"/>
      <c r="Y946" s="391"/>
      <c r="Z946" s="393"/>
      <c r="AA946" s="355" t="str">
        <f t="shared" si="1"/>
        <v/>
      </c>
      <c r="AB946" s="391"/>
      <c r="AC946" s="394" t="str">
        <f t="shared" si="2"/>
        <v/>
      </c>
      <c r="AD946" s="389"/>
      <c r="AE946" s="399"/>
      <c r="AF946" s="395"/>
      <c r="AG946" s="396" t="str">
        <f t="shared" si="3"/>
        <v/>
      </c>
      <c r="AH946" s="396" t="str">
        <f t="shared" si="4"/>
        <v/>
      </c>
      <c r="AI946" s="388"/>
      <c r="AJ946" s="388"/>
      <c r="AK946" s="397"/>
    </row>
    <row r="947">
      <c r="A947" s="398"/>
      <c r="B947" s="386"/>
      <c r="C947" s="387" t="str">
        <f>IF(A947="","",IFERROR(IF(VLOOKUP(A947,'1. Inbound Leads'!A:G,7,FALSE)=0,"",VLOOKUP(A947,'1. Inbound Leads'!A:G,7,FALSE)),""))</f>
        <v/>
      </c>
      <c r="D947" s="387" t="str">
        <f>IF(A947="","",IFERROR(IF(VLOOKUP(A947,'1. Inbound Leads'!A:L,12,FALSE)=0,"",VLOOKUP(A947,'1. Inbound Leads'!A:L,12,FALSE)),""))</f>
        <v/>
      </c>
      <c r="E947" s="388"/>
      <c r="F947" s="389"/>
      <c r="G947" s="387"/>
      <c r="H947" s="387"/>
      <c r="I947" s="387"/>
      <c r="J947" s="387"/>
      <c r="K947" s="387"/>
      <c r="L947" s="387"/>
      <c r="M947" s="388"/>
      <c r="N947" s="388"/>
      <c r="O947" s="390"/>
      <c r="P947" s="391"/>
      <c r="Q947" s="389"/>
      <c r="R947" s="390"/>
      <c r="S947" s="390"/>
      <c r="T947" s="391"/>
      <c r="U947" s="392"/>
      <c r="V947" s="391"/>
      <c r="W947" s="391"/>
      <c r="X947" s="388"/>
      <c r="Y947" s="391"/>
      <c r="Z947" s="393"/>
      <c r="AA947" s="355" t="str">
        <f t="shared" si="1"/>
        <v/>
      </c>
      <c r="AB947" s="391"/>
      <c r="AC947" s="394" t="str">
        <f t="shared" si="2"/>
        <v/>
      </c>
      <c r="AD947" s="389"/>
      <c r="AE947" s="399"/>
      <c r="AF947" s="395"/>
      <c r="AG947" s="396" t="str">
        <f t="shared" si="3"/>
        <v/>
      </c>
      <c r="AH947" s="396" t="str">
        <f t="shared" si="4"/>
        <v/>
      </c>
      <c r="AI947" s="388"/>
      <c r="AJ947" s="388"/>
      <c r="AK947" s="397"/>
    </row>
    <row r="948">
      <c r="A948" s="398"/>
      <c r="B948" s="386"/>
      <c r="C948" s="387" t="str">
        <f>IF(A948="","",IFERROR(IF(VLOOKUP(A948,'1. Inbound Leads'!A:G,7,FALSE)=0,"",VLOOKUP(A948,'1. Inbound Leads'!A:G,7,FALSE)),""))</f>
        <v/>
      </c>
      <c r="D948" s="387" t="str">
        <f>IF(A948="","",IFERROR(IF(VLOOKUP(A948,'1. Inbound Leads'!A:L,12,FALSE)=0,"",VLOOKUP(A948,'1. Inbound Leads'!A:L,12,FALSE)),""))</f>
        <v/>
      </c>
      <c r="E948" s="388"/>
      <c r="F948" s="389"/>
      <c r="G948" s="387"/>
      <c r="H948" s="387"/>
      <c r="I948" s="387"/>
      <c r="J948" s="387"/>
      <c r="K948" s="387"/>
      <c r="L948" s="387"/>
      <c r="M948" s="388"/>
      <c r="N948" s="388"/>
      <c r="O948" s="390"/>
      <c r="P948" s="391"/>
      <c r="Q948" s="389"/>
      <c r="R948" s="390"/>
      <c r="S948" s="390"/>
      <c r="T948" s="391"/>
      <c r="U948" s="392"/>
      <c r="V948" s="391"/>
      <c r="W948" s="391"/>
      <c r="X948" s="388"/>
      <c r="Y948" s="391"/>
      <c r="Z948" s="393"/>
      <c r="AA948" s="355" t="str">
        <f t="shared" si="1"/>
        <v/>
      </c>
      <c r="AB948" s="391"/>
      <c r="AC948" s="394" t="str">
        <f t="shared" si="2"/>
        <v/>
      </c>
      <c r="AD948" s="389"/>
      <c r="AE948" s="399"/>
      <c r="AF948" s="395"/>
      <c r="AG948" s="396" t="str">
        <f t="shared" si="3"/>
        <v/>
      </c>
      <c r="AH948" s="396" t="str">
        <f t="shared" si="4"/>
        <v/>
      </c>
      <c r="AI948" s="388"/>
      <c r="AJ948" s="388"/>
      <c r="AK948" s="397"/>
    </row>
    <row r="949">
      <c r="A949" s="398"/>
      <c r="B949" s="386"/>
      <c r="C949" s="387" t="str">
        <f>IF(A949="","",IFERROR(IF(VLOOKUP(A949,'1. Inbound Leads'!A:G,7,FALSE)=0,"",VLOOKUP(A949,'1. Inbound Leads'!A:G,7,FALSE)),""))</f>
        <v/>
      </c>
      <c r="D949" s="387" t="str">
        <f>IF(A949="","",IFERROR(IF(VLOOKUP(A949,'1. Inbound Leads'!A:L,12,FALSE)=0,"",VLOOKUP(A949,'1. Inbound Leads'!A:L,12,FALSE)),""))</f>
        <v/>
      </c>
      <c r="E949" s="388"/>
      <c r="F949" s="389"/>
      <c r="G949" s="387"/>
      <c r="H949" s="387"/>
      <c r="I949" s="387"/>
      <c r="J949" s="387"/>
      <c r="K949" s="387"/>
      <c r="L949" s="387"/>
      <c r="M949" s="388"/>
      <c r="N949" s="388"/>
      <c r="O949" s="390"/>
      <c r="P949" s="391"/>
      <c r="Q949" s="389"/>
      <c r="R949" s="390"/>
      <c r="S949" s="390"/>
      <c r="T949" s="391"/>
      <c r="U949" s="392"/>
      <c r="V949" s="391"/>
      <c r="W949" s="391"/>
      <c r="X949" s="388"/>
      <c r="Y949" s="391"/>
      <c r="Z949" s="393"/>
      <c r="AA949" s="355" t="str">
        <f t="shared" si="1"/>
        <v/>
      </c>
      <c r="AB949" s="391"/>
      <c r="AC949" s="394" t="str">
        <f t="shared" si="2"/>
        <v/>
      </c>
      <c r="AD949" s="389"/>
      <c r="AE949" s="399"/>
      <c r="AF949" s="395"/>
      <c r="AG949" s="396" t="str">
        <f t="shared" si="3"/>
        <v/>
      </c>
      <c r="AH949" s="396" t="str">
        <f t="shared" si="4"/>
        <v/>
      </c>
      <c r="AI949" s="388"/>
      <c r="AJ949" s="388"/>
      <c r="AK949" s="397"/>
    </row>
    <row r="950">
      <c r="A950" s="398"/>
      <c r="B950" s="386"/>
      <c r="C950" s="387" t="str">
        <f>IF(A950="","",IFERROR(IF(VLOOKUP(A950,'1. Inbound Leads'!A:G,7,FALSE)=0,"",VLOOKUP(A950,'1. Inbound Leads'!A:G,7,FALSE)),""))</f>
        <v/>
      </c>
      <c r="D950" s="387" t="str">
        <f>IF(A950="","",IFERROR(IF(VLOOKUP(A950,'1. Inbound Leads'!A:L,12,FALSE)=0,"",VLOOKUP(A950,'1. Inbound Leads'!A:L,12,FALSE)),""))</f>
        <v/>
      </c>
      <c r="E950" s="388"/>
      <c r="F950" s="389"/>
      <c r="G950" s="387"/>
      <c r="H950" s="387"/>
      <c r="I950" s="387"/>
      <c r="J950" s="387"/>
      <c r="K950" s="387"/>
      <c r="L950" s="387"/>
      <c r="M950" s="388"/>
      <c r="N950" s="388"/>
      <c r="O950" s="390"/>
      <c r="P950" s="391"/>
      <c r="Q950" s="389"/>
      <c r="R950" s="390"/>
      <c r="S950" s="390"/>
      <c r="T950" s="391"/>
      <c r="U950" s="392"/>
      <c r="V950" s="391"/>
      <c r="W950" s="391"/>
      <c r="X950" s="388"/>
      <c r="Y950" s="391"/>
      <c r="Z950" s="393"/>
      <c r="AA950" s="355" t="str">
        <f t="shared" si="1"/>
        <v/>
      </c>
      <c r="AB950" s="391"/>
      <c r="AC950" s="394" t="str">
        <f t="shared" si="2"/>
        <v/>
      </c>
      <c r="AD950" s="389"/>
      <c r="AE950" s="399"/>
      <c r="AF950" s="395"/>
      <c r="AG950" s="396" t="str">
        <f t="shared" si="3"/>
        <v/>
      </c>
      <c r="AH950" s="396" t="str">
        <f t="shared" si="4"/>
        <v/>
      </c>
      <c r="AI950" s="388"/>
      <c r="AJ950" s="388"/>
      <c r="AK950" s="397"/>
    </row>
    <row r="951">
      <c r="A951" s="398"/>
      <c r="B951" s="386"/>
      <c r="C951" s="387" t="str">
        <f>IF(A951="","",IFERROR(IF(VLOOKUP(A951,'1. Inbound Leads'!A:G,7,FALSE)=0,"",VLOOKUP(A951,'1. Inbound Leads'!A:G,7,FALSE)),""))</f>
        <v/>
      </c>
      <c r="D951" s="387" t="str">
        <f>IF(A951="","",IFERROR(IF(VLOOKUP(A951,'1. Inbound Leads'!A:L,12,FALSE)=0,"",VLOOKUP(A951,'1. Inbound Leads'!A:L,12,FALSE)),""))</f>
        <v/>
      </c>
      <c r="E951" s="388"/>
      <c r="F951" s="389"/>
      <c r="G951" s="387"/>
      <c r="H951" s="387"/>
      <c r="I951" s="387"/>
      <c r="J951" s="387"/>
      <c r="K951" s="387"/>
      <c r="L951" s="387"/>
      <c r="M951" s="388"/>
      <c r="N951" s="388"/>
      <c r="O951" s="390"/>
      <c r="P951" s="391"/>
      <c r="Q951" s="389"/>
      <c r="R951" s="390"/>
      <c r="S951" s="390"/>
      <c r="T951" s="391"/>
      <c r="U951" s="392"/>
      <c r="V951" s="391"/>
      <c r="W951" s="391"/>
      <c r="X951" s="388"/>
      <c r="Y951" s="391"/>
      <c r="Z951" s="393"/>
      <c r="AA951" s="355" t="str">
        <f t="shared" si="1"/>
        <v/>
      </c>
      <c r="AB951" s="391"/>
      <c r="AC951" s="394" t="str">
        <f t="shared" si="2"/>
        <v/>
      </c>
      <c r="AD951" s="389"/>
      <c r="AE951" s="399"/>
      <c r="AF951" s="395"/>
      <c r="AG951" s="396" t="str">
        <f t="shared" si="3"/>
        <v/>
      </c>
      <c r="AH951" s="396" t="str">
        <f t="shared" si="4"/>
        <v/>
      </c>
      <c r="AI951" s="388"/>
      <c r="AJ951" s="388"/>
      <c r="AK951" s="397"/>
    </row>
    <row r="952">
      <c r="A952" s="398"/>
      <c r="B952" s="386"/>
      <c r="C952" s="387" t="str">
        <f>IF(A952="","",IFERROR(IF(VLOOKUP(A952,'1. Inbound Leads'!A:G,7,FALSE)=0,"",VLOOKUP(A952,'1. Inbound Leads'!A:G,7,FALSE)),""))</f>
        <v/>
      </c>
      <c r="D952" s="387" t="str">
        <f>IF(A952="","",IFERROR(IF(VLOOKUP(A952,'1. Inbound Leads'!A:L,12,FALSE)=0,"",VLOOKUP(A952,'1. Inbound Leads'!A:L,12,FALSE)),""))</f>
        <v/>
      </c>
      <c r="E952" s="388"/>
      <c r="F952" s="389"/>
      <c r="G952" s="387"/>
      <c r="H952" s="387"/>
      <c r="I952" s="387"/>
      <c r="J952" s="387"/>
      <c r="K952" s="387"/>
      <c r="L952" s="387"/>
      <c r="M952" s="388"/>
      <c r="N952" s="388"/>
      <c r="O952" s="390"/>
      <c r="P952" s="391"/>
      <c r="Q952" s="389"/>
      <c r="R952" s="390"/>
      <c r="S952" s="390"/>
      <c r="T952" s="391"/>
      <c r="U952" s="392"/>
      <c r="V952" s="391"/>
      <c r="W952" s="391"/>
      <c r="X952" s="388"/>
      <c r="Y952" s="391"/>
      <c r="Z952" s="393"/>
      <c r="AA952" s="355" t="str">
        <f t="shared" si="1"/>
        <v/>
      </c>
      <c r="AB952" s="391"/>
      <c r="AC952" s="394" t="str">
        <f t="shared" si="2"/>
        <v/>
      </c>
      <c r="AD952" s="389"/>
      <c r="AE952" s="399"/>
      <c r="AF952" s="395"/>
      <c r="AG952" s="396" t="str">
        <f t="shared" si="3"/>
        <v/>
      </c>
      <c r="AH952" s="396" t="str">
        <f t="shared" si="4"/>
        <v/>
      </c>
      <c r="AI952" s="388"/>
      <c r="AJ952" s="388"/>
      <c r="AK952" s="397"/>
    </row>
    <row r="953">
      <c r="A953" s="398"/>
      <c r="B953" s="386"/>
      <c r="C953" s="387" t="str">
        <f>IF(A953="","",IFERROR(IF(VLOOKUP(A953,'1. Inbound Leads'!A:G,7,FALSE)=0,"",VLOOKUP(A953,'1. Inbound Leads'!A:G,7,FALSE)),""))</f>
        <v/>
      </c>
      <c r="D953" s="387" t="str">
        <f>IF(A953="","",IFERROR(IF(VLOOKUP(A953,'1. Inbound Leads'!A:L,12,FALSE)=0,"",VLOOKUP(A953,'1. Inbound Leads'!A:L,12,FALSE)),""))</f>
        <v/>
      </c>
      <c r="E953" s="388"/>
      <c r="F953" s="389"/>
      <c r="G953" s="387"/>
      <c r="H953" s="387"/>
      <c r="I953" s="387"/>
      <c r="J953" s="387"/>
      <c r="K953" s="387"/>
      <c r="L953" s="387"/>
      <c r="M953" s="388"/>
      <c r="N953" s="388"/>
      <c r="O953" s="390"/>
      <c r="P953" s="391"/>
      <c r="Q953" s="389"/>
      <c r="R953" s="390"/>
      <c r="S953" s="390"/>
      <c r="T953" s="391"/>
      <c r="U953" s="392"/>
      <c r="V953" s="391"/>
      <c r="W953" s="391"/>
      <c r="X953" s="388"/>
      <c r="Y953" s="391"/>
      <c r="Z953" s="393"/>
      <c r="AA953" s="355" t="str">
        <f t="shared" si="1"/>
        <v/>
      </c>
      <c r="AB953" s="391"/>
      <c r="AC953" s="394" t="str">
        <f t="shared" si="2"/>
        <v/>
      </c>
      <c r="AD953" s="389"/>
      <c r="AE953" s="399"/>
      <c r="AF953" s="395"/>
      <c r="AG953" s="396" t="str">
        <f t="shared" si="3"/>
        <v/>
      </c>
      <c r="AH953" s="396" t="str">
        <f t="shared" si="4"/>
        <v/>
      </c>
      <c r="AI953" s="388"/>
      <c r="AJ953" s="388"/>
      <c r="AK953" s="397"/>
    </row>
    <row r="954">
      <c r="A954" s="398"/>
      <c r="B954" s="386"/>
      <c r="C954" s="387" t="str">
        <f>IF(A954="","",IFERROR(IF(VLOOKUP(A954,'1. Inbound Leads'!A:G,7,FALSE)=0,"",VLOOKUP(A954,'1. Inbound Leads'!A:G,7,FALSE)),""))</f>
        <v/>
      </c>
      <c r="D954" s="387" t="str">
        <f>IF(A954="","",IFERROR(IF(VLOOKUP(A954,'1. Inbound Leads'!A:L,12,FALSE)=0,"",VLOOKUP(A954,'1. Inbound Leads'!A:L,12,FALSE)),""))</f>
        <v/>
      </c>
      <c r="E954" s="388"/>
      <c r="F954" s="389"/>
      <c r="G954" s="387"/>
      <c r="H954" s="387"/>
      <c r="I954" s="387"/>
      <c r="J954" s="387"/>
      <c r="K954" s="387"/>
      <c r="L954" s="387"/>
      <c r="M954" s="388"/>
      <c r="N954" s="388"/>
      <c r="O954" s="390"/>
      <c r="P954" s="391"/>
      <c r="Q954" s="389"/>
      <c r="R954" s="390"/>
      <c r="S954" s="390"/>
      <c r="T954" s="391"/>
      <c r="U954" s="392"/>
      <c r="V954" s="391"/>
      <c r="W954" s="391"/>
      <c r="X954" s="388"/>
      <c r="Y954" s="391"/>
      <c r="Z954" s="393"/>
      <c r="AA954" s="355" t="str">
        <f t="shared" si="1"/>
        <v/>
      </c>
      <c r="AB954" s="391"/>
      <c r="AC954" s="394" t="str">
        <f t="shared" si="2"/>
        <v/>
      </c>
      <c r="AD954" s="389"/>
      <c r="AE954" s="399"/>
      <c r="AF954" s="395"/>
      <c r="AG954" s="396" t="str">
        <f t="shared" si="3"/>
        <v/>
      </c>
      <c r="AH954" s="396" t="str">
        <f t="shared" si="4"/>
        <v/>
      </c>
      <c r="AI954" s="388"/>
      <c r="AJ954" s="388"/>
      <c r="AK954" s="397"/>
    </row>
    <row r="955">
      <c r="A955" s="398"/>
      <c r="B955" s="386"/>
      <c r="C955" s="387" t="str">
        <f>IF(A955="","",IFERROR(IF(VLOOKUP(A955,'1. Inbound Leads'!A:G,7,FALSE)=0,"",VLOOKUP(A955,'1. Inbound Leads'!A:G,7,FALSE)),""))</f>
        <v/>
      </c>
      <c r="D955" s="387" t="str">
        <f>IF(A955="","",IFERROR(IF(VLOOKUP(A955,'1. Inbound Leads'!A:L,12,FALSE)=0,"",VLOOKUP(A955,'1. Inbound Leads'!A:L,12,FALSE)),""))</f>
        <v/>
      </c>
      <c r="E955" s="388"/>
      <c r="F955" s="389"/>
      <c r="G955" s="387"/>
      <c r="H955" s="387"/>
      <c r="I955" s="387"/>
      <c r="J955" s="387"/>
      <c r="K955" s="387"/>
      <c r="L955" s="387"/>
      <c r="M955" s="388"/>
      <c r="N955" s="388"/>
      <c r="O955" s="390"/>
      <c r="P955" s="391"/>
      <c r="Q955" s="389"/>
      <c r="R955" s="390"/>
      <c r="S955" s="390"/>
      <c r="T955" s="391"/>
      <c r="U955" s="392"/>
      <c r="V955" s="391"/>
      <c r="W955" s="391"/>
      <c r="X955" s="388"/>
      <c r="Y955" s="391"/>
      <c r="Z955" s="393"/>
      <c r="AA955" s="355" t="str">
        <f t="shared" si="1"/>
        <v/>
      </c>
      <c r="AB955" s="391"/>
      <c r="AC955" s="394" t="str">
        <f t="shared" si="2"/>
        <v/>
      </c>
      <c r="AD955" s="389"/>
      <c r="AE955" s="399"/>
      <c r="AF955" s="395"/>
      <c r="AG955" s="396" t="str">
        <f t="shared" si="3"/>
        <v/>
      </c>
      <c r="AH955" s="396" t="str">
        <f t="shared" si="4"/>
        <v/>
      </c>
      <c r="AI955" s="388"/>
      <c r="AJ955" s="388"/>
      <c r="AK955" s="397"/>
    </row>
    <row r="956">
      <c r="A956" s="398"/>
      <c r="B956" s="386"/>
      <c r="C956" s="387" t="str">
        <f>IF(A956="","",IFERROR(IF(VLOOKUP(A956,'1. Inbound Leads'!A:G,7,FALSE)=0,"",VLOOKUP(A956,'1. Inbound Leads'!A:G,7,FALSE)),""))</f>
        <v/>
      </c>
      <c r="D956" s="387" t="str">
        <f>IF(A956="","",IFERROR(IF(VLOOKUP(A956,'1. Inbound Leads'!A:L,12,FALSE)=0,"",VLOOKUP(A956,'1. Inbound Leads'!A:L,12,FALSE)),""))</f>
        <v/>
      </c>
      <c r="E956" s="388"/>
      <c r="F956" s="389"/>
      <c r="G956" s="387"/>
      <c r="H956" s="387"/>
      <c r="I956" s="387"/>
      <c r="J956" s="387"/>
      <c r="K956" s="387"/>
      <c r="L956" s="387"/>
      <c r="M956" s="388"/>
      <c r="N956" s="388"/>
      <c r="O956" s="390"/>
      <c r="P956" s="391"/>
      <c r="Q956" s="389"/>
      <c r="R956" s="390"/>
      <c r="S956" s="390"/>
      <c r="T956" s="391"/>
      <c r="U956" s="392"/>
      <c r="V956" s="391"/>
      <c r="W956" s="391"/>
      <c r="X956" s="388"/>
      <c r="Y956" s="391"/>
      <c r="Z956" s="393"/>
      <c r="AA956" s="355" t="str">
        <f t="shared" si="1"/>
        <v/>
      </c>
      <c r="AB956" s="391"/>
      <c r="AC956" s="394" t="str">
        <f t="shared" si="2"/>
        <v/>
      </c>
      <c r="AD956" s="389"/>
      <c r="AE956" s="399"/>
      <c r="AF956" s="395"/>
      <c r="AG956" s="396" t="str">
        <f t="shared" si="3"/>
        <v/>
      </c>
      <c r="AH956" s="396" t="str">
        <f t="shared" si="4"/>
        <v/>
      </c>
      <c r="AI956" s="388"/>
      <c r="AJ956" s="388"/>
      <c r="AK956" s="397"/>
    </row>
    <row r="957">
      <c r="A957" s="398"/>
      <c r="B957" s="386"/>
      <c r="C957" s="387" t="str">
        <f>IF(A957="","",IFERROR(IF(VLOOKUP(A957,'1. Inbound Leads'!A:G,7,FALSE)=0,"",VLOOKUP(A957,'1. Inbound Leads'!A:G,7,FALSE)),""))</f>
        <v/>
      </c>
      <c r="D957" s="387" t="str">
        <f>IF(A957="","",IFERROR(IF(VLOOKUP(A957,'1. Inbound Leads'!A:L,12,FALSE)=0,"",VLOOKUP(A957,'1. Inbound Leads'!A:L,12,FALSE)),""))</f>
        <v/>
      </c>
      <c r="E957" s="388"/>
      <c r="F957" s="389"/>
      <c r="G957" s="387"/>
      <c r="H957" s="387"/>
      <c r="I957" s="387"/>
      <c r="J957" s="387"/>
      <c r="K957" s="387"/>
      <c r="L957" s="387"/>
      <c r="M957" s="388"/>
      <c r="N957" s="388"/>
      <c r="O957" s="390"/>
      <c r="P957" s="391"/>
      <c r="Q957" s="389"/>
      <c r="R957" s="390"/>
      <c r="S957" s="390"/>
      <c r="T957" s="391"/>
      <c r="U957" s="392"/>
      <c r="V957" s="391"/>
      <c r="W957" s="391"/>
      <c r="X957" s="388"/>
      <c r="Y957" s="391"/>
      <c r="Z957" s="393"/>
      <c r="AA957" s="355" t="str">
        <f t="shared" si="1"/>
        <v/>
      </c>
      <c r="AB957" s="391"/>
      <c r="AC957" s="394" t="str">
        <f t="shared" si="2"/>
        <v/>
      </c>
      <c r="AD957" s="389"/>
      <c r="AE957" s="399"/>
      <c r="AF957" s="395"/>
      <c r="AG957" s="396" t="str">
        <f t="shared" si="3"/>
        <v/>
      </c>
      <c r="AH957" s="396" t="str">
        <f t="shared" si="4"/>
        <v/>
      </c>
      <c r="AI957" s="388"/>
      <c r="AJ957" s="388"/>
      <c r="AK957" s="397"/>
    </row>
    <row r="958">
      <c r="A958" s="398"/>
      <c r="B958" s="386"/>
      <c r="C958" s="387" t="str">
        <f>IF(A958="","",IFERROR(IF(VLOOKUP(A958,'1. Inbound Leads'!A:G,7,FALSE)=0,"",VLOOKUP(A958,'1. Inbound Leads'!A:G,7,FALSE)),""))</f>
        <v/>
      </c>
      <c r="D958" s="387" t="str">
        <f>IF(A958="","",IFERROR(IF(VLOOKUP(A958,'1. Inbound Leads'!A:L,12,FALSE)=0,"",VLOOKUP(A958,'1. Inbound Leads'!A:L,12,FALSE)),""))</f>
        <v/>
      </c>
      <c r="E958" s="388"/>
      <c r="F958" s="389"/>
      <c r="G958" s="387"/>
      <c r="H958" s="387"/>
      <c r="I958" s="387"/>
      <c r="J958" s="387"/>
      <c r="K958" s="387"/>
      <c r="L958" s="387"/>
      <c r="M958" s="388"/>
      <c r="N958" s="388"/>
      <c r="O958" s="390"/>
      <c r="P958" s="391"/>
      <c r="Q958" s="389"/>
      <c r="R958" s="390"/>
      <c r="S958" s="390"/>
      <c r="T958" s="391"/>
      <c r="U958" s="392"/>
      <c r="V958" s="391"/>
      <c r="W958" s="391"/>
      <c r="X958" s="388"/>
      <c r="Y958" s="391"/>
      <c r="Z958" s="393"/>
      <c r="AA958" s="355" t="str">
        <f t="shared" si="1"/>
        <v/>
      </c>
      <c r="AB958" s="391"/>
      <c r="AC958" s="394" t="str">
        <f t="shared" si="2"/>
        <v/>
      </c>
      <c r="AD958" s="389"/>
      <c r="AE958" s="399"/>
      <c r="AF958" s="395"/>
      <c r="AG958" s="396" t="str">
        <f t="shared" si="3"/>
        <v/>
      </c>
      <c r="AH958" s="396" t="str">
        <f t="shared" si="4"/>
        <v/>
      </c>
      <c r="AI958" s="388"/>
      <c r="AJ958" s="388"/>
      <c r="AK958" s="397"/>
    </row>
    <row r="959">
      <c r="A959" s="398"/>
      <c r="B959" s="386"/>
      <c r="C959" s="387" t="str">
        <f>IF(A959="","",IFERROR(IF(VLOOKUP(A959,'1. Inbound Leads'!A:G,7,FALSE)=0,"",VLOOKUP(A959,'1. Inbound Leads'!A:G,7,FALSE)),""))</f>
        <v/>
      </c>
      <c r="D959" s="387" t="str">
        <f>IF(A959="","",IFERROR(IF(VLOOKUP(A959,'1. Inbound Leads'!A:L,12,FALSE)=0,"",VLOOKUP(A959,'1. Inbound Leads'!A:L,12,FALSE)),""))</f>
        <v/>
      </c>
      <c r="E959" s="388"/>
      <c r="F959" s="389"/>
      <c r="G959" s="387"/>
      <c r="H959" s="387"/>
      <c r="I959" s="387"/>
      <c r="J959" s="387"/>
      <c r="K959" s="387"/>
      <c r="L959" s="387"/>
      <c r="M959" s="388"/>
      <c r="N959" s="388"/>
      <c r="O959" s="390"/>
      <c r="P959" s="391"/>
      <c r="Q959" s="389"/>
      <c r="R959" s="390"/>
      <c r="S959" s="390"/>
      <c r="T959" s="391"/>
      <c r="U959" s="392"/>
      <c r="V959" s="391"/>
      <c r="W959" s="391"/>
      <c r="X959" s="388"/>
      <c r="Y959" s="391"/>
      <c r="Z959" s="393"/>
      <c r="AA959" s="355" t="str">
        <f t="shared" si="1"/>
        <v/>
      </c>
      <c r="AB959" s="391"/>
      <c r="AC959" s="394" t="str">
        <f t="shared" si="2"/>
        <v/>
      </c>
      <c r="AD959" s="389"/>
      <c r="AE959" s="399"/>
      <c r="AF959" s="395"/>
      <c r="AG959" s="396" t="str">
        <f t="shared" si="3"/>
        <v/>
      </c>
      <c r="AH959" s="396" t="str">
        <f t="shared" si="4"/>
        <v/>
      </c>
      <c r="AI959" s="388"/>
      <c r="AJ959" s="388"/>
      <c r="AK959" s="397"/>
    </row>
    <row r="960">
      <c r="A960" s="398"/>
      <c r="B960" s="386"/>
      <c r="C960" s="387" t="str">
        <f>IF(A960="","",IFERROR(IF(VLOOKUP(A960,'1. Inbound Leads'!A:G,7,FALSE)=0,"",VLOOKUP(A960,'1. Inbound Leads'!A:G,7,FALSE)),""))</f>
        <v/>
      </c>
      <c r="D960" s="387" t="str">
        <f>IF(A960="","",IFERROR(IF(VLOOKUP(A960,'1. Inbound Leads'!A:L,12,FALSE)=0,"",VLOOKUP(A960,'1. Inbound Leads'!A:L,12,FALSE)),""))</f>
        <v/>
      </c>
      <c r="E960" s="388"/>
      <c r="F960" s="389"/>
      <c r="G960" s="387"/>
      <c r="H960" s="387"/>
      <c r="I960" s="387"/>
      <c r="J960" s="387"/>
      <c r="K960" s="387"/>
      <c r="L960" s="387"/>
      <c r="M960" s="388"/>
      <c r="N960" s="388"/>
      <c r="O960" s="390"/>
      <c r="P960" s="391"/>
      <c r="Q960" s="389"/>
      <c r="R960" s="390"/>
      <c r="S960" s="390"/>
      <c r="T960" s="391"/>
      <c r="U960" s="392"/>
      <c r="V960" s="391"/>
      <c r="W960" s="391"/>
      <c r="X960" s="388"/>
      <c r="Y960" s="391"/>
      <c r="Z960" s="393"/>
      <c r="AA960" s="355" t="str">
        <f t="shared" si="1"/>
        <v/>
      </c>
      <c r="AB960" s="391"/>
      <c r="AC960" s="394" t="str">
        <f t="shared" si="2"/>
        <v/>
      </c>
      <c r="AD960" s="389"/>
      <c r="AE960" s="399"/>
      <c r="AF960" s="395"/>
      <c r="AG960" s="396" t="str">
        <f t="shared" si="3"/>
        <v/>
      </c>
      <c r="AH960" s="396" t="str">
        <f t="shared" si="4"/>
        <v/>
      </c>
      <c r="AI960" s="388"/>
      <c r="AJ960" s="388"/>
      <c r="AK960" s="397"/>
    </row>
    <row r="961">
      <c r="A961" s="398"/>
      <c r="B961" s="386"/>
      <c r="C961" s="387" t="str">
        <f>IF(A961="","",IFERROR(IF(VLOOKUP(A961,'1. Inbound Leads'!A:G,7,FALSE)=0,"",VLOOKUP(A961,'1. Inbound Leads'!A:G,7,FALSE)),""))</f>
        <v/>
      </c>
      <c r="D961" s="387" t="str">
        <f>IF(A961="","",IFERROR(IF(VLOOKUP(A961,'1. Inbound Leads'!A:L,12,FALSE)=0,"",VLOOKUP(A961,'1. Inbound Leads'!A:L,12,FALSE)),""))</f>
        <v/>
      </c>
      <c r="E961" s="388"/>
      <c r="F961" s="389"/>
      <c r="G961" s="387"/>
      <c r="H961" s="387"/>
      <c r="I961" s="387"/>
      <c r="J961" s="387"/>
      <c r="K961" s="387"/>
      <c r="L961" s="387"/>
      <c r="M961" s="388"/>
      <c r="N961" s="388"/>
      <c r="O961" s="390"/>
      <c r="P961" s="391"/>
      <c r="Q961" s="389"/>
      <c r="R961" s="390"/>
      <c r="S961" s="390"/>
      <c r="T961" s="391"/>
      <c r="U961" s="392"/>
      <c r="V961" s="391"/>
      <c r="W961" s="391"/>
      <c r="X961" s="388"/>
      <c r="Y961" s="391"/>
      <c r="Z961" s="393"/>
      <c r="AA961" s="355" t="str">
        <f t="shared" si="1"/>
        <v/>
      </c>
      <c r="AB961" s="391"/>
      <c r="AC961" s="394" t="str">
        <f t="shared" si="2"/>
        <v/>
      </c>
      <c r="AD961" s="389"/>
      <c r="AE961" s="399"/>
      <c r="AF961" s="395"/>
      <c r="AG961" s="396" t="str">
        <f t="shared" si="3"/>
        <v/>
      </c>
      <c r="AH961" s="396" t="str">
        <f t="shared" si="4"/>
        <v/>
      </c>
      <c r="AI961" s="388"/>
      <c r="AJ961" s="388"/>
      <c r="AK961" s="397"/>
    </row>
    <row r="962">
      <c r="A962" s="398"/>
      <c r="B962" s="386"/>
      <c r="C962" s="387" t="str">
        <f>IF(A962="","",IFERROR(IF(VLOOKUP(A962,'1. Inbound Leads'!A:G,7,FALSE)=0,"",VLOOKUP(A962,'1. Inbound Leads'!A:G,7,FALSE)),""))</f>
        <v/>
      </c>
      <c r="D962" s="387" t="str">
        <f>IF(A962="","",IFERROR(IF(VLOOKUP(A962,'1. Inbound Leads'!A:L,12,FALSE)=0,"",VLOOKUP(A962,'1. Inbound Leads'!A:L,12,FALSE)),""))</f>
        <v/>
      </c>
      <c r="E962" s="388"/>
      <c r="F962" s="389"/>
      <c r="G962" s="387"/>
      <c r="H962" s="387"/>
      <c r="I962" s="387"/>
      <c r="J962" s="387"/>
      <c r="K962" s="387"/>
      <c r="L962" s="387"/>
      <c r="M962" s="388"/>
      <c r="N962" s="388"/>
      <c r="O962" s="390"/>
      <c r="P962" s="391"/>
      <c r="Q962" s="389"/>
      <c r="R962" s="390"/>
      <c r="S962" s="390"/>
      <c r="T962" s="391"/>
      <c r="U962" s="392"/>
      <c r="V962" s="391"/>
      <c r="W962" s="391"/>
      <c r="X962" s="388"/>
      <c r="Y962" s="391"/>
      <c r="Z962" s="393"/>
      <c r="AA962" s="355" t="str">
        <f t="shared" si="1"/>
        <v/>
      </c>
      <c r="AB962" s="391"/>
      <c r="AC962" s="394" t="str">
        <f t="shared" si="2"/>
        <v/>
      </c>
      <c r="AD962" s="389"/>
      <c r="AE962" s="399"/>
      <c r="AF962" s="395"/>
      <c r="AG962" s="396" t="str">
        <f t="shared" si="3"/>
        <v/>
      </c>
      <c r="AH962" s="396" t="str">
        <f t="shared" si="4"/>
        <v/>
      </c>
      <c r="AI962" s="388"/>
      <c r="AJ962" s="388"/>
      <c r="AK962" s="397"/>
    </row>
    <row r="963">
      <c r="A963" s="398"/>
      <c r="B963" s="386"/>
      <c r="C963" s="387" t="str">
        <f>IF(A963="","",IFERROR(IF(VLOOKUP(A963,'1. Inbound Leads'!A:G,7,FALSE)=0,"",VLOOKUP(A963,'1. Inbound Leads'!A:G,7,FALSE)),""))</f>
        <v/>
      </c>
      <c r="D963" s="387" t="str">
        <f>IF(A963="","",IFERROR(IF(VLOOKUP(A963,'1. Inbound Leads'!A:L,12,FALSE)=0,"",VLOOKUP(A963,'1. Inbound Leads'!A:L,12,FALSE)),""))</f>
        <v/>
      </c>
      <c r="E963" s="388"/>
      <c r="F963" s="389"/>
      <c r="G963" s="387"/>
      <c r="H963" s="387"/>
      <c r="I963" s="387"/>
      <c r="J963" s="387"/>
      <c r="K963" s="387"/>
      <c r="L963" s="387"/>
      <c r="M963" s="388"/>
      <c r="N963" s="388"/>
      <c r="O963" s="390"/>
      <c r="P963" s="391"/>
      <c r="Q963" s="389"/>
      <c r="R963" s="390"/>
      <c r="S963" s="390"/>
      <c r="T963" s="391"/>
      <c r="U963" s="392"/>
      <c r="V963" s="391"/>
      <c r="W963" s="391"/>
      <c r="X963" s="388"/>
      <c r="Y963" s="391"/>
      <c r="Z963" s="393"/>
      <c r="AA963" s="355" t="str">
        <f t="shared" si="1"/>
        <v/>
      </c>
      <c r="AB963" s="391"/>
      <c r="AC963" s="394" t="str">
        <f t="shared" si="2"/>
        <v/>
      </c>
      <c r="AD963" s="389"/>
      <c r="AE963" s="399"/>
      <c r="AF963" s="395"/>
      <c r="AG963" s="396" t="str">
        <f t="shared" si="3"/>
        <v/>
      </c>
      <c r="AH963" s="396" t="str">
        <f t="shared" si="4"/>
        <v/>
      </c>
      <c r="AI963" s="388"/>
      <c r="AJ963" s="388"/>
      <c r="AK963" s="397"/>
    </row>
    <row r="964">
      <c r="A964" s="398"/>
      <c r="B964" s="386"/>
      <c r="C964" s="387" t="str">
        <f>IF(A964="","",IFERROR(IF(VLOOKUP(A964,'1. Inbound Leads'!A:G,7,FALSE)=0,"",VLOOKUP(A964,'1. Inbound Leads'!A:G,7,FALSE)),""))</f>
        <v/>
      </c>
      <c r="D964" s="387" t="str">
        <f>IF(A964="","",IFERROR(IF(VLOOKUP(A964,'1. Inbound Leads'!A:L,12,FALSE)=0,"",VLOOKUP(A964,'1. Inbound Leads'!A:L,12,FALSE)),""))</f>
        <v/>
      </c>
      <c r="E964" s="388"/>
      <c r="F964" s="389"/>
      <c r="G964" s="387"/>
      <c r="H964" s="387"/>
      <c r="I964" s="387"/>
      <c r="J964" s="387"/>
      <c r="K964" s="387"/>
      <c r="L964" s="387"/>
      <c r="M964" s="388"/>
      <c r="N964" s="388"/>
      <c r="O964" s="390"/>
      <c r="P964" s="391"/>
      <c r="Q964" s="389"/>
      <c r="R964" s="390"/>
      <c r="S964" s="390"/>
      <c r="T964" s="391"/>
      <c r="U964" s="392"/>
      <c r="V964" s="391"/>
      <c r="W964" s="391"/>
      <c r="X964" s="388"/>
      <c r="Y964" s="391"/>
      <c r="Z964" s="393"/>
      <c r="AA964" s="355" t="str">
        <f t="shared" si="1"/>
        <v/>
      </c>
      <c r="AB964" s="391"/>
      <c r="AC964" s="394" t="str">
        <f t="shared" si="2"/>
        <v/>
      </c>
      <c r="AD964" s="389"/>
      <c r="AE964" s="399"/>
      <c r="AF964" s="395"/>
      <c r="AG964" s="396" t="str">
        <f t="shared" si="3"/>
        <v/>
      </c>
      <c r="AH964" s="396" t="str">
        <f t="shared" si="4"/>
        <v/>
      </c>
      <c r="AI964" s="388"/>
      <c r="AJ964" s="388"/>
      <c r="AK964" s="397"/>
    </row>
    <row r="965">
      <c r="A965" s="398"/>
      <c r="B965" s="386"/>
      <c r="C965" s="387" t="str">
        <f>IF(A965="","",IFERROR(IF(VLOOKUP(A965,'1. Inbound Leads'!A:G,7,FALSE)=0,"",VLOOKUP(A965,'1. Inbound Leads'!A:G,7,FALSE)),""))</f>
        <v/>
      </c>
      <c r="D965" s="387" t="str">
        <f>IF(A965="","",IFERROR(IF(VLOOKUP(A965,'1. Inbound Leads'!A:L,12,FALSE)=0,"",VLOOKUP(A965,'1. Inbound Leads'!A:L,12,FALSE)),""))</f>
        <v/>
      </c>
      <c r="E965" s="388"/>
      <c r="F965" s="389"/>
      <c r="G965" s="387"/>
      <c r="H965" s="387"/>
      <c r="I965" s="387"/>
      <c r="J965" s="387"/>
      <c r="K965" s="387"/>
      <c r="L965" s="387"/>
      <c r="M965" s="388"/>
      <c r="N965" s="388"/>
      <c r="O965" s="390"/>
      <c r="P965" s="391"/>
      <c r="Q965" s="389"/>
      <c r="R965" s="390"/>
      <c r="S965" s="390"/>
      <c r="T965" s="391"/>
      <c r="U965" s="392"/>
      <c r="V965" s="391"/>
      <c r="W965" s="391"/>
      <c r="X965" s="388"/>
      <c r="Y965" s="391"/>
      <c r="Z965" s="393"/>
      <c r="AA965" s="355" t="str">
        <f t="shared" si="1"/>
        <v/>
      </c>
      <c r="AB965" s="391"/>
      <c r="AC965" s="394" t="str">
        <f t="shared" si="2"/>
        <v/>
      </c>
      <c r="AD965" s="389"/>
      <c r="AE965" s="399"/>
      <c r="AF965" s="395"/>
      <c r="AG965" s="396" t="str">
        <f t="shared" si="3"/>
        <v/>
      </c>
      <c r="AH965" s="396" t="str">
        <f t="shared" si="4"/>
        <v/>
      </c>
      <c r="AI965" s="388"/>
      <c r="AJ965" s="388"/>
      <c r="AK965" s="397"/>
    </row>
    <row r="966">
      <c r="A966" s="398"/>
      <c r="B966" s="386"/>
      <c r="C966" s="387" t="str">
        <f>IF(A966="","",IFERROR(IF(VLOOKUP(A966,'1. Inbound Leads'!A:G,7,FALSE)=0,"",VLOOKUP(A966,'1. Inbound Leads'!A:G,7,FALSE)),""))</f>
        <v/>
      </c>
      <c r="D966" s="387" t="str">
        <f>IF(A966="","",IFERROR(IF(VLOOKUP(A966,'1. Inbound Leads'!A:L,12,FALSE)=0,"",VLOOKUP(A966,'1. Inbound Leads'!A:L,12,FALSE)),""))</f>
        <v/>
      </c>
      <c r="E966" s="388"/>
      <c r="F966" s="389"/>
      <c r="G966" s="387"/>
      <c r="H966" s="387"/>
      <c r="I966" s="387"/>
      <c r="J966" s="387"/>
      <c r="K966" s="387"/>
      <c r="L966" s="387"/>
      <c r="M966" s="388"/>
      <c r="N966" s="388"/>
      <c r="O966" s="390"/>
      <c r="P966" s="391"/>
      <c r="Q966" s="389"/>
      <c r="R966" s="390"/>
      <c r="S966" s="390"/>
      <c r="T966" s="391"/>
      <c r="U966" s="392"/>
      <c r="V966" s="391"/>
      <c r="W966" s="391"/>
      <c r="X966" s="388"/>
      <c r="Y966" s="391"/>
      <c r="Z966" s="393"/>
      <c r="AA966" s="355" t="str">
        <f t="shared" si="1"/>
        <v/>
      </c>
      <c r="AB966" s="391"/>
      <c r="AC966" s="394" t="str">
        <f t="shared" si="2"/>
        <v/>
      </c>
      <c r="AD966" s="389"/>
      <c r="AE966" s="399"/>
      <c r="AF966" s="395"/>
      <c r="AG966" s="396" t="str">
        <f t="shared" si="3"/>
        <v/>
      </c>
      <c r="AH966" s="396" t="str">
        <f t="shared" si="4"/>
        <v/>
      </c>
      <c r="AI966" s="388"/>
      <c r="AJ966" s="388"/>
      <c r="AK966" s="397"/>
    </row>
    <row r="967">
      <c r="A967" s="398"/>
      <c r="B967" s="386"/>
      <c r="C967" s="387" t="str">
        <f>IF(A967="","",IFERROR(IF(VLOOKUP(A967,'1. Inbound Leads'!A:G,7,FALSE)=0,"",VLOOKUP(A967,'1. Inbound Leads'!A:G,7,FALSE)),""))</f>
        <v/>
      </c>
      <c r="D967" s="387" t="str">
        <f>IF(A967="","",IFERROR(IF(VLOOKUP(A967,'1. Inbound Leads'!A:L,12,FALSE)=0,"",VLOOKUP(A967,'1. Inbound Leads'!A:L,12,FALSE)),""))</f>
        <v/>
      </c>
      <c r="E967" s="388"/>
      <c r="F967" s="389"/>
      <c r="G967" s="387"/>
      <c r="H967" s="387"/>
      <c r="I967" s="387"/>
      <c r="J967" s="387"/>
      <c r="K967" s="387"/>
      <c r="L967" s="387"/>
      <c r="M967" s="388"/>
      <c r="N967" s="388"/>
      <c r="O967" s="390"/>
      <c r="P967" s="391"/>
      <c r="Q967" s="389"/>
      <c r="R967" s="390"/>
      <c r="S967" s="390"/>
      <c r="T967" s="391"/>
      <c r="U967" s="392"/>
      <c r="V967" s="391"/>
      <c r="W967" s="391"/>
      <c r="X967" s="388"/>
      <c r="Y967" s="391"/>
      <c r="Z967" s="393"/>
      <c r="AA967" s="355" t="str">
        <f t="shared" si="1"/>
        <v/>
      </c>
      <c r="AB967" s="391"/>
      <c r="AC967" s="394" t="str">
        <f t="shared" si="2"/>
        <v/>
      </c>
      <c r="AD967" s="389"/>
      <c r="AE967" s="399"/>
      <c r="AF967" s="395"/>
      <c r="AG967" s="396" t="str">
        <f t="shared" si="3"/>
        <v/>
      </c>
      <c r="AH967" s="396" t="str">
        <f t="shared" si="4"/>
        <v/>
      </c>
      <c r="AI967" s="388"/>
      <c r="AJ967" s="388"/>
      <c r="AK967" s="397"/>
    </row>
    <row r="968">
      <c r="A968" s="398"/>
      <c r="B968" s="386"/>
      <c r="C968" s="387" t="str">
        <f>IF(A968="","",IFERROR(IF(VLOOKUP(A968,'1. Inbound Leads'!A:G,7,FALSE)=0,"",VLOOKUP(A968,'1. Inbound Leads'!A:G,7,FALSE)),""))</f>
        <v/>
      </c>
      <c r="D968" s="387" t="str">
        <f>IF(A968="","",IFERROR(IF(VLOOKUP(A968,'1. Inbound Leads'!A:L,12,FALSE)=0,"",VLOOKUP(A968,'1. Inbound Leads'!A:L,12,FALSE)),""))</f>
        <v/>
      </c>
      <c r="E968" s="388"/>
      <c r="F968" s="389"/>
      <c r="G968" s="387"/>
      <c r="H968" s="387"/>
      <c r="I968" s="387"/>
      <c r="J968" s="387"/>
      <c r="K968" s="387"/>
      <c r="L968" s="387"/>
      <c r="M968" s="388"/>
      <c r="N968" s="388"/>
      <c r="O968" s="390"/>
      <c r="P968" s="391"/>
      <c r="Q968" s="389"/>
      <c r="R968" s="390"/>
      <c r="S968" s="390"/>
      <c r="T968" s="391"/>
      <c r="U968" s="392"/>
      <c r="V968" s="391"/>
      <c r="W968" s="391"/>
      <c r="X968" s="388"/>
      <c r="Y968" s="391"/>
      <c r="Z968" s="393"/>
      <c r="AA968" s="355" t="str">
        <f t="shared" si="1"/>
        <v/>
      </c>
      <c r="AB968" s="391"/>
      <c r="AC968" s="394" t="str">
        <f t="shared" si="2"/>
        <v/>
      </c>
      <c r="AD968" s="389"/>
      <c r="AE968" s="399"/>
      <c r="AF968" s="395"/>
      <c r="AG968" s="396" t="str">
        <f t="shared" si="3"/>
        <v/>
      </c>
      <c r="AH968" s="396" t="str">
        <f t="shared" si="4"/>
        <v/>
      </c>
      <c r="AI968" s="388"/>
      <c r="AJ968" s="388"/>
      <c r="AK968" s="397"/>
    </row>
    <row r="969">
      <c r="A969" s="398"/>
      <c r="B969" s="386"/>
      <c r="C969" s="387" t="str">
        <f>IF(A969="","",IFERROR(IF(VLOOKUP(A969,'1. Inbound Leads'!A:G,7,FALSE)=0,"",VLOOKUP(A969,'1. Inbound Leads'!A:G,7,FALSE)),""))</f>
        <v/>
      </c>
      <c r="D969" s="387" t="str">
        <f>IF(A969="","",IFERROR(IF(VLOOKUP(A969,'1. Inbound Leads'!A:L,12,FALSE)=0,"",VLOOKUP(A969,'1. Inbound Leads'!A:L,12,FALSE)),""))</f>
        <v/>
      </c>
      <c r="E969" s="388"/>
      <c r="F969" s="389"/>
      <c r="G969" s="387"/>
      <c r="H969" s="387"/>
      <c r="I969" s="387"/>
      <c r="J969" s="387"/>
      <c r="K969" s="387"/>
      <c r="L969" s="387"/>
      <c r="M969" s="388"/>
      <c r="N969" s="388"/>
      <c r="O969" s="390"/>
      <c r="P969" s="391"/>
      <c r="Q969" s="389"/>
      <c r="R969" s="390"/>
      <c r="S969" s="390"/>
      <c r="T969" s="391"/>
      <c r="U969" s="392"/>
      <c r="V969" s="391"/>
      <c r="W969" s="391"/>
      <c r="X969" s="388"/>
      <c r="Y969" s="391"/>
      <c r="Z969" s="393"/>
      <c r="AA969" s="355" t="str">
        <f t="shared" si="1"/>
        <v/>
      </c>
      <c r="AB969" s="391"/>
      <c r="AC969" s="394" t="str">
        <f t="shared" si="2"/>
        <v/>
      </c>
      <c r="AD969" s="389"/>
      <c r="AE969" s="399"/>
      <c r="AF969" s="395"/>
      <c r="AG969" s="396" t="str">
        <f t="shared" si="3"/>
        <v/>
      </c>
      <c r="AH969" s="396" t="str">
        <f t="shared" si="4"/>
        <v/>
      </c>
      <c r="AI969" s="388"/>
      <c r="AJ969" s="388"/>
      <c r="AK969" s="397"/>
    </row>
    <row r="970">
      <c r="A970" s="398"/>
      <c r="B970" s="386"/>
      <c r="C970" s="387" t="str">
        <f>IF(A970="","",IFERROR(IF(VLOOKUP(A970,'1. Inbound Leads'!A:G,7,FALSE)=0,"",VLOOKUP(A970,'1. Inbound Leads'!A:G,7,FALSE)),""))</f>
        <v/>
      </c>
      <c r="D970" s="387" t="str">
        <f>IF(A970="","",IFERROR(IF(VLOOKUP(A970,'1. Inbound Leads'!A:L,12,FALSE)=0,"",VLOOKUP(A970,'1. Inbound Leads'!A:L,12,FALSE)),""))</f>
        <v/>
      </c>
      <c r="E970" s="388"/>
      <c r="F970" s="389"/>
      <c r="G970" s="387"/>
      <c r="H970" s="387"/>
      <c r="I970" s="387"/>
      <c r="J970" s="387"/>
      <c r="K970" s="387"/>
      <c r="L970" s="387"/>
      <c r="M970" s="388"/>
      <c r="N970" s="388"/>
      <c r="O970" s="390"/>
      <c r="P970" s="391"/>
      <c r="Q970" s="389"/>
      <c r="R970" s="390"/>
      <c r="S970" s="390"/>
      <c r="T970" s="391"/>
      <c r="U970" s="392"/>
      <c r="V970" s="391"/>
      <c r="W970" s="391"/>
      <c r="X970" s="388"/>
      <c r="Y970" s="391"/>
      <c r="Z970" s="393"/>
      <c r="AA970" s="355" t="str">
        <f t="shared" si="1"/>
        <v/>
      </c>
      <c r="AB970" s="391"/>
      <c r="AC970" s="394" t="str">
        <f t="shared" si="2"/>
        <v/>
      </c>
      <c r="AD970" s="389"/>
      <c r="AE970" s="399"/>
      <c r="AF970" s="395"/>
      <c r="AG970" s="396" t="str">
        <f t="shared" si="3"/>
        <v/>
      </c>
      <c r="AH970" s="396" t="str">
        <f t="shared" si="4"/>
        <v/>
      </c>
      <c r="AI970" s="388"/>
      <c r="AJ970" s="388"/>
      <c r="AK970" s="397"/>
    </row>
    <row r="971">
      <c r="A971" s="398"/>
      <c r="B971" s="386"/>
      <c r="C971" s="387" t="str">
        <f>IF(A971="","",IFERROR(IF(VLOOKUP(A971,'1. Inbound Leads'!A:G,7,FALSE)=0,"",VLOOKUP(A971,'1. Inbound Leads'!A:G,7,FALSE)),""))</f>
        <v/>
      </c>
      <c r="D971" s="387" t="str">
        <f>IF(A971="","",IFERROR(IF(VLOOKUP(A971,'1. Inbound Leads'!A:L,12,FALSE)=0,"",VLOOKUP(A971,'1. Inbound Leads'!A:L,12,FALSE)),""))</f>
        <v/>
      </c>
      <c r="E971" s="388"/>
      <c r="F971" s="389"/>
      <c r="G971" s="387"/>
      <c r="H971" s="387"/>
      <c r="I971" s="387"/>
      <c r="J971" s="387"/>
      <c r="K971" s="387"/>
      <c r="L971" s="387"/>
      <c r="M971" s="388"/>
      <c r="N971" s="388"/>
      <c r="O971" s="390"/>
      <c r="P971" s="391"/>
      <c r="Q971" s="389"/>
      <c r="R971" s="390"/>
      <c r="S971" s="390"/>
      <c r="T971" s="391"/>
      <c r="U971" s="392"/>
      <c r="V971" s="391"/>
      <c r="W971" s="391"/>
      <c r="X971" s="388"/>
      <c r="Y971" s="391"/>
      <c r="Z971" s="393"/>
      <c r="AA971" s="355" t="str">
        <f t="shared" si="1"/>
        <v/>
      </c>
      <c r="AB971" s="391"/>
      <c r="AC971" s="394" t="str">
        <f t="shared" si="2"/>
        <v/>
      </c>
      <c r="AD971" s="389"/>
      <c r="AE971" s="399"/>
      <c r="AF971" s="395"/>
      <c r="AG971" s="396" t="str">
        <f t="shared" si="3"/>
        <v/>
      </c>
      <c r="AH971" s="396" t="str">
        <f t="shared" si="4"/>
        <v/>
      </c>
      <c r="AI971" s="388"/>
      <c r="AJ971" s="388"/>
      <c r="AK971" s="397"/>
    </row>
    <row r="972">
      <c r="A972" s="398"/>
      <c r="B972" s="386"/>
      <c r="C972" s="387" t="str">
        <f>IF(A972="","",IFERROR(IF(VLOOKUP(A972,'1. Inbound Leads'!A:G,7,FALSE)=0,"",VLOOKUP(A972,'1. Inbound Leads'!A:G,7,FALSE)),""))</f>
        <v/>
      </c>
      <c r="D972" s="387" t="str">
        <f>IF(A972="","",IFERROR(IF(VLOOKUP(A972,'1. Inbound Leads'!A:L,12,FALSE)=0,"",VLOOKUP(A972,'1. Inbound Leads'!A:L,12,FALSE)),""))</f>
        <v/>
      </c>
      <c r="E972" s="388"/>
      <c r="F972" s="389"/>
      <c r="G972" s="387"/>
      <c r="H972" s="387"/>
      <c r="I972" s="387"/>
      <c r="J972" s="387"/>
      <c r="K972" s="387"/>
      <c r="L972" s="387"/>
      <c r="M972" s="388"/>
      <c r="N972" s="388"/>
      <c r="O972" s="390"/>
      <c r="P972" s="391"/>
      <c r="Q972" s="389"/>
      <c r="R972" s="390"/>
      <c r="S972" s="390"/>
      <c r="T972" s="391"/>
      <c r="U972" s="392"/>
      <c r="V972" s="391"/>
      <c r="W972" s="391"/>
      <c r="X972" s="388"/>
      <c r="Y972" s="391"/>
      <c r="Z972" s="393"/>
      <c r="AA972" s="355" t="str">
        <f t="shared" si="1"/>
        <v/>
      </c>
      <c r="AB972" s="391"/>
      <c r="AC972" s="394" t="str">
        <f t="shared" si="2"/>
        <v/>
      </c>
      <c r="AD972" s="389"/>
      <c r="AE972" s="399"/>
      <c r="AF972" s="395"/>
      <c r="AG972" s="396" t="str">
        <f t="shared" si="3"/>
        <v/>
      </c>
      <c r="AH972" s="396" t="str">
        <f t="shared" si="4"/>
        <v/>
      </c>
      <c r="AI972" s="388"/>
      <c r="AJ972" s="388"/>
      <c r="AK972" s="397"/>
    </row>
    <row r="973">
      <c r="A973" s="398"/>
      <c r="B973" s="386"/>
      <c r="C973" s="387" t="str">
        <f>IF(A973="","",IFERROR(IF(VLOOKUP(A973,'1. Inbound Leads'!A:G,7,FALSE)=0,"",VLOOKUP(A973,'1. Inbound Leads'!A:G,7,FALSE)),""))</f>
        <v/>
      </c>
      <c r="D973" s="387" t="str">
        <f>IF(A973="","",IFERROR(IF(VLOOKUP(A973,'1. Inbound Leads'!A:L,12,FALSE)=0,"",VLOOKUP(A973,'1. Inbound Leads'!A:L,12,FALSE)),""))</f>
        <v/>
      </c>
      <c r="E973" s="388"/>
      <c r="F973" s="389"/>
      <c r="G973" s="387"/>
      <c r="H973" s="387"/>
      <c r="I973" s="387"/>
      <c r="J973" s="387"/>
      <c r="K973" s="387"/>
      <c r="L973" s="387"/>
      <c r="M973" s="388"/>
      <c r="N973" s="388"/>
      <c r="O973" s="390"/>
      <c r="P973" s="391"/>
      <c r="Q973" s="389"/>
      <c r="R973" s="390"/>
      <c r="S973" s="390"/>
      <c r="T973" s="391"/>
      <c r="U973" s="392"/>
      <c r="V973" s="391"/>
      <c r="W973" s="391"/>
      <c r="X973" s="388"/>
      <c r="Y973" s="391"/>
      <c r="Z973" s="393"/>
      <c r="AA973" s="355" t="str">
        <f t="shared" si="1"/>
        <v/>
      </c>
      <c r="AB973" s="391"/>
      <c r="AC973" s="394" t="str">
        <f t="shared" si="2"/>
        <v/>
      </c>
      <c r="AD973" s="389"/>
      <c r="AE973" s="399"/>
      <c r="AF973" s="395"/>
      <c r="AG973" s="396" t="str">
        <f t="shared" si="3"/>
        <v/>
      </c>
      <c r="AH973" s="396" t="str">
        <f t="shared" si="4"/>
        <v/>
      </c>
      <c r="AI973" s="388"/>
      <c r="AJ973" s="388"/>
      <c r="AK973" s="397"/>
    </row>
    <row r="974">
      <c r="A974" s="398"/>
      <c r="B974" s="386"/>
      <c r="C974" s="387" t="str">
        <f>IF(A974="","",IFERROR(IF(VLOOKUP(A974,'1. Inbound Leads'!A:G,7,FALSE)=0,"",VLOOKUP(A974,'1. Inbound Leads'!A:G,7,FALSE)),""))</f>
        <v/>
      </c>
      <c r="D974" s="387" t="str">
        <f>IF(A974="","",IFERROR(IF(VLOOKUP(A974,'1. Inbound Leads'!A:L,12,FALSE)=0,"",VLOOKUP(A974,'1. Inbound Leads'!A:L,12,FALSE)),""))</f>
        <v/>
      </c>
      <c r="E974" s="388"/>
      <c r="F974" s="389"/>
      <c r="G974" s="387"/>
      <c r="H974" s="387"/>
      <c r="I974" s="387"/>
      <c r="J974" s="387"/>
      <c r="K974" s="387"/>
      <c r="L974" s="387"/>
      <c r="M974" s="388"/>
      <c r="N974" s="388"/>
      <c r="O974" s="390"/>
      <c r="P974" s="391"/>
      <c r="Q974" s="389"/>
      <c r="R974" s="390"/>
      <c r="S974" s="390"/>
      <c r="T974" s="391"/>
      <c r="U974" s="392"/>
      <c r="V974" s="391"/>
      <c r="W974" s="391"/>
      <c r="X974" s="388"/>
      <c r="Y974" s="391"/>
      <c r="Z974" s="393"/>
      <c r="AA974" s="355" t="str">
        <f t="shared" si="1"/>
        <v/>
      </c>
      <c r="AB974" s="391"/>
      <c r="AC974" s="394" t="str">
        <f t="shared" si="2"/>
        <v/>
      </c>
      <c r="AD974" s="389"/>
      <c r="AE974" s="399"/>
      <c r="AF974" s="395"/>
      <c r="AG974" s="396" t="str">
        <f t="shared" si="3"/>
        <v/>
      </c>
      <c r="AH974" s="396" t="str">
        <f t="shared" si="4"/>
        <v/>
      </c>
      <c r="AI974" s="388"/>
      <c r="AJ974" s="388"/>
      <c r="AK974" s="397"/>
    </row>
    <row r="975">
      <c r="A975" s="398"/>
      <c r="B975" s="386"/>
      <c r="C975" s="387" t="str">
        <f>IF(A975="","",IFERROR(IF(VLOOKUP(A975,'1. Inbound Leads'!A:G,7,FALSE)=0,"",VLOOKUP(A975,'1. Inbound Leads'!A:G,7,FALSE)),""))</f>
        <v/>
      </c>
      <c r="D975" s="387" t="str">
        <f>IF(A975="","",IFERROR(IF(VLOOKUP(A975,'1. Inbound Leads'!A:L,12,FALSE)=0,"",VLOOKUP(A975,'1. Inbound Leads'!A:L,12,FALSE)),""))</f>
        <v/>
      </c>
      <c r="E975" s="388"/>
      <c r="F975" s="389"/>
      <c r="G975" s="387"/>
      <c r="H975" s="387"/>
      <c r="I975" s="387"/>
      <c r="J975" s="387"/>
      <c r="K975" s="387"/>
      <c r="L975" s="387"/>
      <c r="M975" s="388"/>
      <c r="N975" s="388"/>
      <c r="O975" s="390"/>
      <c r="P975" s="391"/>
      <c r="Q975" s="389"/>
      <c r="R975" s="390"/>
      <c r="S975" s="390"/>
      <c r="T975" s="391"/>
      <c r="U975" s="392"/>
      <c r="V975" s="391"/>
      <c r="W975" s="391"/>
      <c r="X975" s="388"/>
      <c r="Y975" s="391"/>
      <c r="Z975" s="393"/>
      <c r="AA975" s="355" t="str">
        <f t="shared" si="1"/>
        <v/>
      </c>
      <c r="AB975" s="391"/>
      <c r="AC975" s="394" t="str">
        <f t="shared" si="2"/>
        <v/>
      </c>
      <c r="AD975" s="389"/>
      <c r="AE975" s="399"/>
      <c r="AF975" s="395"/>
      <c r="AG975" s="396" t="str">
        <f t="shared" si="3"/>
        <v/>
      </c>
      <c r="AH975" s="396" t="str">
        <f t="shared" si="4"/>
        <v/>
      </c>
      <c r="AI975" s="388"/>
      <c r="AJ975" s="388"/>
      <c r="AK975" s="397"/>
    </row>
    <row r="976">
      <c r="A976" s="398"/>
      <c r="B976" s="386"/>
      <c r="C976" s="387" t="str">
        <f>IF(A976="","",IFERROR(IF(VLOOKUP(A976,'1. Inbound Leads'!A:G,7,FALSE)=0,"",VLOOKUP(A976,'1. Inbound Leads'!A:G,7,FALSE)),""))</f>
        <v/>
      </c>
      <c r="D976" s="387" t="str">
        <f>IF(A976="","",IFERROR(IF(VLOOKUP(A976,'1. Inbound Leads'!A:L,12,FALSE)=0,"",VLOOKUP(A976,'1. Inbound Leads'!A:L,12,FALSE)),""))</f>
        <v/>
      </c>
      <c r="E976" s="388"/>
      <c r="F976" s="389"/>
      <c r="G976" s="387"/>
      <c r="H976" s="387"/>
      <c r="I976" s="387"/>
      <c r="J976" s="387"/>
      <c r="K976" s="387"/>
      <c r="L976" s="387"/>
      <c r="M976" s="388"/>
      <c r="N976" s="388"/>
      <c r="O976" s="390"/>
      <c r="P976" s="391"/>
      <c r="Q976" s="389"/>
      <c r="R976" s="390"/>
      <c r="S976" s="390"/>
      <c r="T976" s="391"/>
      <c r="U976" s="392"/>
      <c r="V976" s="391"/>
      <c r="W976" s="391"/>
      <c r="X976" s="388"/>
      <c r="Y976" s="391"/>
      <c r="Z976" s="393"/>
      <c r="AA976" s="355" t="str">
        <f t="shared" si="1"/>
        <v/>
      </c>
      <c r="AB976" s="391"/>
      <c r="AC976" s="394" t="str">
        <f t="shared" si="2"/>
        <v/>
      </c>
      <c r="AD976" s="389"/>
      <c r="AE976" s="399"/>
      <c r="AF976" s="395"/>
      <c r="AG976" s="396" t="str">
        <f t="shared" si="3"/>
        <v/>
      </c>
      <c r="AH976" s="396" t="str">
        <f t="shared" si="4"/>
        <v/>
      </c>
      <c r="AI976" s="388"/>
      <c r="AJ976" s="388"/>
      <c r="AK976" s="397"/>
    </row>
    <row r="977">
      <c r="A977" s="398"/>
      <c r="B977" s="386"/>
      <c r="C977" s="387" t="str">
        <f>IF(A977="","",IFERROR(IF(VLOOKUP(A977,'1. Inbound Leads'!A:G,7,FALSE)=0,"",VLOOKUP(A977,'1. Inbound Leads'!A:G,7,FALSE)),""))</f>
        <v/>
      </c>
      <c r="D977" s="387" t="str">
        <f>IF(A977="","",IFERROR(IF(VLOOKUP(A977,'1. Inbound Leads'!A:L,12,FALSE)=0,"",VLOOKUP(A977,'1. Inbound Leads'!A:L,12,FALSE)),""))</f>
        <v/>
      </c>
      <c r="E977" s="388"/>
      <c r="F977" s="389"/>
      <c r="G977" s="387"/>
      <c r="H977" s="387"/>
      <c r="I977" s="387"/>
      <c r="J977" s="387"/>
      <c r="K977" s="387"/>
      <c r="L977" s="387"/>
      <c r="M977" s="388"/>
      <c r="N977" s="388"/>
      <c r="O977" s="390"/>
      <c r="P977" s="391"/>
      <c r="Q977" s="389"/>
      <c r="R977" s="390"/>
      <c r="S977" s="390"/>
      <c r="T977" s="391"/>
      <c r="U977" s="392"/>
      <c r="V977" s="391"/>
      <c r="W977" s="391"/>
      <c r="X977" s="388"/>
      <c r="Y977" s="391"/>
      <c r="Z977" s="393"/>
      <c r="AA977" s="355" t="str">
        <f t="shared" si="1"/>
        <v/>
      </c>
      <c r="AB977" s="391"/>
      <c r="AC977" s="394" t="str">
        <f t="shared" si="2"/>
        <v/>
      </c>
      <c r="AD977" s="389"/>
      <c r="AE977" s="399"/>
      <c r="AF977" s="395"/>
      <c r="AG977" s="396" t="str">
        <f t="shared" si="3"/>
        <v/>
      </c>
      <c r="AH977" s="396" t="str">
        <f t="shared" si="4"/>
        <v/>
      </c>
      <c r="AI977" s="388"/>
      <c r="AJ977" s="388"/>
      <c r="AK977" s="397"/>
    </row>
    <row r="978">
      <c r="A978" s="398"/>
      <c r="B978" s="386"/>
      <c r="C978" s="387" t="str">
        <f>IF(A978="","",IFERROR(IF(VLOOKUP(A978,'1. Inbound Leads'!A:G,7,FALSE)=0,"",VLOOKUP(A978,'1. Inbound Leads'!A:G,7,FALSE)),""))</f>
        <v/>
      </c>
      <c r="D978" s="387" t="str">
        <f>IF(A978="","",IFERROR(IF(VLOOKUP(A978,'1. Inbound Leads'!A:L,12,FALSE)=0,"",VLOOKUP(A978,'1. Inbound Leads'!A:L,12,FALSE)),""))</f>
        <v/>
      </c>
      <c r="E978" s="388"/>
      <c r="F978" s="389"/>
      <c r="G978" s="387"/>
      <c r="H978" s="387"/>
      <c r="I978" s="387"/>
      <c r="J978" s="387"/>
      <c r="K978" s="387"/>
      <c r="L978" s="387"/>
      <c r="M978" s="388"/>
      <c r="N978" s="388"/>
      <c r="O978" s="390"/>
      <c r="P978" s="391"/>
      <c r="Q978" s="389"/>
      <c r="R978" s="390"/>
      <c r="S978" s="390"/>
      <c r="T978" s="391"/>
      <c r="U978" s="392"/>
      <c r="V978" s="391"/>
      <c r="W978" s="391"/>
      <c r="X978" s="388"/>
      <c r="Y978" s="391"/>
      <c r="Z978" s="393"/>
      <c r="AA978" s="355" t="str">
        <f t="shared" si="1"/>
        <v/>
      </c>
      <c r="AB978" s="391"/>
      <c r="AC978" s="394" t="str">
        <f t="shared" si="2"/>
        <v/>
      </c>
      <c r="AD978" s="389"/>
      <c r="AE978" s="399"/>
      <c r="AF978" s="395"/>
      <c r="AG978" s="396" t="str">
        <f t="shared" si="3"/>
        <v/>
      </c>
      <c r="AH978" s="396" t="str">
        <f t="shared" si="4"/>
        <v/>
      </c>
      <c r="AI978" s="388"/>
      <c r="AJ978" s="388"/>
      <c r="AK978" s="397"/>
    </row>
    <row r="979">
      <c r="A979" s="398"/>
      <c r="B979" s="386"/>
      <c r="C979" s="387" t="str">
        <f>IF(A979="","",IFERROR(IF(VLOOKUP(A979,'1. Inbound Leads'!A:G,7,FALSE)=0,"",VLOOKUP(A979,'1. Inbound Leads'!A:G,7,FALSE)),""))</f>
        <v/>
      </c>
      <c r="D979" s="387" t="str">
        <f>IF(A979="","",IFERROR(IF(VLOOKUP(A979,'1. Inbound Leads'!A:L,12,FALSE)=0,"",VLOOKUP(A979,'1. Inbound Leads'!A:L,12,FALSE)),""))</f>
        <v/>
      </c>
      <c r="E979" s="388"/>
      <c r="F979" s="389"/>
      <c r="G979" s="387"/>
      <c r="H979" s="387"/>
      <c r="I979" s="387"/>
      <c r="J979" s="387"/>
      <c r="K979" s="387"/>
      <c r="L979" s="387"/>
      <c r="M979" s="388"/>
      <c r="N979" s="388"/>
      <c r="O979" s="390"/>
      <c r="P979" s="391"/>
      <c r="Q979" s="389"/>
      <c r="R979" s="390"/>
      <c r="S979" s="390"/>
      <c r="T979" s="391"/>
      <c r="U979" s="392"/>
      <c r="V979" s="391"/>
      <c r="W979" s="391"/>
      <c r="X979" s="388"/>
      <c r="Y979" s="391"/>
      <c r="Z979" s="393"/>
      <c r="AA979" s="355" t="str">
        <f t="shared" si="1"/>
        <v/>
      </c>
      <c r="AB979" s="391"/>
      <c r="AC979" s="394" t="str">
        <f t="shared" si="2"/>
        <v/>
      </c>
      <c r="AD979" s="389"/>
      <c r="AE979" s="399"/>
      <c r="AF979" s="395"/>
      <c r="AG979" s="396" t="str">
        <f t="shared" si="3"/>
        <v/>
      </c>
      <c r="AH979" s="396" t="str">
        <f t="shared" si="4"/>
        <v/>
      </c>
      <c r="AI979" s="388"/>
      <c r="AJ979" s="388"/>
      <c r="AK979" s="397"/>
    </row>
    <row r="980">
      <c r="A980" s="398"/>
      <c r="B980" s="386"/>
      <c r="C980" s="387" t="str">
        <f>IF(A980="","",IFERROR(IF(VLOOKUP(A980,'1. Inbound Leads'!A:G,7,FALSE)=0,"",VLOOKUP(A980,'1. Inbound Leads'!A:G,7,FALSE)),""))</f>
        <v/>
      </c>
      <c r="D980" s="387" t="str">
        <f>IF(A980="","",IFERROR(IF(VLOOKUP(A980,'1. Inbound Leads'!A:L,12,FALSE)=0,"",VLOOKUP(A980,'1. Inbound Leads'!A:L,12,FALSE)),""))</f>
        <v/>
      </c>
      <c r="E980" s="388"/>
      <c r="F980" s="389"/>
      <c r="G980" s="387"/>
      <c r="H980" s="387"/>
      <c r="I980" s="387"/>
      <c r="J980" s="387"/>
      <c r="K980" s="387"/>
      <c r="L980" s="387"/>
      <c r="M980" s="388"/>
      <c r="N980" s="388"/>
      <c r="O980" s="390"/>
      <c r="P980" s="391"/>
      <c r="Q980" s="389"/>
      <c r="R980" s="390"/>
      <c r="S980" s="390"/>
      <c r="T980" s="391"/>
      <c r="U980" s="392"/>
      <c r="V980" s="391"/>
      <c r="W980" s="391"/>
      <c r="X980" s="388"/>
      <c r="Y980" s="391"/>
      <c r="Z980" s="393"/>
      <c r="AA980" s="355" t="str">
        <f t="shared" si="1"/>
        <v/>
      </c>
      <c r="AB980" s="391"/>
      <c r="AC980" s="394" t="str">
        <f t="shared" si="2"/>
        <v/>
      </c>
      <c r="AD980" s="389"/>
      <c r="AE980" s="399"/>
      <c r="AF980" s="395"/>
      <c r="AG980" s="396" t="str">
        <f t="shared" si="3"/>
        <v/>
      </c>
      <c r="AH980" s="396" t="str">
        <f t="shared" si="4"/>
        <v/>
      </c>
      <c r="AI980" s="388"/>
      <c r="AJ980" s="388"/>
      <c r="AK980" s="397"/>
    </row>
    <row r="981">
      <c r="A981" s="398"/>
      <c r="B981" s="386"/>
      <c r="C981" s="387" t="str">
        <f>IF(A981="","",IFERROR(IF(VLOOKUP(A981,'1. Inbound Leads'!A:G,7,FALSE)=0,"",VLOOKUP(A981,'1. Inbound Leads'!A:G,7,FALSE)),""))</f>
        <v/>
      </c>
      <c r="D981" s="387" t="str">
        <f>IF(A981="","",IFERROR(IF(VLOOKUP(A981,'1. Inbound Leads'!A:L,12,FALSE)=0,"",VLOOKUP(A981,'1. Inbound Leads'!A:L,12,FALSE)),""))</f>
        <v/>
      </c>
      <c r="E981" s="388"/>
      <c r="F981" s="389"/>
      <c r="G981" s="387"/>
      <c r="H981" s="387"/>
      <c r="I981" s="387"/>
      <c r="J981" s="387"/>
      <c r="K981" s="387"/>
      <c r="L981" s="387"/>
      <c r="M981" s="388"/>
      <c r="N981" s="388"/>
      <c r="O981" s="390"/>
      <c r="P981" s="391"/>
      <c r="Q981" s="389"/>
      <c r="R981" s="390"/>
      <c r="S981" s="390"/>
      <c r="T981" s="391"/>
      <c r="U981" s="392"/>
      <c r="V981" s="391"/>
      <c r="W981" s="391"/>
      <c r="X981" s="388"/>
      <c r="Y981" s="391"/>
      <c r="Z981" s="393"/>
      <c r="AA981" s="355" t="str">
        <f t="shared" si="1"/>
        <v/>
      </c>
      <c r="AB981" s="391"/>
      <c r="AC981" s="394" t="str">
        <f t="shared" si="2"/>
        <v/>
      </c>
      <c r="AD981" s="389"/>
      <c r="AE981" s="399"/>
      <c r="AF981" s="395"/>
      <c r="AG981" s="396" t="str">
        <f t="shared" si="3"/>
        <v/>
      </c>
      <c r="AH981" s="396" t="str">
        <f t="shared" si="4"/>
        <v/>
      </c>
      <c r="AI981" s="388"/>
      <c r="AJ981" s="388"/>
      <c r="AK981" s="397"/>
    </row>
    <row r="982">
      <c r="A982" s="398"/>
      <c r="B982" s="386"/>
      <c r="C982" s="387" t="str">
        <f>IF(A982="","",IFERROR(IF(VLOOKUP(A982,'1. Inbound Leads'!A:G,7,FALSE)=0,"",VLOOKUP(A982,'1. Inbound Leads'!A:G,7,FALSE)),""))</f>
        <v/>
      </c>
      <c r="D982" s="387" t="str">
        <f>IF(A982="","",IFERROR(IF(VLOOKUP(A982,'1. Inbound Leads'!A:L,12,FALSE)=0,"",VLOOKUP(A982,'1. Inbound Leads'!A:L,12,FALSE)),""))</f>
        <v/>
      </c>
      <c r="E982" s="388"/>
      <c r="F982" s="389"/>
      <c r="G982" s="387"/>
      <c r="H982" s="387"/>
      <c r="I982" s="387"/>
      <c r="J982" s="387"/>
      <c r="K982" s="387"/>
      <c r="L982" s="387"/>
      <c r="M982" s="388"/>
      <c r="N982" s="388"/>
      <c r="O982" s="390"/>
      <c r="P982" s="391"/>
      <c r="Q982" s="389"/>
      <c r="R982" s="390"/>
      <c r="S982" s="390"/>
      <c r="T982" s="391"/>
      <c r="U982" s="392"/>
      <c r="V982" s="391"/>
      <c r="W982" s="391"/>
      <c r="X982" s="388"/>
      <c r="Y982" s="391"/>
      <c r="Z982" s="393"/>
      <c r="AA982" s="355" t="str">
        <f t="shared" si="1"/>
        <v/>
      </c>
      <c r="AB982" s="391"/>
      <c r="AC982" s="394" t="str">
        <f t="shared" si="2"/>
        <v/>
      </c>
      <c r="AD982" s="389"/>
      <c r="AE982" s="399"/>
      <c r="AF982" s="395"/>
      <c r="AG982" s="396" t="str">
        <f t="shared" si="3"/>
        <v/>
      </c>
      <c r="AH982" s="396" t="str">
        <f t="shared" si="4"/>
        <v/>
      </c>
      <c r="AI982" s="388"/>
      <c r="AJ982" s="388"/>
      <c r="AK982" s="397"/>
    </row>
    <row r="983">
      <c r="A983" s="398"/>
      <c r="B983" s="386"/>
      <c r="C983" s="387" t="str">
        <f>IF(A983="","",IFERROR(IF(VLOOKUP(A983,'1. Inbound Leads'!A:G,7,FALSE)=0,"",VLOOKUP(A983,'1. Inbound Leads'!A:G,7,FALSE)),""))</f>
        <v/>
      </c>
      <c r="D983" s="387" t="str">
        <f>IF(A983="","",IFERROR(IF(VLOOKUP(A983,'1. Inbound Leads'!A:L,12,FALSE)=0,"",VLOOKUP(A983,'1. Inbound Leads'!A:L,12,FALSE)),""))</f>
        <v/>
      </c>
      <c r="E983" s="388"/>
      <c r="F983" s="389"/>
      <c r="G983" s="387"/>
      <c r="H983" s="387"/>
      <c r="I983" s="387"/>
      <c r="J983" s="387"/>
      <c r="K983" s="387"/>
      <c r="L983" s="387"/>
      <c r="M983" s="388"/>
      <c r="N983" s="388"/>
      <c r="O983" s="390"/>
      <c r="P983" s="391"/>
      <c r="Q983" s="389"/>
      <c r="R983" s="390"/>
      <c r="S983" s="390"/>
      <c r="T983" s="391"/>
      <c r="U983" s="392"/>
      <c r="V983" s="391"/>
      <c r="W983" s="391"/>
      <c r="X983" s="388"/>
      <c r="Y983" s="391"/>
      <c r="Z983" s="393"/>
      <c r="AA983" s="355" t="str">
        <f t="shared" si="1"/>
        <v/>
      </c>
      <c r="AB983" s="391"/>
      <c r="AC983" s="394" t="str">
        <f t="shared" si="2"/>
        <v/>
      </c>
      <c r="AD983" s="389"/>
      <c r="AE983" s="399"/>
      <c r="AF983" s="395"/>
      <c r="AG983" s="396" t="str">
        <f t="shared" si="3"/>
        <v/>
      </c>
      <c r="AH983" s="396" t="str">
        <f t="shared" si="4"/>
        <v/>
      </c>
      <c r="AI983" s="388"/>
      <c r="AJ983" s="388"/>
      <c r="AK983" s="397"/>
    </row>
    <row r="984">
      <c r="A984" s="398"/>
      <c r="B984" s="386"/>
      <c r="C984" s="387" t="str">
        <f>IF(A984="","",IFERROR(IF(VLOOKUP(A984,'1. Inbound Leads'!A:G,7,FALSE)=0,"",VLOOKUP(A984,'1. Inbound Leads'!A:G,7,FALSE)),""))</f>
        <v/>
      </c>
      <c r="D984" s="387" t="str">
        <f>IF(A984="","",IFERROR(IF(VLOOKUP(A984,'1. Inbound Leads'!A:L,12,FALSE)=0,"",VLOOKUP(A984,'1. Inbound Leads'!A:L,12,FALSE)),""))</f>
        <v/>
      </c>
      <c r="E984" s="388"/>
      <c r="F984" s="389"/>
      <c r="G984" s="387"/>
      <c r="H984" s="387"/>
      <c r="I984" s="387"/>
      <c r="J984" s="387"/>
      <c r="K984" s="387"/>
      <c r="L984" s="387"/>
      <c r="M984" s="388"/>
      <c r="N984" s="388"/>
      <c r="O984" s="390"/>
      <c r="P984" s="391"/>
      <c r="Q984" s="389"/>
      <c r="R984" s="390"/>
      <c r="S984" s="390"/>
      <c r="T984" s="391"/>
      <c r="U984" s="392"/>
      <c r="V984" s="391"/>
      <c r="W984" s="391"/>
      <c r="X984" s="388"/>
      <c r="Y984" s="391"/>
      <c r="Z984" s="393"/>
      <c r="AA984" s="355" t="str">
        <f t="shared" si="1"/>
        <v/>
      </c>
      <c r="AB984" s="391"/>
      <c r="AC984" s="394" t="str">
        <f t="shared" si="2"/>
        <v/>
      </c>
      <c r="AD984" s="389"/>
      <c r="AE984" s="399"/>
      <c r="AF984" s="395"/>
      <c r="AG984" s="396" t="str">
        <f t="shared" si="3"/>
        <v/>
      </c>
      <c r="AH984" s="396" t="str">
        <f t="shared" si="4"/>
        <v/>
      </c>
      <c r="AI984" s="388"/>
      <c r="AJ984" s="388"/>
      <c r="AK984" s="397"/>
    </row>
    <row r="985">
      <c r="A985" s="398"/>
      <c r="B985" s="386"/>
      <c r="C985" s="387" t="str">
        <f>IF(A985="","",IFERROR(IF(VLOOKUP(A985,'1. Inbound Leads'!A:G,7,FALSE)=0,"",VLOOKUP(A985,'1. Inbound Leads'!A:G,7,FALSE)),""))</f>
        <v/>
      </c>
      <c r="D985" s="387" t="str">
        <f>IF(A985="","",IFERROR(IF(VLOOKUP(A985,'1. Inbound Leads'!A:L,12,FALSE)=0,"",VLOOKUP(A985,'1. Inbound Leads'!A:L,12,FALSE)),""))</f>
        <v/>
      </c>
      <c r="E985" s="388"/>
      <c r="F985" s="389"/>
      <c r="G985" s="387"/>
      <c r="H985" s="387"/>
      <c r="I985" s="387"/>
      <c r="J985" s="387"/>
      <c r="K985" s="387"/>
      <c r="L985" s="387"/>
      <c r="M985" s="388"/>
      <c r="N985" s="388"/>
      <c r="O985" s="390"/>
      <c r="P985" s="391"/>
      <c r="Q985" s="389"/>
      <c r="R985" s="390"/>
      <c r="S985" s="390"/>
      <c r="T985" s="391"/>
      <c r="U985" s="392"/>
      <c r="V985" s="391"/>
      <c r="W985" s="391"/>
      <c r="X985" s="388"/>
      <c r="Y985" s="391"/>
      <c r="Z985" s="393"/>
      <c r="AA985" s="355" t="str">
        <f t="shared" si="1"/>
        <v/>
      </c>
      <c r="AB985" s="391"/>
      <c r="AC985" s="394" t="str">
        <f t="shared" si="2"/>
        <v/>
      </c>
      <c r="AD985" s="389"/>
      <c r="AE985" s="399"/>
      <c r="AF985" s="395"/>
      <c r="AG985" s="396" t="str">
        <f t="shared" si="3"/>
        <v/>
      </c>
      <c r="AH985" s="396" t="str">
        <f t="shared" si="4"/>
        <v/>
      </c>
      <c r="AI985" s="388"/>
      <c r="AJ985" s="388"/>
      <c r="AK985" s="397"/>
    </row>
    <row r="986">
      <c r="A986" s="398"/>
      <c r="B986" s="386"/>
      <c r="C986" s="387" t="str">
        <f>IF(A986="","",IFERROR(IF(VLOOKUP(A986,'1. Inbound Leads'!A:G,7,FALSE)=0,"",VLOOKUP(A986,'1. Inbound Leads'!A:G,7,FALSE)),""))</f>
        <v/>
      </c>
      <c r="D986" s="387" t="str">
        <f>IF(A986="","",IFERROR(IF(VLOOKUP(A986,'1. Inbound Leads'!A:L,12,FALSE)=0,"",VLOOKUP(A986,'1. Inbound Leads'!A:L,12,FALSE)),""))</f>
        <v/>
      </c>
      <c r="E986" s="388"/>
      <c r="F986" s="389"/>
      <c r="G986" s="387"/>
      <c r="H986" s="387"/>
      <c r="I986" s="387"/>
      <c r="J986" s="387"/>
      <c r="K986" s="387"/>
      <c r="L986" s="387"/>
      <c r="M986" s="388"/>
      <c r="N986" s="388"/>
      <c r="O986" s="390"/>
      <c r="P986" s="391"/>
      <c r="Q986" s="389"/>
      <c r="R986" s="390"/>
      <c r="S986" s="390"/>
      <c r="T986" s="391"/>
      <c r="U986" s="392"/>
      <c r="V986" s="391"/>
      <c r="W986" s="391"/>
      <c r="X986" s="388"/>
      <c r="Y986" s="391"/>
      <c r="Z986" s="393"/>
      <c r="AA986" s="355" t="str">
        <f t="shared" si="1"/>
        <v/>
      </c>
      <c r="AB986" s="391"/>
      <c r="AC986" s="394" t="str">
        <f t="shared" si="2"/>
        <v/>
      </c>
      <c r="AD986" s="389"/>
      <c r="AE986" s="399"/>
      <c r="AF986" s="395"/>
      <c r="AG986" s="396" t="str">
        <f t="shared" si="3"/>
        <v/>
      </c>
      <c r="AH986" s="396" t="str">
        <f t="shared" si="4"/>
        <v/>
      </c>
      <c r="AI986" s="388"/>
      <c r="AJ986" s="388"/>
      <c r="AK986" s="397"/>
    </row>
    <row r="987">
      <c r="A987" s="398"/>
      <c r="B987" s="386"/>
      <c r="C987" s="387" t="str">
        <f>IF(A987="","",IFERROR(IF(VLOOKUP(A987,'1. Inbound Leads'!A:G,7,FALSE)=0,"",VLOOKUP(A987,'1. Inbound Leads'!A:G,7,FALSE)),""))</f>
        <v/>
      </c>
      <c r="D987" s="387" t="str">
        <f>IF(A987="","",IFERROR(IF(VLOOKUP(A987,'1. Inbound Leads'!A:L,12,FALSE)=0,"",VLOOKUP(A987,'1. Inbound Leads'!A:L,12,FALSE)),""))</f>
        <v/>
      </c>
      <c r="E987" s="388"/>
      <c r="F987" s="389"/>
      <c r="G987" s="387"/>
      <c r="H987" s="387"/>
      <c r="I987" s="387"/>
      <c r="J987" s="387"/>
      <c r="K987" s="387"/>
      <c r="L987" s="387"/>
      <c r="M987" s="388"/>
      <c r="N987" s="388"/>
      <c r="O987" s="390"/>
      <c r="P987" s="391"/>
      <c r="Q987" s="389"/>
      <c r="R987" s="390"/>
      <c r="S987" s="390"/>
      <c r="T987" s="391"/>
      <c r="U987" s="392"/>
      <c r="V987" s="391"/>
      <c r="W987" s="391"/>
      <c r="X987" s="388"/>
      <c r="Y987" s="391"/>
      <c r="Z987" s="393"/>
      <c r="AA987" s="355" t="str">
        <f t="shared" si="1"/>
        <v/>
      </c>
      <c r="AB987" s="391"/>
      <c r="AC987" s="394" t="str">
        <f t="shared" si="2"/>
        <v/>
      </c>
      <c r="AD987" s="389"/>
      <c r="AE987" s="399"/>
      <c r="AF987" s="395"/>
      <c r="AG987" s="396" t="str">
        <f t="shared" si="3"/>
        <v/>
      </c>
      <c r="AH987" s="396" t="str">
        <f t="shared" si="4"/>
        <v/>
      </c>
      <c r="AI987" s="388"/>
      <c r="AJ987" s="388"/>
      <c r="AK987" s="397"/>
    </row>
    <row r="988">
      <c r="A988" s="398"/>
      <c r="B988" s="386"/>
      <c r="C988" s="387" t="str">
        <f>IF(A988="","",IFERROR(IF(VLOOKUP(A988,'1. Inbound Leads'!A:G,7,FALSE)=0,"",VLOOKUP(A988,'1. Inbound Leads'!A:G,7,FALSE)),""))</f>
        <v/>
      </c>
      <c r="D988" s="387" t="str">
        <f>IF(A988="","",IFERROR(IF(VLOOKUP(A988,'1. Inbound Leads'!A:L,12,FALSE)=0,"",VLOOKUP(A988,'1. Inbound Leads'!A:L,12,FALSE)),""))</f>
        <v/>
      </c>
      <c r="E988" s="388"/>
      <c r="F988" s="389"/>
      <c r="G988" s="387"/>
      <c r="H988" s="387"/>
      <c r="I988" s="387"/>
      <c r="J988" s="387"/>
      <c r="K988" s="387"/>
      <c r="L988" s="387"/>
      <c r="M988" s="388"/>
      <c r="N988" s="388"/>
      <c r="O988" s="390"/>
      <c r="P988" s="391"/>
      <c r="Q988" s="389"/>
      <c r="R988" s="390"/>
      <c r="S988" s="390"/>
      <c r="T988" s="391"/>
      <c r="U988" s="392"/>
      <c r="V988" s="391"/>
      <c r="W988" s="391"/>
      <c r="X988" s="388"/>
      <c r="Y988" s="391"/>
      <c r="Z988" s="393"/>
      <c r="AA988" s="355" t="str">
        <f t="shared" si="1"/>
        <v/>
      </c>
      <c r="AB988" s="391"/>
      <c r="AC988" s="394" t="str">
        <f t="shared" si="2"/>
        <v/>
      </c>
      <c r="AD988" s="389"/>
      <c r="AE988" s="399"/>
      <c r="AF988" s="395"/>
      <c r="AG988" s="396" t="str">
        <f t="shared" si="3"/>
        <v/>
      </c>
      <c r="AH988" s="396" t="str">
        <f t="shared" si="4"/>
        <v/>
      </c>
      <c r="AI988" s="388"/>
      <c r="AJ988" s="388"/>
      <c r="AK988" s="397"/>
    </row>
    <row r="989">
      <c r="A989" s="398"/>
      <c r="B989" s="386"/>
      <c r="C989" s="387" t="str">
        <f>IF(A989="","",IFERROR(IF(VLOOKUP(A989,'1. Inbound Leads'!A:G,7,FALSE)=0,"",VLOOKUP(A989,'1. Inbound Leads'!A:G,7,FALSE)),""))</f>
        <v/>
      </c>
      <c r="D989" s="387" t="str">
        <f>IF(A989="","",IFERROR(IF(VLOOKUP(A989,'1. Inbound Leads'!A:L,12,FALSE)=0,"",VLOOKUP(A989,'1. Inbound Leads'!A:L,12,FALSE)),""))</f>
        <v/>
      </c>
      <c r="E989" s="388"/>
      <c r="F989" s="389"/>
      <c r="G989" s="387"/>
      <c r="H989" s="387"/>
      <c r="I989" s="387"/>
      <c r="J989" s="387"/>
      <c r="K989" s="387"/>
      <c r="L989" s="387"/>
      <c r="M989" s="388"/>
      <c r="N989" s="388"/>
      <c r="O989" s="390"/>
      <c r="P989" s="391"/>
      <c r="Q989" s="389"/>
      <c r="R989" s="390"/>
      <c r="S989" s="390"/>
      <c r="T989" s="391"/>
      <c r="U989" s="392"/>
      <c r="V989" s="391"/>
      <c r="W989" s="391"/>
      <c r="X989" s="388"/>
      <c r="Y989" s="391"/>
      <c r="Z989" s="393"/>
      <c r="AA989" s="355" t="str">
        <f t="shared" si="1"/>
        <v/>
      </c>
      <c r="AB989" s="391"/>
      <c r="AC989" s="394" t="str">
        <f t="shared" si="2"/>
        <v/>
      </c>
      <c r="AD989" s="389"/>
      <c r="AE989" s="399"/>
      <c r="AF989" s="395"/>
      <c r="AG989" s="396" t="str">
        <f t="shared" si="3"/>
        <v/>
      </c>
      <c r="AH989" s="396" t="str">
        <f t="shared" si="4"/>
        <v/>
      </c>
      <c r="AI989" s="388"/>
      <c r="AJ989" s="388"/>
      <c r="AK989" s="397"/>
    </row>
    <row r="990">
      <c r="A990" s="398"/>
      <c r="B990" s="386"/>
      <c r="C990" s="387" t="str">
        <f>IF(A990="","",IFERROR(IF(VLOOKUP(A990,'1. Inbound Leads'!A:G,7,FALSE)=0,"",VLOOKUP(A990,'1. Inbound Leads'!A:G,7,FALSE)),""))</f>
        <v/>
      </c>
      <c r="D990" s="387" t="str">
        <f>IF(A990="","",IFERROR(IF(VLOOKUP(A990,'1. Inbound Leads'!A:L,12,FALSE)=0,"",VLOOKUP(A990,'1. Inbound Leads'!A:L,12,FALSE)),""))</f>
        <v/>
      </c>
      <c r="E990" s="388"/>
      <c r="F990" s="389"/>
      <c r="G990" s="387"/>
      <c r="H990" s="387"/>
      <c r="I990" s="387"/>
      <c r="J990" s="387"/>
      <c r="K990" s="387"/>
      <c r="L990" s="387"/>
      <c r="M990" s="388"/>
      <c r="N990" s="388"/>
      <c r="O990" s="390"/>
      <c r="P990" s="391"/>
      <c r="Q990" s="389"/>
      <c r="R990" s="390"/>
      <c r="S990" s="390"/>
      <c r="T990" s="391"/>
      <c r="U990" s="392"/>
      <c r="V990" s="391"/>
      <c r="W990" s="391"/>
      <c r="X990" s="388"/>
      <c r="Y990" s="391"/>
      <c r="Z990" s="393"/>
      <c r="AA990" s="355" t="str">
        <f t="shared" si="1"/>
        <v/>
      </c>
      <c r="AB990" s="391"/>
      <c r="AC990" s="394" t="str">
        <f t="shared" si="2"/>
        <v/>
      </c>
      <c r="AD990" s="389"/>
      <c r="AE990" s="399"/>
      <c r="AF990" s="395"/>
      <c r="AG990" s="396" t="str">
        <f t="shared" si="3"/>
        <v/>
      </c>
      <c r="AH990" s="396" t="str">
        <f t="shared" si="4"/>
        <v/>
      </c>
      <c r="AI990" s="388"/>
      <c r="AJ990" s="388"/>
      <c r="AK990" s="397"/>
    </row>
    <row r="991">
      <c r="A991" s="398"/>
      <c r="B991" s="386"/>
      <c r="C991" s="387" t="str">
        <f>IF(A991="","",IFERROR(IF(VLOOKUP(A991,'1. Inbound Leads'!A:G,7,FALSE)=0,"",VLOOKUP(A991,'1. Inbound Leads'!A:G,7,FALSE)),""))</f>
        <v/>
      </c>
      <c r="D991" s="387" t="str">
        <f>IF(A991="","",IFERROR(IF(VLOOKUP(A991,'1. Inbound Leads'!A:L,12,FALSE)=0,"",VLOOKUP(A991,'1. Inbound Leads'!A:L,12,FALSE)),""))</f>
        <v/>
      </c>
      <c r="E991" s="388"/>
      <c r="F991" s="389"/>
      <c r="G991" s="387"/>
      <c r="H991" s="387"/>
      <c r="I991" s="387"/>
      <c r="J991" s="387"/>
      <c r="K991" s="387"/>
      <c r="L991" s="387"/>
      <c r="M991" s="388"/>
      <c r="N991" s="388"/>
      <c r="O991" s="390"/>
      <c r="P991" s="391"/>
      <c r="Q991" s="389"/>
      <c r="R991" s="390"/>
      <c r="S991" s="390"/>
      <c r="T991" s="391"/>
      <c r="U991" s="392"/>
      <c r="V991" s="391"/>
      <c r="W991" s="391"/>
      <c r="X991" s="388"/>
      <c r="Y991" s="391"/>
      <c r="Z991" s="393"/>
      <c r="AA991" s="355" t="str">
        <f t="shared" si="1"/>
        <v/>
      </c>
      <c r="AB991" s="391"/>
      <c r="AC991" s="394" t="str">
        <f t="shared" si="2"/>
        <v/>
      </c>
      <c r="AD991" s="389"/>
      <c r="AE991" s="399"/>
      <c r="AF991" s="395"/>
      <c r="AG991" s="396" t="str">
        <f t="shared" si="3"/>
        <v/>
      </c>
      <c r="AH991" s="396" t="str">
        <f t="shared" si="4"/>
        <v/>
      </c>
      <c r="AI991" s="388"/>
      <c r="AJ991" s="388"/>
      <c r="AK991" s="397"/>
    </row>
    <row r="992">
      <c r="A992" s="398"/>
      <c r="B992" s="386"/>
      <c r="C992" s="387" t="str">
        <f>IF(A992="","",IFERROR(IF(VLOOKUP(A992,'1. Inbound Leads'!A:G,7,FALSE)=0,"",VLOOKUP(A992,'1. Inbound Leads'!A:G,7,FALSE)),""))</f>
        <v/>
      </c>
      <c r="D992" s="387" t="str">
        <f>IF(A992="","",IFERROR(IF(VLOOKUP(A992,'1. Inbound Leads'!A:L,12,FALSE)=0,"",VLOOKUP(A992,'1. Inbound Leads'!A:L,12,FALSE)),""))</f>
        <v/>
      </c>
      <c r="E992" s="388"/>
      <c r="F992" s="389"/>
      <c r="G992" s="387"/>
      <c r="H992" s="387"/>
      <c r="I992" s="387"/>
      <c r="J992" s="387"/>
      <c r="K992" s="387"/>
      <c r="L992" s="387"/>
      <c r="M992" s="388"/>
      <c r="N992" s="388"/>
      <c r="O992" s="390"/>
      <c r="P992" s="391"/>
      <c r="Q992" s="389"/>
      <c r="R992" s="390"/>
      <c r="S992" s="390"/>
      <c r="T992" s="391"/>
      <c r="U992" s="392"/>
      <c r="V992" s="391"/>
      <c r="W992" s="391"/>
      <c r="X992" s="388"/>
      <c r="Y992" s="391"/>
      <c r="Z992" s="393"/>
      <c r="AA992" s="355" t="str">
        <f t="shared" si="1"/>
        <v/>
      </c>
      <c r="AB992" s="391"/>
      <c r="AC992" s="394" t="str">
        <f t="shared" si="2"/>
        <v/>
      </c>
      <c r="AD992" s="389"/>
      <c r="AE992" s="399"/>
      <c r="AF992" s="395"/>
      <c r="AG992" s="396" t="str">
        <f t="shared" si="3"/>
        <v/>
      </c>
      <c r="AH992" s="396" t="str">
        <f t="shared" si="4"/>
        <v/>
      </c>
      <c r="AI992" s="388"/>
      <c r="AJ992" s="388"/>
      <c r="AK992" s="397"/>
    </row>
    <row r="993">
      <c r="A993" s="398"/>
      <c r="B993" s="386"/>
      <c r="C993" s="387" t="str">
        <f>IF(A993="","",IFERROR(IF(VLOOKUP(A993,'1. Inbound Leads'!A:G,7,FALSE)=0,"",VLOOKUP(A993,'1. Inbound Leads'!A:G,7,FALSE)),""))</f>
        <v/>
      </c>
      <c r="D993" s="387" t="str">
        <f>IF(A993="","",IFERROR(IF(VLOOKUP(A993,'1. Inbound Leads'!A:L,12,FALSE)=0,"",VLOOKUP(A993,'1. Inbound Leads'!A:L,12,FALSE)),""))</f>
        <v/>
      </c>
      <c r="E993" s="388"/>
      <c r="F993" s="389"/>
      <c r="G993" s="387"/>
      <c r="H993" s="387"/>
      <c r="I993" s="387"/>
      <c r="J993" s="387"/>
      <c r="K993" s="387"/>
      <c r="L993" s="387"/>
      <c r="M993" s="388"/>
      <c r="N993" s="388"/>
      <c r="O993" s="390"/>
      <c r="P993" s="391"/>
      <c r="Q993" s="389"/>
      <c r="R993" s="390"/>
      <c r="S993" s="390"/>
      <c r="T993" s="391"/>
      <c r="U993" s="392"/>
      <c r="V993" s="391"/>
      <c r="W993" s="391"/>
      <c r="X993" s="388"/>
      <c r="Y993" s="391"/>
      <c r="Z993" s="393"/>
      <c r="AA993" s="355" t="str">
        <f t="shared" si="1"/>
        <v/>
      </c>
      <c r="AB993" s="391"/>
      <c r="AC993" s="394" t="str">
        <f t="shared" si="2"/>
        <v/>
      </c>
      <c r="AD993" s="389"/>
      <c r="AE993" s="399"/>
      <c r="AF993" s="395"/>
      <c r="AG993" s="396" t="str">
        <f t="shared" si="3"/>
        <v/>
      </c>
      <c r="AH993" s="396" t="str">
        <f t="shared" si="4"/>
        <v/>
      </c>
      <c r="AI993" s="388"/>
      <c r="AJ993" s="388"/>
      <c r="AK993" s="397"/>
    </row>
    <row r="994">
      <c r="A994" s="398"/>
      <c r="B994" s="386"/>
      <c r="C994" s="387" t="str">
        <f>IF(A994="","",IFERROR(IF(VLOOKUP(A994,'1. Inbound Leads'!A:G,7,FALSE)=0,"",VLOOKUP(A994,'1. Inbound Leads'!A:G,7,FALSE)),""))</f>
        <v/>
      </c>
      <c r="D994" s="387" t="str">
        <f>IF(A994="","",IFERROR(IF(VLOOKUP(A994,'1. Inbound Leads'!A:L,12,FALSE)=0,"",VLOOKUP(A994,'1. Inbound Leads'!A:L,12,FALSE)),""))</f>
        <v/>
      </c>
      <c r="E994" s="388"/>
      <c r="F994" s="389"/>
      <c r="G994" s="387"/>
      <c r="H994" s="387"/>
      <c r="I994" s="387"/>
      <c r="J994" s="387"/>
      <c r="K994" s="387"/>
      <c r="L994" s="387"/>
      <c r="M994" s="388"/>
      <c r="N994" s="388"/>
      <c r="O994" s="390"/>
      <c r="P994" s="391"/>
      <c r="Q994" s="389"/>
      <c r="R994" s="390"/>
      <c r="S994" s="390"/>
      <c r="T994" s="391"/>
      <c r="U994" s="392"/>
      <c r="V994" s="391"/>
      <c r="W994" s="391"/>
      <c r="X994" s="388"/>
      <c r="Y994" s="391"/>
      <c r="Z994" s="393"/>
      <c r="AA994" s="355" t="str">
        <f t="shared" si="1"/>
        <v/>
      </c>
      <c r="AB994" s="391"/>
      <c r="AC994" s="394" t="str">
        <f t="shared" si="2"/>
        <v/>
      </c>
      <c r="AD994" s="389"/>
      <c r="AE994" s="399"/>
      <c r="AF994" s="395"/>
      <c r="AG994" s="396" t="str">
        <f t="shared" si="3"/>
        <v/>
      </c>
      <c r="AH994" s="396" t="str">
        <f t="shared" si="4"/>
        <v/>
      </c>
      <c r="AI994" s="388"/>
      <c r="AJ994" s="388"/>
      <c r="AK994" s="397"/>
    </row>
    <row r="995">
      <c r="A995" s="398"/>
      <c r="B995" s="386"/>
      <c r="C995" s="387" t="str">
        <f>IF(A995="","",IFERROR(IF(VLOOKUP(A995,'1. Inbound Leads'!A:G,7,FALSE)=0,"",VLOOKUP(A995,'1. Inbound Leads'!A:G,7,FALSE)),""))</f>
        <v/>
      </c>
      <c r="D995" s="387" t="str">
        <f>IF(A995="","",IFERROR(IF(VLOOKUP(A995,'1. Inbound Leads'!A:L,12,FALSE)=0,"",VLOOKUP(A995,'1. Inbound Leads'!A:L,12,FALSE)),""))</f>
        <v/>
      </c>
      <c r="E995" s="388"/>
      <c r="F995" s="389"/>
      <c r="G995" s="387"/>
      <c r="H995" s="387"/>
      <c r="I995" s="387"/>
      <c r="J995" s="387"/>
      <c r="K995" s="387"/>
      <c r="L995" s="387"/>
      <c r="M995" s="388"/>
      <c r="N995" s="388"/>
      <c r="O995" s="390"/>
      <c r="P995" s="391"/>
      <c r="Q995" s="389"/>
      <c r="R995" s="390"/>
      <c r="S995" s="390"/>
      <c r="T995" s="391"/>
      <c r="U995" s="392"/>
      <c r="V995" s="391"/>
      <c r="W995" s="391"/>
      <c r="X995" s="388"/>
      <c r="Y995" s="391"/>
      <c r="Z995" s="393"/>
      <c r="AA995" s="355" t="str">
        <f t="shared" si="1"/>
        <v/>
      </c>
      <c r="AB995" s="391"/>
      <c r="AC995" s="394" t="str">
        <f t="shared" si="2"/>
        <v/>
      </c>
      <c r="AD995" s="389"/>
      <c r="AE995" s="399"/>
      <c r="AF995" s="395"/>
      <c r="AG995" s="396" t="str">
        <f t="shared" si="3"/>
        <v/>
      </c>
      <c r="AH995" s="396" t="str">
        <f t="shared" si="4"/>
        <v/>
      </c>
      <c r="AI995" s="388"/>
      <c r="AJ995" s="388"/>
      <c r="AK995" s="397"/>
    </row>
    <row r="996">
      <c r="A996" s="398"/>
      <c r="B996" s="386"/>
      <c r="C996" s="387" t="str">
        <f>IF(A996="","",IFERROR(IF(VLOOKUP(A996,'1. Inbound Leads'!A:G,7,FALSE)=0,"",VLOOKUP(A996,'1. Inbound Leads'!A:G,7,FALSE)),""))</f>
        <v/>
      </c>
      <c r="D996" s="387" t="str">
        <f>IF(A996="","",IFERROR(IF(VLOOKUP(A996,'1. Inbound Leads'!A:L,12,FALSE)=0,"",VLOOKUP(A996,'1. Inbound Leads'!A:L,12,FALSE)),""))</f>
        <v/>
      </c>
      <c r="E996" s="388"/>
      <c r="F996" s="389"/>
      <c r="G996" s="387"/>
      <c r="H996" s="387"/>
      <c r="I996" s="387"/>
      <c r="J996" s="387"/>
      <c r="K996" s="387"/>
      <c r="L996" s="387"/>
      <c r="M996" s="388"/>
      <c r="N996" s="388"/>
      <c r="O996" s="390"/>
      <c r="P996" s="391"/>
      <c r="Q996" s="389"/>
      <c r="R996" s="390"/>
      <c r="S996" s="390"/>
      <c r="T996" s="391"/>
      <c r="U996" s="392"/>
      <c r="V996" s="391"/>
      <c r="W996" s="391"/>
      <c r="X996" s="388"/>
      <c r="Y996" s="391"/>
      <c r="Z996" s="393"/>
      <c r="AA996" s="355" t="str">
        <f t="shared" si="1"/>
        <v/>
      </c>
      <c r="AB996" s="391"/>
      <c r="AC996" s="394" t="str">
        <f t="shared" si="2"/>
        <v/>
      </c>
      <c r="AD996" s="389"/>
      <c r="AE996" s="399"/>
      <c r="AF996" s="395"/>
      <c r="AG996" s="396" t="str">
        <f t="shared" si="3"/>
        <v/>
      </c>
      <c r="AH996" s="396" t="str">
        <f t="shared" si="4"/>
        <v/>
      </c>
      <c r="AI996" s="388"/>
      <c r="AJ996" s="388"/>
      <c r="AK996" s="397"/>
    </row>
    <row r="997">
      <c r="A997" s="398"/>
      <c r="B997" s="386"/>
      <c r="C997" s="387" t="str">
        <f>IF(A997="","",IFERROR(IF(VLOOKUP(A997,'1. Inbound Leads'!A:G,7,FALSE)=0,"",VLOOKUP(A997,'1. Inbound Leads'!A:G,7,FALSE)),""))</f>
        <v/>
      </c>
      <c r="D997" s="387" t="str">
        <f>IF(A997="","",IFERROR(IF(VLOOKUP(A997,'1. Inbound Leads'!A:L,12,FALSE)=0,"",VLOOKUP(A997,'1. Inbound Leads'!A:L,12,FALSE)),""))</f>
        <v/>
      </c>
      <c r="E997" s="388"/>
      <c r="F997" s="389"/>
      <c r="G997" s="387"/>
      <c r="H997" s="387"/>
      <c r="I997" s="387"/>
      <c r="J997" s="387"/>
      <c r="K997" s="387"/>
      <c r="L997" s="387"/>
      <c r="M997" s="388"/>
      <c r="N997" s="388"/>
      <c r="O997" s="390"/>
      <c r="P997" s="391"/>
      <c r="Q997" s="389"/>
      <c r="R997" s="390"/>
      <c r="S997" s="390"/>
      <c r="T997" s="391"/>
      <c r="U997" s="392"/>
      <c r="V997" s="391"/>
      <c r="W997" s="391"/>
      <c r="X997" s="388"/>
      <c r="Y997" s="391"/>
      <c r="Z997" s="393"/>
      <c r="AA997" s="355" t="str">
        <f t="shared" si="1"/>
        <v/>
      </c>
      <c r="AB997" s="391"/>
      <c r="AC997" s="394" t="str">
        <f t="shared" si="2"/>
        <v/>
      </c>
      <c r="AD997" s="389"/>
      <c r="AE997" s="399"/>
      <c r="AF997" s="395"/>
      <c r="AG997" s="396" t="str">
        <f t="shared" si="3"/>
        <v/>
      </c>
      <c r="AH997" s="396" t="str">
        <f t="shared" si="4"/>
        <v/>
      </c>
      <c r="AI997" s="388"/>
      <c r="AJ997" s="388"/>
      <c r="AK997" s="397"/>
    </row>
    <row r="998">
      <c r="A998" s="398"/>
      <c r="B998" s="386"/>
      <c r="C998" s="387" t="str">
        <f>IF(A998="","",IFERROR(IF(VLOOKUP(A998,'1. Inbound Leads'!A:G,7,FALSE)=0,"",VLOOKUP(A998,'1. Inbound Leads'!A:G,7,FALSE)),""))</f>
        <v/>
      </c>
      <c r="D998" s="387" t="str">
        <f>IF(A998="","",IFERROR(IF(VLOOKUP(A998,'1. Inbound Leads'!A:L,12,FALSE)=0,"",VLOOKUP(A998,'1. Inbound Leads'!A:L,12,FALSE)),""))</f>
        <v/>
      </c>
      <c r="E998" s="388"/>
      <c r="F998" s="389"/>
      <c r="G998" s="387"/>
      <c r="H998" s="387"/>
      <c r="I998" s="387"/>
      <c r="J998" s="387"/>
      <c r="K998" s="387"/>
      <c r="L998" s="387"/>
      <c r="M998" s="388"/>
      <c r="N998" s="388"/>
      <c r="O998" s="390"/>
      <c r="P998" s="391"/>
      <c r="Q998" s="389"/>
      <c r="R998" s="390"/>
      <c r="S998" s="390"/>
      <c r="T998" s="391"/>
      <c r="U998" s="392"/>
      <c r="V998" s="391"/>
      <c r="W998" s="391"/>
      <c r="X998" s="388"/>
      <c r="Y998" s="391"/>
      <c r="Z998" s="393"/>
      <c r="AA998" s="355" t="str">
        <f t="shared" si="1"/>
        <v/>
      </c>
      <c r="AB998" s="391"/>
      <c r="AC998" s="394" t="str">
        <f t="shared" si="2"/>
        <v/>
      </c>
      <c r="AD998" s="389"/>
      <c r="AE998" s="399"/>
      <c r="AF998" s="395"/>
      <c r="AG998" s="396" t="str">
        <f t="shared" si="3"/>
        <v/>
      </c>
      <c r="AH998" s="396" t="str">
        <f t="shared" si="4"/>
        <v/>
      </c>
      <c r="AI998" s="388"/>
      <c r="AJ998" s="388"/>
      <c r="AK998" s="397"/>
    </row>
    <row r="999">
      <c r="A999" s="398"/>
      <c r="B999" s="386"/>
      <c r="C999" s="387" t="str">
        <f>IF(A999="","",IFERROR(IF(VLOOKUP(A999,'1. Inbound Leads'!A:G,7,FALSE)=0,"",VLOOKUP(A999,'1. Inbound Leads'!A:G,7,FALSE)),""))</f>
        <v/>
      </c>
      <c r="D999" s="387" t="str">
        <f>IF(A999="","",IFERROR(IF(VLOOKUP(A999,'1. Inbound Leads'!A:L,12,FALSE)=0,"",VLOOKUP(A999,'1. Inbound Leads'!A:L,12,FALSE)),""))</f>
        <v/>
      </c>
      <c r="E999" s="388"/>
      <c r="F999" s="389"/>
      <c r="G999" s="387"/>
      <c r="H999" s="387"/>
      <c r="I999" s="387"/>
      <c r="J999" s="387"/>
      <c r="K999" s="387"/>
      <c r="L999" s="387"/>
      <c r="M999" s="388"/>
      <c r="N999" s="388"/>
      <c r="O999" s="390"/>
      <c r="P999" s="391"/>
      <c r="Q999" s="389"/>
      <c r="R999" s="390"/>
      <c r="S999" s="390"/>
      <c r="T999" s="391"/>
      <c r="U999" s="392"/>
      <c r="V999" s="391"/>
      <c r="W999" s="391"/>
      <c r="X999" s="388"/>
      <c r="Y999" s="391"/>
      <c r="Z999" s="393"/>
      <c r="AA999" s="355" t="str">
        <f t="shared" si="1"/>
        <v/>
      </c>
      <c r="AB999" s="391"/>
      <c r="AC999" s="394" t="str">
        <f t="shared" si="2"/>
        <v/>
      </c>
      <c r="AD999" s="389"/>
      <c r="AE999" s="399"/>
      <c r="AF999" s="395"/>
      <c r="AG999" s="396" t="str">
        <f t="shared" si="3"/>
        <v/>
      </c>
      <c r="AH999" s="396" t="str">
        <f t="shared" si="4"/>
        <v/>
      </c>
      <c r="AI999" s="388"/>
      <c r="AJ999" s="388"/>
      <c r="AK999" s="397"/>
    </row>
    <row r="1000">
      <c r="A1000" s="398"/>
      <c r="B1000" s="386"/>
      <c r="C1000" s="387" t="str">
        <f>IF(A1000="","",IFERROR(IF(VLOOKUP(A1000,'1. Inbound Leads'!A:G,7,FALSE)=0,"",VLOOKUP(A1000,'1. Inbound Leads'!A:G,7,FALSE)),""))</f>
        <v/>
      </c>
      <c r="D1000" s="387" t="str">
        <f>IF(A1000="","",IFERROR(IF(VLOOKUP(A1000,'1. Inbound Leads'!A:L,12,FALSE)=0,"",VLOOKUP(A1000,'1. Inbound Leads'!A:L,12,FALSE)),""))</f>
        <v/>
      </c>
      <c r="E1000" s="388"/>
      <c r="F1000" s="389"/>
      <c r="G1000" s="387"/>
      <c r="H1000" s="387"/>
      <c r="I1000" s="387"/>
      <c r="J1000" s="387"/>
      <c r="K1000" s="387"/>
      <c r="L1000" s="387"/>
      <c r="M1000" s="388"/>
      <c r="N1000" s="388"/>
      <c r="O1000" s="390"/>
      <c r="P1000" s="391"/>
      <c r="Q1000" s="389"/>
      <c r="R1000" s="390"/>
      <c r="S1000" s="390"/>
      <c r="T1000" s="391"/>
      <c r="U1000" s="392"/>
      <c r="V1000" s="391"/>
      <c r="W1000" s="391"/>
      <c r="X1000" s="388"/>
      <c r="Y1000" s="391"/>
      <c r="Z1000" s="393"/>
      <c r="AA1000" s="355" t="str">
        <f t="shared" si="1"/>
        <v/>
      </c>
      <c r="AB1000" s="391"/>
      <c r="AC1000" s="394" t="str">
        <f t="shared" si="2"/>
        <v/>
      </c>
      <c r="AD1000" s="389"/>
      <c r="AE1000" s="399"/>
      <c r="AF1000" s="395"/>
      <c r="AG1000" s="396" t="str">
        <f t="shared" si="3"/>
        <v/>
      </c>
      <c r="AH1000" s="396" t="str">
        <f t="shared" si="4"/>
        <v/>
      </c>
      <c r="AI1000" s="388"/>
      <c r="AJ1000" s="388"/>
      <c r="AK1000" s="397"/>
    </row>
    <row r="1001">
      <c r="A1001" s="398"/>
      <c r="B1001" s="386"/>
      <c r="C1001" s="387" t="str">
        <f>IF(A1001="","",IFERROR(IF(VLOOKUP(A1001,'1. Inbound Leads'!A:G,7,FALSE)=0,"",VLOOKUP(A1001,'1. Inbound Leads'!A:G,7,FALSE)),""))</f>
        <v/>
      </c>
      <c r="D1001" s="387" t="str">
        <f>IF(A1001="","",IFERROR(IF(VLOOKUP(A1001,'1. Inbound Leads'!A:L,12,FALSE)=0,"",VLOOKUP(A1001,'1. Inbound Leads'!A:L,12,FALSE)),""))</f>
        <v/>
      </c>
      <c r="E1001" s="388"/>
      <c r="F1001" s="389"/>
      <c r="G1001" s="387"/>
      <c r="H1001" s="387"/>
      <c r="I1001" s="387"/>
      <c r="J1001" s="387"/>
      <c r="K1001" s="387"/>
      <c r="L1001" s="387"/>
      <c r="M1001" s="388"/>
      <c r="N1001" s="388"/>
      <c r="O1001" s="390"/>
      <c r="P1001" s="391"/>
      <c r="Q1001" s="389"/>
      <c r="R1001" s="390"/>
      <c r="S1001" s="390"/>
      <c r="T1001" s="391"/>
      <c r="U1001" s="392"/>
      <c r="V1001" s="391"/>
      <c r="W1001" s="391"/>
      <c r="X1001" s="388"/>
      <c r="Y1001" s="391"/>
      <c r="Z1001" s="393"/>
      <c r="AA1001" s="355" t="str">
        <f t="shared" si="1"/>
        <v/>
      </c>
      <c r="AB1001" s="391"/>
      <c r="AC1001" s="394" t="str">
        <f t="shared" si="2"/>
        <v/>
      </c>
      <c r="AD1001" s="389"/>
      <c r="AE1001" s="399"/>
      <c r="AF1001" s="395"/>
      <c r="AG1001" s="396" t="str">
        <f t="shared" si="3"/>
        <v/>
      </c>
      <c r="AH1001" s="396" t="str">
        <f t="shared" si="4"/>
        <v/>
      </c>
      <c r="AI1001" s="388"/>
      <c r="AJ1001" s="388"/>
      <c r="AK1001" s="397"/>
    </row>
    <row r="1002">
      <c r="A1002" s="398"/>
      <c r="B1002" s="386"/>
      <c r="C1002" s="387" t="str">
        <f>IF(A1002="","",IFERROR(IF(VLOOKUP(A1002,'1. Inbound Leads'!A:G,7,FALSE)=0,"",VLOOKUP(A1002,'1. Inbound Leads'!A:G,7,FALSE)),""))</f>
        <v/>
      </c>
      <c r="D1002" s="387" t="str">
        <f>IF(A1002="","",IFERROR(IF(VLOOKUP(A1002,'1. Inbound Leads'!A:L,12,FALSE)=0,"",VLOOKUP(A1002,'1. Inbound Leads'!A:L,12,FALSE)),""))</f>
        <v/>
      </c>
      <c r="E1002" s="388"/>
      <c r="F1002" s="389"/>
      <c r="G1002" s="387"/>
      <c r="H1002" s="387"/>
      <c r="I1002" s="387"/>
      <c r="J1002" s="387"/>
      <c r="K1002" s="387"/>
      <c r="L1002" s="387"/>
      <c r="M1002" s="388"/>
      <c r="N1002" s="388"/>
      <c r="O1002" s="390"/>
      <c r="P1002" s="391"/>
      <c r="Q1002" s="389"/>
      <c r="R1002" s="390"/>
      <c r="S1002" s="390"/>
      <c r="T1002" s="391"/>
      <c r="U1002" s="392"/>
      <c r="V1002" s="391"/>
      <c r="W1002" s="391"/>
      <c r="X1002" s="388"/>
      <c r="Y1002" s="391"/>
      <c r="Z1002" s="393"/>
      <c r="AA1002" s="355" t="str">
        <f t="shared" si="1"/>
        <v/>
      </c>
      <c r="AB1002" s="391"/>
      <c r="AC1002" s="394" t="str">
        <f t="shared" si="2"/>
        <v/>
      </c>
      <c r="AD1002" s="389"/>
      <c r="AE1002" s="399"/>
      <c r="AF1002" s="395"/>
      <c r="AG1002" s="396" t="str">
        <f t="shared" si="3"/>
        <v/>
      </c>
      <c r="AH1002" s="396" t="str">
        <f t="shared" si="4"/>
        <v/>
      </c>
      <c r="AI1002" s="388"/>
      <c r="AJ1002" s="388"/>
      <c r="AK1002" s="397"/>
    </row>
    <row r="1003">
      <c r="A1003" s="398"/>
      <c r="B1003" s="386"/>
      <c r="C1003" s="387" t="str">
        <f>IF(A1003="","",IFERROR(IF(VLOOKUP(A1003,'1. Inbound Leads'!A:G,7,FALSE)=0,"",VLOOKUP(A1003,'1. Inbound Leads'!A:G,7,FALSE)),""))</f>
        <v/>
      </c>
      <c r="D1003" s="387" t="str">
        <f>IF(A1003="","",IFERROR(IF(VLOOKUP(A1003,'1. Inbound Leads'!A:L,12,FALSE)=0,"",VLOOKUP(A1003,'1. Inbound Leads'!A:L,12,FALSE)),""))</f>
        <v/>
      </c>
      <c r="E1003" s="388"/>
      <c r="F1003" s="389"/>
      <c r="G1003" s="387"/>
      <c r="H1003" s="387"/>
      <c r="I1003" s="387"/>
      <c r="J1003" s="387"/>
      <c r="K1003" s="387"/>
      <c r="L1003" s="387"/>
      <c r="M1003" s="388"/>
      <c r="N1003" s="388"/>
      <c r="O1003" s="390"/>
      <c r="P1003" s="391"/>
      <c r="Q1003" s="389"/>
      <c r="R1003" s="390"/>
      <c r="S1003" s="390"/>
      <c r="T1003" s="391"/>
      <c r="U1003" s="392"/>
      <c r="V1003" s="391"/>
      <c r="W1003" s="391"/>
      <c r="X1003" s="388"/>
      <c r="Y1003" s="391"/>
      <c r="Z1003" s="393"/>
      <c r="AA1003" s="355" t="str">
        <f t="shared" si="1"/>
        <v/>
      </c>
      <c r="AB1003" s="391"/>
      <c r="AC1003" s="394" t="str">
        <f t="shared" si="2"/>
        <v/>
      </c>
      <c r="AD1003" s="389"/>
      <c r="AE1003" s="399"/>
      <c r="AF1003" s="395"/>
      <c r="AG1003" s="396" t="str">
        <f t="shared" si="3"/>
        <v/>
      </c>
      <c r="AH1003" s="396" t="str">
        <f t="shared" si="4"/>
        <v/>
      </c>
      <c r="AI1003" s="388"/>
      <c r="AJ1003" s="388"/>
      <c r="AK1003" s="397"/>
    </row>
    <row r="1004">
      <c r="A1004" s="398"/>
      <c r="B1004" s="386"/>
      <c r="C1004" s="387" t="str">
        <f>IF(A1004="","",IFERROR(IF(VLOOKUP(A1004,'1. Inbound Leads'!A:G,7,FALSE)=0,"",VLOOKUP(A1004,'1. Inbound Leads'!A:G,7,FALSE)),""))</f>
        <v/>
      </c>
      <c r="D1004" s="387" t="str">
        <f>IF(A1004="","",IFERROR(IF(VLOOKUP(A1004,'1. Inbound Leads'!A:L,12,FALSE)=0,"",VLOOKUP(A1004,'1. Inbound Leads'!A:L,12,FALSE)),""))</f>
        <v/>
      </c>
      <c r="E1004" s="388"/>
      <c r="F1004" s="389"/>
      <c r="G1004" s="387"/>
      <c r="H1004" s="387"/>
      <c r="I1004" s="387"/>
      <c r="J1004" s="387"/>
      <c r="K1004" s="387"/>
      <c r="L1004" s="387"/>
      <c r="M1004" s="388"/>
      <c r="N1004" s="388"/>
      <c r="O1004" s="390"/>
      <c r="P1004" s="391"/>
      <c r="Q1004" s="389"/>
      <c r="R1004" s="390"/>
      <c r="S1004" s="390"/>
      <c r="T1004" s="391"/>
      <c r="U1004" s="392"/>
      <c r="V1004" s="391"/>
      <c r="W1004" s="391"/>
      <c r="X1004" s="388"/>
      <c r="Y1004" s="391"/>
      <c r="Z1004" s="393"/>
      <c r="AA1004" s="355" t="str">
        <f t="shared" si="1"/>
        <v/>
      </c>
      <c r="AB1004" s="391"/>
      <c r="AC1004" s="394" t="str">
        <f t="shared" si="2"/>
        <v/>
      </c>
      <c r="AD1004" s="389"/>
      <c r="AE1004" s="399"/>
      <c r="AF1004" s="395"/>
      <c r="AG1004" s="396" t="str">
        <f t="shared" si="3"/>
        <v/>
      </c>
      <c r="AH1004" s="396" t="str">
        <f t="shared" si="4"/>
        <v/>
      </c>
      <c r="AI1004" s="388"/>
      <c r="AJ1004" s="388"/>
      <c r="AK1004" s="397"/>
    </row>
    <row r="1005">
      <c r="A1005" s="398"/>
      <c r="B1005" s="386"/>
      <c r="C1005" s="387" t="str">
        <f>IF(A1005="","",IFERROR(IF(VLOOKUP(A1005,'1. Inbound Leads'!A:G,7,FALSE)=0,"",VLOOKUP(A1005,'1. Inbound Leads'!A:G,7,FALSE)),""))</f>
        <v/>
      </c>
      <c r="D1005" s="387" t="str">
        <f>IF(A1005="","",IFERROR(IF(VLOOKUP(A1005,'1. Inbound Leads'!A:L,12,FALSE)=0,"",VLOOKUP(A1005,'1. Inbound Leads'!A:L,12,FALSE)),""))</f>
        <v/>
      </c>
      <c r="E1005" s="388"/>
      <c r="F1005" s="389"/>
      <c r="G1005" s="387"/>
      <c r="H1005" s="387"/>
      <c r="I1005" s="387"/>
      <c r="J1005" s="387"/>
      <c r="K1005" s="387"/>
      <c r="L1005" s="387"/>
      <c r="M1005" s="388"/>
      <c r="N1005" s="388"/>
      <c r="O1005" s="390"/>
      <c r="P1005" s="391"/>
      <c r="Q1005" s="389"/>
      <c r="R1005" s="390"/>
      <c r="S1005" s="390"/>
      <c r="T1005" s="391"/>
      <c r="U1005" s="392"/>
      <c r="V1005" s="391"/>
      <c r="W1005" s="391"/>
      <c r="X1005" s="388"/>
      <c r="Y1005" s="391"/>
      <c r="Z1005" s="393"/>
      <c r="AA1005" s="355" t="str">
        <f t="shared" si="1"/>
        <v/>
      </c>
      <c r="AB1005" s="391"/>
      <c r="AC1005" s="394" t="str">
        <f t="shared" si="2"/>
        <v/>
      </c>
      <c r="AD1005" s="389"/>
      <c r="AE1005" s="399"/>
      <c r="AF1005" s="395"/>
      <c r="AG1005" s="396" t="str">
        <f t="shared" si="3"/>
        <v/>
      </c>
      <c r="AH1005" s="396" t="str">
        <f t="shared" si="4"/>
        <v/>
      </c>
      <c r="AI1005" s="388"/>
      <c r="AJ1005" s="388"/>
      <c r="AK1005" s="397"/>
    </row>
    <row r="1006">
      <c r="A1006" s="398"/>
      <c r="B1006" s="386"/>
      <c r="C1006" s="387" t="str">
        <f>IF(A1006="","",IFERROR(IF(VLOOKUP(A1006,'1. Inbound Leads'!A:G,7,FALSE)=0,"",VLOOKUP(A1006,'1. Inbound Leads'!A:G,7,FALSE)),""))</f>
        <v/>
      </c>
      <c r="D1006" s="387" t="str">
        <f>IF(A1006="","",IFERROR(IF(VLOOKUP(A1006,'1. Inbound Leads'!A:L,12,FALSE)=0,"",VLOOKUP(A1006,'1. Inbound Leads'!A:L,12,FALSE)),""))</f>
        <v/>
      </c>
      <c r="E1006" s="388"/>
      <c r="F1006" s="389"/>
      <c r="G1006" s="387"/>
      <c r="H1006" s="387"/>
      <c r="I1006" s="387"/>
      <c r="J1006" s="387"/>
      <c r="K1006" s="387"/>
      <c r="L1006" s="387"/>
      <c r="M1006" s="388"/>
      <c r="N1006" s="388"/>
      <c r="O1006" s="390"/>
      <c r="P1006" s="391"/>
      <c r="Q1006" s="389"/>
      <c r="R1006" s="390"/>
      <c r="S1006" s="390"/>
      <c r="T1006" s="391"/>
      <c r="U1006" s="392"/>
      <c r="V1006" s="391"/>
      <c r="W1006" s="391"/>
      <c r="X1006" s="388"/>
      <c r="Y1006" s="391"/>
      <c r="Z1006" s="393"/>
      <c r="AA1006" s="355" t="str">
        <f t="shared" si="1"/>
        <v/>
      </c>
      <c r="AB1006" s="391"/>
      <c r="AC1006" s="394" t="str">
        <f t="shared" si="2"/>
        <v/>
      </c>
      <c r="AD1006" s="389"/>
      <c r="AE1006" s="399"/>
      <c r="AF1006" s="395"/>
      <c r="AG1006" s="396" t="str">
        <f t="shared" si="3"/>
        <v/>
      </c>
      <c r="AH1006" s="396" t="str">
        <f t="shared" si="4"/>
        <v/>
      </c>
      <c r="AI1006" s="388"/>
      <c r="AJ1006" s="388"/>
      <c r="AK1006" s="397"/>
    </row>
    <row r="1007">
      <c r="A1007" s="398"/>
      <c r="B1007" s="386"/>
      <c r="C1007" s="387" t="str">
        <f>IF(A1007="","",IFERROR(IF(VLOOKUP(A1007,'1. Inbound Leads'!A:G,7,FALSE)=0,"",VLOOKUP(A1007,'1. Inbound Leads'!A:G,7,FALSE)),""))</f>
        <v/>
      </c>
      <c r="D1007" s="387" t="str">
        <f>IF(A1007="","",IFERROR(IF(VLOOKUP(A1007,'1. Inbound Leads'!A:L,12,FALSE)=0,"",VLOOKUP(A1007,'1. Inbound Leads'!A:L,12,FALSE)),""))</f>
        <v/>
      </c>
      <c r="E1007" s="388"/>
      <c r="F1007" s="389"/>
      <c r="G1007" s="387"/>
      <c r="H1007" s="387"/>
      <c r="I1007" s="387"/>
      <c r="J1007" s="387"/>
      <c r="K1007" s="387"/>
      <c r="L1007" s="387"/>
      <c r="M1007" s="388"/>
      <c r="N1007" s="388"/>
      <c r="O1007" s="390"/>
      <c r="P1007" s="391"/>
      <c r="Q1007" s="389"/>
      <c r="R1007" s="390"/>
      <c r="S1007" s="390"/>
      <c r="T1007" s="391"/>
      <c r="U1007" s="392"/>
      <c r="V1007" s="391"/>
      <c r="W1007" s="391"/>
      <c r="X1007" s="388"/>
      <c r="Y1007" s="391"/>
      <c r="Z1007" s="393"/>
      <c r="AA1007" s="355" t="str">
        <f t="shared" si="1"/>
        <v/>
      </c>
      <c r="AB1007" s="391"/>
      <c r="AC1007" s="394" t="str">
        <f t="shared" si="2"/>
        <v/>
      </c>
      <c r="AD1007" s="389"/>
      <c r="AE1007" s="399"/>
      <c r="AF1007" s="395"/>
      <c r="AG1007" s="396" t="str">
        <f t="shared" si="3"/>
        <v/>
      </c>
      <c r="AH1007" s="396" t="str">
        <f t="shared" si="4"/>
        <v/>
      </c>
      <c r="AI1007" s="388"/>
      <c r="AJ1007" s="388"/>
      <c r="AK1007" s="397"/>
    </row>
    <row r="1008">
      <c r="A1008" s="398"/>
      <c r="B1008" s="386"/>
      <c r="C1008" s="387" t="str">
        <f>IF(A1008="","",IFERROR(IF(VLOOKUP(A1008,'1. Inbound Leads'!A:G,7,FALSE)=0,"",VLOOKUP(A1008,'1. Inbound Leads'!A:G,7,FALSE)),""))</f>
        <v/>
      </c>
      <c r="D1008" s="387" t="str">
        <f>IF(A1008="","",IFERROR(IF(VLOOKUP(A1008,'1. Inbound Leads'!A:L,12,FALSE)=0,"",VLOOKUP(A1008,'1. Inbound Leads'!A:L,12,FALSE)),""))</f>
        <v/>
      </c>
      <c r="E1008" s="388"/>
      <c r="F1008" s="389"/>
      <c r="G1008" s="387"/>
      <c r="H1008" s="387"/>
      <c r="I1008" s="387"/>
      <c r="J1008" s="387"/>
      <c r="K1008" s="387"/>
      <c r="L1008" s="387"/>
      <c r="M1008" s="388"/>
      <c r="N1008" s="388"/>
      <c r="O1008" s="390"/>
      <c r="P1008" s="391"/>
      <c r="Q1008" s="389"/>
      <c r="R1008" s="390"/>
      <c r="S1008" s="390"/>
      <c r="T1008" s="391"/>
      <c r="U1008" s="392"/>
      <c r="V1008" s="391"/>
      <c r="W1008" s="391"/>
      <c r="X1008" s="388"/>
      <c r="Y1008" s="391"/>
      <c r="Z1008" s="393"/>
      <c r="AA1008" s="355" t="str">
        <f t="shared" si="1"/>
        <v/>
      </c>
      <c r="AB1008" s="391"/>
      <c r="AC1008" s="394" t="str">
        <f t="shared" si="2"/>
        <v/>
      </c>
      <c r="AD1008" s="389"/>
      <c r="AE1008" s="399"/>
      <c r="AF1008" s="395"/>
      <c r="AG1008" s="396" t="str">
        <f t="shared" si="3"/>
        <v/>
      </c>
      <c r="AH1008" s="396" t="str">
        <f t="shared" si="4"/>
        <v/>
      </c>
      <c r="AI1008" s="388"/>
      <c r="AJ1008" s="388"/>
      <c r="AK1008" s="397"/>
    </row>
    <row r="1009">
      <c r="A1009" s="398"/>
      <c r="B1009" s="386"/>
      <c r="C1009" s="387" t="str">
        <f>IF(A1009="","",IFERROR(IF(VLOOKUP(A1009,'1. Inbound Leads'!A:G,7,FALSE)=0,"",VLOOKUP(A1009,'1. Inbound Leads'!A:G,7,FALSE)),""))</f>
        <v/>
      </c>
      <c r="D1009" s="387" t="str">
        <f>IF(A1009="","",IFERROR(IF(VLOOKUP(A1009,'1. Inbound Leads'!A:L,12,FALSE)=0,"",VLOOKUP(A1009,'1. Inbound Leads'!A:L,12,FALSE)),""))</f>
        <v/>
      </c>
      <c r="E1009" s="388"/>
      <c r="F1009" s="389"/>
      <c r="G1009" s="387"/>
      <c r="H1009" s="387"/>
      <c r="I1009" s="387"/>
      <c r="J1009" s="387"/>
      <c r="K1009" s="387"/>
      <c r="L1009" s="387"/>
      <c r="M1009" s="388"/>
      <c r="N1009" s="388"/>
      <c r="O1009" s="390"/>
      <c r="P1009" s="391"/>
      <c r="Q1009" s="389"/>
      <c r="R1009" s="390"/>
      <c r="S1009" s="390"/>
      <c r="T1009" s="391"/>
      <c r="U1009" s="392"/>
      <c r="V1009" s="391"/>
      <c r="W1009" s="391"/>
      <c r="X1009" s="388"/>
      <c r="Y1009" s="391"/>
      <c r="Z1009" s="393"/>
      <c r="AA1009" s="355" t="str">
        <f t="shared" si="1"/>
        <v/>
      </c>
      <c r="AB1009" s="391"/>
      <c r="AC1009" s="394" t="str">
        <f t="shared" si="2"/>
        <v/>
      </c>
      <c r="AD1009" s="389"/>
      <c r="AE1009" s="399"/>
      <c r="AF1009" s="395"/>
      <c r="AG1009" s="396" t="str">
        <f t="shared" si="3"/>
        <v/>
      </c>
      <c r="AH1009" s="396" t="str">
        <f t="shared" si="4"/>
        <v/>
      </c>
      <c r="AI1009" s="388"/>
      <c r="AJ1009" s="388"/>
      <c r="AK1009" s="397"/>
    </row>
    <row r="1010">
      <c r="A1010" s="398"/>
      <c r="B1010" s="386"/>
      <c r="C1010" s="387" t="str">
        <f>IF(A1010="","",IFERROR(IF(VLOOKUP(A1010,'1. Inbound Leads'!A:G,7,FALSE)=0,"",VLOOKUP(A1010,'1. Inbound Leads'!A:G,7,FALSE)),""))</f>
        <v/>
      </c>
      <c r="D1010" s="387" t="str">
        <f>IF(A1010="","",IFERROR(IF(VLOOKUP(A1010,'1. Inbound Leads'!A:L,12,FALSE)=0,"",VLOOKUP(A1010,'1. Inbound Leads'!A:L,12,FALSE)),""))</f>
        <v/>
      </c>
      <c r="E1010" s="388"/>
      <c r="F1010" s="389"/>
      <c r="G1010" s="387"/>
      <c r="H1010" s="387"/>
      <c r="I1010" s="387"/>
      <c r="J1010" s="387"/>
      <c r="K1010" s="387"/>
      <c r="L1010" s="387"/>
      <c r="M1010" s="388"/>
      <c r="N1010" s="388"/>
      <c r="O1010" s="390"/>
      <c r="P1010" s="391"/>
      <c r="Q1010" s="389"/>
      <c r="R1010" s="390"/>
      <c r="S1010" s="390"/>
      <c r="T1010" s="391"/>
      <c r="U1010" s="392"/>
      <c r="V1010" s="391"/>
      <c r="W1010" s="391"/>
      <c r="X1010" s="388"/>
      <c r="Y1010" s="391"/>
      <c r="Z1010" s="393"/>
      <c r="AA1010" s="355" t="str">
        <f t="shared" si="1"/>
        <v/>
      </c>
      <c r="AB1010" s="391"/>
      <c r="AC1010" s="394" t="str">
        <f t="shared" si="2"/>
        <v/>
      </c>
      <c r="AD1010" s="389"/>
      <c r="AE1010" s="399"/>
      <c r="AF1010" s="395"/>
      <c r="AG1010" s="396" t="str">
        <f t="shared" si="3"/>
        <v/>
      </c>
      <c r="AH1010" s="396" t="str">
        <f t="shared" si="4"/>
        <v/>
      </c>
      <c r="AI1010" s="388"/>
      <c r="AJ1010" s="388"/>
      <c r="AK1010" s="397"/>
    </row>
    <row r="1011">
      <c r="A1011" s="398"/>
      <c r="B1011" s="386"/>
      <c r="C1011" s="387" t="str">
        <f>IF(A1011="","",IFERROR(IF(VLOOKUP(A1011,'1. Inbound Leads'!A:G,7,FALSE)=0,"",VLOOKUP(A1011,'1. Inbound Leads'!A:G,7,FALSE)),""))</f>
        <v/>
      </c>
      <c r="D1011" s="387" t="str">
        <f>IF(A1011="","",IFERROR(IF(VLOOKUP(A1011,'1. Inbound Leads'!A:L,12,FALSE)=0,"",VLOOKUP(A1011,'1. Inbound Leads'!A:L,12,FALSE)),""))</f>
        <v/>
      </c>
      <c r="E1011" s="388"/>
      <c r="F1011" s="389"/>
      <c r="G1011" s="387"/>
      <c r="H1011" s="387"/>
      <c r="I1011" s="387"/>
      <c r="J1011" s="387"/>
      <c r="K1011" s="387"/>
      <c r="L1011" s="387"/>
      <c r="M1011" s="388"/>
      <c r="N1011" s="388"/>
      <c r="O1011" s="390"/>
      <c r="P1011" s="391"/>
      <c r="Q1011" s="389"/>
      <c r="R1011" s="390"/>
      <c r="S1011" s="390"/>
      <c r="T1011" s="391"/>
      <c r="U1011" s="392"/>
      <c r="V1011" s="391"/>
      <c r="W1011" s="391"/>
      <c r="X1011" s="388"/>
      <c r="Y1011" s="391"/>
      <c r="Z1011" s="393"/>
      <c r="AA1011" s="355" t="str">
        <f t="shared" si="1"/>
        <v/>
      </c>
      <c r="AB1011" s="391"/>
      <c r="AC1011" s="394" t="str">
        <f t="shared" si="2"/>
        <v/>
      </c>
      <c r="AD1011" s="389"/>
      <c r="AE1011" s="399"/>
      <c r="AF1011" s="395"/>
      <c r="AG1011" s="396" t="str">
        <f t="shared" si="3"/>
        <v/>
      </c>
      <c r="AH1011" s="396" t="str">
        <f t="shared" si="4"/>
        <v/>
      </c>
      <c r="AI1011" s="388"/>
      <c r="AJ1011" s="388"/>
      <c r="AK1011" s="397"/>
    </row>
    <row r="1012">
      <c r="A1012" s="398"/>
      <c r="B1012" s="386"/>
      <c r="C1012" s="387" t="str">
        <f>IF(A1012="","",IFERROR(IF(VLOOKUP(A1012,'1. Inbound Leads'!A:G,7,FALSE)=0,"",VLOOKUP(A1012,'1. Inbound Leads'!A:G,7,FALSE)),""))</f>
        <v/>
      </c>
      <c r="D1012" s="387" t="str">
        <f>IF(A1012="","",IFERROR(IF(VLOOKUP(A1012,'1. Inbound Leads'!A:L,12,FALSE)=0,"",VLOOKUP(A1012,'1. Inbound Leads'!A:L,12,FALSE)),""))</f>
        <v/>
      </c>
      <c r="E1012" s="388"/>
      <c r="F1012" s="389"/>
      <c r="G1012" s="387"/>
      <c r="H1012" s="387"/>
      <c r="I1012" s="387"/>
      <c r="J1012" s="387"/>
      <c r="K1012" s="387"/>
      <c r="L1012" s="387"/>
      <c r="M1012" s="388"/>
      <c r="N1012" s="388"/>
      <c r="O1012" s="390"/>
      <c r="P1012" s="391"/>
      <c r="Q1012" s="389"/>
      <c r="R1012" s="390"/>
      <c r="S1012" s="390"/>
      <c r="T1012" s="391"/>
      <c r="U1012" s="392"/>
      <c r="V1012" s="391"/>
      <c r="W1012" s="391"/>
      <c r="X1012" s="388"/>
      <c r="Y1012" s="391"/>
      <c r="Z1012" s="393"/>
      <c r="AA1012" s="355" t="str">
        <f t="shared" si="1"/>
        <v/>
      </c>
      <c r="AB1012" s="391"/>
      <c r="AC1012" s="394" t="str">
        <f t="shared" si="2"/>
        <v/>
      </c>
      <c r="AD1012" s="389"/>
      <c r="AE1012" s="399"/>
      <c r="AF1012" s="395"/>
      <c r="AG1012" s="396" t="str">
        <f t="shared" si="3"/>
        <v/>
      </c>
      <c r="AH1012" s="396" t="str">
        <f t="shared" si="4"/>
        <v/>
      </c>
      <c r="AI1012" s="388"/>
      <c r="AJ1012" s="388"/>
      <c r="AK1012" s="397"/>
    </row>
    <row r="1013">
      <c r="A1013" s="398"/>
      <c r="B1013" s="386"/>
      <c r="C1013" s="387" t="str">
        <f>IF(A1013="","",IFERROR(IF(VLOOKUP(A1013,'1. Inbound Leads'!A:G,7,FALSE)=0,"",VLOOKUP(A1013,'1. Inbound Leads'!A:G,7,FALSE)),""))</f>
        <v/>
      </c>
      <c r="D1013" s="387" t="str">
        <f>IF(A1013="","",IFERROR(IF(VLOOKUP(A1013,'1. Inbound Leads'!A:L,12,FALSE)=0,"",VLOOKUP(A1013,'1. Inbound Leads'!A:L,12,FALSE)),""))</f>
        <v/>
      </c>
      <c r="E1013" s="388"/>
      <c r="F1013" s="389"/>
      <c r="G1013" s="387"/>
      <c r="H1013" s="387"/>
      <c r="I1013" s="387"/>
      <c r="J1013" s="387"/>
      <c r="K1013" s="387"/>
      <c r="L1013" s="387"/>
      <c r="M1013" s="388"/>
      <c r="N1013" s="388"/>
      <c r="O1013" s="390"/>
      <c r="P1013" s="391"/>
      <c r="Q1013" s="389"/>
      <c r="R1013" s="390"/>
      <c r="S1013" s="390"/>
      <c r="T1013" s="391"/>
      <c r="U1013" s="392"/>
      <c r="V1013" s="391"/>
      <c r="W1013" s="391"/>
      <c r="X1013" s="388"/>
      <c r="Y1013" s="391"/>
      <c r="Z1013" s="393"/>
      <c r="AA1013" s="355" t="str">
        <f t="shared" si="1"/>
        <v/>
      </c>
      <c r="AB1013" s="391"/>
      <c r="AC1013" s="394" t="str">
        <f t="shared" si="2"/>
        <v/>
      </c>
      <c r="AD1013" s="389"/>
      <c r="AE1013" s="399"/>
      <c r="AF1013" s="395"/>
      <c r="AG1013" s="396" t="str">
        <f t="shared" si="3"/>
        <v/>
      </c>
      <c r="AH1013" s="396" t="str">
        <f t="shared" si="4"/>
        <v/>
      </c>
      <c r="AI1013" s="388"/>
      <c r="AJ1013" s="388"/>
      <c r="AK1013" s="397"/>
    </row>
    <row r="1014">
      <c r="A1014" s="398"/>
      <c r="B1014" s="386"/>
      <c r="C1014" s="387" t="str">
        <f>IF(A1014="","",IFERROR(IF(VLOOKUP(A1014,'1. Inbound Leads'!A:G,7,FALSE)=0,"",VLOOKUP(A1014,'1. Inbound Leads'!A:G,7,FALSE)),""))</f>
        <v/>
      </c>
      <c r="D1014" s="387" t="str">
        <f>IF(A1014="","",IFERROR(IF(VLOOKUP(A1014,'1. Inbound Leads'!A:L,12,FALSE)=0,"",VLOOKUP(A1014,'1. Inbound Leads'!A:L,12,FALSE)),""))</f>
        <v/>
      </c>
      <c r="E1014" s="388"/>
      <c r="F1014" s="389"/>
      <c r="G1014" s="387"/>
      <c r="H1014" s="387"/>
      <c r="I1014" s="387"/>
      <c r="J1014" s="387"/>
      <c r="K1014" s="387"/>
      <c r="L1014" s="387"/>
      <c r="M1014" s="388"/>
      <c r="N1014" s="388"/>
      <c r="O1014" s="390"/>
      <c r="P1014" s="391"/>
      <c r="Q1014" s="389"/>
      <c r="R1014" s="390"/>
      <c r="S1014" s="390"/>
      <c r="T1014" s="391"/>
      <c r="U1014" s="392"/>
      <c r="V1014" s="391"/>
      <c r="W1014" s="391"/>
      <c r="X1014" s="388"/>
      <c r="Y1014" s="391"/>
      <c r="Z1014" s="393"/>
      <c r="AA1014" s="355" t="str">
        <f t="shared" si="1"/>
        <v/>
      </c>
      <c r="AB1014" s="391"/>
      <c r="AC1014" s="394" t="str">
        <f t="shared" si="2"/>
        <v/>
      </c>
      <c r="AD1014" s="389"/>
      <c r="AE1014" s="399"/>
      <c r="AF1014" s="395"/>
      <c r="AG1014" s="396" t="str">
        <f t="shared" si="3"/>
        <v/>
      </c>
      <c r="AH1014" s="396" t="str">
        <f t="shared" si="4"/>
        <v/>
      </c>
      <c r="AI1014" s="388"/>
      <c r="AJ1014" s="388"/>
      <c r="AK1014" s="397"/>
    </row>
    <row r="1015">
      <c r="A1015" s="398"/>
      <c r="B1015" s="386"/>
      <c r="C1015" s="387" t="str">
        <f>IF(A1015="","",IFERROR(IF(VLOOKUP(A1015,'1. Inbound Leads'!A:G,7,FALSE)=0,"",VLOOKUP(A1015,'1. Inbound Leads'!A:G,7,FALSE)),""))</f>
        <v/>
      </c>
      <c r="D1015" s="387" t="str">
        <f>IF(A1015="","",IFERROR(IF(VLOOKUP(A1015,'1. Inbound Leads'!A:L,12,FALSE)=0,"",VLOOKUP(A1015,'1. Inbound Leads'!A:L,12,FALSE)),""))</f>
        <v/>
      </c>
      <c r="E1015" s="388"/>
      <c r="F1015" s="389"/>
      <c r="G1015" s="387"/>
      <c r="H1015" s="387"/>
      <c r="I1015" s="387"/>
      <c r="J1015" s="387"/>
      <c r="K1015" s="387"/>
      <c r="L1015" s="387"/>
      <c r="M1015" s="388"/>
      <c r="N1015" s="388"/>
      <c r="O1015" s="390"/>
      <c r="P1015" s="391"/>
      <c r="Q1015" s="389"/>
      <c r="R1015" s="390"/>
      <c r="S1015" s="390"/>
      <c r="T1015" s="391"/>
      <c r="U1015" s="392"/>
      <c r="V1015" s="391"/>
      <c r="W1015" s="391"/>
      <c r="X1015" s="388"/>
      <c r="Y1015" s="391"/>
      <c r="Z1015" s="393"/>
      <c r="AA1015" s="355" t="str">
        <f t="shared" si="1"/>
        <v/>
      </c>
      <c r="AB1015" s="391"/>
      <c r="AC1015" s="394" t="str">
        <f t="shared" si="2"/>
        <v/>
      </c>
      <c r="AD1015" s="389"/>
      <c r="AE1015" s="399"/>
      <c r="AF1015" s="395"/>
      <c r="AG1015" s="396" t="str">
        <f t="shared" si="3"/>
        <v/>
      </c>
      <c r="AH1015" s="396" t="str">
        <f t="shared" si="4"/>
        <v/>
      </c>
      <c r="AI1015" s="388"/>
      <c r="AJ1015" s="388"/>
      <c r="AK1015" s="397"/>
    </row>
    <row r="1016">
      <c r="A1016" s="398"/>
      <c r="B1016" s="386"/>
      <c r="C1016" s="387" t="str">
        <f>IF(A1016="","",IFERROR(IF(VLOOKUP(A1016,'1. Inbound Leads'!A:G,7,FALSE)=0,"",VLOOKUP(A1016,'1. Inbound Leads'!A:G,7,FALSE)),""))</f>
        <v/>
      </c>
      <c r="D1016" s="387" t="str">
        <f>IF(A1016="","",IFERROR(IF(VLOOKUP(A1016,'1. Inbound Leads'!A:L,12,FALSE)=0,"",VLOOKUP(A1016,'1. Inbound Leads'!A:L,12,FALSE)),""))</f>
        <v/>
      </c>
      <c r="E1016" s="388"/>
      <c r="F1016" s="389"/>
      <c r="G1016" s="387"/>
      <c r="H1016" s="387"/>
      <c r="I1016" s="387"/>
      <c r="J1016" s="387"/>
      <c r="K1016" s="387"/>
      <c r="L1016" s="387"/>
      <c r="M1016" s="388"/>
      <c r="N1016" s="388"/>
      <c r="O1016" s="390"/>
      <c r="P1016" s="391"/>
      <c r="Q1016" s="389"/>
      <c r="R1016" s="390"/>
      <c r="S1016" s="390"/>
      <c r="T1016" s="391"/>
      <c r="U1016" s="392"/>
      <c r="V1016" s="391"/>
      <c r="W1016" s="391"/>
      <c r="X1016" s="388"/>
      <c r="Y1016" s="391"/>
      <c r="Z1016" s="393"/>
      <c r="AA1016" s="355" t="str">
        <f t="shared" si="1"/>
        <v/>
      </c>
      <c r="AB1016" s="391"/>
      <c r="AC1016" s="394" t="str">
        <f t="shared" si="2"/>
        <v/>
      </c>
      <c r="AD1016" s="389"/>
      <c r="AE1016" s="399"/>
      <c r="AF1016" s="395"/>
      <c r="AG1016" s="396" t="str">
        <f t="shared" si="3"/>
        <v/>
      </c>
      <c r="AH1016" s="396" t="str">
        <f t="shared" si="4"/>
        <v/>
      </c>
      <c r="AI1016" s="388"/>
      <c r="AJ1016" s="388"/>
      <c r="AK1016" s="397"/>
    </row>
    <row r="1017">
      <c r="A1017" s="398"/>
      <c r="B1017" s="386"/>
      <c r="C1017" s="387" t="str">
        <f>IF(A1017="","",IFERROR(IF(VLOOKUP(A1017,'1. Inbound Leads'!A:G,7,FALSE)=0,"",VLOOKUP(A1017,'1. Inbound Leads'!A:G,7,FALSE)),""))</f>
        <v/>
      </c>
      <c r="D1017" s="387" t="str">
        <f>IF(A1017="","",IFERROR(IF(VLOOKUP(A1017,'1. Inbound Leads'!A:L,12,FALSE)=0,"",VLOOKUP(A1017,'1. Inbound Leads'!A:L,12,FALSE)),""))</f>
        <v/>
      </c>
      <c r="E1017" s="388"/>
      <c r="F1017" s="389"/>
      <c r="G1017" s="387"/>
      <c r="H1017" s="387"/>
      <c r="I1017" s="387"/>
      <c r="J1017" s="387"/>
      <c r="K1017" s="387"/>
      <c r="L1017" s="387"/>
      <c r="M1017" s="388"/>
      <c r="N1017" s="388"/>
      <c r="O1017" s="390"/>
      <c r="P1017" s="391"/>
      <c r="Q1017" s="389"/>
      <c r="R1017" s="390"/>
      <c r="S1017" s="390"/>
      <c r="T1017" s="391"/>
      <c r="U1017" s="392"/>
      <c r="V1017" s="391"/>
      <c r="W1017" s="391"/>
      <c r="X1017" s="388"/>
      <c r="Y1017" s="391"/>
      <c r="Z1017" s="393"/>
      <c r="AA1017" s="355" t="str">
        <f t="shared" si="1"/>
        <v/>
      </c>
      <c r="AB1017" s="391"/>
      <c r="AC1017" s="394" t="str">
        <f t="shared" si="2"/>
        <v/>
      </c>
      <c r="AD1017" s="389"/>
      <c r="AE1017" s="399"/>
      <c r="AF1017" s="395"/>
      <c r="AG1017" s="396" t="str">
        <f t="shared" si="3"/>
        <v/>
      </c>
      <c r="AH1017" s="396" t="str">
        <f t="shared" si="4"/>
        <v/>
      </c>
      <c r="AI1017" s="388"/>
      <c r="AJ1017" s="388"/>
      <c r="AK1017" s="397"/>
    </row>
    <row r="1018">
      <c r="A1018" s="398"/>
      <c r="B1018" s="386"/>
      <c r="C1018" s="387" t="str">
        <f>IF(A1018="","",IFERROR(IF(VLOOKUP(A1018,'1. Inbound Leads'!A:G,7,FALSE)=0,"",VLOOKUP(A1018,'1. Inbound Leads'!A:G,7,FALSE)),""))</f>
        <v/>
      </c>
      <c r="D1018" s="387" t="str">
        <f>IF(A1018="","",IFERROR(IF(VLOOKUP(A1018,'1. Inbound Leads'!A:L,12,FALSE)=0,"",VLOOKUP(A1018,'1. Inbound Leads'!A:L,12,FALSE)),""))</f>
        <v/>
      </c>
      <c r="E1018" s="388"/>
      <c r="F1018" s="389"/>
      <c r="G1018" s="387"/>
      <c r="H1018" s="387"/>
      <c r="I1018" s="387"/>
      <c r="J1018" s="387"/>
      <c r="K1018" s="387"/>
      <c r="L1018" s="387"/>
      <c r="M1018" s="388"/>
      <c r="N1018" s="388"/>
      <c r="O1018" s="390"/>
      <c r="P1018" s="391"/>
      <c r="Q1018" s="389"/>
      <c r="R1018" s="390"/>
      <c r="S1018" s="390"/>
      <c r="T1018" s="391"/>
      <c r="U1018" s="392"/>
      <c r="V1018" s="391"/>
      <c r="W1018" s="391"/>
      <c r="X1018" s="388"/>
      <c r="Y1018" s="391"/>
      <c r="Z1018" s="393"/>
      <c r="AA1018" s="355" t="str">
        <f t="shared" si="1"/>
        <v/>
      </c>
      <c r="AB1018" s="391"/>
      <c r="AC1018" s="394" t="str">
        <f t="shared" si="2"/>
        <v/>
      </c>
      <c r="AD1018" s="389"/>
      <c r="AE1018" s="399"/>
      <c r="AF1018" s="395"/>
      <c r="AG1018" s="396" t="str">
        <f t="shared" si="3"/>
        <v/>
      </c>
      <c r="AH1018" s="396" t="str">
        <f t="shared" si="4"/>
        <v/>
      </c>
      <c r="AI1018" s="388"/>
      <c r="AJ1018" s="388"/>
      <c r="AK1018" s="397"/>
    </row>
    <row r="1019">
      <c r="A1019" s="398"/>
      <c r="B1019" s="386"/>
      <c r="C1019" s="387" t="str">
        <f>IF(A1019="","",IFERROR(IF(VLOOKUP(A1019,'1. Inbound Leads'!A:G,7,FALSE)=0,"",VLOOKUP(A1019,'1. Inbound Leads'!A:G,7,FALSE)),""))</f>
        <v/>
      </c>
      <c r="D1019" s="387" t="str">
        <f>IF(A1019="","",IFERROR(IF(VLOOKUP(A1019,'1. Inbound Leads'!A:L,12,FALSE)=0,"",VLOOKUP(A1019,'1. Inbound Leads'!A:L,12,FALSE)),""))</f>
        <v/>
      </c>
      <c r="E1019" s="388"/>
      <c r="F1019" s="389"/>
      <c r="G1019" s="387"/>
      <c r="H1019" s="387"/>
      <c r="I1019" s="387"/>
      <c r="J1019" s="387"/>
      <c r="K1019" s="387"/>
      <c r="L1019" s="387"/>
      <c r="M1019" s="388"/>
      <c r="N1019" s="388"/>
      <c r="O1019" s="390"/>
      <c r="P1019" s="391"/>
      <c r="Q1019" s="389"/>
      <c r="R1019" s="390"/>
      <c r="S1019" s="390"/>
      <c r="T1019" s="391"/>
      <c r="U1019" s="392"/>
      <c r="V1019" s="391"/>
      <c r="W1019" s="391"/>
      <c r="X1019" s="388"/>
      <c r="Y1019" s="391"/>
      <c r="Z1019" s="393"/>
      <c r="AA1019" s="355" t="str">
        <f t="shared" si="1"/>
        <v/>
      </c>
      <c r="AB1019" s="391"/>
      <c r="AC1019" s="394" t="str">
        <f t="shared" si="2"/>
        <v/>
      </c>
      <c r="AD1019" s="389"/>
      <c r="AE1019" s="399"/>
      <c r="AF1019" s="395"/>
      <c r="AG1019" s="396" t="str">
        <f t="shared" si="3"/>
        <v/>
      </c>
      <c r="AH1019" s="396" t="str">
        <f t="shared" si="4"/>
        <v/>
      </c>
      <c r="AI1019" s="388"/>
      <c r="AJ1019" s="388"/>
      <c r="AK1019" s="397"/>
    </row>
    <row r="1020">
      <c r="A1020" s="398"/>
      <c r="B1020" s="386"/>
      <c r="C1020" s="387" t="str">
        <f>IF(A1020="","",IFERROR(IF(VLOOKUP(A1020,'1. Inbound Leads'!A:G,7,FALSE)=0,"",VLOOKUP(A1020,'1. Inbound Leads'!A:G,7,FALSE)),""))</f>
        <v/>
      </c>
      <c r="D1020" s="387" t="str">
        <f>IF(A1020="","",IFERROR(IF(VLOOKUP(A1020,'1. Inbound Leads'!A:L,12,FALSE)=0,"",VLOOKUP(A1020,'1. Inbound Leads'!A:L,12,FALSE)),""))</f>
        <v/>
      </c>
      <c r="E1020" s="388"/>
      <c r="F1020" s="389"/>
      <c r="G1020" s="387"/>
      <c r="H1020" s="387"/>
      <c r="I1020" s="387"/>
      <c r="J1020" s="387"/>
      <c r="K1020" s="387"/>
      <c r="L1020" s="387"/>
      <c r="M1020" s="388"/>
      <c r="N1020" s="388"/>
      <c r="O1020" s="390"/>
      <c r="P1020" s="391"/>
      <c r="Q1020" s="389"/>
      <c r="R1020" s="390"/>
      <c r="S1020" s="390"/>
      <c r="T1020" s="391"/>
      <c r="U1020" s="392"/>
      <c r="V1020" s="391"/>
      <c r="W1020" s="391"/>
      <c r="X1020" s="388"/>
      <c r="Y1020" s="391"/>
      <c r="Z1020" s="393"/>
      <c r="AA1020" s="355" t="str">
        <f t="shared" si="1"/>
        <v/>
      </c>
      <c r="AB1020" s="391"/>
      <c r="AC1020" s="394" t="str">
        <f t="shared" si="2"/>
        <v/>
      </c>
      <c r="AD1020" s="389"/>
      <c r="AE1020" s="399"/>
      <c r="AF1020" s="395"/>
      <c r="AG1020" s="396" t="str">
        <f t="shared" si="3"/>
        <v/>
      </c>
      <c r="AH1020" s="396" t="str">
        <f t="shared" si="4"/>
        <v/>
      </c>
      <c r="AI1020" s="388"/>
      <c r="AJ1020" s="388"/>
      <c r="AK1020" s="397"/>
    </row>
    <row r="1021">
      <c r="A1021" s="398"/>
      <c r="B1021" s="386"/>
      <c r="C1021" s="387" t="str">
        <f>IF(A1021="","",IFERROR(IF(VLOOKUP(A1021,'1. Inbound Leads'!A:G,7,FALSE)=0,"",VLOOKUP(A1021,'1. Inbound Leads'!A:G,7,FALSE)),""))</f>
        <v/>
      </c>
      <c r="D1021" s="387" t="str">
        <f>IF(A1021="","",IFERROR(IF(VLOOKUP(A1021,'1. Inbound Leads'!A:L,12,FALSE)=0,"",VLOOKUP(A1021,'1. Inbound Leads'!A:L,12,FALSE)),""))</f>
        <v/>
      </c>
      <c r="E1021" s="388"/>
      <c r="F1021" s="389"/>
      <c r="G1021" s="387"/>
      <c r="H1021" s="387"/>
      <c r="I1021" s="387"/>
      <c r="J1021" s="387"/>
      <c r="K1021" s="387"/>
      <c r="L1021" s="387"/>
      <c r="M1021" s="388"/>
      <c r="N1021" s="388"/>
      <c r="O1021" s="390"/>
      <c r="P1021" s="391"/>
      <c r="Q1021" s="389"/>
      <c r="R1021" s="390"/>
      <c r="S1021" s="390"/>
      <c r="T1021" s="391"/>
      <c r="U1021" s="392"/>
      <c r="V1021" s="391"/>
      <c r="W1021" s="391"/>
      <c r="X1021" s="388"/>
      <c r="Y1021" s="391"/>
      <c r="Z1021" s="393"/>
      <c r="AA1021" s="355" t="str">
        <f t="shared" si="1"/>
        <v/>
      </c>
      <c r="AB1021" s="391"/>
      <c r="AC1021" s="394" t="str">
        <f t="shared" si="2"/>
        <v/>
      </c>
      <c r="AD1021" s="389"/>
      <c r="AE1021" s="399"/>
      <c r="AF1021" s="395"/>
      <c r="AG1021" s="396" t="str">
        <f t="shared" si="3"/>
        <v/>
      </c>
      <c r="AH1021" s="396" t="str">
        <f t="shared" si="4"/>
        <v/>
      </c>
      <c r="AI1021" s="388"/>
      <c r="AJ1021" s="388"/>
      <c r="AK1021" s="397"/>
    </row>
    <row r="1022">
      <c r="A1022" s="398"/>
      <c r="B1022" s="386"/>
      <c r="C1022" s="387" t="str">
        <f>IF(A1022="","",IFERROR(IF(VLOOKUP(A1022,'1. Inbound Leads'!A:G,7,FALSE)=0,"",VLOOKUP(A1022,'1. Inbound Leads'!A:G,7,FALSE)),""))</f>
        <v/>
      </c>
      <c r="D1022" s="387" t="str">
        <f>IF(A1022="","",IFERROR(IF(VLOOKUP(A1022,'1. Inbound Leads'!A:L,12,FALSE)=0,"",VLOOKUP(A1022,'1. Inbound Leads'!A:L,12,FALSE)),""))</f>
        <v/>
      </c>
      <c r="E1022" s="388"/>
      <c r="F1022" s="389"/>
      <c r="G1022" s="387"/>
      <c r="H1022" s="387"/>
      <c r="I1022" s="387"/>
      <c r="J1022" s="387"/>
      <c r="K1022" s="387"/>
      <c r="L1022" s="387"/>
      <c r="M1022" s="388"/>
      <c r="N1022" s="388"/>
      <c r="O1022" s="390"/>
      <c r="P1022" s="391"/>
      <c r="Q1022" s="389"/>
      <c r="R1022" s="390"/>
      <c r="S1022" s="390"/>
      <c r="T1022" s="391"/>
      <c r="U1022" s="392"/>
      <c r="V1022" s="391"/>
      <c r="W1022" s="391"/>
      <c r="X1022" s="388"/>
      <c r="Y1022" s="391"/>
      <c r="Z1022" s="393"/>
      <c r="AA1022" s="355" t="str">
        <f t="shared" si="1"/>
        <v/>
      </c>
      <c r="AB1022" s="391"/>
      <c r="AC1022" s="394" t="str">
        <f t="shared" si="2"/>
        <v/>
      </c>
      <c r="AD1022" s="389"/>
      <c r="AE1022" s="399"/>
      <c r="AF1022" s="395"/>
      <c r="AG1022" s="396" t="str">
        <f t="shared" si="3"/>
        <v/>
      </c>
      <c r="AH1022" s="396" t="str">
        <f t="shared" si="4"/>
        <v/>
      </c>
      <c r="AI1022" s="388"/>
      <c r="AJ1022" s="388"/>
      <c r="AK1022" s="397"/>
    </row>
    <row r="1023">
      <c r="A1023" s="398"/>
      <c r="B1023" s="386"/>
      <c r="C1023" s="387" t="str">
        <f>IF(A1023="","",IFERROR(IF(VLOOKUP(A1023,'1. Inbound Leads'!A:G,7,FALSE)=0,"",VLOOKUP(A1023,'1. Inbound Leads'!A:G,7,FALSE)),""))</f>
        <v/>
      </c>
      <c r="D1023" s="387" t="str">
        <f>IF(A1023="","",IFERROR(IF(VLOOKUP(A1023,'1. Inbound Leads'!A:L,12,FALSE)=0,"",VLOOKUP(A1023,'1. Inbound Leads'!A:L,12,FALSE)),""))</f>
        <v/>
      </c>
      <c r="E1023" s="388"/>
      <c r="F1023" s="389"/>
      <c r="G1023" s="387"/>
      <c r="H1023" s="387"/>
      <c r="I1023" s="387"/>
      <c r="J1023" s="387"/>
      <c r="K1023" s="387"/>
      <c r="L1023" s="387"/>
      <c r="M1023" s="388"/>
      <c r="N1023" s="388"/>
      <c r="O1023" s="390"/>
      <c r="P1023" s="391"/>
      <c r="Q1023" s="389"/>
      <c r="R1023" s="390"/>
      <c r="S1023" s="390"/>
      <c r="T1023" s="391"/>
      <c r="U1023" s="392"/>
      <c r="V1023" s="391"/>
      <c r="W1023" s="391"/>
      <c r="X1023" s="388"/>
      <c r="Y1023" s="391"/>
      <c r="Z1023" s="393"/>
      <c r="AA1023" s="355" t="str">
        <f t="shared" si="1"/>
        <v/>
      </c>
      <c r="AB1023" s="391"/>
      <c r="AC1023" s="394" t="str">
        <f t="shared" si="2"/>
        <v/>
      </c>
      <c r="AD1023" s="389"/>
      <c r="AE1023" s="399"/>
      <c r="AF1023" s="395"/>
      <c r="AG1023" s="396" t="str">
        <f t="shared" si="3"/>
        <v/>
      </c>
      <c r="AH1023" s="396" t="str">
        <f t="shared" si="4"/>
        <v/>
      </c>
      <c r="AI1023" s="388"/>
      <c r="AJ1023" s="388"/>
      <c r="AK1023" s="397"/>
    </row>
    <row r="1024">
      <c r="A1024" s="398"/>
      <c r="B1024" s="386"/>
      <c r="C1024" s="387" t="str">
        <f>IF(A1024="","",IFERROR(IF(VLOOKUP(A1024,'1. Inbound Leads'!A:G,7,FALSE)=0,"",VLOOKUP(A1024,'1. Inbound Leads'!A:G,7,FALSE)),""))</f>
        <v/>
      </c>
      <c r="D1024" s="387" t="str">
        <f>IF(A1024="","",IFERROR(IF(VLOOKUP(A1024,'1. Inbound Leads'!A:L,12,FALSE)=0,"",VLOOKUP(A1024,'1. Inbound Leads'!A:L,12,FALSE)),""))</f>
        <v/>
      </c>
      <c r="E1024" s="388"/>
      <c r="F1024" s="389"/>
      <c r="G1024" s="387"/>
      <c r="H1024" s="387"/>
      <c r="I1024" s="387"/>
      <c r="J1024" s="387"/>
      <c r="K1024" s="387"/>
      <c r="L1024" s="387"/>
      <c r="M1024" s="388"/>
      <c r="N1024" s="388"/>
      <c r="O1024" s="390"/>
      <c r="P1024" s="391"/>
      <c r="Q1024" s="389"/>
      <c r="R1024" s="390"/>
      <c r="S1024" s="390"/>
      <c r="T1024" s="391"/>
      <c r="U1024" s="392"/>
      <c r="V1024" s="391"/>
      <c r="W1024" s="391"/>
      <c r="X1024" s="388"/>
      <c r="Y1024" s="391"/>
      <c r="Z1024" s="393"/>
      <c r="AA1024" s="355" t="str">
        <f t="shared" si="1"/>
        <v/>
      </c>
      <c r="AB1024" s="391"/>
      <c r="AC1024" s="394" t="str">
        <f t="shared" si="2"/>
        <v/>
      </c>
      <c r="AD1024" s="389"/>
      <c r="AE1024" s="399"/>
      <c r="AF1024" s="395"/>
      <c r="AG1024" s="396" t="str">
        <f t="shared" si="3"/>
        <v/>
      </c>
      <c r="AH1024" s="396" t="str">
        <f t="shared" si="4"/>
        <v/>
      </c>
      <c r="AI1024" s="388"/>
      <c r="AJ1024" s="388"/>
      <c r="AK1024" s="397"/>
    </row>
    <row r="1025">
      <c r="A1025" s="398"/>
      <c r="B1025" s="386"/>
      <c r="C1025" s="387" t="str">
        <f>IF(A1025="","",IFERROR(IF(VLOOKUP(A1025,'1. Inbound Leads'!A:G,7,FALSE)=0,"",VLOOKUP(A1025,'1. Inbound Leads'!A:G,7,FALSE)),""))</f>
        <v/>
      </c>
      <c r="D1025" s="387" t="str">
        <f>IF(A1025="","",IFERROR(IF(VLOOKUP(A1025,'1. Inbound Leads'!A:L,12,FALSE)=0,"",VLOOKUP(A1025,'1. Inbound Leads'!A:L,12,FALSE)),""))</f>
        <v/>
      </c>
      <c r="E1025" s="388"/>
      <c r="F1025" s="389"/>
      <c r="G1025" s="387"/>
      <c r="H1025" s="387"/>
      <c r="I1025" s="387"/>
      <c r="J1025" s="387"/>
      <c r="K1025" s="387"/>
      <c r="L1025" s="387"/>
      <c r="M1025" s="388"/>
      <c r="N1025" s="388"/>
      <c r="O1025" s="390"/>
      <c r="P1025" s="391"/>
      <c r="Q1025" s="389"/>
      <c r="R1025" s="390"/>
      <c r="S1025" s="390"/>
      <c r="T1025" s="391"/>
      <c r="U1025" s="392"/>
      <c r="V1025" s="391"/>
      <c r="W1025" s="391"/>
      <c r="X1025" s="388"/>
      <c r="Y1025" s="391"/>
      <c r="Z1025" s="393"/>
      <c r="AA1025" s="355" t="str">
        <f t="shared" si="1"/>
        <v/>
      </c>
      <c r="AB1025" s="391"/>
      <c r="AC1025" s="394" t="str">
        <f t="shared" si="2"/>
        <v/>
      </c>
      <c r="AD1025" s="389"/>
      <c r="AE1025" s="399"/>
      <c r="AF1025" s="395"/>
      <c r="AG1025" s="396" t="str">
        <f t="shared" si="3"/>
        <v/>
      </c>
      <c r="AH1025" s="396" t="str">
        <f t="shared" si="4"/>
        <v/>
      </c>
      <c r="AI1025" s="388"/>
      <c r="AJ1025" s="388"/>
      <c r="AK1025" s="397"/>
    </row>
    <row r="1026">
      <c r="A1026" s="398"/>
      <c r="B1026" s="386"/>
      <c r="C1026" s="387" t="str">
        <f>IF(A1026="","",IFERROR(IF(VLOOKUP(A1026,'1. Inbound Leads'!A:G,7,FALSE)=0,"",VLOOKUP(A1026,'1. Inbound Leads'!A:G,7,FALSE)),""))</f>
        <v/>
      </c>
      <c r="D1026" s="387" t="str">
        <f>IF(A1026="","",IFERROR(IF(VLOOKUP(A1026,'1. Inbound Leads'!A:L,12,FALSE)=0,"",VLOOKUP(A1026,'1. Inbound Leads'!A:L,12,FALSE)),""))</f>
        <v/>
      </c>
      <c r="E1026" s="388"/>
      <c r="F1026" s="389"/>
      <c r="G1026" s="387"/>
      <c r="H1026" s="387"/>
      <c r="I1026" s="387"/>
      <c r="J1026" s="387"/>
      <c r="K1026" s="387"/>
      <c r="L1026" s="387"/>
      <c r="M1026" s="388"/>
      <c r="N1026" s="388"/>
      <c r="O1026" s="390"/>
      <c r="P1026" s="391"/>
      <c r="Q1026" s="389"/>
      <c r="R1026" s="390"/>
      <c r="S1026" s="390"/>
      <c r="T1026" s="391"/>
      <c r="U1026" s="392"/>
      <c r="V1026" s="391"/>
      <c r="W1026" s="391"/>
      <c r="X1026" s="388"/>
      <c r="Y1026" s="391"/>
      <c r="Z1026" s="393"/>
      <c r="AA1026" s="355" t="str">
        <f t="shared" si="1"/>
        <v/>
      </c>
      <c r="AB1026" s="391"/>
      <c r="AC1026" s="394" t="str">
        <f t="shared" si="2"/>
        <v/>
      </c>
      <c r="AD1026" s="389"/>
      <c r="AE1026" s="399"/>
      <c r="AF1026" s="395"/>
      <c r="AG1026" s="396" t="str">
        <f t="shared" si="3"/>
        <v/>
      </c>
      <c r="AH1026" s="396" t="str">
        <f t="shared" si="4"/>
        <v/>
      </c>
      <c r="AI1026" s="388"/>
      <c r="AJ1026" s="388"/>
      <c r="AK1026" s="397"/>
    </row>
    <row r="1027">
      <c r="A1027" s="398"/>
      <c r="B1027" s="386"/>
      <c r="C1027" s="387" t="str">
        <f>IF(A1027="","",IFERROR(IF(VLOOKUP(A1027,'1. Inbound Leads'!A:G,7,FALSE)=0,"",VLOOKUP(A1027,'1. Inbound Leads'!A:G,7,FALSE)),""))</f>
        <v/>
      </c>
      <c r="D1027" s="387" t="str">
        <f>IF(A1027="","",IFERROR(IF(VLOOKUP(A1027,'1. Inbound Leads'!A:L,12,FALSE)=0,"",VLOOKUP(A1027,'1. Inbound Leads'!A:L,12,FALSE)),""))</f>
        <v/>
      </c>
      <c r="E1027" s="388"/>
      <c r="F1027" s="389"/>
      <c r="G1027" s="387"/>
      <c r="H1027" s="387"/>
      <c r="I1027" s="387"/>
      <c r="J1027" s="387"/>
      <c r="K1027" s="387"/>
      <c r="L1027" s="387"/>
      <c r="M1027" s="388"/>
      <c r="N1027" s="388"/>
      <c r="O1027" s="390"/>
      <c r="P1027" s="391"/>
      <c r="Q1027" s="389"/>
      <c r="R1027" s="390"/>
      <c r="S1027" s="390"/>
      <c r="T1027" s="391"/>
      <c r="U1027" s="392"/>
      <c r="V1027" s="391"/>
      <c r="W1027" s="391"/>
      <c r="X1027" s="388"/>
      <c r="Y1027" s="391"/>
      <c r="Z1027" s="393"/>
      <c r="AA1027" s="355" t="str">
        <f t="shared" si="1"/>
        <v/>
      </c>
      <c r="AB1027" s="391"/>
      <c r="AC1027" s="394" t="str">
        <f t="shared" si="2"/>
        <v/>
      </c>
      <c r="AD1027" s="389"/>
      <c r="AE1027" s="399"/>
      <c r="AF1027" s="395"/>
      <c r="AG1027" s="396" t="str">
        <f t="shared" si="3"/>
        <v/>
      </c>
      <c r="AH1027" s="396" t="str">
        <f t="shared" si="4"/>
        <v/>
      </c>
      <c r="AI1027" s="388"/>
      <c r="AJ1027" s="388"/>
      <c r="AK1027" s="397"/>
    </row>
    <row r="1028">
      <c r="A1028" s="398"/>
      <c r="B1028" s="386"/>
      <c r="C1028" s="387" t="str">
        <f>IF(A1028="","",IFERROR(IF(VLOOKUP(A1028,'1. Inbound Leads'!A:G,7,FALSE)=0,"",VLOOKUP(A1028,'1. Inbound Leads'!A:G,7,FALSE)),""))</f>
        <v/>
      </c>
      <c r="D1028" s="387" t="str">
        <f>IF(A1028="","",IFERROR(IF(VLOOKUP(A1028,'1. Inbound Leads'!A:L,12,FALSE)=0,"",VLOOKUP(A1028,'1. Inbound Leads'!A:L,12,FALSE)),""))</f>
        <v/>
      </c>
      <c r="E1028" s="388"/>
      <c r="F1028" s="389"/>
      <c r="G1028" s="387"/>
      <c r="H1028" s="387"/>
      <c r="I1028" s="387"/>
      <c r="J1028" s="387"/>
      <c r="K1028" s="387"/>
      <c r="L1028" s="387"/>
      <c r="M1028" s="388"/>
      <c r="N1028" s="388"/>
      <c r="O1028" s="390"/>
      <c r="P1028" s="391"/>
      <c r="Q1028" s="389"/>
      <c r="R1028" s="390"/>
      <c r="S1028" s="390"/>
      <c r="T1028" s="391"/>
      <c r="U1028" s="392"/>
      <c r="V1028" s="391"/>
      <c r="W1028" s="391"/>
      <c r="X1028" s="388"/>
      <c r="Y1028" s="391"/>
      <c r="Z1028" s="393"/>
      <c r="AA1028" s="355" t="str">
        <f t="shared" si="1"/>
        <v/>
      </c>
      <c r="AB1028" s="391"/>
      <c r="AC1028" s="394" t="str">
        <f t="shared" si="2"/>
        <v/>
      </c>
      <c r="AD1028" s="389"/>
      <c r="AE1028" s="399"/>
      <c r="AF1028" s="395"/>
      <c r="AG1028" s="396" t="str">
        <f t="shared" si="3"/>
        <v/>
      </c>
      <c r="AH1028" s="396" t="str">
        <f t="shared" si="4"/>
        <v/>
      </c>
      <c r="AI1028" s="388"/>
      <c r="AJ1028" s="388"/>
      <c r="AK1028" s="397"/>
    </row>
    <row r="1029">
      <c r="A1029" s="398"/>
      <c r="B1029" s="386"/>
      <c r="C1029" s="387" t="str">
        <f>IF(A1029="","",IFERROR(IF(VLOOKUP(A1029,'1. Inbound Leads'!A:G,7,FALSE)=0,"",VLOOKUP(A1029,'1. Inbound Leads'!A:G,7,FALSE)),""))</f>
        <v/>
      </c>
      <c r="D1029" s="387" t="str">
        <f>IF(A1029="","",IFERROR(IF(VLOOKUP(A1029,'1. Inbound Leads'!A:L,12,FALSE)=0,"",VLOOKUP(A1029,'1. Inbound Leads'!A:L,12,FALSE)),""))</f>
        <v/>
      </c>
      <c r="E1029" s="388"/>
      <c r="F1029" s="389"/>
      <c r="G1029" s="387"/>
      <c r="H1029" s="387"/>
      <c r="I1029" s="387"/>
      <c r="J1029" s="387"/>
      <c r="K1029" s="387"/>
      <c r="L1029" s="387"/>
      <c r="M1029" s="388"/>
      <c r="N1029" s="388"/>
      <c r="O1029" s="390"/>
      <c r="P1029" s="391"/>
      <c r="Q1029" s="389"/>
      <c r="R1029" s="390"/>
      <c r="S1029" s="390"/>
      <c r="T1029" s="391"/>
      <c r="U1029" s="392"/>
      <c r="V1029" s="391"/>
      <c r="W1029" s="391"/>
      <c r="X1029" s="388"/>
      <c r="Y1029" s="391"/>
      <c r="Z1029" s="393"/>
      <c r="AA1029" s="355" t="str">
        <f t="shared" si="1"/>
        <v/>
      </c>
      <c r="AB1029" s="391"/>
      <c r="AC1029" s="394" t="str">
        <f t="shared" si="2"/>
        <v/>
      </c>
      <c r="AD1029" s="389"/>
      <c r="AE1029" s="399"/>
      <c r="AF1029" s="395"/>
      <c r="AG1029" s="396" t="str">
        <f t="shared" si="3"/>
        <v/>
      </c>
      <c r="AH1029" s="396" t="str">
        <f t="shared" si="4"/>
        <v/>
      </c>
      <c r="AI1029" s="388"/>
      <c r="AJ1029" s="388"/>
      <c r="AK1029" s="397"/>
    </row>
    <row r="1030">
      <c r="A1030" s="398"/>
      <c r="B1030" s="386"/>
      <c r="C1030" s="387" t="str">
        <f>IF(A1030="","",IFERROR(IF(VLOOKUP(A1030,'1. Inbound Leads'!A:G,7,FALSE)=0,"",VLOOKUP(A1030,'1. Inbound Leads'!A:G,7,FALSE)),""))</f>
        <v/>
      </c>
      <c r="D1030" s="387" t="str">
        <f>IF(A1030="","",IFERROR(IF(VLOOKUP(A1030,'1. Inbound Leads'!A:L,12,FALSE)=0,"",VLOOKUP(A1030,'1. Inbound Leads'!A:L,12,FALSE)),""))</f>
        <v/>
      </c>
      <c r="E1030" s="388"/>
      <c r="F1030" s="389"/>
      <c r="G1030" s="387"/>
      <c r="H1030" s="387"/>
      <c r="I1030" s="387"/>
      <c r="J1030" s="387"/>
      <c r="K1030" s="387"/>
      <c r="L1030" s="387"/>
      <c r="M1030" s="388"/>
      <c r="N1030" s="388"/>
      <c r="O1030" s="390"/>
      <c r="P1030" s="391"/>
      <c r="Q1030" s="389"/>
      <c r="R1030" s="390"/>
      <c r="S1030" s="390"/>
      <c r="T1030" s="391"/>
      <c r="U1030" s="392"/>
      <c r="V1030" s="391"/>
      <c r="W1030" s="391"/>
      <c r="X1030" s="388"/>
      <c r="Y1030" s="391"/>
      <c r="Z1030" s="393"/>
      <c r="AA1030" s="355" t="str">
        <f t="shared" si="1"/>
        <v/>
      </c>
      <c r="AB1030" s="391"/>
      <c r="AC1030" s="394" t="str">
        <f t="shared" si="2"/>
        <v/>
      </c>
      <c r="AD1030" s="389"/>
      <c r="AE1030" s="399"/>
      <c r="AF1030" s="395"/>
      <c r="AG1030" s="396" t="str">
        <f t="shared" si="3"/>
        <v/>
      </c>
      <c r="AH1030" s="396" t="str">
        <f t="shared" si="4"/>
        <v/>
      </c>
      <c r="AI1030" s="388"/>
      <c r="AJ1030" s="388"/>
      <c r="AK1030" s="397"/>
    </row>
    <row r="1031">
      <c r="A1031" s="398"/>
      <c r="B1031" s="386"/>
      <c r="C1031" s="387" t="str">
        <f>IF(A1031="","",IFERROR(IF(VLOOKUP(A1031,'1. Inbound Leads'!A:G,7,FALSE)=0,"",VLOOKUP(A1031,'1. Inbound Leads'!A:G,7,FALSE)),""))</f>
        <v/>
      </c>
      <c r="D1031" s="387" t="str">
        <f>IF(A1031="","",IFERROR(IF(VLOOKUP(A1031,'1. Inbound Leads'!A:L,12,FALSE)=0,"",VLOOKUP(A1031,'1. Inbound Leads'!A:L,12,FALSE)),""))</f>
        <v/>
      </c>
      <c r="E1031" s="388"/>
      <c r="F1031" s="389"/>
      <c r="G1031" s="387"/>
      <c r="H1031" s="387"/>
      <c r="I1031" s="387"/>
      <c r="J1031" s="387"/>
      <c r="K1031" s="387"/>
      <c r="L1031" s="387"/>
      <c r="M1031" s="388"/>
      <c r="N1031" s="388"/>
      <c r="O1031" s="390"/>
      <c r="P1031" s="391"/>
      <c r="Q1031" s="389"/>
      <c r="R1031" s="390"/>
      <c r="S1031" s="390"/>
      <c r="T1031" s="391"/>
      <c r="U1031" s="392"/>
      <c r="V1031" s="391"/>
      <c r="W1031" s="391"/>
      <c r="X1031" s="388"/>
      <c r="Y1031" s="391"/>
      <c r="Z1031" s="393"/>
      <c r="AA1031" s="355" t="str">
        <f t="shared" si="1"/>
        <v/>
      </c>
      <c r="AB1031" s="391"/>
      <c r="AC1031" s="394" t="str">
        <f t="shared" si="2"/>
        <v/>
      </c>
      <c r="AD1031" s="389"/>
      <c r="AE1031" s="399"/>
      <c r="AF1031" s="395"/>
      <c r="AG1031" s="396" t="str">
        <f t="shared" si="3"/>
        <v/>
      </c>
      <c r="AH1031" s="396" t="str">
        <f t="shared" si="4"/>
        <v/>
      </c>
      <c r="AI1031" s="388"/>
      <c r="AJ1031" s="388"/>
      <c r="AK1031" s="397"/>
    </row>
    <row r="1032">
      <c r="A1032" s="398"/>
      <c r="B1032" s="386"/>
      <c r="C1032" s="387" t="str">
        <f>IF(A1032="","",IFERROR(IF(VLOOKUP(A1032,'1. Inbound Leads'!A:G,7,FALSE)=0,"",VLOOKUP(A1032,'1. Inbound Leads'!A:G,7,FALSE)),""))</f>
        <v/>
      </c>
      <c r="D1032" s="387" t="str">
        <f>IF(A1032="","",IFERROR(IF(VLOOKUP(A1032,'1. Inbound Leads'!A:L,12,FALSE)=0,"",VLOOKUP(A1032,'1. Inbound Leads'!A:L,12,FALSE)),""))</f>
        <v/>
      </c>
      <c r="E1032" s="388"/>
      <c r="F1032" s="389"/>
      <c r="G1032" s="387"/>
      <c r="H1032" s="387"/>
      <c r="I1032" s="387"/>
      <c r="J1032" s="387"/>
      <c r="K1032" s="387"/>
      <c r="L1032" s="387"/>
      <c r="M1032" s="388"/>
      <c r="N1032" s="388"/>
      <c r="O1032" s="390"/>
      <c r="P1032" s="391"/>
      <c r="Q1032" s="389"/>
      <c r="R1032" s="390"/>
      <c r="S1032" s="390"/>
      <c r="T1032" s="391"/>
      <c r="U1032" s="392"/>
      <c r="V1032" s="391"/>
      <c r="W1032" s="391"/>
      <c r="X1032" s="388"/>
      <c r="Y1032" s="391"/>
      <c r="Z1032" s="393"/>
      <c r="AA1032" s="355" t="str">
        <f t="shared" si="1"/>
        <v/>
      </c>
      <c r="AB1032" s="391"/>
      <c r="AC1032" s="394" t="str">
        <f t="shared" si="2"/>
        <v/>
      </c>
      <c r="AD1032" s="389"/>
      <c r="AE1032" s="399"/>
      <c r="AF1032" s="395"/>
      <c r="AG1032" s="396" t="str">
        <f t="shared" si="3"/>
        <v/>
      </c>
      <c r="AH1032" s="396" t="str">
        <f t="shared" si="4"/>
        <v/>
      </c>
      <c r="AI1032" s="388"/>
      <c r="AJ1032" s="388"/>
      <c r="AK1032" s="397"/>
    </row>
    <row r="1033">
      <c r="A1033" s="398"/>
      <c r="B1033" s="386"/>
      <c r="C1033" s="387" t="str">
        <f>IF(A1033="","",IFERROR(IF(VLOOKUP(A1033,'1. Inbound Leads'!A:G,7,FALSE)=0,"",VLOOKUP(A1033,'1. Inbound Leads'!A:G,7,FALSE)),""))</f>
        <v/>
      </c>
      <c r="D1033" s="387" t="str">
        <f>IF(A1033="","",IFERROR(IF(VLOOKUP(A1033,'1. Inbound Leads'!A:L,12,FALSE)=0,"",VLOOKUP(A1033,'1. Inbound Leads'!A:L,12,FALSE)),""))</f>
        <v/>
      </c>
      <c r="E1033" s="388"/>
      <c r="F1033" s="389"/>
      <c r="G1033" s="387"/>
      <c r="H1033" s="387"/>
      <c r="I1033" s="387"/>
      <c r="J1033" s="387"/>
      <c r="K1033" s="387"/>
      <c r="L1033" s="387"/>
      <c r="M1033" s="388"/>
      <c r="N1033" s="388"/>
      <c r="O1033" s="390"/>
      <c r="P1033" s="391"/>
      <c r="Q1033" s="389"/>
      <c r="R1033" s="390"/>
      <c r="S1033" s="390"/>
      <c r="T1033" s="391"/>
      <c r="U1033" s="392"/>
      <c r="V1033" s="391"/>
      <c r="W1033" s="391"/>
      <c r="X1033" s="388"/>
      <c r="Y1033" s="391"/>
      <c r="Z1033" s="393"/>
      <c r="AA1033" s="355" t="str">
        <f t="shared" si="1"/>
        <v/>
      </c>
      <c r="AB1033" s="391"/>
      <c r="AC1033" s="394" t="str">
        <f t="shared" si="2"/>
        <v/>
      </c>
      <c r="AD1033" s="389"/>
      <c r="AE1033" s="399"/>
      <c r="AF1033" s="395"/>
      <c r="AG1033" s="396" t="str">
        <f t="shared" si="3"/>
        <v/>
      </c>
      <c r="AH1033" s="396" t="str">
        <f t="shared" si="4"/>
        <v/>
      </c>
      <c r="AI1033" s="388"/>
      <c r="AJ1033" s="388"/>
      <c r="AK1033" s="397"/>
    </row>
    <row r="1034">
      <c r="A1034" s="398"/>
      <c r="B1034" s="386"/>
      <c r="C1034" s="387" t="str">
        <f>IF(A1034="","",IFERROR(IF(VLOOKUP(A1034,'1. Inbound Leads'!A:G,7,FALSE)=0,"",VLOOKUP(A1034,'1. Inbound Leads'!A:G,7,FALSE)),""))</f>
        <v/>
      </c>
      <c r="D1034" s="387" t="str">
        <f>IF(A1034="","",IFERROR(IF(VLOOKUP(A1034,'1. Inbound Leads'!A:L,12,FALSE)=0,"",VLOOKUP(A1034,'1. Inbound Leads'!A:L,12,FALSE)),""))</f>
        <v/>
      </c>
      <c r="E1034" s="388"/>
      <c r="F1034" s="389"/>
      <c r="G1034" s="387"/>
      <c r="H1034" s="387"/>
      <c r="I1034" s="387"/>
      <c r="J1034" s="387"/>
      <c r="K1034" s="387"/>
      <c r="L1034" s="387"/>
      <c r="M1034" s="388"/>
      <c r="N1034" s="388"/>
      <c r="O1034" s="390"/>
      <c r="P1034" s="391"/>
      <c r="Q1034" s="389"/>
      <c r="R1034" s="390"/>
      <c r="S1034" s="390"/>
      <c r="T1034" s="391"/>
      <c r="U1034" s="392"/>
      <c r="V1034" s="391"/>
      <c r="W1034" s="391"/>
      <c r="X1034" s="388"/>
      <c r="Y1034" s="391"/>
      <c r="Z1034" s="393"/>
      <c r="AA1034" s="355" t="str">
        <f t="shared" si="1"/>
        <v/>
      </c>
      <c r="AB1034" s="391"/>
      <c r="AC1034" s="394" t="str">
        <f t="shared" si="2"/>
        <v/>
      </c>
      <c r="AD1034" s="389"/>
      <c r="AE1034" s="399"/>
      <c r="AF1034" s="395"/>
      <c r="AG1034" s="396" t="str">
        <f t="shared" si="3"/>
        <v/>
      </c>
      <c r="AH1034" s="396" t="str">
        <f t="shared" si="4"/>
        <v/>
      </c>
      <c r="AI1034" s="388"/>
      <c r="AJ1034" s="388"/>
      <c r="AK1034" s="397"/>
    </row>
    <row r="1035">
      <c r="A1035" s="398"/>
      <c r="B1035" s="386"/>
      <c r="C1035" s="387" t="str">
        <f>IF(A1035="","",IFERROR(IF(VLOOKUP(A1035,'1. Inbound Leads'!A:G,7,FALSE)=0,"",VLOOKUP(A1035,'1. Inbound Leads'!A:G,7,FALSE)),""))</f>
        <v/>
      </c>
      <c r="D1035" s="387" t="str">
        <f>IF(A1035="","",IFERROR(IF(VLOOKUP(A1035,'1. Inbound Leads'!A:L,12,FALSE)=0,"",VLOOKUP(A1035,'1. Inbound Leads'!A:L,12,FALSE)),""))</f>
        <v/>
      </c>
      <c r="E1035" s="388"/>
      <c r="F1035" s="389"/>
      <c r="G1035" s="387"/>
      <c r="H1035" s="387"/>
      <c r="I1035" s="387"/>
      <c r="J1035" s="387"/>
      <c r="K1035" s="387"/>
      <c r="L1035" s="387"/>
      <c r="M1035" s="388"/>
      <c r="N1035" s="388"/>
      <c r="O1035" s="390"/>
      <c r="P1035" s="391"/>
      <c r="Q1035" s="389"/>
      <c r="R1035" s="390"/>
      <c r="S1035" s="390"/>
      <c r="T1035" s="391"/>
      <c r="U1035" s="392"/>
      <c r="V1035" s="391"/>
      <c r="W1035" s="391"/>
      <c r="X1035" s="388"/>
      <c r="Y1035" s="391"/>
      <c r="Z1035" s="393"/>
      <c r="AA1035" s="355" t="str">
        <f t="shared" si="1"/>
        <v/>
      </c>
      <c r="AB1035" s="391"/>
      <c r="AC1035" s="394" t="str">
        <f t="shared" si="2"/>
        <v/>
      </c>
      <c r="AD1035" s="389"/>
      <c r="AE1035" s="399"/>
      <c r="AF1035" s="395"/>
      <c r="AG1035" s="396" t="str">
        <f t="shared" si="3"/>
        <v/>
      </c>
      <c r="AH1035" s="396" t="str">
        <f t="shared" si="4"/>
        <v/>
      </c>
      <c r="AI1035" s="388"/>
      <c r="AJ1035" s="388"/>
      <c r="AK1035" s="397"/>
    </row>
    <row r="1036">
      <c r="A1036" s="398"/>
      <c r="B1036" s="386"/>
      <c r="C1036" s="387" t="str">
        <f>IF(A1036="","",IFERROR(IF(VLOOKUP(A1036,'1. Inbound Leads'!A:G,7,FALSE)=0,"",VLOOKUP(A1036,'1. Inbound Leads'!A:G,7,FALSE)),""))</f>
        <v/>
      </c>
      <c r="D1036" s="387" t="str">
        <f>IF(A1036="","",IFERROR(IF(VLOOKUP(A1036,'1. Inbound Leads'!A:L,12,FALSE)=0,"",VLOOKUP(A1036,'1. Inbound Leads'!A:L,12,FALSE)),""))</f>
        <v/>
      </c>
      <c r="E1036" s="388"/>
      <c r="F1036" s="389"/>
      <c r="G1036" s="387"/>
      <c r="H1036" s="387"/>
      <c r="I1036" s="387"/>
      <c r="J1036" s="387"/>
      <c r="K1036" s="387"/>
      <c r="L1036" s="387"/>
      <c r="M1036" s="388"/>
      <c r="N1036" s="388"/>
      <c r="O1036" s="390"/>
      <c r="P1036" s="391"/>
      <c r="Q1036" s="389"/>
      <c r="R1036" s="390"/>
      <c r="S1036" s="390"/>
      <c r="T1036" s="391"/>
      <c r="U1036" s="392"/>
      <c r="V1036" s="391"/>
      <c r="W1036" s="391"/>
      <c r="X1036" s="388"/>
      <c r="Y1036" s="391"/>
      <c r="Z1036" s="393"/>
      <c r="AA1036" s="355" t="str">
        <f t="shared" si="1"/>
        <v/>
      </c>
      <c r="AB1036" s="391"/>
      <c r="AC1036" s="394" t="str">
        <f t="shared" si="2"/>
        <v/>
      </c>
      <c r="AD1036" s="389"/>
      <c r="AE1036" s="399"/>
      <c r="AF1036" s="395"/>
      <c r="AG1036" s="396" t="str">
        <f t="shared" si="3"/>
        <v/>
      </c>
      <c r="AH1036" s="396" t="str">
        <f t="shared" si="4"/>
        <v/>
      </c>
      <c r="AI1036" s="388"/>
      <c r="AJ1036" s="388"/>
      <c r="AK1036" s="397"/>
    </row>
    <row r="1037">
      <c r="A1037" s="398"/>
      <c r="B1037" s="386"/>
      <c r="C1037" s="387" t="str">
        <f>IF(A1037="","",IFERROR(IF(VLOOKUP(A1037,'1. Inbound Leads'!A:G,7,FALSE)=0,"",VLOOKUP(A1037,'1. Inbound Leads'!A:G,7,FALSE)),""))</f>
        <v/>
      </c>
      <c r="D1037" s="387" t="str">
        <f>IF(A1037="","",IFERROR(IF(VLOOKUP(A1037,'1. Inbound Leads'!A:L,12,FALSE)=0,"",VLOOKUP(A1037,'1. Inbound Leads'!A:L,12,FALSE)),""))</f>
        <v/>
      </c>
      <c r="E1037" s="388"/>
      <c r="F1037" s="389"/>
      <c r="G1037" s="387"/>
      <c r="H1037" s="387"/>
      <c r="I1037" s="387"/>
      <c r="J1037" s="387"/>
      <c r="K1037" s="387"/>
      <c r="L1037" s="387"/>
      <c r="M1037" s="388"/>
      <c r="N1037" s="388"/>
      <c r="O1037" s="390"/>
      <c r="P1037" s="391"/>
      <c r="Q1037" s="389"/>
      <c r="R1037" s="390"/>
      <c r="S1037" s="390"/>
      <c r="T1037" s="391"/>
      <c r="U1037" s="392"/>
      <c r="V1037" s="391"/>
      <c r="W1037" s="391"/>
      <c r="X1037" s="388"/>
      <c r="Y1037" s="391"/>
      <c r="Z1037" s="393"/>
      <c r="AA1037" s="355" t="str">
        <f t="shared" si="1"/>
        <v/>
      </c>
      <c r="AB1037" s="391"/>
      <c r="AC1037" s="394" t="str">
        <f t="shared" si="2"/>
        <v/>
      </c>
      <c r="AD1037" s="389"/>
      <c r="AE1037" s="399"/>
      <c r="AF1037" s="395"/>
      <c r="AG1037" s="396" t="str">
        <f t="shared" si="3"/>
        <v/>
      </c>
      <c r="AH1037" s="396" t="str">
        <f t="shared" si="4"/>
        <v/>
      </c>
      <c r="AI1037" s="388"/>
      <c r="AJ1037" s="388"/>
      <c r="AK1037" s="397"/>
    </row>
    <row r="1038">
      <c r="A1038" s="398"/>
      <c r="B1038" s="386"/>
      <c r="C1038" s="387" t="str">
        <f>IF(A1038="","",IFERROR(IF(VLOOKUP(A1038,'1. Inbound Leads'!A:G,7,FALSE)=0,"",VLOOKUP(A1038,'1. Inbound Leads'!A:G,7,FALSE)),""))</f>
        <v/>
      </c>
      <c r="D1038" s="387" t="str">
        <f>IF(A1038="","",IFERROR(IF(VLOOKUP(A1038,'1. Inbound Leads'!A:L,12,FALSE)=0,"",VLOOKUP(A1038,'1. Inbound Leads'!A:L,12,FALSE)),""))</f>
        <v/>
      </c>
      <c r="E1038" s="388"/>
      <c r="F1038" s="389"/>
      <c r="G1038" s="387"/>
      <c r="H1038" s="387"/>
      <c r="I1038" s="387"/>
      <c r="J1038" s="387"/>
      <c r="K1038" s="387"/>
      <c r="L1038" s="387"/>
      <c r="M1038" s="388"/>
      <c r="N1038" s="388"/>
      <c r="O1038" s="390"/>
      <c r="P1038" s="391"/>
      <c r="Q1038" s="389"/>
      <c r="R1038" s="390"/>
      <c r="S1038" s="390"/>
      <c r="T1038" s="391"/>
      <c r="U1038" s="392"/>
      <c r="V1038" s="391"/>
      <c r="W1038" s="391"/>
      <c r="X1038" s="388"/>
      <c r="Y1038" s="391"/>
      <c r="Z1038" s="393"/>
      <c r="AA1038" s="355" t="str">
        <f t="shared" si="1"/>
        <v/>
      </c>
      <c r="AB1038" s="391"/>
      <c r="AC1038" s="394" t="str">
        <f t="shared" si="2"/>
        <v/>
      </c>
      <c r="AD1038" s="389"/>
      <c r="AE1038" s="399"/>
      <c r="AF1038" s="395"/>
      <c r="AG1038" s="396" t="str">
        <f t="shared" si="3"/>
        <v/>
      </c>
      <c r="AH1038" s="396" t="str">
        <f t="shared" si="4"/>
        <v/>
      </c>
      <c r="AI1038" s="388"/>
      <c r="AJ1038" s="388"/>
      <c r="AK1038" s="397"/>
    </row>
    <row r="1039">
      <c r="A1039" s="398"/>
      <c r="B1039" s="386"/>
      <c r="C1039" s="387" t="str">
        <f>IF(A1039="","",IFERROR(IF(VLOOKUP(A1039,'1. Inbound Leads'!A:G,7,FALSE)=0,"",VLOOKUP(A1039,'1. Inbound Leads'!A:G,7,FALSE)),""))</f>
        <v/>
      </c>
      <c r="D1039" s="387" t="str">
        <f>IF(A1039="","",IFERROR(IF(VLOOKUP(A1039,'1. Inbound Leads'!A:L,12,FALSE)=0,"",VLOOKUP(A1039,'1. Inbound Leads'!A:L,12,FALSE)),""))</f>
        <v/>
      </c>
      <c r="E1039" s="388"/>
      <c r="F1039" s="389"/>
      <c r="G1039" s="387"/>
      <c r="H1039" s="387"/>
      <c r="I1039" s="387"/>
      <c r="J1039" s="387"/>
      <c r="K1039" s="387"/>
      <c r="L1039" s="387"/>
      <c r="M1039" s="388"/>
      <c r="N1039" s="388"/>
      <c r="O1039" s="390"/>
      <c r="P1039" s="391"/>
      <c r="Q1039" s="389"/>
      <c r="R1039" s="390"/>
      <c r="S1039" s="390"/>
      <c r="T1039" s="391"/>
      <c r="U1039" s="392"/>
      <c r="V1039" s="391"/>
      <c r="W1039" s="391"/>
      <c r="X1039" s="388"/>
      <c r="Y1039" s="391"/>
      <c r="Z1039" s="393"/>
      <c r="AA1039" s="355" t="str">
        <f t="shared" si="1"/>
        <v/>
      </c>
      <c r="AB1039" s="391"/>
      <c r="AC1039" s="394" t="str">
        <f t="shared" si="2"/>
        <v/>
      </c>
      <c r="AD1039" s="389"/>
      <c r="AE1039" s="399"/>
      <c r="AF1039" s="395"/>
      <c r="AG1039" s="396" t="str">
        <f t="shared" si="3"/>
        <v/>
      </c>
      <c r="AH1039" s="396" t="str">
        <f t="shared" si="4"/>
        <v/>
      </c>
      <c r="AI1039" s="388"/>
      <c r="AJ1039" s="388"/>
      <c r="AK1039" s="397"/>
    </row>
    <row r="1040">
      <c r="A1040" s="398"/>
      <c r="B1040" s="386"/>
      <c r="C1040" s="387" t="str">
        <f>IF(A1040="","",IFERROR(IF(VLOOKUP(A1040,'1. Inbound Leads'!A:G,7,FALSE)=0,"",VLOOKUP(A1040,'1. Inbound Leads'!A:G,7,FALSE)),""))</f>
        <v/>
      </c>
      <c r="D1040" s="387" t="str">
        <f>IF(A1040="","",IFERROR(IF(VLOOKUP(A1040,'1. Inbound Leads'!A:L,12,FALSE)=0,"",VLOOKUP(A1040,'1. Inbound Leads'!A:L,12,FALSE)),""))</f>
        <v/>
      </c>
      <c r="E1040" s="388"/>
      <c r="F1040" s="389"/>
      <c r="G1040" s="387"/>
      <c r="H1040" s="387"/>
      <c r="I1040" s="387"/>
      <c r="J1040" s="387"/>
      <c r="K1040" s="387"/>
      <c r="L1040" s="387"/>
      <c r="M1040" s="388"/>
      <c r="N1040" s="388"/>
      <c r="O1040" s="390"/>
      <c r="P1040" s="391"/>
      <c r="Q1040" s="389"/>
      <c r="R1040" s="390"/>
      <c r="S1040" s="390"/>
      <c r="T1040" s="391"/>
      <c r="U1040" s="392"/>
      <c r="V1040" s="391"/>
      <c r="W1040" s="391"/>
      <c r="X1040" s="388"/>
      <c r="Y1040" s="391"/>
      <c r="Z1040" s="393"/>
      <c r="AA1040" s="355" t="str">
        <f t="shared" si="1"/>
        <v/>
      </c>
      <c r="AB1040" s="391"/>
      <c r="AC1040" s="394" t="str">
        <f t="shared" si="2"/>
        <v/>
      </c>
      <c r="AD1040" s="389"/>
      <c r="AE1040" s="399"/>
      <c r="AF1040" s="395"/>
      <c r="AG1040" s="396" t="str">
        <f t="shared" si="3"/>
        <v/>
      </c>
      <c r="AH1040" s="396" t="str">
        <f t="shared" si="4"/>
        <v/>
      </c>
      <c r="AI1040" s="388"/>
      <c r="AJ1040" s="388"/>
      <c r="AK1040" s="397"/>
    </row>
    <row r="1041">
      <c r="A1041" s="398"/>
      <c r="B1041" s="386"/>
      <c r="C1041" s="387" t="str">
        <f>IF(A1041="","",IFERROR(IF(VLOOKUP(A1041,'1. Inbound Leads'!A:G,7,FALSE)=0,"",VLOOKUP(A1041,'1. Inbound Leads'!A:G,7,FALSE)),""))</f>
        <v/>
      </c>
      <c r="D1041" s="387" t="str">
        <f>IF(A1041="","",IFERROR(IF(VLOOKUP(A1041,'1. Inbound Leads'!A:L,12,FALSE)=0,"",VLOOKUP(A1041,'1. Inbound Leads'!A:L,12,FALSE)),""))</f>
        <v/>
      </c>
      <c r="E1041" s="388"/>
      <c r="F1041" s="389"/>
      <c r="G1041" s="387"/>
      <c r="H1041" s="387"/>
      <c r="I1041" s="387"/>
      <c r="J1041" s="387"/>
      <c r="K1041" s="387"/>
      <c r="L1041" s="387"/>
      <c r="M1041" s="388"/>
      <c r="N1041" s="388"/>
      <c r="O1041" s="390"/>
      <c r="P1041" s="391"/>
      <c r="Q1041" s="389"/>
      <c r="R1041" s="390"/>
      <c r="S1041" s="390"/>
      <c r="T1041" s="391"/>
      <c r="U1041" s="392"/>
      <c r="V1041" s="391"/>
      <c r="W1041" s="391"/>
      <c r="X1041" s="388"/>
      <c r="Y1041" s="391"/>
      <c r="Z1041" s="393"/>
      <c r="AA1041" s="355" t="str">
        <f t="shared" si="1"/>
        <v/>
      </c>
      <c r="AB1041" s="391"/>
      <c r="AC1041" s="394" t="str">
        <f t="shared" si="2"/>
        <v/>
      </c>
      <c r="AD1041" s="389"/>
      <c r="AE1041" s="399"/>
      <c r="AF1041" s="395"/>
      <c r="AG1041" s="396" t="str">
        <f t="shared" si="3"/>
        <v/>
      </c>
      <c r="AH1041" s="396" t="str">
        <f t="shared" si="4"/>
        <v/>
      </c>
      <c r="AI1041" s="388"/>
      <c r="AJ1041" s="388"/>
      <c r="AK1041" s="397"/>
    </row>
    <row r="1042">
      <c r="A1042" s="398"/>
      <c r="B1042" s="386"/>
      <c r="C1042" s="387" t="str">
        <f>IF(A1042="","",IFERROR(IF(VLOOKUP(A1042,'1. Inbound Leads'!A:G,7,FALSE)=0,"",VLOOKUP(A1042,'1. Inbound Leads'!A:G,7,FALSE)),""))</f>
        <v/>
      </c>
      <c r="D1042" s="387" t="str">
        <f>IF(A1042="","",IFERROR(IF(VLOOKUP(A1042,'1. Inbound Leads'!A:L,12,FALSE)=0,"",VLOOKUP(A1042,'1. Inbound Leads'!A:L,12,FALSE)),""))</f>
        <v/>
      </c>
      <c r="E1042" s="388"/>
      <c r="F1042" s="389"/>
      <c r="G1042" s="387"/>
      <c r="H1042" s="387"/>
      <c r="I1042" s="387"/>
      <c r="J1042" s="387"/>
      <c r="K1042" s="387"/>
      <c r="L1042" s="387"/>
      <c r="M1042" s="388"/>
      <c r="N1042" s="388"/>
      <c r="O1042" s="390"/>
      <c r="P1042" s="391"/>
      <c r="Q1042" s="389"/>
      <c r="R1042" s="390"/>
      <c r="S1042" s="390"/>
      <c r="T1042" s="391"/>
      <c r="U1042" s="392"/>
      <c r="V1042" s="391"/>
      <c r="W1042" s="391"/>
      <c r="X1042" s="388"/>
      <c r="Y1042" s="391"/>
      <c r="Z1042" s="393"/>
      <c r="AA1042" s="355" t="str">
        <f t="shared" si="1"/>
        <v/>
      </c>
      <c r="AB1042" s="391"/>
      <c r="AC1042" s="394" t="str">
        <f t="shared" si="2"/>
        <v/>
      </c>
      <c r="AD1042" s="389"/>
      <c r="AE1042" s="399"/>
      <c r="AF1042" s="395"/>
      <c r="AG1042" s="396" t="str">
        <f t="shared" si="3"/>
        <v/>
      </c>
      <c r="AH1042" s="396" t="str">
        <f t="shared" si="4"/>
        <v/>
      </c>
      <c r="AI1042" s="388"/>
      <c r="AJ1042" s="388"/>
      <c r="AK1042" s="397"/>
    </row>
    <row r="1043">
      <c r="A1043" s="398"/>
      <c r="B1043" s="386"/>
      <c r="C1043" s="387" t="str">
        <f>IF(A1043="","",IFERROR(IF(VLOOKUP(A1043,'1. Inbound Leads'!A:G,7,FALSE)=0,"",VLOOKUP(A1043,'1. Inbound Leads'!A:G,7,FALSE)),""))</f>
        <v/>
      </c>
      <c r="D1043" s="387" t="str">
        <f>IF(A1043="","",IFERROR(IF(VLOOKUP(A1043,'1. Inbound Leads'!A:L,12,FALSE)=0,"",VLOOKUP(A1043,'1. Inbound Leads'!A:L,12,FALSE)),""))</f>
        <v/>
      </c>
      <c r="E1043" s="388"/>
      <c r="F1043" s="389"/>
      <c r="G1043" s="387"/>
      <c r="H1043" s="387"/>
      <c r="I1043" s="387"/>
      <c r="J1043" s="387"/>
      <c r="K1043" s="387"/>
      <c r="L1043" s="387"/>
      <c r="M1043" s="388"/>
      <c r="N1043" s="388"/>
      <c r="O1043" s="390"/>
      <c r="P1043" s="391"/>
      <c r="Q1043" s="389"/>
      <c r="R1043" s="390"/>
      <c r="S1043" s="390"/>
      <c r="T1043" s="391"/>
      <c r="U1043" s="392"/>
      <c r="V1043" s="391"/>
      <c r="W1043" s="391"/>
      <c r="X1043" s="388"/>
      <c r="Y1043" s="391"/>
      <c r="Z1043" s="393"/>
      <c r="AA1043" s="355" t="str">
        <f t="shared" si="1"/>
        <v/>
      </c>
      <c r="AB1043" s="391"/>
      <c r="AC1043" s="394" t="str">
        <f t="shared" si="2"/>
        <v/>
      </c>
      <c r="AD1043" s="389"/>
      <c r="AE1043" s="399"/>
      <c r="AF1043" s="395"/>
      <c r="AG1043" s="396" t="str">
        <f t="shared" si="3"/>
        <v/>
      </c>
      <c r="AH1043" s="396" t="str">
        <f t="shared" si="4"/>
        <v/>
      </c>
      <c r="AI1043" s="388"/>
      <c r="AJ1043" s="388"/>
      <c r="AK1043" s="397"/>
    </row>
    <row r="1044">
      <c r="A1044" s="398"/>
      <c r="B1044" s="386"/>
      <c r="C1044" s="387" t="str">
        <f>IF(A1044="","",IFERROR(IF(VLOOKUP(A1044,'1. Inbound Leads'!A:G,7,FALSE)=0,"",VLOOKUP(A1044,'1. Inbound Leads'!A:G,7,FALSE)),""))</f>
        <v/>
      </c>
      <c r="D1044" s="387" t="str">
        <f>IF(A1044="","",IFERROR(IF(VLOOKUP(A1044,'1. Inbound Leads'!A:L,12,FALSE)=0,"",VLOOKUP(A1044,'1. Inbound Leads'!A:L,12,FALSE)),""))</f>
        <v/>
      </c>
      <c r="E1044" s="388"/>
      <c r="F1044" s="389"/>
      <c r="G1044" s="387"/>
      <c r="H1044" s="387"/>
      <c r="I1044" s="387"/>
      <c r="J1044" s="387"/>
      <c r="K1044" s="387"/>
      <c r="L1044" s="387"/>
      <c r="M1044" s="388"/>
      <c r="N1044" s="388"/>
      <c r="O1044" s="390"/>
      <c r="P1044" s="391"/>
      <c r="Q1044" s="389"/>
      <c r="R1044" s="390"/>
      <c r="S1044" s="390"/>
      <c r="T1044" s="391"/>
      <c r="U1044" s="392"/>
      <c r="V1044" s="391"/>
      <c r="W1044" s="391"/>
      <c r="X1044" s="388"/>
      <c r="Y1044" s="391"/>
      <c r="Z1044" s="393"/>
      <c r="AA1044" s="355" t="str">
        <f t="shared" si="1"/>
        <v/>
      </c>
      <c r="AB1044" s="391"/>
      <c r="AC1044" s="394" t="str">
        <f t="shared" si="2"/>
        <v/>
      </c>
      <c r="AD1044" s="389"/>
      <c r="AE1044" s="399"/>
      <c r="AF1044" s="395"/>
      <c r="AG1044" s="396" t="str">
        <f t="shared" si="3"/>
        <v/>
      </c>
      <c r="AH1044" s="396" t="str">
        <f t="shared" si="4"/>
        <v/>
      </c>
      <c r="AI1044" s="388"/>
      <c r="AJ1044" s="388"/>
      <c r="AK1044" s="397"/>
    </row>
    <row r="1045">
      <c r="A1045" s="398"/>
      <c r="B1045" s="386"/>
      <c r="C1045" s="387" t="str">
        <f>IF(A1045="","",IFERROR(IF(VLOOKUP(A1045,'1. Inbound Leads'!A:G,7,FALSE)=0,"",VLOOKUP(A1045,'1. Inbound Leads'!A:G,7,FALSE)),""))</f>
        <v/>
      </c>
      <c r="D1045" s="387" t="str">
        <f>IF(A1045="","",IFERROR(IF(VLOOKUP(A1045,'1. Inbound Leads'!A:L,12,FALSE)=0,"",VLOOKUP(A1045,'1. Inbound Leads'!A:L,12,FALSE)),""))</f>
        <v/>
      </c>
      <c r="E1045" s="388"/>
      <c r="F1045" s="389"/>
      <c r="G1045" s="387"/>
      <c r="H1045" s="387"/>
      <c r="I1045" s="387"/>
      <c r="J1045" s="387"/>
      <c r="K1045" s="387"/>
      <c r="L1045" s="387"/>
      <c r="M1045" s="388"/>
      <c r="N1045" s="388"/>
      <c r="O1045" s="390"/>
      <c r="P1045" s="391"/>
      <c r="Q1045" s="389"/>
      <c r="R1045" s="390"/>
      <c r="S1045" s="390"/>
      <c r="T1045" s="391"/>
      <c r="U1045" s="392"/>
      <c r="V1045" s="391"/>
      <c r="W1045" s="391"/>
      <c r="X1045" s="388"/>
      <c r="Y1045" s="391"/>
      <c r="Z1045" s="393"/>
      <c r="AA1045" s="355" t="str">
        <f t="shared" si="1"/>
        <v/>
      </c>
      <c r="AB1045" s="391"/>
      <c r="AC1045" s="394" t="str">
        <f t="shared" si="2"/>
        <v/>
      </c>
      <c r="AD1045" s="389"/>
      <c r="AE1045" s="399"/>
      <c r="AF1045" s="395"/>
      <c r="AG1045" s="396" t="str">
        <f t="shared" si="3"/>
        <v/>
      </c>
      <c r="AH1045" s="396" t="str">
        <f t="shared" si="4"/>
        <v/>
      </c>
      <c r="AI1045" s="388"/>
      <c r="AJ1045" s="388"/>
      <c r="AK1045" s="397"/>
    </row>
    <row r="1046">
      <c r="A1046" s="398"/>
      <c r="B1046" s="386"/>
      <c r="C1046" s="387" t="str">
        <f>IF(A1046="","",IFERROR(IF(VLOOKUP(A1046,'1. Inbound Leads'!A:G,7,FALSE)=0,"",VLOOKUP(A1046,'1. Inbound Leads'!A:G,7,FALSE)),""))</f>
        <v/>
      </c>
      <c r="D1046" s="387" t="str">
        <f>IF(A1046="","",IFERROR(IF(VLOOKUP(A1046,'1. Inbound Leads'!A:L,12,FALSE)=0,"",VLOOKUP(A1046,'1. Inbound Leads'!A:L,12,FALSE)),""))</f>
        <v/>
      </c>
      <c r="E1046" s="388"/>
      <c r="F1046" s="389"/>
      <c r="G1046" s="387"/>
      <c r="H1046" s="387"/>
      <c r="I1046" s="387"/>
      <c r="J1046" s="387"/>
      <c r="K1046" s="387"/>
      <c r="L1046" s="387"/>
      <c r="M1046" s="388"/>
      <c r="N1046" s="388"/>
      <c r="O1046" s="390"/>
      <c r="P1046" s="391"/>
      <c r="Q1046" s="389"/>
      <c r="R1046" s="390"/>
      <c r="S1046" s="390"/>
      <c r="T1046" s="391"/>
      <c r="U1046" s="392"/>
      <c r="V1046" s="391"/>
      <c r="W1046" s="391"/>
      <c r="X1046" s="388"/>
      <c r="Y1046" s="391"/>
      <c r="Z1046" s="393"/>
      <c r="AA1046" s="355" t="str">
        <f t="shared" si="1"/>
        <v/>
      </c>
      <c r="AB1046" s="391"/>
      <c r="AC1046" s="394" t="str">
        <f t="shared" si="2"/>
        <v/>
      </c>
      <c r="AD1046" s="389"/>
      <c r="AE1046" s="399"/>
      <c r="AF1046" s="395"/>
      <c r="AG1046" s="396" t="str">
        <f t="shared" si="3"/>
        <v/>
      </c>
      <c r="AH1046" s="396" t="str">
        <f t="shared" si="4"/>
        <v/>
      </c>
      <c r="AI1046" s="388"/>
      <c r="AJ1046" s="388"/>
      <c r="AK1046" s="397"/>
    </row>
    <row r="1047">
      <c r="A1047" s="398"/>
      <c r="B1047" s="386"/>
      <c r="C1047" s="387" t="str">
        <f>IF(A1047="","",IFERROR(IF(VLOOKUP(A1047,'1. Inbound Leads'!A:G,7,FALSE)=0,"",VLOOKUP(A1047,'1. Inbound Leads'!A:G,7,FALSE)),""))</f>
        <v/>
      </c>
      <c r="D1047" s="387" t="str">
        <f>IF(A1047="","",IFERROR(IF(VLOOKUP(A1047,'1. Inbound Leads'!A:L,12,FALSE)=0,"",VLOOKUP(A1047,'1. Inbound Leads'!A:L,12,FALSE)),""))</f>
        <v/>
      </c>
      <c r="E1047" s="388"/>
      <c r="F1047" s="389"/>
      <c r="G1047" s="387"/>
      <c r="H1047" s="387"/>
      <c r="I1047" s="387"/>
      <c r="J1047" s="387"/>
      <c r="K1047" s="387"/>
      <c r="L1047" s="387"/>
      <c r="M1047" s="388"/>
      <c r="N1047" s="388"/>
      <c r="O1047" s="390"/>
      <c r="P1047" s="391"/>
      <c r="Q1047" s="389"/>
      <c r="R1047" s="390"/>
      <c r="S1047" s="390"/>
      <c r="T1047" s="391"/>
      <c r="U1047" s="392"/>
      <c r="V1047" s="391"/>
      <c r="W1047" s="391"/>
      <c r="X1047" s="388"/>
      <c r="Y1047" s="391"/>
      <c r="Z1047" s="393"/>
      <c r="AA1047" s="355" t="str">
        <f t="shared" si="1"/>
        <v/>
      </c>
      <c r="AB1047" s="391"/>
      <c r="AC1047" s="394" t="str">
        <f t="shared" si="2"/>
        <v/>
      </c>
      <c r="AD1047" s="389"/>
      <c r="AE1047" s="399"/>
      <c r="AF1047" s="395"/>
      <c r="AG1047" s="396" t="str">
        <f t="shared" si="3"/>
        <v/>
      </c>
      <c r="AH1047" s="396" t="str">
        <f t="shared" si="4"/>
        <v/>
      </c>
      <c r="AI1047" s="388"/>
      <c r="AJ1047" s="388"/>
      <c r="AK1047" s="397"/>
    </row>
    <row r="1048">
      <c r="A1048" s="398"/>
      <c r="B1048" s="386"/>
      <c r="C1048" s="387" t="str">
        <f>IF(A1048="","",IFERROR(IF(VLOOKUP(A1048,'1. Inbound Leads'!A:G,7,FALSE)=0,"",VLOOKUP(A1048,'1. Inbound Leads'!A:G,7,FALSE)),""))</f>
        <v/>
      </c>
      <c r="D1048" s="387" t="str">
        <f>IF(A1048="","",IFERROR(IF(VLOOKUP(A1048,'1. Inbound Leads'!A:L,12,FALSE)=0,"",VLOOKUP(A1048,'1. Inbound Leads'!A:L,12,FALSE)),""))</f>
        <v/>
      </c>
      <c r="E1048" s="388"/>
      <c r="F1048" s="389"/>
      <c r="G1048" s="387"/>
      <c r="H1048" s="387"/>
      <c r="I1048" s="387"/>
      <c r="J1048" s="387"/>
      <c r="K1048" s="387"/>
      <c r="L1048" s="387"/>
      <c r="M1048" s="388"/>
      <c r="N1048" s="388"/>
      <c r="O1048" s="390"/>
      <c r="P1048" s="391"/>
      <c r="Q1048" s="389"/>
      <c r="R1048" s="390"/>
      <c r="S1048" s="390"/>
      <c r="T1048" s="391"/>
      <c r="U1048" s="392"/>
      <c r="V1048" s="391"/>
      <c r="W1048" s="391"/>
      <c r="X1048" s="388"/>
      <c r="Y1048" s="391"/>
      <c r="Z1048" s="393"/>
      <c r="AA1048" s="355" t="str">
        <f t="shared" si="1"/>
        <v/>
      </c>
      <c r="AB1048" s="391"/>
      <c r="AC1048" s="394" t="str">
        <f t="shared" si="2"/>
        <v/>
      </c>
      <c r="AD1048" s="389"/>
      <c r="AE1048" s="399"/>
      <c r="AF1048" s="395"/>
      <c r="AG1048" s="396" t="str">
        <f t="shared" si="3"/>
        <v/>
      </c>
      <c r="AH1048" s="396" t="str">
        <f t="shared" si="4"/>
        <v/>
      </c>
      <c r="AI1048" s="388"/>
      <c r="AJ1048" s="388"/>
      <c r="AK1048" s="397"/>
    </row>
    <row r="1049">
      <c r="A1049" s="398"/>
      <c r="B1049" s="386"/>
      <c r="C1049" s="387" t="str">
        <f>IF(A1049="","",IFERROR(IF(VLOOKUP(A1049,'1. Inbound Leads'!A:G,7,FALSE)=0,"",VLOOKUP(A1049,'1. Inbound Leads'!A:G,7,FALSE)),""))</f>
        <v/>
      </c>
      <c r="D1049" s="387" t="str">
        <f>IF(A1049="","",IFERROR(IF(VLOOKUP(A1049,'1. Inbound Leads'!A:L,12,FALSE)=0,"",VLOOKUP(A1049,'1. Inbound Leads'!A:L,12,FALSE)),""))</f>
        <v/>
      </c>
      <c r="E1049" s="388"/>
      <c r="F1049" s="389"/>
      <c r="G1049" s="387"/>
      <c r="H1049" s="387"/>
      <c r="I1049" s="387"/>
      <c r="J1049" s="387"/>
      <c r="K1049" s="387"/>
      <c r="L1049" s="387"/>
      <c r="M1049" s="388"/>
      <c r="N1049" s="388"/>
      <c r="O1049" s="390"/>
      <c r="P1049" s="391"/>
      <c r="Q1049" s="389"/>
      <c r="R1049" s="390"/>
      <c r="S1049" s="390"/>
      <c r="T1049" s="391"/>
      <c r="U1049" s="392"/>
      <c r="V1049" s="391"/>
      <c r="W1049" s="391"/>
      <c r="X1049" s="388"/>
      <c r="Y1049" s="391"/>
      <c r="Z1049" s="393"/>
      <c r="AA1049" s="355" t="str">
        <f t="shared" si="1"/>
        <v/>
      </c>
      <c r="AB1049" s="391"/>
      <c r="AC1049" s="394" t="str">
        <f t="shared" si="2"/>
        <v/>
      </c>
      <c r="AD1049" s="389"/>
      <c r="AE1049" s="399"/>
      <c r="AF1049" s="395"/>
      <c r="AG1049" s="396" t="str">
        <f t="shared" si="3"/>
        <v/>
      </c>
      <c r="AH1049" s="396" t="str">
        <f t="shared" si="4"/>
        <v/>
      </c>
      <c r="AI1049" s="388"/>
      <c r="AJ1049" s="388"/>
      <c r="AK1049" s="397"/>
    </row>
    <row r="1050">
      <c r="A1050" s="398"/>
      <c r="B1050" s="386"/>
      <c r="C1050" s="387" t="str">
        <f>IF(A1050="","",IFERROR(IF(VLOOKUP(A1050,'1. Inbound Leads'!A:G,7,FALSE)=0,"",VLOOKUP(A1050,'1. Inbound Leads'!A:G,7,FALSE)),""))</f>
        <v/>
      </c>
      <c r="D1050" s="387" t="str">
        <f>IF(A1050="","",IFERROR(IF(VLOOKUP(A1050,'1. Inbound Leads'!A:L,12,FALSE)=0,"",VLOOKUP(A1050,'1. Inbound Leads'!A:L,12,FALSE)),""))</f>
        <v/>
      </c>
      <c r="E1050" s="388"/>
      <c r="F1050" s="389"/>
      <c r="G1050" s="387"/>
      <c r="H1050" s="387"/>
      <c r="I1050" s="387"/>
      <c r="J1050" s="387"/>
      <c r="K1050" s="387"/>
      <c r="L1050" s="387"/>
      <c r="M1050" s="388"/>
      <c r="N1050" s="388"/>
      <c r="O1050" s="390"/>
      <c r="P1050" s="391"/>
      <c r="Q1050" s="389"/>
      <c r="R1050" s="390"/>
      <c r="S1050" s="390"/>
      <c r="T1050" s="391"/>
      <c r="U1050" s="392"/>
      <c r="V1050" s="391"/>
      <c r="W1050" s="391"/>
      <c r="X1050" s="388"/>
      <c r="Y1050" s="391"/>
      <c r="Z1050" s="393"/>
      <c r="AA1050" s="355" t="str">
        <f t="shared" si="1"/>
        <v/>
      </c>
      <c r="AB1050" s="391"/>
      <c r="AC1050" s="394" t="str">
        <f t="shared" si="2"/>
        <v/>
      </c>
      <c r="AD1050" s="389"/>
      <c r="AE1050" s="399"/>
      <c r="AF1050" s="395"/>
      <c r="AG1050" s="396" t="str">
        <f t="shared" si="3"/>
        <v/>
      </c>
      <c r="AH1050" s="396" t="str">
        <f t="shared" si="4"/>
        <v/>
      </c>
      <c r="AI1050" s="388"/>
      <c r="AJ1050" s="388"/>
      <c r="AK1050" s="397"/>
    </row>
    <row r="1051">
      <c r="A1051" s="398"/>
      <c r="B1051" s="386"/>
      <c r="C1051" s="387" t="str">
        <f>IF(A1051="","",IFERROR(IF(VLOOKUP(A1051,'1. Inbound Leads'!A:G,7,FALSE)=0,"",VLOOKUP(A1051,'1. Inbound Leads'!A:G,7,FALSE)),""))</f>
        <v/>
      </c>
      <c r="D1051" s="387" t="str">
        <f>IF(A1051="","",IFERROR(IF(VLOOKUP(A1051,'1. Inbound Leads'!A:L,12,FALSE)=0,"",VLOOKUP(A1051,'1. Inbound Leads'!A:L,12,FALSE)),""))</f>
        <v/>
      </c>
      <c r="E1051" s="388"/>
      <c r="F1051" s="389"/>
      <c r="G1051" s="387"/>
      <c r="H1051" s="387"/>
      <c r="I1051" s="387"/>
      <c r="J1051" s="387"/>
      <c r="K1051" s="387"/>
      <c r="L1051" s="387"/>
      <c r="M1051" s="388"/>
      <c r="N1051" s="388"/>
      <c r="O1051" s="390"/>
      <c r="P1051" s="391"/>
      <c r="Q1051" s="389"/>
      <c r="R1051" s="390"/>
      <c r="S1051" s="390"/>
      <c r="T1051" s="391"/>
      <c r="U1051" s="392"/>
      <c r="V1051" s="391"/>
      <c r="W1051" s="391"/>
      <c r="X1051" s="388"/>
      <c r="Y1051" s="391"/>
      <c r="Z1051" s="393"/>
      <c r="AA1051" s="355" t="str">
        <f t="shared" si="1"/>
        <v/>
      </c>
      <c r="AB1051" s="391"/>
      <c r="AC1051" s="394" t="str">
        <f t="shared" si="2"/>
        <v/>
      </c>
      <c r="AD1051" s="389"/>
      <c r="AE1051" s="399"/>
      <c r="AF1051" s="395"/>
      <c r="AG1051" s="396" t="str">
        <f t="shared" si="3"/>
        <v/>
      </c>
      <c r="AH1051" s="396" t="str">
        <f t="shared" si="4"/>
        <v/>
      </c>
      <c r="AI1051" s="388"/>
      <c r="AJ1051" s="388"/>
      <c r="AK1051" s="397"/>
    </row>
    <row r="1052">
      <c r="A1052" s="398"/>
      <c r="B1052" s="386"/>
      <c r="C1052" s="387" t="str">
        <f>IF(A1052="","",IFERROR(IF(VLOOKUP(A1052,'1. Inbound Leads'!A:G,7,FALSE)=0,"",VLOOKUP(A1052,'1. Inbound Leads'!A:G,7,FALSE)),""))</f>
        <v/>
      </c>
      <c r="D1052" s="387" t="str">
        <f>IF(A1052="","",IFERROR(IF(VLOOKUP(A1052,'1. Inbound Leads'!A:L,12,FALSE)=0,"",VLOOKUP(A1052,'1. Inbound Leads'!A:L,12,FALSE)),""))</f>
        <v/>
      </c>
      <c r="E1052" s="388"/>
      <c r="F1052" s="389"/>
      <c r="G1052" s="387"/>
      <c r="H1052" s="387"/>
      <c r="I1052" s="387"/>
      <c r="J1052" s="387"/>
      <c r="K1052" s="387"/>
      <c r="L1052" s="387"/>
      <c r="M1052" s="388"/>
      <c r="N1052" s="388"/>
      <c r="O1052" s="390"/>
      <c r="P1052" s="391"/>
      <c r="Q1052" s="389"/>
      <c r="R1052" s="390"/>
      <c r="S1052" s="390"/>
      <c r="T1052" s="391"/>
      <c r="U1052" s="392"/>
      <c r="V1052" s="391"/>
      <c r="W1052" s="391"/>
      <c r="X1052" s="388"/>
      <c r="Y1052" s="391"/>
      <c r="Z1052" s="393"/>
      <c r="AA1052" s="355" t="str">
        <f t="shared" si="1"/>
        <v/>
      </c>
      <c r="AB1052" s="391"/>
      <c r="AC1052" s="394" t="str">
        <f t="shared" si="2"/>
        <v/>
      </c>
      <c r="AD1052" s="389"/>
      <c r="AE1052" s="399"/>
      <c r="AF1052" s="395"/>
      <c r="AG1052" s="396" t="str">
        <f t="shared" si="3"/>
        <v/>
      </c>
      <c r="AH1052" s="396" t="str">
        <f t="shared" si="4"/>
        <v/>
      </c>
      <c r="AI1052" s="388"/>
      <c r="AJ1052" s="388"/>
      <c r="AK1052" s="397"/>
    </row>
    <row r="1053">
      <c r="A1053" s="398"/>
      <c r="B1053" s="386"/>
      <c r="C1053" s="387" t="str">
        <f>IF(A1053="","",IFERROR(IF(VLOOKUP(A1053,'1. Inbound Leads'!A:G,7,FALSE)=0,"",VLOOKUP(A1053,'1. Inbound Leads'!A:G,7,FALSE)),""))</f>
        <v/>
      </c>
      <c r="D1053" s="387" t="str">
        <f>IF(A1053="","",IFERROR(IF(VLOOKUP(A1053,'1. Inbound Leads'!A:L,12,FALSE)=0,"",VLOOKUP(A1053,'1. Inbound Leads'!A:L,12,FALSE)),""))</f>
        <v/>
      </c>
      <c r="E1053" s="388"/>
      <c r="F1053" s="389"/>
      <c r="G1053" s="387"/>
      <c r="H1053" s="387"/>
      <c r="I1053" s="387"/>
      <c r="J1053" s="387"/>
      <c r="K1053" s="387"/>
      <c r="L1053" s="387"/>
      <c r="M1053" s="388"/>
      <c r="N1053" s="388"/>
      <c r="O1053" s="390"/>
      <c r="P1053" s="391"/>
      <c r="Q1053" s="389"/>
      <c r="R1053" s="390"/>
      <c r="S1053" s="390"/>
      <c r="T1053" s="391"/>
      <c r="U1053" s="392"/>
      <c r="V1053" s="391"/>
      <c r="W1053" s="391"/>
      <c r="X1053" s="388"/>
      <c r="Y1053" s="391"/>
      <c r="Z1053" s="393"/>
      <c r="AA1053" s="355" t="str">
        <f t="shared" si="1"/>
        <v/>
      </c>
      <c r="AB1053" s="391"/>
      <c r="AC1053" s="394" t="str">
        <f t="shared" si="2"/>
        <v/>
      </c>
      <c r="AD1053" s="389"/>
      <c r="AE1053" s="399"/>
      <c r="AF1053" s="395"/>
      <c r="AG1053" s="396" t="str">
        <f t="shared" si="3"/>
        <v/>
      </c>
      <c r="AH1053" s="396" t="str">
        <f t="shared" si="4"/>
        <v/>
      </c>
      <c r="AI1053" s="388"/>
      <c r="AJ1053" s="388"/>
      <c r="AK1053" s="397"/>
    </row>
    <row r="1054">
      <c r="A1054" s="398"/>
      <c r="B1054" s="386"/>
      <c r="C1054" s="387" t="str">
        <f>IF(A1054="","",IFERROR(IF(VLOOKUP(A1054,'1. Inbound Leads'!A:G,7,FALSE)=0,"",VLOOKUP(A1054,'1. Inbound Leads'!A:G,7,FALSE)),""))</f>
        <v/>
      </c>
      <c r="D1054" s="387" t="str">
        <f>IF(A1054="","",IFERROR(IF(VLOOKUP(A1054,'1. Inbound Leads'!A:L,12,FALSE)=0,"",VLOOKUP(A1054,'1. Inbound Leads'!A:L,12,FALSE)),""))</f>
        <v/>
      </c>
      <c r="E1054" s="388"/>
      <c r="F1054" s="389"/>
      <c r="G1054" s="387"/>
      <c r="H1054" s="387"/>
      <c r="I1054" s="387"/>
      <c r="J1054" s="387"/>
      <c r="K1054" s="387"/>
      <c r="L1054" s="387"/>
      <c r="M1054" s="388"/>
      <c r="N1054" s="388"/>
      <c r="O1054" s="390"/>
      <c r="P1054" s="391"/>
      <c r="Q1054" s="389"/>
      <c r="R1054" s="390"/>
      <c r="S1054" s="390"/>
      <c r="T1054" s="391"/>
      <c r="U1054" s="392"/>
      <c r="V1054" s="391"/>
      <c r="W1054" s="391"/>
      <c r="X1054" s="388"/>
      <c r="Y1054" s="391"/>
      <c r="Z1054" s="393"/>
      <c r="AA1054" s="355" t="str">
        <f t="shared" si="1"/>
        <v/>
      </c>
      <c r="AB1054" s="391"/>
      <c r="AC1054" s="394" t="str">
        <f t="shared" si="2"/>
        <v/>
      </c>
      <c r="AD1054" s="389"/>
      <c r="AE1054" s="399"/>
      <c r="AF1054" s="395"/>
      <c r="AG1054" s="396" t="str">
        <f t="shared" si="3"/>
        <v/>
      </c>
      <c r="AH1054" s="396" t="str">
        <f t="shared" si="4"/>
        <v/>
      </c>
      <c r="AI1054" s="388"/>
      <c r="AJ1054" s="388"/>
      <c r="AK1054" s="397"/>
    </row>
    <row r="1055">
      <c r="A1055" s="398"/>
      <c r="B1055" s="386"/>
      <c r="C1055" s="387" t="str">
        <f>IF(A1055="","",IFERROR(IF(VLOOKUP(A1055,'1. Inbound Leads'!A:G,7,FALSE)=0,"",VLOOKUP(A1055,'1. Inbound Leads'!A:G,7,FALSE)),""))</f>
        <v/>
      </c>
      <c r="D1055" s="387" t="str">
        <f>IF(A1055="","",IFERROR(IF(VLOOKUP(A1055,'1. Inbound Leads'!A:L,12,FALSE)=0,"",VLOOKUP(A1055,'1. Inbound Leads'!A:L,12,FALSE)),""))</f>
        <v/>
      </c>
      <c r="E1055" s="388"/>
      <c r="F1055" s="389"/>
      <c r="G1055" s="387"/>
      <c r="H1055" s="387"/>
      <c r="I1055" s="387"/>
      <c r="J1055" s="387"/>
      <c r="K1055" s="387"/>
      <c r="L1055" s="387"/>
      <c r="M1055" s="388"/>
      <c r="N1055" s="388"/>
      <c r="O1055" s="390"/>
      <c r="P1055" s="391"/>
      <c r="Q1055" s="389"/>
      <c r="R1055" s="390"/>
      <c r="S1055" s="390"/>
      <c r="T1055" s="391"/>
      <c r="U1055" s="392"/>
      <c r="V1055" s="391"/>
      <c r="W1055" s="391"/>
      <c r="X1055" s="388"/>
      <c r="Y1055" s="391"/>
      <c r="Z1055" s="393"/>
      <c r="AA1055" s="355" t="str">
        <f t="shared" si="1"/>
        <v/>
      </c>
      <c r="AB1055" s="391"/>
      <c r="AC1055" s="394" t="str">
        <f t="shared" si="2"/>
        <v/>
      </c>
      <c r="AD1055" s="389"/>
      <c r="AE1055" s="399"/>
      <c r="AF1055" s="395"/>
      <c r="AG1055" s="396" t="str">
        <f t="shared" si="3"/>
        <v/>
      </c>
      <c r="AH1055" s="396" t="str">
        <f t="shared" si="4"/>
        <v/>
      </c>
      <c r="AI1055" s="388"/>
      <c r="AJ1055" s="388"/>
      <c r="AK1055" s="397"/>
    </row>
    <row r="1056">
      <c r="A1056" s="398"/>
      <c r="B1056" s="386"/>
      <c r="C1056" s="387" t="str">
        <f>IF(A1056="","",IFERROR(IF(VLOOKUP(A1056,'1. Inbound Leads'!A:G,7,FALSE)=0,"",VLOOKUP(A1056,'1. Inbound Leads'!A:G,7,FALSE)),""))</f>
        <v/>
      </c>
      <c r="D1056" s="387" t="str">
        <f>IF(A1056="","",IFERROR(IF(VLOOKUP(A1056,'1. Inbound Leads'!A:L,12,FALSE)=0,"",VLOOKUP(A1056,'1. Inbound Leads'!A:L,12,FALSE)),""))</f>
        <v/>
      </c>
      <c r="E1056" s="388"/>
      <c r="F1056" s="389"/>
      <c r="G1056" s="387"/>
      <c r="H1056" s="387"/>
      <c r="I1056" s="387"/>
      <c r="J1056" s="387"/>
      <c r="K1056" s="387"/>
      <c r="L1056" s="387"/>
      <c r="M1056" s="388"/>
      <c r="N1056" s="388"/>
      <c r="O1056" s="390"/>
      <c r="P1056" s="391"/>
      <c r="Q1056" s="389"/>
      <c r="R1056" s="390"/>
      <c r="S1056" s="390"/>
      <c r="T1056" s="391"/>
      <c r="U1056" s="392"/>
      <c r="V1056" s="391"/>
      <c r="W1056" s="391"/>
      <c r="X1056" s="388"/>
      <c r="Y1056" s="391"/>
      <c r="Z1056" s="393"/>
      <c r="AA1056" s="355" t="str">
        <f t="shared" si="1"/>
        <v/>
      </c>
      <c r="AB1056" s="391"/>
      <c r="AC1056" s="394" t="str">
        <f t="shared" si="2"/>
        <v/>
      </c>
      <c r="AD1056" s="389"/>
      <c r="AE1056" s="399"/>
      <c r="AF1056" s="395"/>
      <c r="AG1056" s="396" t="str">
        <f t="shared" si="3"/>
        <v/>
      </c>
      <c r="AH1056" s="396" t="str">
        <f t="shared" si="4"/>
        <v/>
      </c>
      <c r="AI1056" s="388"/>
      <c r="AJ1056" s="388"/>
      <c r="AK1056" s="397"/>
    </row>
    <row r="1057">
      <c r="A1057" s="398"/>
      <c r="B1057" s="386"/>
      <c r="C1057" s="387" t="str">
        <f>IF(A1057="","",IFERROR(IF(VLOOKUP(A1057,'1. Inbound Leads'!A:G,7,FALSE)=0,"",VLOOKUP(A1057,'1. Inbound Leads'!A:G,7,FALSE)),""))</f>
        <v/>
      </c>
      <c r="D1057" s="387" t="str">
        <f>IF(A1057="","",IFERROR(IF(VLOOKUP(A1057,'1. Inbound Leads'!A:L,12,FALSE)=0,"",VLOOKUP(A1057,'1. Inbound Leads'!A:L,12,FALSE)),""))</f>
        <v/>
      </c>
      <c r="E1057" s="388"/>
      <c r="F1057" s="389"/>
      <c r="G1057" s="387"/>
      <c r="H1057" s="387"/>
      <c r="I1057" s="387"/>
      <c r="J1057" s="387"/>
      <c r="K1057" s="387"/>
      <c r="L1057" s="387"/>
      <c r="M1057" s="388"/>
      <c r="N1057" s="388"/>
      <c r="O1057" s="390"/>
      <c r="P1057" s="391"/>
      <c r="Q1057" s="389"/>
      <c r="R1057" s="390"/>
      <c r="S1057" s="390"/>
      <c r="T1057" s="391"/>
      <c r="U1057" s="392"/>
      <c r="V1057" s="391"/>
      <c r="W1057" s="391"/>
      <c r="X1057" s="388"/>
      <c r="Y1057" s="391"/>
      <c r="Z1057" s="393"/>
      <c r="AA1057" s="355" t="str">
        <f t="shared" si="1"/>
        <v/>
      </c>
      <c r="AB1057" s="391"/>
      <c r="AC1057" s="394" t="str">
        <f t="shared" si="2"/>
        <v/>
      </c>
      <c r="AD1057" s="389"/>
      <c r="AE1057" s="399"/>
      <c r="AF1057" s="395"/>
      <c r="AG1057" s="396" t="str">
        <f t="shared" si="3"/>
        <v/>
      </c>
      <c r="AH1057" s="396" t="str">
        <f t="shared" si="4"/>
        <v/>
      </c>
      <c r="AI1057" s="388"/>
      <c r="AJ1057" s="388"/>
      <c r="AK1057" s="397"/>
    </row>
    <row r="1058">
      <c r="A1058" s="398"/>
      <c r="B1058" s="386"/>
      <c r="C1058" s="387" t="str">
        <f>IF(A1058="","",IFERROR(IF(VLOOKUP(A1058,'1. Inbound Leads'!A:G,7,FALSE)=0,"",VLOOKUP(A1058,'1. Inbound Leads'!A:G,7,FALSE)),""))</f>
        <v/>
      </c>
      <c r="D1058" s="387" t="str">
        <f>IF(A1058="","",IFERROR(IF(VLOOKUP(A1058,'1. Inbound Leads'!A:L,12,FALSE)=0,"",VLOOKUP(A1058,'1. Inbound Leads'!A:L,12,FALSE)),""))</f>
        <v/>
      </c>
      <c r="E1058" s="388"/>
      <c r="F1058" s="389"/>
      <c r="G1058" s="387"/>
      <c r="H1058" s="387"/>
      <c r="I1058" s="387"/>
      <c r="J1058" s="387"/>
      <c r="K1058" s="387"/>
      <c r="L1058" s="387"/>
      <c r="M1058" s="388"/>
      <c r="N1058" s="388"/>
      <c r="O1058" s="390"/>
      <c r="P1058" s="391"/>
      <c r="Q1058" s="389"/>
      <c r="R1058" s="390"/>
      <c r="S1058" s="390"/>
      <c r="T1058" s="391"/>
      <c r="U1058" s="392"/>
      <c r="V1058" s="391"/>
      <c r="W1058" s="391"/>
      <c r="X1058" s="388"/>
      <c r="Y1058" s="391"/>
      <c r="Z1058" s="393"/>
      <c r="AA1058" s="355" t="str">
        <f t="shared" si="1"/>
        <v/>
      </c>
      <c r="AB1058" s="391"/>
      <c r="AC1058" s="394" t="str">
        <f t="shared" si="2"/>
        <v/>
      </c>
      <c r="AD1058" s="389"/>
      <c r="AE1058" s="399"/>
      <c r="AF1058" s="395"/>
      <c r="AG1058" s="396" t="str">
        <f t="shared" si="3"/>
        <v/>
      </c>
      <c r="AH1058" s="396" t="str">
        <f t="shared" si="4"/>
        <v/>
      </c>
      <c r="AI1058" s="388"/>
      <c r="AJ1058" s="388"/>
      <c r="AK1058" s="397"/>
    </row>
    <row r="1059">
      <c r="A1059" s="398"/>
      <c r="B1059" s="386"/>
      <c r="C1059" s="387" t="str">
        <f>IF(A1059="","",IFERROR(IF(VLOOKUP(A1059,'1. Inbound Leads'!A:G,7,FALSE)=0,"",VLOOKUP(A1059,'1. Inbound Leads'!A:G,7,FALSE)),""))</f>
        <v/>
      </c>
      <c r="D1059" s="387" t="str">
        <f>IF(A1059="","",IFERROR(IF(VLOOKUP(A1059,'1. Inbound Leads'!A:L,12,FALSE)=0,"",VLOOKUP(A1059,'1. Inbound Leads'!A:L,12,FALSE)),""))</f>
        <v/>
      </c>
      <c r="E1059" s="388"/>
      <c r="F1059" s="389"/>
      <c r="G1059" s="387"/>
      <c r="H1059" s="387"/>
      <c r="I1059" s="387"/>
      <c r="J1059" s="387"/>
      <c r="K1059" s="387"/>
      <c r="L1059" s="387"/>
      <c r="M1059" s="388"/>
      <c r="N1059" s="388"/>
      <c r="O1059" s="390"/>
      <c r="P1059" s="391"/>
      <c r="Q1059" s="389"/>
      <c r="R1059" s="390"/>
      <c r="S1059" s="390"/>
      <c r="T1059" s="391"/>
      <c r="U1059" s="392"/>
      <c r="V1059" s="391"/>
      <c r="W1059" s="391"/>
      <c r="X1059" s="388"/>
      <c r="Y1059" s="391"/>
      <c r="Z1059" s="393"/>
      <c r="AA1059" s="355" t="str">
        <f t="shared" si="1"/>
        <v/>
      </c>
      <c r="AB1059" s="391"/>
      <c r="AC1059" s="394" t="str">
        <f t="shared" si="2"/>
        <v/>
      </c>
      <c r="AD1059" s="389"/>
      <c r="AE1059" s="399"/>
      <c r="AF1059" s="395"/>
      <c r="AG1059" s="396" t="str">
        <f t="shared" si="3"/>
        <v/>
      </c>
      <c r="AH1059" s="396" t="str">
        <f t="shared" si="4"/>
        <v/>
      </c>
      <c r="AI1059" s="388"/>
      <c r="AJ1059" s="388"/>
      <c r="AK1059" s="397"/>
    </row>
    <row r="1060">
      <c r="A1060" s="398"/>
      <c r="B1060" s="386"/>
      <c r="C1060" s="387" t="str">
        <f>IF(A1060="","",IFERROR(IF(VLOOKUP(A1060,'1. Inbound Leads'!A:G,7,FALSE)=0,"",VLOOKUP(A1060,'1. Inbound Leads'!A:G,7,FALSE)),""))</f>
        <v/>
      </c>
      <c r="D1060" s="387" t="str">
        <f>IF(A1060="","",IFERROR(IF(VLOOKUP(A1060,'1. Inbound Leads'!A:L,12,FALSE)=0,"",VLOOKUP(A1060,'1. Inbound Leads'!A:L,12,FALSE)),""))</f>
        <v/>
      </c>
      <c r="E1060" s="388"/>
      <c r="F1060" s="389"/>
      <c r="G1060" s="387"/>
      <c r="H1060" s="387"/>
      <c r="I1060" s="387"/>
      <c r="J1060" s="387"/>
      <c r="K1060" s="387"/>
      <c r="L1060" s="387"/>
      <c r="M1060" s="388"/>
      <c r="N1060" s="388"/>
      <c r="O1060" s="390"/>
      <c r="P1060" s="391"/>
      <c r="Q1060" s="389"/>
      <c r="R1060" s="390"/>
      <c r="S1060" s="390"/>
      <c r="T1060" s="391"/>
      <c r="U1060" s="392"/>
      <c r="V1060" s="391"/>
      <c r="W1060" s="391"/>
      <c r="X1060" s="388"/>
      <c r="Y1060" s="391"/>
      <c r="Z1060" s="393"/>
      <c r="AA1060" s="355" t="str">
        <f t="shared" si="1"/>
        <v/>
      </c>
      <c r="AB1060" s="391"/>
      <c r="AC1060" s="394" t="str">
        <f t="shared" si="2"/>
        <v/>
      </c>
      <c r="AD1060" s="389"/>
      <c r="AE1060" s="399"/>
      <c r="AF1060" s="395"/>
      <c r="AG1060" s="396" t="str">
        <f t="shared" si="3"/>
        <v/>
      </c>
      <c r="AH1060" s="396" t="str">
        <f t="shared" si="4"/>
        <v/>
      </c>
      <c r="AI1060" s="388"/>
      <c r="AJ1060" s="388"/>
      <c r="AK1060" s="397"/>
    </row>
    <row r="1061">
      <c r="A1061" s="398"/>
      <c r="B1061" s="386"/>
      <c r="C1061" s="387" t="str">
        <f>IF(A1061="","",IFERROR(IF(VLOOKUP(A1061,'1. Inbound Leads'!A:G,7,FALSE)=0,"",VLOOKUP(A1061,'1. Inbound Leads'!A:G,7,FALSE)),""))</f>
        <v/>
      </c>
      <c r="D1061" s="387" t="str">
        <f>IF(A1061="","",IFERROR(IF(VLOOKUP(A1061,'1. Inbound Leads'!A:L,12,FALSE)=0,"",VLOOKUP(A1061,'1. Inbound Leads'!A:L,12,FALSE)),""))</f>
        <v/>
      </c>
      <c r="E1061" s="388"/>
      <c r="F1061" s="389"/>
      <c r="G1061" s="387"/>
      <c r="H1061" s="387"/>
      <c r="I1061" s="387"/>
      <c r="J1061" s="387"/>
      <c r="K1061" s="387"/>
      <c r="L1061" s="387"/>
      <c r="M1061" s="388"/>
      <c r="N1061" s="388"/>
      <c r="O1061" s="390"/>
      <c r="P1061" s="391"/>
      <c r="Q1061" s="389"/>
      <c r="R1061" s="390"/>
      <c r="S1061" s="390"/>
      <c r="T1061" s="391"/>
      <c r="U1061" s="392"/>
      <c r="V1061" s="391"/>
      <c r="W1061" s="391"/>
      <c r="X1061" s="388"/>
      <c r="Y1061" s="391"/>
      <c r="Z1061" s="393"/>
      <c r="AA1061" s="355" t="str">
        <f t="shared" si="1"/>
        <v/>
      </c>
      <c r="AB1061" s="391"/>
      <c r="AC1061" s="394" t="str">
        <f t="shared" si="2"/>
        <v/>
      </c>
      <c r="AD1061" s="389"/>
      <c r="AE1061" s="399"/>
      <c r="AF1061" s="395"/>
      <c r="AG1061" s="396" t="str">
        <f t="shared" si="3"/>
        <v/>
      </c>
      <c r="AH1061" s="396" t="str">
        <f t="shared" si="4"/>
        <v/>
      </c>
      <c r="AI1061" s="388"/>
      <c r="AJ1061" s="388"/>
      <c r="AK1061" s="397"/>
    </row>
    <row r="1062">
      <c r="A1062" s="398"/>
      <c r="B1062" s="386"/>
      <c r="C1062" s="387" t="str">
        <f>IF(A1062="","",IFERROR(IF(VLOOKUP(A1062,'1. Inbound Leads'!A:G,7,FALSE)=0,"",VLOOKUP(A1062,'1. Inbound Leads'!A:G,7,FALSE)),""))</f>
        <v/>
      </c>
      <c r="D1062" s="387" t="str">
        <f>IF(A1062="","",IFERROR(IF(VLOOKUP(A1062,'1. Inbound Leads'!A:L,12,FALSE)=0,"",VLOOKUP(A1062,'1. Inbound Leads'!A:L,12,FALSE)),""))</f>
        <v/>
      </c>
      <c r="E1062" s="388"/>
      <c r="F1062" s="389"/>
      <c r="G1062" s="387"/>
      <c r="H1062" s="387"/>
      <c r="I1062" s="387"/>
      <c r="J1062" s="387"/>
      <c r="K1062" s="387"/>
      <c r="L1062" s="387"/>
      <c r="M1062" s="388"/>
      <c r="N1062" s="388"/>
      <c r="O1062" s="390"/>
      <c r="P1062" s="391"/>
      <c r="Q1062" s="389"/>
      <c r="R1062" s="390"/>
      <c r="S1062" s="390"/>
      <c r="T1062" s="391"/>
      <c r="U1062" s="392"/>
      <c r="V1062" s="391"/>
      <c r="W1062" s="391"/>
      <c r="X1062" s="388"/>
      <c r="Y1062" s="391"/>
      <c r="Z1062" s="393"/>
      <c r="AA1062" s="355" t="str">
        <f t="shared" si="1"/>
        <v/>
      </c>
      <c r="AB1062" s="391"/>
      <c r="AC1062" s="394" t="str">
        <f t="shared" si="2"/>
        <v/>
      </c>
      <c r="AD1062" s="389"/>
      <c r="AE1062" s="399"/>
      <c r="AF1062" s="395"/>
      <c r="AG1062" s="396" t="str">
        <f t="shared" si="3"/>
        <v/>
      </c>
      <c r="AH1062" s="396" t="str">
        <f t="shared" si="4"/>
        <v/>
      </c>
      <c r="AI1062" s="388"/>
      <c r="AJ1062" s="388"/>
      <c r="AK1062" s="397"/>
    </row>
    <row r="1063">
      <c r="A1063" s="398"/>
      <c r="B1063" s="386"/>
      <c r="C1063" s="387" t="str">
        <f>IF(A1063="","",IFERROR(IF(VLOOKUP(A1063,'1. Inbound Leads'!A:G,7,FALSE)=0,"",VLOOKUP(A1063,'1. Inbound Leads'!A:G,7,FALSE)),""))</f>
        <v/>
      </c>
      <c r="D1063" s="387" t="str">
        <f>IF(A1063="","",IFERROR(IF(VLOOKUP(A1063,'1. Inbound Leads'!A:L,12,FALSE)=0,"",VLOOKUP(A1063,'1. Inbound Leads'!A:L,12,FALSE)),""))</f>
        <v/>
      </c>
      <c r="E1063" s="388"/>
      <c r="F1063" s="389"/>
      <c r="G1063" s="387"/>
      <c r="H1063" s="387"/>
      <c r="I1063" s="387"/>
      <c r="J1063" s="387"/>
      <c r="K1063" s="387"/>
      <c r="L1063" s="387"/>
      <c r="M1063" s="388"/>
      <c r="N1063" s="388"/>
      <c r="O1063" s="390"/>
      <c r="P1063" s="391"/>
      <c r="Q1063" s="389"/>
      <c r="R1063" s="390"/>
      <c r="S1063" s="390"/>
      <c r="T1063" s="391"/>
      <c r="U1063" s="392"/>
      <c r="V1063" s="391"/>
      <c r="W1063" s="391"/>
      <c r="X1063" s="388"/>
      <c r="Y1063" s="391"/>
      <c r="Z1063" s="393"/>
      <c r="AA1063" s="355" t="str">
        <f t="shared" si="1"/>
        <v/>
      </c>
      <c r="AB1063" s="391"/>
      <c r="AC1063" s="394" t="str">
        <f t="shared" si="2"/>
        <v/>
      </c>
      <c r="AD1063" s="389"/>
      <c r="AE1063" s="399"/>
      <c r="AF1063" s="395"/>
      <c r="AG1063" s="396" t="str">
        <f t="shared" si="3"/>
        <v/>
      </c>
      <c r="AH1063" s="396" t="str">
        <f t="shared" si="4"/>
        <v/>
      </c>
      <c r="AI1063" s="388"/>
      <c r="AJ1063" s="388"/>
      <c r="AK1063" s="397"/>
    </row>
    <row r="1064">
      <c r="A1064" s="398"/>
      <c r="B1064" s="386"/>
      <c r="C1064" s="387" t="str">
        <f>IF(A1064="","",IFERROR(IF(VLOOKUP(A1064,'1. Inbound Leads'!A:G,7,FALSE)=0,"",VLOOKUP(A1064,'1. Inbound Leads'!A:G,7,FALSE)),""))</f>
        <v/>
      </c>
      <c r="D1064" s="387" t="str">
        <f>IF(A1064="","",IFERROR(IF(VLOOKUP(A1064,'1. Inbound Leads'!A:L,12,FALSE)=0,"",VLOOKUP(A1064,'1. Inbound Leads'!A:L,12,FALSE)),""))</f>
        <v/>
      </c>
      <c r="E1064" s="388"/>
      <c r="F1064" s="389"/>
      <c r="G1064" s="387"/>
      <c r="H1064" s="387"/>
      <c r="I1064" s="387"/>
      <c r="J1064" s="387"/>
      <c r="K1064" s="387"/>
      <c r="L1064" s="387"/>
      <c r="M1064" s="388"/>
      <c r="N1064" s="388"/>
      <c r="O1064" s="390"/>
      <c r="P1064" s="391"/>
      <c r="Q1064" s="389"/>
      <c r="R1064" s="390"/>
      <c r="S1064" s="390"/>
      <c r="T1064" s="391"/>
      <c r="U1064" s="392"/>
      <c r="V1064" s="391"/>
      <c r="W1064" s="391"/>
      <c r="X1064" s="388"/>
      <c r="Y1064" s="391"/>
      <c r="Z1064" s="393"/>
      <c r="AA1064" s="355" t="str">
        <f t="shared" si="1"/>
        <v/>
      </c>
      <c r="AB1064" s="391"/>
      <c r="AC1064" s="394" t="str">
        <f t="shared" si="2"/>
        <v/>
      </c>
      <c r="AD1064" s="389"/>
      <c r="AE1064" s="399"/>
      <c r="AF1064" s="395"/>
      <c r="AG1064" s="396" t="str">
        <f t="shared" si="3"/>
        <v/>
      </c>
      <c r="AH1064" s="396" t="str">
        <f t="shared" si="4"/>
        <v/>
      </c>
      <c r="AI1064" s="388"/>
      <c r="AJ1064" s="388"/>
      <c r="AK1064" s="397"/>
    </row>
    <row r="1065">
      <c r="A1065" s="398"/>
      <c r="B1065" s="386"/>
      <c r="C1065" s="387" t="str">
        <f>IF(A1065="","",IFERROR(IF(VLOOKUP(A1065,'1. Inbound Leads'!A:G,7,FALSE)=0,"",VLOOKUP(A1065,'1. Inbound Leads'!A:G,7,FALSE)),""))</f>
        <v/>
      </c>
      <c r="D1065" s="387" t="str">
        <f>IF(A1065="","",IFERROR(IF(VLOOKUP(A1065,'1. Inbound Leads'!A:L,12,FALSE)=0,"",VLOOKUP(A1065,'1. Inbound Leads'!A:L,12,FALSE)),""))</f>
        <v/>
      </c>
      <c r="E1065" s="388"/>
      <c r="F1065" s="389"/>
      <c r="G1065" s="387"/>
      <c r="H1065" s="387"/>
      <c r="I1065" s="387"/>
      <c r="J1065" s="387"/>
      <c r="K1065" s="387"/>
      <c r="L1065" s="387"/>
      <c r="M1065" s="388"/>
      <c r="N1065" s="388"/>
      <c r="O1065" s="390"/>
      <c r="P1065" s="391"/>
      <c r="Q1065" s="389"/>
      <c r="R1065" s="390"/>
      <c r="S1065" s="390"/>
      <c r="T1065" s="391"/>
      <c r="U1065" s="392"/>
      <c r="V1065" s="391"/>
      <c r="W1065" s="391"/>
      <c r="X1065" s="388"/>
      <c r="Y1065" s="391"/>
      <c r="Z1065" s="393"/>
      <c r="AA1065" s="355" t="str">
        <f t="shared" si="1"/>
        <v/>
      </c>
      <c r="AB1065" s="391"/>
      <c r="AC1065" s="394" t="str">
        <f t="shared" si="2"/>
        <v/>
      </c>
      <c r="AD1065" s="389"/>
      <c r="AE1065" s="399"/>
      <c r="AF1065" s="395"/>
      <c r="AG1065" s="396" t="str">
        <f t="shared" si="3"/>
        <v/>
      </c>
      <c r="AH1065" s="396" t="str">
        <f t="shared" si="4"/>
        <v/>
      </c>
      <c r="AI1065" s="388"/>
      <c r="AJ1065" s="388"/>
      <c r="AK1065" s="397"/>
    </row>
    <row r="1066">
      <c r="A1066" s="398"/>
      <c r="B1066" s="386"/>
      <c r="C1066" s="387" t="str">
        <f>IF(A1066="","",IFERROR(IF(VLOOKUP(A1066,'1. Inbound Leads'!A:G,7,FALSE)=0,"",VLOOKUP(A1066,'1. Inbound Leads'!A:G,7,FALSE)),""))</f>
        <v/>
      </c>
      <c r="D1066" s="387" t="str">
        <f>IF(A1066="","",IFERROR(IF(VLOOKUP(A1066,'1. Inbound Leads'!A:L,12,FALSE)=0,"",VLOOKUP(A1066,'1. Inbound Leads'!A:L,12,FALSE)),""))</f>
        <v/>
      </c>
      <c r="E1066" s="388"/>
      <c r="F1066" s="389"/>
      <c r="G1066" s="387"/>
      <c r="H1066" s="387"/>
      <c r="I1066" s="387"/>
      <c r="J1066" s="387"/>
      <c r="K1066" s="387"/>
      <c r="L1066" s="387"/>
      <c r="M1066" s="388"/>
      <c r="N1066" s="388"/>
      <c r="O1066" s="390"/>
      <c r="P1066" s="391"/>
      <c r="Q1066" s="389"/>
      <c r="R1066" s="390"/>
      <c r="S1066" s="390"/>
      <c r="T1066" s="391"/>
      <c r="U1066" s="392"/>
      <c r="V1066" s="391"/>
      <c r="W1066" s="391"/>
      <c r="X1066" s="388"/>
      <c r="Y1066" s="391"/>
      <c r="Z1066" s="393"/>
      <c r="AA1066" s="355" t="str">
        <f t="shared" si="1"/>
        <v/>
      </c>
      <c r="AB1066" s="391"/>
      <c r="AC1066" s="394" t="str">
        <f t="shared" si="2"/>
        <v/>
      </c>
      <c r="AD1066" s="389"/>
      <c r="AE1066" s="399"/>
      <c r="AF1066" s="395"/>
      <c r="AG1066" s="396" t="str">
        <f t="shared" si="3"/>
        <v/>
      </c>
      <c r="AH1066" s="396" t="str">
        <f t="shared" si="4"/>
        <v/>
      </c>
      <c r="AI1066" s="388"/>
      <c r="AJ1066" s="388"/>
      <c r="AK1066" s="397"/>
    </row>
    <row r="1067">
      <c r="A1067" s="398"/>
      <c r="B1067" s="386"/>
      <c r="C1067" s="387" t="str">
        <f>IF(A1067="","",IFERROR(IF(VLOOKUP(A1067,'1. Inbound Leads'!A:G,7,FALSE)=0,"",VLOOKUP(A1067,'1. Inbound Leads'!A:G,7,FALSE)),""))</f>
        <v/>
      </c>
      <c r="D1067" s="387" t="str">
        <f>IF(A1067="","",IFERROR(IF(VLOOKUP(A1067,'1. Inbound Leads'!A:L,12,FALSE)=0,"",VLOOKUP(A1067,'1. Inbound Leads'!A:L,12,FALSE)),""))</f>
        <v/>
      </c>
      <c r="E1067" s="388"/>
      <c r="F1067" s="389"/>
      <c r="G1067" s="387"/>
      <c r="H1067" s="387"/>
      <c r="I1067" s="387"/>
      <c r="J1067" s="387"/>
      <c r="K1067" s="387"/>
      <c r="L1067" s="387"/>
      <c r="M1067" s="388"/>
      <c r="N1067" s="388"/>
      <c r="O1067" s="390"/>
      <c r="P1067" s="391"/>
      <c r="Q1067" s="389"/>
      <c r="R1067" s="390"/>
      <c r="S1067" s="390"/>
      <c r="T1067" s="391"/>
      <c r="U1067" s="392"/>
      <c r="V1067" s="391"/>
      <c r="W1067" s="391"/>
      <c r="X1067" s="388"/>
      <c r="Y1067" s="391"/>
      <c r="Z1067" s="393"/>
      <c r="AA1067" s="355" t="str">
        <f t="shared" si="1"/>
        <v/>
      </c>
      <c r="AB1067" s="391"/>
      <c r="AC1067" s="394" t="str">
        <f t="shared" si="2"/>
        <v/>
      </c>
      <c r="AD1067" s="389"/>
      <c r="AE1067" s="399"/>
      <c r="AF1067" s="395"/>
      <c r="AG1067" s="396" t="str">
        <f t="shared" si="3"/>
        <v/>
      </c>
      <c r="AH1067" s="396" t="str">
        <f t="shared" si="4"/>
        <v/>
      </c>
      <c r="AI1067" s="388"/>
      <c r="AJ1067" s="388"/>
      <c r="AK1067" s="397"/>
    </row>
    <row r="1068">
      <c r="A1068" s="398"/>
      <c r="B1068" s="386"/>
      <c r="C1068" s="387" t="str">
        <f>IF(A1068="","",IFERROR(IF(VLOOKUP(A1068,'1. Inbound Leads'!A:G,7,FALSE)=0,"",VLOOKUP(A1068,'1. Inbound Leads'!A:G,7,FALSE)),""))</f>
        <v/>
      </c>
      <c r="D1068" s="387" t="str">
        <f>IF(A1068="","",IFERROR(IF(VLOOKUP(A1068,'1. Inbound Leads'!A:L,12,FALSE)=0,"",VLOOKUP(A1068,'1. Inbound Leads'!A:L,12,FALSE)),""))</f>
        <v/>
      </c>
      <c r="E1068" s="388"/>
      <c r="F1068" s="389"/>
      <c r="G1068" s="387"/>
      <c r="H1068" s="387"/>
      <c r="I1068" s="387"/>
      <c r="J1068" s="387"/>
      <c r="K1068" s="387"/>
      <c r="L1068" s="387"/>
      <c r="M1068" s="388"/>
      <c r="N1068" s="388"/>
      <c r="O1068" s="390"/>
      <c r="P1068" s="391"/>
      <c r="Q1068" s="389"/>
      <c r="R1068" s="390"/>
      <c r="S1068" s="390"/>
      <c r="T1068" s="391"/>
      <c r="U1068" s="392"/>
      <c r="V1068" s="391"/>
      <c r="W1068" s="391"/>
      <c r="X1068" s="388"/>
      <c r="Y1068" s="391"/>
      <c r="Z1068" s="393"/>
      <c r="AA1068" s="355" t="str">
        <f t="shared" si="1"/>
        <v/>
      </c>
      <c r="AB1068" s="391"/>
      <c r="AC1068" s="394" t="str">
        <f t="shared" si="2"/>
        <v/>
      </c>
      <c r="AD1068" s="389"/>
      <c r="AE1068" s="399"/>
      <c r="AF1068" s="395"/>
      <c r="AG1068" s="396" t="str">
        <f t="shared" si="3"/>
        <v/>
      </c>
      <c r="AH1068" s="396" t="str">
        <f t="shared" si="4"/>
        <v/>
      </c>
      <c r="AI1068" s="388"/>
      <c r="AJ1068" s="388"/>
      <c r="AK1068" s="397"/>
    </row>
    <row r="1069">
      <c r="A1069" s="398"/>
      <c r="B1069" s="386"/>
      <c r="C1069" s="387" t="str">
        <f>IF(A1069="","",IFERROR(IF(VLOOKUP(A1069,'1. Inbound Leads'!A:G,7,FALSE)=0,"",VLOOKUP(A1069,'1. Inbound Leads'!A:G,7,FALSE)),""))</f>
        <v/>
      </c>
      <c r="D1069" s="387" t="str">
        <f>IF(A1069="","",IFERROR(IF(VLOOKUP(A1069,'1. Inbound Leads'!A:L,12,FALSE)=0,"",VLOOKUP(A1069,'1. Inbound Leads'!A:L,12,FALSE)),""))</f>
        <v/>
      </c>
      <c r="E1069" s="388"/>
      <c r="F1069" s="389"/>
      <c r="G1069" s="387"/>
      <c r="H1069" s="387"/>
      <c r="I1069" s="387"/>
      <c r="J1069" s="387"/>
      <c r="K1069" s="387"/>
      <c r="L1069" s="387"/>
      <c r="M1069" s="388"/>
      <c r="N1069" s="388"/>
      <c r="O1069" s="390"/>
      <c r="P1069" s="391"/>
      <c r="Q1069" s="389"/>
      <c r="R1069" s="390"/>
      <c r="S1069" s="390"/>
      <c r="T1069" s="391"/>
      <c r="U1069" s="392"/>
      <c r="V1069" s="391"/>
      <c r="W1069" s="391"/>
      <c r="X1069" s="388"/>
      <c r="Y1069" s="391"/>
      <c r="Z1069" s="393"/>
      <c r="AA1069" s="355" t="str">
        <f t="shared" si="1"/>
        <v/>
      </c>
      <c r="AB1069" s="391"/>
      <c r="AC1069" s="394" t="str">
        <f t="shared" si="2"/>
        <v/>
      </c>
      <c r="AD1069" s="389"/>
      <c r="AE1069" s="399"/>
      <c r="AF1069" s="395"/>
      <c r="AG1069" s="396" t="str">
        <f t="shared" si="3"/>
        <v/>
      </c>
      <c r="AH1069" s="396" t="str">
        <f t="shared" si="4"/>
        <v/>
      </c>
      <c r="AI1069" s="388"/>
      <c r="AJ1069" s="388"/>
      <c r="AK1069" s="397"/>
    </row>
    <row r="1070">
      <c r="A1070" s="398"/>
      <c r="B1070" s="386"/>
      <c r="C1070" s="387" t="str">
        <f>IF(A1070="","",IFERROR(IF(VLOOKUP(A1070,'1. Inbound Leads'!A:G,7,FALSE)=0,"",VLOOKUP(A1070,'1. Inbound Leads'!A:G,7,FALSE)),""))</f>
        <v/>
      </c>
      <c r="D1070" s="387" t="str">
        <f>IF(A1070="","",IFERROR(IF(VLOOKUP(A1070,'1. Inbound Leads'!A:L,12,FALSE)=0,"",VLOOKUP(A1070,'1. Inbound Leads'!A:L,12,FALSE)),""))</f>
        <v/>
      </c>
      <c r="E1070" s="388"/>
      <c r="F1070" s="389"/>
      <c r="G1070" s="387"/>
      <c r="H1070" s="387"/>
      <c r="I1070" s="387"/>
      <c r="J1070" s="387"/>
      <c r="K1070" s="387"/>
      <c r="L1070" s="387"/>
      <c r="M1070" s="388"/>
      <c r="N1070" s="388"/>
      <c r="O1070" s="390"/>
      <c r="P1070" s="391"/>
      <c r="Q1070" s="389"/>
      <c r="R1070" s="390"/>
      <c r="S1070" s="390"/>
      <c r="T1070" s="391"/>
      <c r="U1070" s="392"/>
      <c r="V1070" s="391"/>
      <c r="W1070" s="391"/>
      <c r="X1070" s="388"/>
      <c r="Y1070" s="391"/>
      <c r="Z1070" s="393"/>
      <c r="AA1070" s="355" t="str">
        <f t="shared" si="1"/>
        <v/>
      </c>
      <c r="AB1070" s="391"/>
      <c r="AC1070" s="394" t="str">
        <f t="shared" si="2"/>
        <v/>
      </c>
      <c r="AD1070" s="389"/>
      <c r="AE1070" s="399"/>
      <c r="AF1070" s="395"/>
      <c r="AG1070" s="396" t="str">
        <f t="shared" si="3"/>
        <v/>
      </c>
      <c r="AH1070" s="396" t="str">
        <f t="shared" si="4"/>
        <v/>
      </c>
      <c r="AI1070" s="388"/>
      <c r="AJ1070" s="388"/>
      <c r="AK1070" s="397"/>
    </row>
    <row r="1071">
      <c r="A1071" s="398"/>
      <c r="B1071" s="386"/>
      <c r="C1071" s="387" t="str">
        <f>IF(A1071="","",IFERROR(IF(VLOOKUP(A1071,'1. Inbound Leads'!A:G,7,FALSE)=0,"",VLOOKUP(A1071,'1. Inbound Leads'!A:G,7,FALSE)),""))</f>
        <v/>
      </c>
      <c r="D1071" s="387" t="str">
        <f>IF(A1071="","",IFERROR(IF(VLOOKUP(A1071,'1. Inbound Leads'!A:L,12,FALSE)=0,"",VLOOKUP(A1071,'1. Inbound Leads'!A:L,12,FALSE)),""))</f>
        <v/>
      </c>
      <c r="E1071" s="388"/>
      <c r="F1071" s="389"/>
      <c r="G1071" s="387"/>
      <c r="H1071" s="387"/>
      <c r="I1071" s="387"/>
      <c r="J1071" s="387"/>
      <c r="K1071" s="387"/>
      <c r="L1071" s="387"/>
      <c r="M1071" s="388"/>
      <c r="N1071" s="388"/>
      <c r="O1071" s="390"/>
      <c r="P1071" s="391"/>
      <c r="Q1071" s="389"/>
      <c r="R1071" s="390"/>
      <c r="S1071" s="390"/>
      <c r="T1071" s="391"/>
      <c r="U1071" s="392"/>
      <c r="V1071" s="391"/>
      <c r="W1071" s="391"/>
      <c r="X1071" s="388"/>
      <c r="Y1071" s="391"/>
      <c r="Z1071" s="393"/>
      <c r="AA1071" s="355" t="str">
        <f t="shared" si="1"/>
        <v/>
      </c>
      <c r="AB1071" s="391"/>
      <c r="AC1071" s="394" t="str">
        <f t="shared" si="2"/>
        <v/>
      </c>
      <c r="AD1071" s="389"/>
      <c r="AE1071" s="399"/>
      <c r="AF1071" s="395"/>
      <c r="AG1071" s="396" t="str">
        <f t="shared" si="3"/>
        <v/>
      </c>
      <c r="AH1071" s="396" t="str">
        <f t="shared" si="4"/>
        <v/>
      </c>
      <c r="AI1071" s="388"/>
      <c r="AJ1071" s="388"/>
      <c r="AK1071" s="397"/>
    </row>
    <row r="1072">
      <c r="A1072" s="398"/>
      <c r="B1072" s="386"/>
      <c r="C1072" s="387" t="str">
        <f>IF(A1072="","",IFERROR(IF(VLOOKUP(A1072,'1. Inbound Leads'!A:G,7,FALSE)=0,"",VLOOKUP(A1072,'1. Inbound Leads'!A:G,7,FALSE)),""))</f>
        <v/>
      </c>
      <c r="D1072" s="387" t="str">
        <f>IF(A1072="","",IFERROR(IF(VLOOKUP(A1072,'1. Inbound Leads'!A:L,12,FALSE)=0,"",VLOOKUP(A1072,'1. Inbound Leads'!A:L,12,FALSE)),""))</f>
        <v/>
      </c>
      <c r="E1072" s="388"/>
      <c r="F1072" s="389"/>
      <c r="G1072" s="387"/>
      <c r="H1072" s="387"/>
      <c r="I1072" s="387"/>
      <c r="J1072" s="387"/>
      <c r="K1072" s="387"/>
      <c r="L1072" s="387"/>
      <c r="M1072" s="388"/>
      <c r="N1072" s="388"/>
      <c r="O1072" s="390"/>
      <c r="P1072" s="391"/>
      <c r="Q1072" s="389"/>
      <c r="R1072" s="390"/>
      <c r="S1072" s="390"/>
      <c r="T1072" s="391"/>
      <c r="U1072" s="392"/>
      <c r="V1072" s="391"/>
      <c r="W1072" s="391"/>
      <c r="X1072" s="388"/>
      <c r="Y1072" s="391"/>
      <c r="Z1072" s="393"/>
      <c r="AA1072" s="355" t="str">
        <f t="shared" si="1"/>
        <v/>
      </c>
      <c r="AB1072" s="391"/>
      <c r="AC1072" s="394" t="str">
        <f t="shared" si="2"/>
        <v/>
      </c>
      <c r="AD1072" s="389"/>
      <c r="AE1072" s="399"/>
      <c r="AF1072" s="395"/>
      <c r="AG1072" s="396" t="str">
        <f t="shared" si="3"/>
        <v/>
      </c>
      <c r="AH1072" s="396" t="str">
        <f t="shared" si="4"/>
        <v/>
      </c>
      <c r="AI1072" s="388"/>
      <c r="AJ1072" s="388"/>
      <c r="AK1072" s="397"/>
    </row>
    <row r="1073">
      <c r="A1073" s="398"/>
      <c r="B1073" s="386"/>
      <c r="C1073" s="387" t="str">
        <f>IF(A1073="","",IFERROR(IF(VLOOKUP(A1073,'1. Inbound Leads'!A:G,7,FALSE)=0,"",VLOOKUP(A1073,'1. Inbound Leads'!A:G,7,FALSE)),""))</f>
        <v/>
      </c>
      <c r="D1073" s="387" t="str">
        <f>IF(A1073="","",IFERROR(IF(VLOOKUP(A1073,'1. Inbound Leads'!A:L,12,FALSE)=0,"",VLOOKUP(A1073,'1. Inbound Leads'!A:L,12,FALSE)),""))</f>
        <v/>
      </c>
      <c r="E1073" s="388"/>
      <c r="F1073" s="389"/>
      <c r="G1073" s="387"/>
      <c r="H1073" s="387"/>
      <c r="I1073" s="387"/>
      <c r="J1073" s="387"/>
      <c r="K1073" s="387"/>
      <c r="L1073" s="387"/>
      <c r="M1073" s="388"/>
      <c r="N1073" s="388"/>
      <c r="O1073" s="390"/>
      <c r="P1073" s="391"/>
      <c r="Q1073" s="389"/>
      <c r="R1073" s="390"/>
      <c r="S1073" s="390"/>
      <c r="T1073" s="391"/>
      <c r="U1073" s="392"/>
      <c r="V1073" s="391"/>
      <c r="W1073" s="391"/>
      <c r="X1073" s="388"/>
      <c r="Y1073" s="391"/>
      <c r="Z1073" s="393"/>
      <c r="AA1073" s="355" t="str">
        <f t="shared" si="1"/>
        <v/>
      </c>
      <c r="AB1073" s="391"/>
      <c r="AC1073" s="394" t="str">
        <f t="shared" si="2"/>
        <v/>
      </c>
      <c r="AD1073" s="389"/>
      <c r="AE1073" s="399"/>
      <c r="AF1073" s="395"/>
      <c r="AG1073" s="396" t="str">
        <f t="shared" si="3"/>
        <v/>
      </c>
      <c r="AH1073" s="396" t="str">
        <f t="shared" si="4"/>
        <v/>
      </c>
      <c r="AI1073" s="388"/>
      <c r="AJ1073" s="388"/>
      <c r="AK1073" s="397"/>
    </row>
    <row r="1074">
      <c r="A1074" s="398"/>
      <c r="B1074" s="386"/>
      <c r="C1074" s="387" t="str">
        <f>IF(A1074="","",IFERROR(IF(VLOOKUP(A1074,'1. Inbound Leads'!A:G,7,FALSE)=0,"",VLOOKUP(A1074,'1. Inbound Leads'!A:G,7,FALSE)),""))</f>
        <v/>
      </c>
      <c r="D1074" s="387" t="str">
        <f>IF(A1074="","",IFERROR(IF(VLOOKUP(A1074,'1. Inbound Leads'!A:L,12,FALSE)=0,"",VLOOKUP(A1074,'1. Inbound Leads'!A:L,12,FALSE)),""))</f>
        <v/>
      </c>
      <c r="E1074" s="388"/>
      <c r="F1074" s="389"/>
      <c r="G1074" s="387"/>
      <c r="H1074" s="387"/>
      <c r="I1074" s="387"/>
      <c r="J1074" s="387"/>
      <c r="K1074" s="387"/>
      <c r="L1074" s="387"/>
      <c r="M1074" s="388"/>
      <c r="N1074" s="388"/>
      <c r="O1074" s="390"/>
      <c r="P1074" s="391"/>
      <c r="Q1074" s="389"/>
      <c r="R1074" s="390"/>
      <c r="S1074" s="390"/>
      <c r="T1074" s="391"/>
      <c r="U1074" s="392"/>
      <c r="V1074" s="391"/>
      <c r="W1074" s="391"/>
      <c r="X1074" s="388"/>
      <c r="Y1074" s="391"/>
      <c r="Z1074" s="393"/>
      <c r="AA1074" s="355" t="str">
        <f t="shared" si="1"/>
        <v/>
      </c>
      <c r="AB1074" s="391"/>
      <c r="AC1074" s="394" t="str">
        <f t="shared" si="2"/>
        <v/>
      </c>
      <c r="AD1074" s="389"/>
      <c r="AE1074" s="399"/>
      <c r="AF1074" s="395"/>
      <c r="AG1074" s="396" t="str">
        <f t="shared" si="3"/>
        <v/>
      </c>
      <c r="AH1074" s="396" t="str">
        <f t="shared" si="4"/>
        <v/>
      </c>
      <c r="AI1074" s="388"/>
      <c r="AJ1074" s="388"/>
      <c r="AK1074" s="397"/>
    </row>
    <row r="1075">
      <c r="A1075" s="398"/>
      <c r="B1075" s="386"/>
      <c r="C1075" s="387" t="str">
        <f>IF(A1075="","",IFERROR(IF(VLOOKUP(A1075,'1. Inbound Leads'!A:G,7,FALSE)=0,"",VLOOKUP(A1075,'1. Inbound Leads'!A:G,7,FALSE)),""))</f>
        <v/>
      </c>
      <c r="D1075" s="387" t="str">
        <f>IF(A1075="","",IFERROR(IF(VLOOKUP(A1075,'1. Inbound Leads'!A:L,12,FALSE)=0,"",VLOOKUP(A1075,'1. Inbound Leads'!A:L,12,FALSE)),""))</f>
        <v/>
      </c>
      <c r="E1075" s="388"/>
      <c r="F1075" s="389"/>
      <c r="G1075" s="387"/>
      <c r="H1075" s="387"/>
      <c r="I1075" s="387"/>
      <c r="J1075" s="387"/>
      <c r="K1075" s="387"/>
      <c r="L1075" s="387"/>
      <c r="M1075" s="388"/>
      <c r="N1075" s="388"/>
      <c r="O1075" s="390"/>
      <c r="P1075" s="391"/>
      <c r="Q1075" s="389"/>
      <c r="R1075" s="390"/>
      <c r="S1075" s="390"/>
      <c r="T1075" s="391"/>
      <c r="U1075" s="392"/>
      <c r="V1075" s="391"/>
      <c r="W1075" s="391"/>
      <c r="X1075" s="388"/>
      <c r="Y1075" s="391"/>
      <c r="Z1075" s="393"/>
      <c r="AA1075" s="355" t="str">
        <f t="shared" si="1"/>
        <v/>
      </c>
      <c r="AB1075" s="391"/>
      <c r="AC1075" s="394" t="str">
        <f t="shared" si="2"/>
        <v/>
      </c>
      <c r="AD1075" s="389"/>
      <c r="AE1075" s="399"/>
      <c r="AF1075" s="395"/>
      <c r="AG1075" s="396" t="str">
        <f t="shared" si="3"/>
        <v/>
      </c>
      <c r="AH1075" s="396" t="str">
        <f t="shared" si="4"/>
        <v/>
      </c>
      <c r="AI1075" s="388"/>
      <c r="AJ1075" s="388"/>
      <c r="AK1075" s="397"/>
    </row>
    <row r="1076">
      <c r="A1076" s="398"/>
      <c r="B1076" s="386"/>
      <c r="C1076" s="387" t="str">
        <f>IF(A1076="","",IFERROR(IF(VLOOKUP(A1076,'1. Inbound Leads'!A:G,7,FALSE)=0,"",VLOOKUP(A1076,'1. Inbound Leads'!A:G,7,FALSE)),""))</f>
        <v/>
      </c>
      <c r="D1076" s="387" t="str">
        <f>IF(A1076="","",IFERROR(IF(VLOOKUP(A1076,'1. Inbound Leads'!A:L,12,FALSE)=0,"",VLOOKUP(A1076,'1. Inbound Leads'!A:L,12,FALSE)),""))</f>
        <v/>
      </c>
      <c r="E1076" s="388"/>
      <c r="F1076" s="389"/>
      <c r="G1076" s="387"/>
      <c r="H1076" s="387"/>
      <c r="I1076" s="387"/>
      <c r="J1076" s="387"/>
      <c r="K1076" s="387"/>
      <c r="L1076" s="387"/>
      <c r="M1076" s="388"/>
      <c r="N1076" s="388"/>
      <c r="O1076" s="390"/>
      <c r="P1076" s="391"/>
      <c r="Q1076" s="389"/>
      <c r="R1076" s="390"/>
      <c r="S1076" s="390"/>
      <c r="T1076" s="391"/>
      <c r="U1076" s="392"/>
      <c r="V1076" s="391"/>
      <c r="W1076" s="391"/>
      <c r="X1076" s="388"/>
      <c r="Y1076" s="391"/>
      <c r="Z1076" s="393"/>
      <c r="AA1076" s="355" t="str">
        <f t="shared" si="1"/>
        <v/>
      </c>
      <c r="AB1076" s="391"/>
      <c r="AC1076" s="394" t="str">
        <f t="shared" si="2"/>
        <v/>
      </c>
      <c r="AD1076" s="389"/>
      <c r="AE1076" s="399"/>
      <c r="AF1076" s="395"/>
      <c r="AG1076" s="396" t="str">
        <f t="shared" si="3"/>
        <v/>
      </c>
      <c r="AH1076" s="396" t="str">
        <f t="shared" si="4"/>
        <v/>
      </c>
      <c r="AI1076" s="388"/>
      <c r="AJ1076" s="388"/>
      <c r="AK1076" s="397"/>
    </row>
    <row r="1077">
      <c r="A1077" s="398"/>
      <c r="B1077" s="386"/>
      <c r="C1077" s="387" t="str">
        <f>IF(A1077="","",IFERROR(IF(VLOOKUP(A1077,'1. Inbound Leads'!A:G,7,FALSE)=0,"",VLOOKUP(A1077,'1. Inbound Leads'!A:G,7,FALSE)),""))</f>
        <v/>
      </c>
      <c r="D1077" s="387" t="str">
        <f>IF(A1077="","",IFERROR(IF(VLOOKUP(A1077,'1. Inbound Leads'!A:L,12,FALSE)=0,"",VLOOKUP(A1077,'1. Inbound Leads'!A:L,12,FALSE)),""))</f>
        <v/>
      </c>
      <c r="E1077" s="388"/>
      <c r="F1077" s="389"/>
      <c r="G1077" s="387"/>
      <c r="H1077" s="387"/>
      <c r="I1077" s="387"/>
      <c r="J1077" s="387"/>
      <c r="K1077" s="387"/>
      <c r="L1077" s="387"/>
      <c r="M1077" s="388"/>
      <c r="N1077" s="388"/>
      <c r="O1077" s="390"/>
      <c r="P1077" s="391"/>
      <c r="Q1077" s="389"/>
      <c r="R1077" s="390"/>
      <c r="S1077" s="390"/>
      <c r="T1077" s="391"/>
      <c r="U1077" s="392"/>
      <c r="V1077" s="391"/>
      <c r="W1077" s="391"/>
      <c r="X1077" s="388"/>
      <c r="Y1077" s="391"/>
      <c r="Z1077" s="393"/>
      <c r="AA1077" s="355" t="str">
        <f t="shared" si="1"/>
        <v/>
      </c>
      <c r="AB1077" s="391"/>
      <c r="AC1077" s="394" t="str">
        <f t="shared" si="2"/>
        <v/>
      </c>
      <c r="AD1077" s="389"/>
      <c r="AE1077" s="399"/>
      <c r="AF1077" s="395"/>
      <c r="AG1077" s="396" t="str">
        <f t="shared" si="3"/>
        <v/>
      </c>
      <c r="AH1077" s="396" t="str">
        <f t="shared" si="4"/>
        <v/>
      </c>
      <c r="AI1077" s="388"/>
      <c r="AJ1077" s="388"/>
      <c r="AK1077" s="397"/>
    </row>
    <row r="1078">
      <c r="A1078" s="398"/>
      <c r="B1078" s="386"/>
      <c r="C1078" s="387" t="str">
        <f>IF(A1078="","",IFERROR(IF(VLOOKUP(A1078,'1. Inbound Leads'!A:G,7,FALSE)=0,"",VLOOKUP(A1078,'1. Inbound Leads'!A:G,7,FALSE)),""))</f>
        <v/>
      </c>
      <c r="D1078" s="387" t="str">
        <f>IF(A1078="","",IFERROR(IF(VLOOKUP(A1078,'1. Inbound Leads'!A:L,12,FALSE)=0,"",VLOOKUP(A1078,'1. Inbound Leads'!A:L,12,FALSE)),""))</f>
        <v/>
      </c>
      <c r="E1078" s="388"/>
      <c r="F1078" s="389"/>
      <c r="G1078" s="387"/>
      <c r="H1078" s="387"/>
      <c r="I1078" s="387"/>
      <c r="J1078" s="387"/>
      <c r="K1078" s="387"/>
      <c r="L1078" s="387"/>
      <c r="M1078" s="388"/>
      <c r="N1078" s="388"/>
      <c r="O1078" s="390"/>
      <c r="P1078" s="391"/>
      <c r="Q1078" s="389"/>
      <c r="R1078" s="390"/>
      <c r="S1078" s="390"/>
      <c r="T1078" s="391"/>
      <c r="U1078" s="392"/>
      <c r="V1078" s="391"/>
      <c r="W1078" s="391"/>
      <c r="X1078" s="388"/>
      <c r="Y1078" s="391"/>
      <c r="Z1078" s="393"/>
      <c r="AA1078" s="355" t="str">
        <f t="shared" si="1"/>
        <v/>
      </c>
      <c r="AB1078" s="391"/>
      <c r="AC1078" s="394" t="str">
        <f t="shared" si="2"/>
        <v/>
      </c>
      <c r="AD1078" s="389"/>
      <c r="AE1078" s="399"/>
      <c r="AF1078" s="395"/>
      <c r="AG1078" s="396" t="str">
        <f t="shared" si="3"/>
        <v/>
      </c>
      <c r="AH1078" s="396" t="str">
        <f t="shared" si="4"/>
        <v/>
      </c>
      <c r="AI1078" s="388"/>
      <c r="AJ1078" s="388"/>
      <c r="AK1078" s="397"/>
    </row>
    <row r="1079">
      <c r="A1079" s="398"/>
      <c r="B1079" s="386"/>
      <c r="C1079" s="387" t="str">
        <f>IF(A1079="","",IFERROR(IF(VLOOKUP(A1079,'1. Inbound Leads'!A:G,7,FALSE)=0,"",VLOOKUP(A1079,'1. Inbound Leads'!A:G,7,FALSE)),""))</f>
        <v/>
      </c>
      <c r="D1079" s="387" t="str">
        <f>IF(A1079="","",IFERROR(IF(VLOOKUP(A1079,'1. Inbound Leads'!A:L,12,FALSE)=0,"",VLOOKUP(A1079,'1. Inbound Leads'!A:L,12,FALSE)),""))</f>
        <v/>
      </c>
      <c r="E1079" s="388"/>
      <c r="F1079" s="389"/>
      <c r="G1079" s="387"/>
      <c r="H1079" s="387"/>
      <c r="I1079" s="387"/>
      <c r="J1079" s="387"/>
      <c r="K1079" s="387"/>
      <c r="L1079" s="387"/>
      <c r="M1079" s="388"/>
      <c r="N1079" s="388"/>
      <c r="O1079" s="390"/>
      <c r="P1079" s="391"/>
      <c r="Q1079" s="389"/>
      <c r="R1079" s="390"/>
      <c r="S1079" s="390"/>
      <c r="T1079" s="391"/>
      <c r="U1079" s="392"/>
      <c r="V1079" s="391"/>
      <c r="W1079" s="391"/>
      <c r="X1079" s="388"/>
      <c r="Y1079" s="391"/>
      <c r="Z1079" s="393"/>
      <c r="AA1079" s="355" t="str">
        <f t="shared" si="1"/>
        <v/>
      </c>
      <c r="AB1079" s="391"/>
      <c r="AC1079" s="394" t="str">
        <f t="shared" si="2"/>
        <v/>
      </c>
      <c r="AD1079" s="389"/>
      <c r="AE1079" s="399"/>
      <c r="AF1079" s="395"/>
      <c r="AG1079" s="396" t="str">
        <f t="shared" si="3"/>
        <v/>
      </c>
      <c r="AH1079" s="396" t="str">
        <f t="shared" si="4"/>
        <v/>
      </c>
      <c r="AI1079" s="388"/>
      <c r="AJ1079" s="388"/>
      <c r="AK1079" s="397"/>
    </row>
    <row r="1080">
      <c r="A1080" s="398"/>
      <c r="B1080" s="386"/>
      <c r="C1080" s="387" t="str">
        <f>IF(A1080="","",IFERROR(IF(VLOOKUP(A1080,'1. Inbound Leads'!A:G,7,FALSE)=0,"",VLOOKUP(A1080,'1. Inbound Leads'!A:G,7,FALSE)),""))</f>
        <v/>
      </c>
      <c r="D1080" s="387" t="str">
        <f>IF(A1080="","",IFERROR(IF(VLOOKUP(A1080,'1. Inbound Leads'!A:L,12,FALSE)=0,"",VLOOKUP(A1080,'1. Inbound Leads'!A:L,12,FALSE)),""))</f>
        <v/>
      </c>
      <c r="E1080" s="388"/>
      <c r="F1080" s="389"/>
      <c r="G1080" s="387"/>
      <c r="H1080" s="387"/>
      <c r="I1080" s="387"/>
      <c r="J1080" s="387"/>
      <c r="K1080" s="387"/>
      <c r="L1080" s="387"/>
      <c r="M1080" s="388"/>
      <c r="N1080" s="388"/>
      <c r="O1080" s="390"/>
      <c r="P1080" s="391"/>
      <c r="Q1080" s="389"/>
      <c r="R1080" s="390"/>
      <c r="S1080" s="390"/>
      <c r="T1080" s="391"/>
      <c r="U1080" s="392"/>
      <c r="V1080" s="391"/>
      <c r="W1080" s="391"/>
      <c r="X1080" s="388"/>
      <c r="Y1080" s="391"/>
      <c r="Z1080" s="393"/>
      <c r="AA1080" s="355" t="str">
        <f t="shared" si="1"/>
        <v/>
      </c>
      <c r="AB1080" s="391"/>
      <c r="AC1080" s="394" t="str">
        <f t="shared" si="2"/>
        <v/>
      </c>
      <c r="AD1080" s="389"/>
      <c r="AE1080" s="399"/>
      <c r="AF1080" s="395"/>
      <c r="AG1080" s="396" t="str">
        <f t="shared" si="3"/>
        <v/>
      </c>
      <c r="AH1080" s="396" t="str">
        <f t="shared" si="4"/>
        <v/>
      </c>
      <c r="AI1080" s="388"/>
      <c r="AJ1080" s="388"/>
      <c r="AK1080" s="397"/>
    </row>
    <row r="1081">
      <c r="A1081" s="398"/>
      <c r="B1081" s="386"/>
      <c r="C1081" s="387" t="str">
        <f>IF(A1081="","",IFERROR(IF(VLOOKUP(A1081,'1. Inbound Leads'!A:G,7,FALSE)=0,"",VLOOKUP(A1081,'1. Inbound Leads'!A:G,7,FALSE)),""))</f>
        <v/>
      </c>
      <c r="D1081" s="387" t="str">
        <f>IF(A1081="","",IFERROR(IF(VLOOKUP(A1081,'1. Inbound Leads'!A:L,12,FALSE)=0,"",VLOOKUP(A1081,'1. Inbound Leads'!A:L,12,FALSE)),""))</f>
        <v/>
      </c>
      <c r="E1081" s="388"/>
      <c r="F1081" s="389"/>
      <c r="G1081" s="387"/>
      <c r="H1081" s="387"/>
      <c r="I1081" s="387"/>
      <c r="J1081" s="387"/>
      <c r="K1081" s="387"/>
      <c r="L1081" s="387"/>
      <c r="M1081" s="388"/>
      <c r="N1081" s="388"/>
      <c r="O1081" s="390"/>
      <c r="P1081" s="391"/>
      <c r="Q1081" s="389"/>
      <c r="R1081" s="390"/>
      <c r="S1081" s="390"/>
      <c r="T1081" s="391"/>
      <c r="U1081" s="392"/>
      <c r="V1081" s="391"/>
      <c r="W1081" s="391"/>
      <c r="X1081" s="388"/>
      <c r="Y1081" s="391"/>
      <c r="Z1081" s="393"/>
      <c r="AA1081" s="355" t="str">
        <f t="shared" si="1"/>
        <v/>
      </c>
      <c r="AB1081" s="391"/>
      <c r="AC1081" s="394" t="str">
        <f t="shared" si="2"/>
        <v/>
      </c>
      <c r="AD1081" s="389"/>
      <c r="AE1081" s="399"/>
      <c r="AF1081" s="395"/>
      <c r="AG1081" s="396" t="str">
        <f t="shared" si="3"/>
        <v/>
      </c>
      <c r="AH1081" s="396" t="str">
        <f t="shared" si="4"/>
        <v/>
      </c>
      <c r="AI1081" s="388"/>
      <c r="AJ1081" s="388"/>
      <c r="AK1081" s="397"/>
    </row>
    <row r="1082">
      <c r="A1082" s="398"/>
      <c r="B1082" s="386"/>
      <c r="C1082" s="387" t="str">
        <f>IF(A1082="","",IFERROR(IF(VLOOKUP(A1082,'1. Inbound Leads'!A:G,7,FALSE)=0,"",VLOOKUP(A1082,'1. Inbound Leads'!A:G,7,FALSE)),""))</f>
        <v/>
      </c>
      <c r="D1082" s="387" t="str">
        <f>IF(A1082="","",IFERROR(IF(VLOOKUP(A1082,'1. Inbound Leads'!A:L,12,FALSE)=0,"",VLOOKUP(A1082,'1. Inbound Leads'!A:L,12,FALSE)),""))</f>
        <v/>
      </c>
      <c r="E1082" s="388"/>
      <c r="F1082" s="389"/>
      <c r="G1082" s="387"/>
      <c r="H1082" s="387"/>
      <c r="I1082" s="387"/>
      <c r="J1082" s="387"/>
      <c r="K1082" s="387"/>
      <c r="L1082" s="387"/>
      <c r="M1082" s="388"/>
      <c r="N1082" s="388"/>
      <c r="O1082" s="390"/>
      <c r="P1082" s="391"/>
      <c r="Q1082" s="389"/>
      <c r="R1082" s="390"/>
      <c r="S1082" s="390"/>
      <c r="T1082" s="391"/>
      <c r="U1082" s="392"/>
      <c r="V1082" s="391"/>
      <c r="W1082" s="391"/>
      <c r="X1082" s="388"/>
      <c r="Y1082" s="391"/>
      <c r="Z1082" s="393"/>
      <c r="AA1082" s="355" t="str">
        <f t="shared" si="1"/>
        <v/>
      </c>
      <c r="AB1082" s="391"/>
      <c r="AC1082" s="394" t="str">
        <f t="shared" si="2"/>
        <v/>
      </c>
      <c r="AD1082" s="389"/>
      <c r="AE1082" s="399"/>
      <c r="AF1082" s="395"/>
      <c r="AG1082" s="396" t="str">
        <f t="shared" si="3"/>
        <v/>
      </c>
      <c r="AH1082" s="396" t="str">
        <f t="shared" si="4"/>
        <v/>
      </c>
      <c r="AI1082" s="388"/>
      <c r="AJ1082" s="388"/>
      <c r="AK1082" s="397"/>
    </row>
    <row r="1083">
      <c r="A1083" s="398"/>
      <c r="B1083" s="386"/>
      <c r="C1083" s="387" t="str">
        <f>IF(A1083="","",IFERROR(IF(VLOOKUP(A1083,'1. Inbound Leads'!A:G,7,FALSE)=0,"",VLOOKUP(A1083,'1. Inbound Leads'!A:G,7,FALSE)),""))</f>
        <v/>
      </c>
      <c r="D1083" s="387" t="str">
        <f>IF(A1083="","",IFERROR(IF(VLOOKUP(A1083,'1. Inbound Leads'!A:L,12,FALSE)=0,"",VLOOKUP(A1083,'1. Inbound Leads'!A:L,12,FALSE)),""))</f>
        <v/>
      </c>
      <c r="E1083" s="388"/>
      <c r="F1083" s="389"/>
      <c r="G1083" s="387"/>
      <c r="H1083" s="387"/>
      <c r="I1083" s="387"/>
      <c r="J1083" s="387"/>
      <c r="K1083" s="387"/>
      <c r="L1083" s="387"/>
      <c r="M1083" s="388"/>
      <c r="N1083" s="388"/>
      <c r="O1083" s="390"/>
      <c r="P1083" s="391"/>
      <c r="Q1083" s="389"/>
      <c r="R1083" s="390"/>
      <c r="S1083" s="390"/>
      <c r="T1083" s="391"/>
      <c r="U1083" s="392"/>
      <c r="V1083" s="391"/>
      <c r="W1083" s="391"/>
      <c r="X1083" s="388"/>
      <c r="Y1083" s="391"/>
      <c r="Z1083" s="393"/>
      <c r="AA1083" s="355" t="str">
        <f t="shared" si="1"/>
        <v/>
      </c>
      <c r="AB1083" s="391"/>
      <c r="AC1083" s="394" t="str">
        <f t="shared" si="2"/>
        <v/>
      </c>
      <c r="AD1083" s="389"/>
      <c r="AE1083" s="399"/>
      <c r="AF1083" s="395"/>
      <c r="AG1083" s="396" t="str">
        <f t="shared" si="3"/>
        <v/>
      </c>
      <c r="AH1083" s="396" t="str">
        <f t="shared" si="4"/>
        <v/>
      </c>
      <c r="AI1083" s="388"/>
      <c r="AJ1083" s="388"/>
      <c r="AK1083" s="397"/>
    </row>
    <row r="1084">
      <c r="A1084" s="398"/>
      <c r="B1084" s="386"/>
      <c r="C1084" s="387" t="str">
        <f>IF(A1084="","",IFERROR(IF(VLOOKUP(A1084,'1. Inbound Leads'!A:G,7,FALSE)=0,"",VLOOKUP(A1084,'1. Inbound Leads'!A:G,7,FALSE)),""))</f>
        <v/>
      </c>
      <c r="D1084" s="387" t="str">
        <f>IF(A1084="","",IFERROR(IF(VLOOKUP(A1084,'1. Inbound Leads'!A:L,12,FALSE)=0,"",VLOOKUP(A1084,'1. Inbound Leads'!A:L,12,FALSE)),""))</f>
        <v/>
      </c>
      <c r="E1084" s="388"/>
      <c r="F1084" s="389"/>
      <c r="G1084" s="387"/>
      <c r="H1084" s="387"/>
      <c r="I1084" s="387"/>
      <c r="J1084" s="387"/>
      <c r="K1084" s="387"/>
      <c r="L1084" s="387"/>
      <c r="M1084" s="388"/>
      <c r="N1084" s="388"/>
      <c r="O1084" s="390"/>
      <c r="P1084" s="391"/>
      <c r="Q1084" s="389"/>
      <c r="R1084" s="390"/>
      <c r="S1084" s="390"/>
      <c r="T1084" s="391"/>
      <c r="U1084" s="392"/>
      <c r="V1084" s="391"/>
      <c r="W1084" s="391"/>
      <c r="X1084" s="388"/>
      <c r="Y1084" s="391"/>
      <c r="Z1084" s="393"/>
      <c r="AA1084" s="355" t="str">
        <f t="shared" si="1"/>
        <v/>
      </c>
      <c r="AB1084" s="391"/>
      <c r="AC1084" s="394" t="str">
        <f t="shared" si="2"/>
        <v/>
      </c>
      <c r="AD1084" s="389"/>
      <c r="AE1084" s="399"/>
      <c r="AF1084" s="395"/>
      <c r="AG1084" s="396" t="str">
        <f t="shared" si="3"/>
        <v/>
      </c>
      <c r="AH1084" s="396" t="str">
        <f t="shared" si="4"/>
        <v/>
      </c>
      <c r="AI1084" s="388"/>
      <c r="AJ1084" s="388"/>
      <c r="AK1084" s="397"/>
    </row>
    <row r="1085">
      <c r="A1085" s="398"/>
      <c r="B1085" s="386"/>
      <c r="C1085" s="387" t="str">
        <f>IF(A1085="","",IFERROR(IF(VLOOKUP(A1085,'1. Inbound Leads'!A:G,7,FALSE)=0,"",VLOOKUP(A1085,'1. Inbound Leads'!A:G,7,FALSE)),""))</f>
        <v/>
      </c>
      <c r="D1085" s="387" t="str">
        <f>IF(A1085="","",IFERROR(IF(VLOOKUP(A1085,'1. Inbound Leads'!A:L,12,FALSE)=0,"",VLOOKUP(A1085,'1. Inbound Leads'!A:L,12,FALSE)),""))</f>
        <v/>
      </c>
      <c r="E1085" s="388"/>
      <c r="F1085" s="389"/>
      <c r="G1085" s="387"/>
      <c r="H1085" s="387"/>
      <c r="I1085" s="387"/>
      <c r="J1085" s="387"/>
      <c r="K1085" s="387"/>
      <c r="L1085" s="387"/>
      <c r="M1085" s="388"/>
      <c r="N1085" s="388"/>
      <c r="O1085" s="390"/>
      <c r="P1085" s="391"/>
      <c r="Q1085" s="389"/>
      <c r="R1085" s="390"/>
      <c r="S1085" s="390"/>
      <c r="T1085" s="391"/>
      <c r="U1085" s="392"/>
      <c r="V1085" s="391"/>
      <c r="W1085" s="391"/>
      <c r="X1085" s="388"/>
      <c r="Y1085" s="391"/>
      <c r="Z1085" s="393"/>
      <c r="AA1085" s="355" t="str">
        <f t="shared" si="1"/>
        <v/>
      </c>
      <c r="AB1085" s="391"/>
      <c r="AC1085" s="394" t="str">
        <f t="shared" si="2"/>
        <v/>
      </c>
      <c r="AD1085" s="389"/>
      <c r="AE1085" s="399"/>
      <c r="AF1085" s="395"/>
      <c r="AG1085" s="396" t="str">
        <f t="shared" si="3"/>
        <v/>
      </c>
      <c r="AH1085" s="396" t="str">
        <f t="shared" si="4"/>
        <v/>
      </c>
      <c r="AI1085" s="388"/>
      <c r="AJ1085" s="388"/>
      <c r="AK1085" s="397"/>
    </row>
    <row r="1086">
      <c r="A1086" s="398"/>
      <c r="B1086" s="386"/>
      <c r="C1086" s="387" t="str">
        <f>IF(A1086="","",IFERROR(IF(VLOOKUP(A1086,'1. Inbound Leads'!A:G,7,FALSE)=0,"",VLOOKUP(A1086,'1. Inbound Leads'!A:G,7,FALSE)),""))</f>
        <v/>
      </c>
      <c r="D1086" s="387" t="str">
        <f>IF(A1086="","",IFERROR(IF(VLOOKUP(A1086,'1. Inbound Leads'!A:L,12,FALSE)=0,"",VLOOKUP(A1086,'1. Inbound Leads'!A:L,12,FALSE)),""))</f>
        <v/>
      </c>
      <c r="E1086" s="388"/>
      <c r="F1086" s="389"/>
      <c r="G1086" s="387"/>
      <c r="H1086" s="387"/>
      <c r="I1086" s="387"/>
      <c r="J1086" s="387"/>
      <c r="K1086" s="387"/>
      <c r="L1086" s="387"/>
      <c r="M1086" s="388"/>
      <c r="N1086" s="388"/>
      <c r="O1086" s="390"/>
      <c r="P1086" s="391"/>
      <c r="Q1086" s="389"/>
      <c r="R1086" s="390"/>
      <c r="S1086" s="390"/>
      <c r="T1086" s="391"/>
      <c r="U1086" s="392"/>
      <c r="V1086" s="391"/>
      <c r="W1086" s="391"/>
      <c r="X1086" s="388"/>
      <c r="Y1086" s="391"/>
      <c r="Z1086" s="393"/>
      <c r="AA1086" s="355" t="str">
        <f t="shared" si="1"/>
        <v/>
      </c>
      <c r="AB1086" s="391"/>
      <c r="AC1086" s="394" t="str">
        <f t="shared" si="2"/>
        <v/>
      </c>
      <c r="AD1086" s="389"/>
      <c r="AE1086" s="399"/>
      <c r="AF1086" s="395"/>
      <c r="AG1086" s="396" t="str">
        <f t="shared" si="3"/>
        <v/>
      </c>
      <c r="AH1086" s="396" t="str">
        <f t="shared" si="4"/>
        <v/>
      </c>
      <c r="AI1086" s="388"/>
      <c r="AJ1086" s="388"/>
      <c r="AK1086" s="397"/>
    </row>
    <row r="1087">
      <c r="A1087" s="398"/>
      <c r="B1087" s="386"/>
      <c r="C1087" s="387" t="str">
        <f>IF(A1087="","",IFERROR(IF(VLOOKUP(A1087,'1. Inbound Leads'!A:G,7,FALSE)=0,"",VLOOKUP(A1087,'1. Inbound Leads'!A:G,7,FALSE)),""))</f>
        <v/>
      </c>
      <c r="D1087" s="387" t="str">
        <f>IF(A1087="","",IFERROR(IF(VLOOKUP(A1087,'1. Inbound Leads'!A:L,12,FALSE)=0,"",VLOOKUP(A1087,'1. Inbound Leads'!A:L,12,FALSE)),""))</f>
        <v/>
      </c>
      <c r="E1087" s="388"/>
      <c r="F1087" s="389"/>
      <c r="G1087" s="387"/>
      <c r="H1087" s="387"/>
      <c r="I1087" s="387"/>
      <c r="J1087" s="387"/>
      <c r="K1087" s="387"/>
      <c r="L1087" s="387"/>
      <c r="M1087" s="388"/>
      <c r="N1087" s="388"/>
      <c r="O1087" s="390"/>
      <c r="P1087" s="391"/>
      <c r="Q1087" s="389"/>
      <c r="R1087" s="390"/>
      <c r="S1087" s="390"/>
      <c r="T1087" s="391"/>
      <c r="U1087" s="392"/>
      <c r="V1087" s="391"/>
      <c r="W1087" s="391"/>
      <c r="X1087" s="388"/>
      <c r="Y1087" s="391"/>
      <c r="Z1087" s="393"/>
      <c r="AA1087" s="355" t="str">
        <f t="shared" si="1"/>
        <v/>
      </c>
      <c r="AB1087" s="391"/>
      <c r="AC1087" s="394" t="str">
        <f t="shared" si="2"/>
        <v/>
      </c>
      <c r="AD1087" s="389"/>
      <c r="AE1087" s="399"/>
      <c r="AF1087" s="395"/>
      <c r="AG1087" s="396" t="str">
        <f t="shared" si="3"/>
        <v/>
      </c>
      <c r="AH1087" s="396" t="str">
        <f t="shared" si="4"/>
        <v/>
      </c>
      <c r="AI1087" s="388"/>
      <c r="AJ1087" s="388"/>
      <c r="AK1087" s="397"/>
    </row>
    <row r="1088">
      <c r="A1088" s="398"/>
      <c r="B1088" s="386"/>
      <c r="C1088" s="387" t="str">
        <f>IF(A1088="","",IFERROR(IF(VLOOKUP(A1088,'1. Inbound Leads'!A:G,7,FALSE)=0,"",VLOOKUP(A1088,'1. Inbound Leads'!A:G,7,FALSE)),""))</f>
        <v/>
      </c>
      <c r="D1088" s="387" t="str">
        <f>IF(A1088="","",IFERROR(IF(VLOOKUP(A1088,'1. Inbound Leads'!A:L,12,FALSE)=0,"",VLOOKUP(A1088,'1. Inbound Leads'!A:L,12,FALSE)),""))</f>
        <v/>
      </c>
      <c r="E1088" s="388"/>
      <c r="F1088" s="389"/>
      <c r="G1088" s="387"/>
      <c r="H1088" s="387"/>
      <c r="I1088" s="387"/>
      <c r="J1088" s="387"/>
      <c r="K1088" s="387"/>
      <c r="L1088" s="387"/>
      <c r="M1088" s="388"/>
      <c r="N1088" s="388"/>
      <c r="O1088" s="390"/>
      <c r="P1088" s="391"/>
      <c r="Q1088" s="389"/>
      <c r="R1088" s="390"/>
      <c r="S1088" s="390"/>
      <c r="T1088" s="391"/>
      <c r="U1088" s="392"/>
      <c r="V1088" s="391"/>
      <c r="W1088" s="391"/>
      <c r="X1088" s="388"/>
      <c r="Y1088" s="391"/>
      <c r="Z1088" s="393"/>
      <c r="AA1088" s="355" t="str">
        <f t="shared" si="1"/>
        <v/>
      </c>
      <c r="AB1088" s="391"/>
      <c r="AC1088" s="394" t="str">
        <f t="shared" si="2"/>
        <v/>
      </c>
      <c r="AD1088" s="389"/>
      <c r="AE1088" s="399"/>
      <c r="AF1088" s="395"/>
      <c r="AG1088" s="396" t="str">
        <f t="shared" si="3"/>
        <v/>
      </c>
      <c r="AH1088" s="396" t="str">
        <f t="shared" si="4"/>
        <v/>
      </c>
      <c r="AI1088" s="388"/>
      <c r="AJ1088" s="388"/>
      <c r="AK1088" s="397"/>
    </row>
    <row r="1089">
      <c r="A1089" s="398"/>
      <c r="B1089" s="386"/>
      <c r="C1089" s="387" t="str">
        <f>IF(A1089="","",IFERROR(IF(VLOOKUP(A1089,'1. Inbound Leads'!A:G,7,FALSE)=0,"",VLOOKUP(A1089,'1. Inbound Leads'!A:G,7,FALSE)),""))</f>
        <v/>
      </c>
      <c r="D1089" s="387" t="str">
        <f>IF(A1089="","",IFERROR(IF(VLOOKUP(A1089,'1. Inbound Leads'!A:L,12,FALSE)=0,"",VLOOKUP(A1089,'1. Inbound Leads'!A:L,12,FALSE)),""))</f>
        <v/>
      </c>
      <c r="E1089" s="388"/>
      <c r="F1089" s="389"/>
      <c r="G1089" s="387"/>
      <c r="H1089" s="387"/>
      <c r="I1089" s="387"/>
      <c r="J1089" s="387"/>
      <c r="K1089" s="387"/>
      <c r="L1089" s="387"/>
      <c r="M1089" s="388"/>
      <c r="N1089" s="388"/>
      <c r="O1089" s="390"/>
      <c r="P1089" s="391"/>
      <c r="Q1089" s="389"/>
      <c r="R1089" s="390"/>
      <c r="S1089" s="390"/>
      <c r="T1089" s="391"/>
      <c r="U1089" s="392"/>
      <c r="V1089" s="391"/>
      <c r="W1089" s="391"/>
      <c r="X1089" s="388"/>
      <c r="Y1089" s="391"/>
      <c r="Z1089" s="393"/>
      <c r="AA1089" s="355" t="str">
        <f t="shared" si="1"/>
        <v/>
      </c>
      <c r="AB1089" s="391"/>
      <c r="AC1089" s="394" t="str">
        <f t="shared" si="2"/>
        <v/>
      </c>
      <c r="AD1089" s="389"/>
      <c r="AE1089" s="399"/>
      <c r="AF1089" s="395"/>
      <c r="AG1089" s="396" t="str">
        <f t="shared" si="3"/>
        <v/>
      </c>
      <c r="AH1089" s="396" t="str">
        <f t="shared" si="4"/>
        <v/>
      </c>
      <c r="AI1089" s="388"/>
      <c r="AJ1089" s="388"/>
      <c r="AK1089" s="397"/>
    </row>
    <row r="1090">
      <c r="A1090" s="398"/>
      <c r="B1090" s="386"/>
      <c r="C1090" s="387" t="str">
        <f>IF(A1090="","",IFERROR(IF(VLOOKUP(A1090,'1. Inbound Leads'!A:G,7,FALSE)=0,"",VLOOKUP(A1090,'1. Inbound Leads'!A:G,7,FALSE)),""))</f>
        <v/>
      </c>
      <c r="D1090" s="387" t="str">
        <f>IF(A1090="","",IFERROR(IF(VLOOKUP(A1090,'1. Inbound Leads'!A:L,12,FALSE)=0,"",VLOOKUP(A1090,'1. Inbound Leads'!A:L,12,FALSE)),""))</f>
        <v/>
      </c>
      <c r="E1090" s="388"/>
      <c r="F1090" s="389"/>
      <c r="G1090" s="387"/>
      <c r="H1090" s="387"/>
      <c r="I1090" s="387"/>
      <c r="J1090" s="387"/>
      <c r="K1090" s="387"/>
      <c r="L1090" s="387"/>
      <c r="M1090" s="388"/>
      <c r="N1090" s="388"/>
      <c r="O1090" s="390"/>
      <c r="P1090" s="391"/>
      <c r="Q1090" s="389"/>
      <c r="R1090" s="390"/>
      <c r="S1090" s="390"/>
      <c r="T1090" s="391"/>
      <c r="U1090" s="392"/>
      <c r="V1090" s="391"/>
      <c r="W1090" s="391"/>
      <c r="X1090" s="388"/>
      <c r="Y1090" s="391"/>
      <c r="Z1090" s="393"/>
      <c r="AA1090" s="355" t="str">
        <f t="shared" si="1"/>
        <v/>
      </c>
      <c r="AB1090" s="391"/>
      <c r="AC1090" s="394" t="str">
        <f t="shared" si="2"/>
        <v/>
      </c>
      <c r="AD1090" s="389"/>
      <c r="AE1090" s="399"/>
      <c r="AF1090" s="395"/>
      <c r="AG1090" s="396" t="str">
        <f t="shared" si="3"/>
        <v/>
      </c>
      <c r="AH1090" s="396" t="str">
        <f t="shared" si="4"/>
        <v/>
      </c>
      <c r="AI1090" s="388"/>
      <c r="AJ1090" s="388"/>
      <c r="AK1090" s="397"/>
    </row>
    <row r="1091">
      <c r="A1091" s="398"/>
      <c r="B1091" s="386"/>
      <c r="C1091" s="387" t="str">
        <f>IF(A1091="","",IFERROR(IF(VLOOKUP(A1091,'1. Inbound Leads'!A:G,7,FALSE)=0,"",VLOOKUP(A1091,'1. Inbound Leads'!A:G,7,FALSE)),""))</f>
        <v/>
      </c>
      <c r="D1091" s="387" t="str">
        <f>IF(A1091="","",IFERROR(IF(VLOOKUP(A1091,'1. Inbound Leads'!A:L,12,FALSE)=0,"",VLOOKUP(A1091,'1. Inbound Leads'!A:L,12,FALSE)),""))</f>
        <v/>
      </c>
      <c r="E1091" s="388"/>
      <c r="F1091" s="389"/>
      <c r="G1091" s="387"/>
      <c r="H1091" s="387"/>
      <c r="I1091" s="387"/>
      <c r="J1091" s="387"/>
      <c r="K1091" s="387"/>
      <c r="L1091" s="387"/>
      <c r="M1091" s="388"/>
      <c r="N1091" s="388"/>
      <c r="O1091" s="390"/>
      <c r="P1091" s="391"/>
      <c r="Q1091" s="389"/>
      <c r="R1091" s="390"/>
      <c r="S1091" s="390"/>
      <c r="T1091" s="391"/>
      <c r="U1091" s="392"/>
      <c r="V1091" s="391"/>
      <c r="W1091" s="391"/>
      <c r="X1091" s="388"/>
      <c r="Y1091" s="391"/>
      <c r="Z1091" s="393"/>
      <c r="AA1091" s="355" t="str">
        <f t="shared" si="1"/>
        <v/>
      </c>
      <c r="AB1091" s="391"/>
      <c r="AC1091" s="394" t="str">
        <f t="shared" si="2"/>
        <v/>
      </c>
      <c r="AD1091" s="389"/>
      <c r="AE1091" s="399"/>
      <c r="AF1091" s="395"/>
      <c r="AG1091" s="396" t="str">
        <f t="shared" si="3"/>
        <v/>
      </c>
      <c r="AH1091" s="396" t="str">
        <f t="shared" si="4"/>
        <v/>
      </c>
      <c r="AI1091" s="388"/>
      <c r="AJ1091" s="388"/>
      <c r="AK1091" s="397"/>
    </row>
    <row r="1092">
      <c r="A1092" s="398"/>
      <c r="B1092" s="386"/>
      <c r="C1092" s="387" t="str">
        <f>IF(A1092="","",IFERROR(IF(VLOOKUP(A1092,'1. Inbound Leads'!A:G,7,FALSE)=0,"",VLOOKUP(A1092,'1. Inbound Leads'!A:G,7,FALSE)),""))</f>
        <v/>
      </c>
      <c r="D1092" s="387" t="str">
        <f>IF(A1092="","",IFERROR(IF(VLOOKUP(A1092,'1. Inbound Leads'!A:L,12,FALSE)=0,"",VLOOKUP(A1092,'1. Inbound Leads'!A:L,12,FALSE)),""))</f>
        <v/>
      </c>
      <c r="E1092" s="388"/>
      <c r="F1092" s="389"/>
      <c r="G1092" s="387"/>
      <c r="H1092" s="387"/>
      <c r="I1092" s="387"/>
      <c r="J1092" s="387"/>
      <c r="K1092" s="387"/>
      <c r="L1092" s="387"/>
      <c r="M1092" s="388"/>
      <c r="N1092" s="388"/>
      <c r="O1092" s="390"/>
      <c r="P1092" s="391"/>
      <c r="Q1092" s="389"/>
      <c r="R1092" s="390"/>
      <c r="S1092" s="390"/>
      <c r="T1092" s="391"/>
      <c r="U1092" s="392"/>
      <c r="V1092" s="391"/>
      <c r="W1092" s="391"/>
      <c r="X1092" s="388"/>
      <c r="Y1092" s="391"/>
      <c r="Z1092" s="393"/>
      <c r="AA1092" s="355" t="str">
        <f t="shared" si="1"/>
        <v/>
      </c>
      <c r="AB1092" s="391"/>
      <c r="AC1092" s="394" t="str">
        <f t="shared" si="2"/>
        <v/>
      </c>
      <c r="AD1092" s="389"/>
      <c r="AE1092" s="399"/>
      <c r="AF1092" s="395"/>
      <c r="AG1092" s="396" t="str">
        <f t="shared" si="3"/>
        <v/>
      </c>
      <c r="AH1092" s="396" t="str">
        <f t="shared" si="4"/>
        <v/>
      </c>
      <c r="AI1092" s="388"/>
      <c r="AJ1092" s="388"/>
      <c r="AK1092" s="397"/>
    </row>
    <row r="1093">
      <c r="A1093" s="398"/>
      <c r="B1093" s="386"/>
      <c r="C1093" s="387" t="str">
        <f>IF(A1093="","",IFERROR(IF(VLOOKUP(A1093,'1. Inbound Leads'!A:G,7,FALSE)=0,"",VLOOKUP(A1093,'1. Inbound Leads'!A:G,7,FALSE)),""))</f>
        <v/>
      </c>
      <c r="D1093" s="387" t="str">
        <f>IF(A1093="","",IFERROR(IF(VLOOKUP(A1093,'1. Inbound Leads'!A:L,12,FALSE)=0,"",VLOOKUP(A1093,'1. Inbound Leads'!A:L,12,FALSE)),""))</f>
        <v/>
      </c>
      <c r="E1093" s="388"/>
      <c r="F1093" s="389"/>
      <c r="G1093" s="387"/>
      <c r="H1093" s="387"/>
      <c r="I1093" s="387"/>
      <c r="J1093" s="387"/>
      <c r="K1093" s="387"/>
      <c r="L1093" s="387"/>
      <c r="M1093" s="388"/>
      <c r="N1093" s="388"/>
      <c r="O1093" s="390"/>
      <c r="P1093" s="391"/>
      <c r="Q1093" s="389"/>
      <c r="R1093" s="390"/>
      <c r="S1093" s="390"/>
      <c r="T1093" s="391"/>
      <c r="U1093" s="392"/>
      <c r="V1093" s="391"/>
      <c r="W1093" s="391"/>
      <c r="X1093" s="388"/>
      <c r="Y1093" s="391"/>
      <c r="Z1093" s="393"/>
      <c r="AA1093" s="355" t="str">
        <f t="shared" si="1"/>
        <v/>
      </c>
      <c r="AB1093" s="391"/>
      <c r="AC1093" s="394" t="str">
        <f t="shared" si="2"/>
        <v/>
      </c>
      <c r="AD1093" s="389"/>
      <c r="AE1093" s="399"/>
      <c r="AF1093" s="395"/>
      <c r="AG1093" s="396" t="str">
        <f t="shared" si="3"/>
        <v/>
      </c>
      <c r="AH1093" s="396" t="str">
        <f t="shared" si="4"/>
        <v/>
      </c>
      <c r="AI1093" s="388"/>
      <c r="AJ1093" s="388"/>
      <c r="AK1093" s="397"/>
    </row>
    <row r="1094">
      <c r="A1094" s="398"/>
      <c r="B1094" s="386"/>
      <c r="C1094" s="387" t="str">
        <f>IF(A1094="","",IFERROR(IF(VLOOKUP(A1094,'1. Inbound Leads'!A:G,7,FALSE)=0,"",VLOOKUP(A1094,'1. Inbound Leads'!A:G,7,FALSE)),""))</f>
        <v/>
      </c>
      <c r="D1094" s="387" t="str">
        <f>IF(A1094="","",IFERROR(IF(VLOOKUP(A1094,'1. Inbound Leads'!A:L,12,FALSE)=0,"",VLOOKUP(A1094,'1. Inbound Leads'!A:L,12,FALSE)),""))</f>
        <v/>
      </c>
      <c r="E1094" s="388"/>
      <c r="F1094" s="389"/>
      <c r="G1094" s="387"/>
      <c r="H1094" s="387"/>
      <c r="I1094" s="387"/>
      <c r="J1094" s="387"/>
      <c r="K1094" s="387"/>
      <c r="L1094" s="387"/>
      <c r="M1094" s="388"/>
      <c r="N1094" s="388"/>
      <c r="O1094" s="390"/>
      <c r="P1094" s="391"/>
      <c r="Q1094" s="389"/>
      <c r="R1094" s="390"/>
      <c r="S1094" s="390"/>
      <c r="T1094" s="391"/>
      <c r="U1094" s="392"/>
      <c r="V1094" s="391"/>
      <c r="W1094" s="391"/>
      <c r="X1094" s="388"/>
      <c r="Y1094" s="391"/>
      <c r="Z1094" s="393"/>
      <c r="AA1094" s="355" t="str">
        <f t="shared" si="1"/>
        <v/>
      </c>
      <c r="AB1094" s="391"/>
      <c r="AC1094" s="394" t="str">
        <f t="shared" si="2"/>
        <v/>
      </c>
      <c r="AD1094" s="389"/>
      <c r="AE1094" s="399"/>
      <c r="AF1094" s="395"/>
      <c r="AG1094" s="396" t="str">
        <f t="shared" si="3"/>
        <v/>
      </c>
      <c r="AH1094" s="396" t="str">
        <f t="shared" si="4"/>
        <v/>
      </c>
      <c r="AI1094" s="388"/>
      <c r="AJ1094" s="388"/>
      <c r="AK1094" s="397"/>
    </row>
    <row r="1095">
      <c r="A1095" s="398"/>
      <c r="B1095" s="386"/>
      <c r="C1095" s="387" t="str">
        <f>IF(A1095="","",IFERROR(IF(VLOOKUP(A1095,'1. Inbound Leads'!A:G,7,FALSE)=0,"",VLOOKUP(A1095,'1. Inbound Leads'!A:G,7,FALSE)),""))</f>
        <v/>
      </c>
      <c r="D1095" s="387" t="str">
        <f>IF(A1095="","",IFERROR(IF(VLOOKUP(A1095,'1. Inbound Leads'!A:L,12,FALSE)=0,"",VLOOKUP(A1095,'1. Inbound Leads'!A:L,12,FALSE)),""))</f>
        <v/>
      </c>
      <c r="E1095" s="388"/>
      <c r="F1095" s="389"/>
      <c r="G1095" s="387"/>
      <c r="H1095" s="387"/>
      <c r="I1095" s="387"/>
      <c r="J1095" s="387"/>
      <c r="K1095" s="387"/>
      <c r="L1095" s="387"/>
      <c r="M1095" s="388"/>
      <c r="N1095" s="388"/>
      <c r="O1095" s="390"/>
      <c r="P1095" s="391"/>
      <c r="Q1095" s="389"/>
      <c r="R1095" s="390"/>
      <c r="S1095" s="390"/>
      <c r="T1095" s="391"/>
      <c r="U1095" s="392"/>
      <c r="V1095" s="391"/>
      <c r="W1095" s="391"/>
      <c r="X1095" s="388"/>
      <c r="Y1095" s="391"/>
      <c r="Z1095" s="393"/>
      <c r="AA1095" s="355" t="str">
        <f t="shared" si="1"/>
        <v/>
      </c>
      <c r="AB1095" s="391"/>
      <c r="AC1095" s="394" t="str">
        <f t="shared" si="2"/>
        <v/>
      </c>
      <c r="AD1095" s="389"/>
      <c r="AE1095" s="399"/>
      <c r="AF1095" s="395"/>
      <c r="AG1095" s="396" t="str">
        <f t="shared" si="3"/>
        <v/>
      </c>
      <c r="AH1095" s="396" t="str">
        <f t="shared" si="4"/>
        <v/>
      </c>
      <c r="AI1095" s="388"/>
      <c r="AJ1095" s="388"/>
      <c r="AK1095" s="397"/>
    </row>
    <row r="1096">
      <c r="A1096" s="398"/>
      <c r="B1096" s="386"/>
      <c r="C1096" s="387" t="str">
        <f>IF(A1096="","",IFERROR(IF(VLOOKUP(A1096,'1. Inbound Leads'!A:G,7,FALSE)=0,"",VLOOKUP(A1096,'1. Inbound Leads'!A:G,7,FALSE)),""))</f>
        <v/>
      </c>
      <c r="D1096" s="387" t="str">
        <f>IF(A1096="","",IFERROR(IF(VLOOKUP(A1096,'1. Inbound Leads'!A:L,12,FALSE)=0,"",VLOOKUP(A1096,'1. Inbound Leads'!A:L,12,FALSE)),""))</f>
        <v/>
      </c>
      <c r="E1096" s="388"/>
      <c r="F1096" s="389"/>
      <c r="G1096" s="387"/>
      <c r="H1096" s="387"/>
      <c r="I1096" s="387"/>
      <c r="J1096" s="387"/>
      <c r="K1096" s="387"/>
      <c r="L1096" s="387"/>
      <c r="M1096" s="388"/>
      <c r="N1096" s="388"/>
      <c r="O1096" s="390"/>
      <c r="P1096" s="391"/>
      <c r="Q1096" s="389"/>
      <c r="R1096" s="390"/>
      <c r="S1096" s="390"/>
      <c r="T1096" s="391"/>
      <c r="U1096" s="392"/>
      <c r="V1096" s="391"/>
      <c r="W1096" s="391"/>
      <c r="X1096" s="388"/>
      <c r="Y1096" s="391"/>
      <c r="Z1096" s="393"/>
      <c r="AA1096" s="355" t="str">
        <f t="shared" si="1"/>
        <v/>
      </c>
      <c r="AB1096" s="391"/>
      <c r="AC1096" s="394" t="str">
        <f t="shared" si="2"/>
        <v/>
      </c>
      <c r="AD1096" s="389"/>
      <c r="AE1096" s="399"/>
      <c r="AF1096" s="395"/>
      <c r="AG1096" s="396" t="str">
        <f t="shared" si="3"/>
        <v/>
      </c>
      <c r="AH1096" s="396" t="str">
        <f t="shared" si="4"/>
        <v/>
      </c>
      <c r="AI1096" s="388"/>
      <c r="AJ1096" s="388"/>
      <c r="AK1096" s="397"/>
    </row>
    <row r="1097">
      <c r="A1097" s="398"/>
      <c r="B1097" s="386"/>
      <c r="C1097" s="387" t="str">
        <f>IF(A1097="","",IFERROR(IF(VLOOKUP(A1097,'1. Inbound Leads'!A:G,7,FALSE)=0,"",VLOOKUP(A1097,'1. Inbound Leads'!A:G,7,FALSE)),""))</f>
        <v/>
      </c>
      <c r="D1097" s="387" t="str">
        <f>IF(A1097="","",IFERROR(IF(VLOOKUP(A1097,'1. Inbound Leads'!A:L,12,FALSE)=0,"",VLOOKUP(A1097,'1. Inbound Leads'!A:L,12,FALSE)),""))</f>
        <v/>
      </c>
      <c r="E1097" s="388"/>
      <c r="F1097" s="389"/>
      <c r="G1097" s="387"/>
      <c r="H1097" s="387"/>
      <c r="I1097" s="387"/>
      <c r="J1097" s="387"/>
      <c r="K1097" s="387"/>
      <c r="L1097" s="387"/>
      <c r="M1097" s="388"/>
      <c r="N1097" s="388"/>
      <c r="O1097" s="390"/>
      <c r="P1097" s="391"/>
      <c r="Q1097" s="389"/>
      <c r="R1097" s="390"/>
      <c r="S1097" s="390"/>
      <c r="T1097" s="391"/>
      <c r="U1097" s="392"/>
      <c r="V1097" s="391"/>
      <c r="W1097" s="391"/>
      <c r="X1097" s="388"/>
      <c r="Y1097" s="391"/>
      <c r="Z1097" s="393"/>
      <c r="AA1097" s="355" t="str">
        <f t="shared" si="1"/>
        <v/>
      </c>
      <c r="AB1097" s="391"/>
      <c r="AC1097" s="394" t="str">
        <f t="shared" si="2"/>
        <v/>
      </c>
      <c r="AD1097" s="389"/>
      <c r="AE1097" s="399"/>
      <c r="AF1097" s="395"/>
      <c r="AG1097" s="396" t="str">
        <f t="shared" si="3"/>
        <v/>
      </c>
      <c r="AH1097" s="396" t="str">
        <f t="shared" si="4"/>
        <v/>
      </c>
      <c r="AI1097" s="388"/>
      <c r="AJ1097" s="388"/>
      <c r="AK1097" s="397"/>
    </row>
    <row r="1098">
      <c r="A1098" s="398"/>
      <c r="B1098" s="386"/>
      <c r="C1098" s="387" t="str">
        <f>IF(A1098="","",IFERROR(IF(VLOOKUP(A1098,'1. Inbound Leads'!A:G,7,FALSE)=0,"",VLOOKUP(A1098,'1. Inbound Leads'!A:G,7,FALSE)),""))</f>
        <v/>
      </c>
      <c r="D1098" s="387" t="str">
        <f>IF(A1098="","",IFERROR(IF(VLOOKUP(A1098,'1. Inbound Leads'!A:L,12,FALSE)=0,"",VLOOKUP(A1098,'1. Inbound Leads'!A:L,12,FALSE)),""))</f>
        <v/>
      </c>
      <c r="E1098" s="388"/>
      <c r="F1098" s="389"/>
      <c r="G1098" s="387"/>
      <c r="H1098" s="387"/>
      <c r="I1098" s="387"/>
      <c r="J1098" s="387"/>
      <c r="K1098" s="387"/>
      <c r="L1098" s="387"/>
      <c r="M1098" s="388"/>
      <c r="N1098" s="388"/>
      <c r="O1098" s="390"/>
      <c r="P1098" s="391"/>
      <c r="Q1098" s="389"/>
      <c r="R1098" s="390"/>
      <c r="S1098" s="390"/>
      <c r="T1098" s="391"/>
      <c r="U1098" s="392"/>
      <c r="V1098" s="391"/>
      <c r="W1098" s="391"/>
      <c r="X1098" s="388"/>
      <c r="Y1098" s="391"/>
      <c r="Z1098" s="393"/>
      <c r="AA1098" s="355" t="str">
        <f t="shared" si="1"/>
        <v/>
      </c>
      <c r="AB1098" s="391"/>
      <c r="AC1098" s="394" t="str">
        <f t="shared" si="2"/>
        <v/>
      </c>
      <c r="AD1098" s="389"/>
      <c r="AE1098" s="399"/>
      <c r="AF1098" s="395"/>
      <c r="AG1098" s="396" t="str">
        <f t="shared" si="3"/>
        <v/>
      </c>
      <c r="AH1098" s="396" t="str">
        <f t="shared" si="4"/>
        <v/>
      </c>
      <c r="AI1098" s="388"/>
      <c r="AJ1098" s="388"/>
      <c r="AK1098" s="397"/>
    </row>
    <row r="1099">
      <c r="A1099" s="398"/>
      <c r="B1099" s="386"/>
      <c r="C1099" s="387" t="str">
        <f>IF(A1099="","",IFERROR(IF(VLOOKUP(A1099,'1. Inbound Leads'!A:G,7,FALSE)=0,"",VLOOKUP(A1099,'1. Inbound Leads'!A:G,7,FALSE)),""))</f>
        <v/>
      </c>
      <c r="D1099" s="387" t="str">
        <f>IF(A1099="","",IFERROR(IF(VLOOKUP(A1099,'1. Inbound Leads'!A:L,12,FALSE)=0,"",VLOOKUP(A1099,'1. Inbound Leads'!A:L,12,FALSE)),""))</f>
        <v/>
      </c>
      <c r="E1099" s="388"/>
      <c r="F1099" s="389"/>
      <c r="G1099" s="387"/>
      <c r="H1099" s="387"/>
      <c r="I1099" s="387"/>
      <c r="J1099" s="387"/>
      <c r="K1099" s="387"/>
      <c r="L1099" s="387"/>
      <c r="M1099" s="388"/>
      <c r="N1099" s="388"/>
      <c r="O1099" s="390"/>
      <c r="P1099" s="391"/>
      <c r="Q1099" s="389"/>
      <c r="R1099" s="390"/>
      <c r="S1099" s="390"/>
      <c r="T1099" s="391"/>
      <c r="U1099" s="392"/>
      <c r="V1099" s="391"/>
      <c r="W1099" s="391"/>
      <c r="X1099" s="388"/>
      <c r="Y1099" s="391"/>
      <c r="Z1099" s="393"/>
      <c r="AA1099" s="355" t="str">
        <f t="shared" si="1"/>
        <v/>
      </c>
      <c r="AB1099" s="391"/>
      <c r="AC1099" s="394" t="str">
        <f t="shared" si="2"/>
        <v/>
      </c>
      <c r="AD1099" s="389"/>
      <c r="AE1099" s="399"/>
      <c r="AF1099" s="395"/>
      <c r="AG1099" s="396" t="str">
        <f t="shared" si="3"/>
        <v/>
      </c>
      <c r="AH1099" s="396" t="str">
        <f t="shared" si="4"/>
        <v/>
      </c>
      <c r="AI1099" s="388"/>
      <c r="AJ1099" s="388"/>
      <c r="AK1099" s="397"/>
    </row>
    <row r="1100">
      <c r="A1100" s="398"/>
      <c r="B1100" s="386"/>
      <c r="C1100" s="387" t="str">
        <f>IF(A1100="","",IFERROR(IF(VLOOKUP(A1100,'1. Inbound Leads'!A:G,7,FALSE)=0,"",VLOOKUP(A1100,'1. Inbound Leads'!A:G,7,FALSE)),""))</f>
        <v/>
      </c>
      <c r="D1100" s="387" t="str">
        <f>IF(A1100="","",IFERROR(IF(VLOOKUP(A1100,'1. Inbound Leads'!A:L,12,FALSE)=0,"",VLOOKUP(A1100,'1. Inbound Leads'!A:L,12,FALSE)),""))</f>
        <v/>
      </c>
      <c r="E1100" s="388"/>
      <c r="F1100" s="389"/>
      <c r="G1100" s="387"/>
      <c r="H1100" s="387"/>
      <c r="I1100" s="387"/>
      <c r="J1100" s="387"/>
      <c r="K1100" s="387"/>
      <c r="L1100" s="387"/>
      <c r="M1100" s="388"/>
      <c r="N1100" s="388"/>
      <c r="O1100" s="390"/>
      <c r="P1100" s="391"/>
      <c r="Q1100" s="389"/>
      <c r="R1100" s="390"/>
      <c r="S1100" s="390"/>
      <c r="T1100" s="391"/>
      <c r="U1100" s="392"/>
      <c r="V1100" s="391"/>
      <c r="W1100" s="391"/>
      <c r="X1100" s="388"/>
      <c r="Y1100" s="391"/>
      <c r="Z1100" s="393"/>
      <c r="AA1100" s="355" t="str">
        <f t="shared" si="1"/>
        <v/>
      </c>
      <c r="AB1100" s="391"/>
      <c r="AC1100" s="394" t="str">
        <f t="shared" si="2"/>
        <v/>
      </c>
      <c r="AD1100" s="389"/>
      <c r="AE1100" s="399"/>
      <c r="AF1100" s="395"/>
      <c r="AG1100" s="396" t="str">
        <f t="shared" si="3"/>
        <v/>
      </c>
      <c r="AH1100" s="396" t="str">
        <f t="shared" si="4"/>
        <v/>
      </c>
      <c r="AI1100" s="388"/>
      <c r="AJ1100" s="388"/>
      <c r="AK1100" s="397"/>
    </row>
    <row r="1101">
      <c r="A1101" s="398"/>
      <c r="B1101" s="386"/>
      <c r="C1101" s="387" t="str">
        <f>IF(A1101="","",IFERROR(IF(VLOOKUP(A1101,'1. Inbound Leads'!A:G,7,FALSE)=0,"",VLOOKUP(A1101,'1. Inbound Leads'!A:G,7,FALSE)),""))</f>
        <v/>
      </c>
      <c r="D1101" s="387" t="str">
        <f>IF(A1101="","",IFERROR(IF(VLOOKUP(A1101,'1. Inbound Leads'!A:L,12,FALSE)=0,"",VLOOKUP(A1101,'1. Inbound Leads'!A:L,12,FALSE)),""))</f>
        <v/>
      </c>
      <c r="E1101" s="388"/>
      <c r="F1101" s="389"/>
      <c r="G1101" s="387"/>
      <c r="H1101" s="387"/>
      <c r="I1101" s="387"/>
      <c r="J1101" s="387"/>
      <c r="K1101" s="387"/>
      <c r="L1101" s="387"/>
      <c r="M1101" s="388"/>
      <c r="N1101" s="388"/>
      <c r="O1101" s="390"/>
      <c r="P1101" s="391"/>
      <c r="Q1101" s="389"/>
      <c r="R1101" s="390"/>
      <c r="S1101" s="390"/>
      <c r="T1101" s="391"/>
      <c r="U1101" s="392"/>
      <c r="V1101" s="391"/>
      <c r="W1101" s="391"/>
      <c r="X1101" s="388"/>
      <c r="Y1101" s="391"/>
      <c r="Z1101" s="393"/>
      <c r="AA1101" s="355" t="str">
        <f t="shared" si="1"/>
        <v/>
      </c>
      <c r="AB1101" s="391"/>
      <c r="AC1101" s="394" t="str">
        <f t="shared" si="2"/>
        <v/>
      </c>
      <c r="AD1101" s="389"/>
      <c r="AE1101" s="399"/>
      <c r="AF1101" s="395"/>
      <c r="AG1101" s="396" t="str">
        <f t="shared" si="3"/>
        <v/>
      </c>
      <c r="AH1101" s="396" t="str">
        <f t="shared" si="4"/>
        <v/>
      </c>
      <c r="AI1101" s="388"/>
      <c r="AJ1101" s="388"/>
      <c r="AK1101" s="397"/>
    </row>
    <row r="1102">
      <c r="A1102" s="398"/>
      <c r="B1102" s="386"/>
      <c r="C1102" s="387" t="str">
        <f>IF(A1102="","",IFERROR(IF(VLOOKUP(A1102,'1. Inbound Leads'!A:G,7,FALSE)=0,"",VLOOKUP(A1102,'1. Inbound Leads'!A:G,7,FALSE)),""))</f>
        <v/>
      </c>
      <c r="D1102" s="387" t="str">
        <f>IF(A1102="","",IFERROR(IF(VLOOKUP(A1102,'1. Inbound Leads'!A:L,12,FALSE)=0,"",VLOOKUP(A1102,'1. Inbound Leads'!A:L,12,FALSE)),""))</f>
        <v/>
      </c>
      <c r="E1102" s="388"/>
      <c r="F1102" s="389"/>
      <c r="G1102" s="387"/>
      <c r="H1102" s="387"/>
      <c r="I1102" s="387"/>
      <c r="J1102" s="387"/>
      <c r="K1102" s="387"/>
      <c r="L1102" s="387"/>
      <c r="M1102" s="388"/>
      <c r="N1102" s="388"/>
      <c r="O1102" s="390"/>
      <c r="P1102" s="391"/>
      <c r="Q1102" s="389"/>
      <c r="R1102" s="390"/>
      <c r="S1102" s="390"/>
      <c r="T1102" s="391"/>
      <c r="U1102" s="392"/>
      <c r="V1102" s="391"/>
      <c r="W1102" s="391"/>
      <c r="X1102" s="388"/>
      <c r="Y1102" s="391"/>
      <c r="Z1102" s="393"/>
      <c r="AA1102" s="355" t="str">
        <f t="shared" si="1"/>
        <v/>
      </c>
      <c r="AB1102" s="391"/>
      <c r="AC1102" s="394" t="str">
        <f t="shared" si="2"/>
        <v/>
      </c>
      <c r="AD1102" s="389"/>
      <c r="AE1102" s="399"/>
      <c r="AF1102" s="395"/>
      <c r="AG1102" s="396" t="str">
        <f t="shared" si="3"/>
        <v/>
      </c>
      <c r="AH1102" s="396" t="str">
        <f t="shared" si="4"/>
        <v/>
      </c>
      <c r="AI1102" s="388"/>
      <c r="AJ1102" s="388"/>
      <c r="AK1102" s="397"/>
    </row>
    <row r="1103">
      <c r="A1103" s="398"/>
      <c r="B1103" s="386"/>
      <c r="C1103" s="387" t="str">
        <f>IF(A1103="","",IFERROR(IF(VLOOKUP(A1103,'1. Inbound Leads'!A:G,7,FALSE)=0,"",VLOOKUP(A1103,'1. Inbound Leads'!A:G,7,FALSE)),""))</f>
        <v/>
      </c>
      <c r="D1103" s="387" t="str">
        <f>IF(A1103="","",IFERROR(IF(VLOOKUP(A1103,'1. Inbound Leads'!A:L,12,FALSE)=0,"",VLOOKUP(A1103,'1. Inbound Leads'!A:L,12,FALSE)),""))</f>
        <v/>
      </c>
      <c r="E1103" s="388"/>
      <c r="F1103" s="389"/>
      <c r="G1103" s="387"/>
      <c r="H1103" s="387"/>
      <c r="I1103" s="387"/>
      <c r="J1103" s="387"/>
      <c r="K1103" s="387"/>
      <c r="L1103" s="387"/>
      <c r="M1103" s="388"/>
      <c r="N1103" s="388"/>
      <c r="O1103" s="390"/>
      <c r="P1103" s="391"/>
      <c r="Q1103" s="389"/>
      <c r="R1103" s="390"/>
      <c r="S1103" s="390"/>
      <c r="T1103" s="391"/>
      <c r="U1103" s="392"/>
      <c r="V1103" s="391"/>
      <c r="W1103" s="391"/>
      <c r="X1103" s="388"/>
      <c r="Y1103" s="391"/>
      <c r="Z1103" s="393"/>
      <c r="AA1103" s="355" t="str">
        <f t="shared" si="1"/>
        <v/>
      </c>
      <c r="AB1103" s="391"/>
      <c r="AC1103" s="394" t="str">
        <f t="shared" si="2"/>
        <v/>
      </c>
      <c r="AD1103" s="389"/>
      <c r="AE1103" s="399"/>
      <c r="AF1103" s="395"/>
      <c r="AG1103" s="396" t="str">
        <f t="shared" si="3"/>
        <v/>
      </c>
      <c r="AH1103" s="396" t="str">
        <f t="shared" si="4"/>
        <v/>
      </c>
      <c r="AI1103" s="388"/>
      <c r="AJ1103" s="388"/>
      <c r="AK1103" s="397"/>
    </row>
    <row r="1104">
      <c r="A1104" s="398"/>
      <c r="B1104" s="386"/>
      <c r="C1104" s="387" t="str">
        <f>IF(A1104="","",IFERROR(IF(VLOOKUP(A1104,'1. Inbound Leads'!A:G,7,FALSE)=0,"",VLOOKUP(A1104,'1. Inbound Leads'!A:G,7,FALSE)),""))</f>
        <v/>
      </c>
      <c r="D1104" s="387" t="str">
        <f>IF(A1104="","",IFERROR(IF(VLOOKUP(A1104,'1. Inbound Leads'!A:L,12,FALSE)=0,"",VLOOKUP(A1104,'1. Inbound Leads'!A:L,12,FALSE)),""))</f>
        <v/>
      </c>
      <c r="E1104" s="388"/>
      <c r="F1104" s="389"/>
      <c r="G1104" s="387"/>
      <c r="H1104" s="387"/>
      <c r="I1104" s="387"/>
      <c r="J1104" s="387"/>
      <c r="K1104" s="387"/>
      <c r="L1104" s="387"/>
      <c r="M1104" s="388"/>
      <c r="N1104" s="388"/>
      <c r="O1104" s="390"/>
      <c r="P1104" s="391"/>
      <c r="Q1104" s="389"/>
      <c r="R1104" s="390"/>
      <c r="S1104" s="390"/>
      <c r="T1104" s="391"/>
      <c r="U1104" s="392"/>
      <c r="V1104" s="391"/>
      <c r="W1104" s="391"/>
      <c r="X1104" s="388"/>
      <c r="Y1104" s="391"/>
      <c r="Z1104" s="393"/>
      <c r="AA1104" s="355" t="str">
        <f t="shared" si="1"/>
        <v/>
      </c>
      <c r="AB1104" s="391"/>
      <c r="AC1104" s="394" t="str">
        <f t="shared" si="2"/>
        <v/>
      </c>
      <c r="AD1104" s="389"/>
      <c r="AE1104" s="399"/>
      <c r="AF1104" s="395"/>
      <c r="AG1104" s="396" t="str">
        <f t="shared" si="3"/>
        <v/>
      </c>
      <c r="AH1104" s="396" t="str">
        <f t="shared" si="4"/>
        <v/>
      </c>
      <c r="AI1104" s="388"/>
      <c r="AJ1104" s="388"/>
      <c r="AK1104" s="397"/>
    </row>
    <row r="1105">
      <c r="A1105" s="398"/>
      <c r="B1105" s="386"/>
      <c r="C1105" s="387" t="str">
        <f>IF(A1105="","",IFERROR(IF(VLOOKUP(A1105,'1. Inbound Leads'!A:G,7,FALSE)=0,"",VLOOKUP(A1105,'1. Inbound Leads'!A:G,7,FALSE)),""))</f>
        <v/>
      </c>
      <c r="D1105" s="387" t="str">
        <f>IF(A1105="","",IFERROR(IF(VLOOKUP(A1105,'1. Inbound Leads'!A:L,12,FALSE)=0,"",VLOOKUP(A1105,'1. Inbound Leads'!A:L,12,FALSE)),""))</f>
        <v/>
      </c>
      <c r="E1105" s="388"/>
      <c r="F1105" s="389"/>
      <c r="G1105" s="387"/>
      <c r="H1105" s="387"/>
      <c r="I1105" s="387"/>
      <c r="J1105" s="387"/>
      <c r="K1105" s="387"/>
      <c r="L1105" s="387"/>
      <c r="M1105" s="388"/>
      <c r="N1105" s="388"/>
      <c r="O1105" s="390"/>
      <c r="P1105" s="391"/>
      <c r="Q1105" s="389"/>
      <c r="R1105" s="390"/>
      <c r="S1105" s="390"/>
      <c r="T1105" s="391"/>
      <c r="U1105" s="392"/>
      <c r="V1105" s="391"/>
      <c r="W1105" s="391"/>
      <c r="X1105" s="388"/>
      <c r="Y1105" s="391"/>
      <c r="Z1105" s="393"/>
      <c r="AA1105" s="355" t="str">
        <f t="shared" si="1"/>
        <v/>
      </c>
      <c r="AB1105" s="391"/>
      <c r="AC1105" s="394" t="str">
        <f t="shared" si="2"/>
        <v/>
      </c>
      <c r="AD1105" s="389"/>
      <c r="AE1105" s="399"/>
      <c r="AF1105" s="395"/>
      <c r="AG1105" s="396" t="str">
        <f t="shared" si="3"/>
        <v/>
      </c>
      <c r="AH1105" s="396" t="str">
        <f t="shared" si="4"/>
        <v/>
      </c>
      <c r="AI1105" s="388"/>
      <c r="AJ1105" s="388"/>
      <c r="AK1105" s="397"/>
    </row>
    <row r="1106">
      <c r="A1106" s="398"/>
      <c r="B1106" s="386"/>
      <c r="C1106" s="387" t="str">
        <f>IF(A1106="","",IFERROR(IF(VLOOKUP(A1106,'1. Inbound Leads'!A:G,7,FALSE)=0,"",VLOOKUP(A1106,'1. Inbound Leads'!A:G,7,FALSE)),""))</f>
        <v/>
      </c>
      <c r="D1106" s="387" t="str">
        <f>IF(A1106="","",IFERROR(IF(VLOOKUP(A1106,'1. Inbound Leads'!A:L,12,FALSE)=0,"",VLOOKUP(A1106,'1. Inbound Leads'!A:L,12,FALSE)),""))</f>
        <v/>
      </c>
      <c r="E1106" s="388"/>
      <c r="F1106" s="389"/>
      <c r="G1106" s="387"/>
      <c r="H1106" s="387"/>
      <c r="I1106" s="387"/>
      <c r="J1106" s="387"/>
      <c r="K1106" s="387"/>
      <c r="L1106" s="387"/>
      <c r="M1106" s="388"/>
      <c r="N1106" s="388"/>
      <c r="O1106" s="390"/>
      <c r="P1106" s="391"/>
      <c r="Q1106" s="389"/>
      <c r="R1106" s="390"/>
      <c r="S1106" s="390"/>
      <c r="T1106" s="391"/>
      <c r="U1106" s="392"/>
      <c r="V1106" s="391"/>
      <c r="W1106" s="391"/>
      <c r="X1106" s="388"/>
      <c r="Y1106" s="391"/>
      <c r="Z1106" s="393"/>
      <c r="AA1106" s="355" t="str">
        <f t="shared" si="1"/>
        <v/>
      </c>
      <c r="AB1106" s="391"/>
      <c r="AC1106" s="394" t="str">
        <f t="shared" si="2"/>
        <v/>
      </c>
      <c r="AD1106" s="389"/>
      <c r="AE1106" s="399"/>
      <c r="AF1106" s="395"/>
      <c r="AG1106" s="396" t="str">
        <f t="shared" si="3"/>
        <v/>
      </c>
      <c r="AH1106" s="396" t="str">
        <f t="shared" si="4"/>
        <v/>
      </c>
      <c r="AI1106" s="388"/>
      <c r="AJ1106" s="388"/>
      <c r="AK1106" s="397"/>
    </row>
    <row r="1107">
      <c r="A1107" s="398"/>
      <c r="B1107" s="386"/>
      <c r="C1107" s="387" t="str">
        <f>IF(A1107="","",IFERROR(IF(VLOOKUP(A1107,'1. Inbound Leads'!A:G,7,FALSE)=0,"",VLOOKUP(A1107,'1. Inbound Leads'!A:G,7,FALSE)),""))</f>
        <v/>
      </c>
      <c r="D1107" s="387" t="str">
        <f>IF(A1107="","",IFERROR(IF(VLOOKUP(A1107,'1. Inbound Leads'!A:L,12,FALSE)=0,"",VLOOKUP(A1107,'1. Inbound Leads'!A:L,12,FALSE)),""))</f>
        <v/>
      </c>
      <c r="E1107" s="388"/>
      <c r="F1107" s="389"/>
      <c r="G1107" s="387"/>
      <c r="H1107" s="387"/>
      <c r="I1107" s="387"/>
      <c r="J1107" s="387"/>
      <c r="K1107" s="387"/>
      <c r="L1107" s="387"/>
      <c r="M1107" s="388"/>
      <c r="N1107" s="388"/>
      <c r="O1107" s="390"/>
      <c r="P1107" s="391"/>
      <c r="Q1107" s="389"/>
      <c r="R1107" s="390"/>
      <c r="S1107" s="390"/>
      <c r="T1107" s="391"/>
      <c r="U1107" s="392"/>
      <c r="V1107" s="391"/>
      <c r="W1107" s="391"/>
      <c r="X1107" s="388"/>
      <c r="Y1107" s="391"/>
      <c r="Z1107" s="393"/>
      <c r="AA1107" s="355" t="str">
        <f t="shared" si="1"/>
        <v/>
      </c>
      <c r="AB1107" s="391"/>
      <c r="AC1107" s="394" t="str">
        <f t="shared" si="2"/>
        <v/>
      </c>
      <c r="AD1107" s="389"/>
      <c r="AE1107" s="399"/>
      <c r="AF1107" s="395"/>
      <c r="AG1107" s="396" t="str">
        <f t="shared" si="3"/>
        <v/>
      </c>
      <c r="AH1107" s="396" t="str">
        <f t="shared" si="4"/>
        <v/>
      </c>
      <c r="AI1107" s="388"/>
      <c r="AJ1107" s="388"/>
      <c r="AK1107" s="397"/>
    </row>
    <row r="1108">
      <c r="A1108" s="398"/>
      <c r="B1108" s="386"/>
      <c r="C1108" s="387" t="str">
        <f>IF(A1108="","",IFERROR(IF(VLOOKUP(A1108,'1. Inbound Leads'!A:G,7,FALSE)=0,"",VLOOKUP(A1108,'1. Inbound Leads'!A:G,7,FALSE)),""))</f>
        <v/>
      </c>
      <c r="D1108" s="387" t="str">
        <f>IF(A1108="","",IFERROR(IF(VLOOKUP(A1108,'1. Inbound Leads'!A:L,12,FALSE)=0,"",VLOOKUP(A1108,'1. Inbound Leads'!A:L,12,FALSE)),""))</f>
        <v/>
      </c>
      <c r="E1108" s="388"/>
      <c r="F1108" s="389"/>
      <c r="G1108" s="387"/>
      <c r="H1108" s="387"/>
      <c r="I1108" s="387"/>
      <c r="J1108" s="387"/>
      <c r="K1108" s="387"/>
      <c r="L1108" s="387"/>
      <c r="M1108" s="388"/>
      <c r="N1108" s="388"/>
      <c r="O1108" s="390"/>
      <c r="P1108" s="391"/>
      <c r="Q1108" s="389"/>
      <c r="R1108" s="390"/>
      <c r="S1108" s="390"/>
      <c r="T1108" s="391"/>
      <c r="U1108" s="392"/>
      <c r="V1108" s="391"/>
      <c r="W1108" s="391"/>
      <c r="X1108" s="388"/>
      <c r="Y1108" s="391"/>
      <c r="Z1108" s="393"/>
      <c r="AA1108" s="355" t="str">
        <f t="shared" si="1"/>
        <v/>
      </c>
      <c r="AB1108" s="391"/>
      <c r="AC1108" s="394" t="str">
        <f t="shared" si="2"/>
        <v/>
      </c>
      <c r="AD1108" s="389"/>
      <c r="AE1108" s="399"/>
      <c r="AF1108" s="395"/>
      <c r="AG1108" s="396" t="str">
        <f t="shared" si="3"/>
        <v/>
      </c>
      <c r="AH1108" s="396" t="str">
        <f t="shared" si="4"/>
        <v/>
      </c>
      <c r="AI1108" s="388"/>
      <c r="AJ1108" s="388"/>
      <c r="AK1108" s="397"/>
    </row>
    <row r="1109">
      <c r="A1109" s="398"/>
      <c r="B1109" s="386"/>
      <c r="C1109" s="387" t="str">
        <f>IF(A1109="","",IFERROR(IF(VLOOKUP(A1109,'1. Inbound Leads'!A:G,7,FALSE)=0,"",VLOOKUP(A1109,'1. Inbound Leads'!A:G,7,FALSE)),""))</f>
        <v/>
      </c>
      <c r="D1109" s="387" t="str">
        <f>IF(A1109="","",IFERROR(IF(VLOOKUP(A1109,'1. Inbound Leads'!A:L,12,FALSE)=0,"",VLOOKUP(A1109,'1. Inbound Leads'!A:L,12,FALSE)),""))</f>
        <v/>
      </c>
      <c r="E1109" s="388"/>
      <c r="F1109" s="389"/>
      <c r="G1109" s="387"/>
      <c r="H1109" s="387"/>
      <c r="I1109" s="387"/>
      <c r="J1109" s="387"/>
      <c r="K1109" s="387"/>
      <c r="L1109" s="387"/>
      <c r="M1109" s="388"/>
      <c r="N1109" s="388"/>
      <c r="O1109" s="390"/>
      <c r="P1109" s="391"/>
      <c r="Q1109" s="389"/>
      <c r="R1109" s="390"/>
      <c r="S1109" s="390"/>
      <c r="T1109" s="391"/>
      <c r="U1109" s="392"/>
      <c r="V1109" s="391"/>
      <c r="W1109" s="391"/>
      <c r="X1109" s="388"/>
      <c r="Y1109" s="391"/>
      <c r="Z1109" s="393"/>
      <c r="AA1109" s="355" t="str">
        <f t="shared" si="1"/>
        <v/>
      </c>
      <c r="AB1109" s="391"/>
      <c r="AC1109" s="394" t="str">
        <f t="shared" si="2"/>
        <v/>
      </c>
      <c r="AD1109" s="389"/>
      <c r="AE1109" s="399"/>
      <c r="AF1109" s="395"/>
      <c r="AG1109" s="396" t="str">
        <f t="shared" si="3"/>
        <v/>
      </c>
      <c r="AH1109" s="396" t="str">
        <f t="shared" si="4"/>
        <v/>
      </c>
      <c r="AI1109" s="388"/>
      <c r="AJ1109" s="388"/>
      <c r="AK1109" s="397"/>
    </row>
    <row r="1110">
      <c r="A1110" s="398"/>
      <c r="B1110" s="386"/>
      <c r="C1110" s="387" t="str">
        <f>IF(A1110="","",IFERROR(IF(VLOOKUP(A1110,'1. Inbound Leads'!A:G,7,FALSE)=0,"",VLOOKUP(A1110,'1. Inbound Leads'!A:G,7,FALSE)),""))</f>
        <v/>
      </c>
      <c r="D1110" s="387" t="str">
        <f>IF(A1110="","",IFERROR(IF(VLOOKUP(A1110,'1. Inbound Leads'!A:L,12,FALSE)=0,"",VLOOKUP(A1110,'1. Inbound Leads'!A:L,12,FALSE)),""))</f>
        <v/>
      </c>
      <c r="E1110" s="388"/>
      <c r="F1110" s="389"/>
      <c r="G1110" s="387"/>
      <c r="H1110" s="387"/>
      <c r="I1110" s="387"/>
      <c r="J1110" s="387"/>
      <c r="K1110" s="387"/>
      <c r="L1110" s="387"/>
      <c r="M1110" s="388"/>
      <c r="N1110" s="388"/>
      <c r="O1110" s="390"/>
      <c r="P1110" s="391"/>
      <c r="Q1110" s="389"/>
      <c r="R1110" s="390"/>
      <c r="S1110" s="390"/>
      <c r="T1110" s="391"/>
      <c r="U1110" s="392"/>
      <c r="V1110" s="391"/>
      <c r="W1110" s="391"/>
      <c r="X1110" s="388"/>
      <c r="Y1110" s="391"/>
      <c r="Z1110" s="393"/>
      <c r="AA1110" s="355" t="str">
        <f t="shared" si="1"/>
        <v/>
      </c>
      <c r="AB1110" s="391"/>
      <c r="AC1110" s="394" t="str">
        <f t="shared" si="2"/>
        <v/>
      </c>
      <c r="AD1110" s="389"/>
      <c r="AE1110" s="399"/>
      <c r="AF1110" s="395"/>
      <c r="AG1110" s="396" t="str">
        <f t="shared" si="3"/>
        <v/>
      </c>
      <c r="AH1110" s="396" t="str">
        <f t="shared" si="4"/>
        <v/>
      </c>
      <c r="AI1110" s="388"/>
      <c r="AJ1110" s="388"/>
      <c r="AK1110" s="397"/>
    </row>
    <row r="1111">
      <c r="A1111" s="398"/>
      <c r="B1111" s="386"/>
      <c r="C1111" s="387" t="str">
        <f>IF(A1111="","",IFERROR(IF(VLOOKUP(A1111,'1. Inbound Leads'!A:G,7,FALSE)=0,"",VLOOKUP(A1111,'1. Inbound Leads'!A:G,7,FALSE)),""))</f>
        <v/>
      </c>
      <c r="D1111" s="387" t="str">
        <f>IF(A1111="","",IFERROR(IF(VLOOKUP(A1111,'1. Inbound Leads'!A:L,12,FALSE)=0,"",VLOOKUP(A1111,'1. Inbound Leads'!A:L,12,FALSE)),""))</f>
        <v/>
      </c>
      <c r="E1111" s="388"/>
      <c r="F1111" s="389"/>
      <c r="G1111" s="387"/>
      <c r="H1111" s="387"/>
      <c r="I1111" s="387"/>
      <c r="J1111" s="387"/>
      <c r="K1111" s="387"/>
      <c r="L1111" s="387"/>
      <c r="M1111" s="388"/>
      <c r="N1111" s="388"/>
      <c r="O1111" s="390"/>
      <c r="P1111" s="391"/>
      <c r="Q1111" s="389"/>
      <c r="R1111" s="390"/>
      <c r="S1111" s="390"/>
      <c r="T1111" s="391"/>
      <c r="U1111" s="392"/>
      <c r="V1111" s="391"/>
      <c r="W1111" s="391"/>
      <c r="X1111" s="388"/>
      <c r="Y1111" s="391"/>
      <c r="Z1111" s="393"/>
      <c r="AA1111" s="355" t="str">
        <f t="shared" si="1"/>
        <v/>
      </c>
      <c r="AB1111" s="391"/>
      <c r="AC1111" s="394" t="str">
        <f t="shared" si="2"/>
        <v/>
      </c>
      <c r="AD1111" s="389"/>
      <c r="AE1111" s="399"/>
      <c r="AF1111" s="395"/>
      <c r="AG1111" s="396" t="str">
        <f t="shared" si="3"/>
        <v/>
      </c>
      <c r="AH1111" s="396" t="str">
        <f t="shared" si="4"/>
        <v/>
      </c>
      <c r="AI1111" s="388"/>
      <c r="AJ1111" s="388"/>
      <c r="AK1111" s="397"/>
    </row>
    <row r="1112">
      <c r="A1112" s="398"/>
      <c r="B1112" s="386"/>
      <c r="C1112" s="387" t="str">
        <f>IF(A1112="","",IFERROR(IF(VLOOKUP(A1112,'1. Inbound Leads'!A:G,7,FALSE)=0,"",VLOOKUP(A1112,'1. Inbound Leads'!A:G,7,FALSE)),""))</f>
        <v/>
      </c>
      <c r="D1112" s="387" t="str">
        <f>IF(A1112="","",IFERROR(IF(VLOOKUP(A1112,'1. Inbound Leads'!A:L,12,FALSE)=0,"",VLOOKUP(A1112,'1. Inbound Leads'!A:L,12,FALSE)),""))</f>
        <v/>
      </c>
      <c r="E1112" s="388"/>
      <c r="F1112" s="389"/>
      <c r="G1112" s="387"/>
      <c r="H1112" s="387"/>
      <c r="I1112" s="387"/>
      <c r="J1112" s="387"/>
      <c r="K1112" s="387"/>
      <c r="L1112" s="387"/>
      <c r="M1112" s="388"/>
      <c r="N1112" s="388"/>
      <c r="O1112" s="390"/>
      <c r="P1112" s="391"/>
      <c r="Q1112" s="389"/>
      <c r="R1112" s="390"/>
      <c r="S1112" s="390"/>
      <c r="T1112" s="391"/>
      <c r="U1112" s="392"/>
      <c r="V1112" s="391"/>
      <c r="W1112" s="391"/>
      <c r="X1112" s="388"/>
      <c r="Y1112" s="391"/>
      <c r="Z1112" s="393"/>
      <c r="AA1112" s="355" t="str">
        <f t="shared" si="1"/>
        <v/>
      </c>
      <c r="AB1112" s="391"/>
      <c r="AC1112" s="394" t="str">
        <f t="shared" si="2"/>
        <v/>
      </c>
      <c r="AD1112" s="389"/>
      <c r="AE1112" s="399"/>
      <c r="AF1112" s="395"/>
      <c r="AG1112" s="396" t="str">
        <f t="shared" si="3"/>
        <v/>
      </c>
      <c r="AH1112" s="396" t="str">
        <f t="shared" si="4"/>
        <v/>
      </c>
      <c r="AI1112" s="388"/>
      <c r="AJ1112" s="388"/>
      <c r="AK1112" s="397"/>
    </row>
    <row r="1113">
      <c r="A1113" s="398"/>
      <c r="B1113" s="386"/>
      <c r="C1113" s="387" t="str">
        <f>IF(A1113="","",IFERROR(IF(VLOOKUP(A1113,'1. Inbound Leads'!A:G,7,FALSE)=0,"",VLOOKUP(A1113,'1. Inbound Leads'!A:G,7,FALSE)),""))</f>
        <v/>
      </c>
      <c r="D1113" s="387" t="str">
        <f>IF(A1113="","",IFERROR(IF(VLOOKUP(A1113,'1. Inbound Leads'!A:L,12,FALSE)=0,"",VLOOKUP(A1113,'1. Inbound Leads'!A:L,12,FALSE)),""))</f>
        <v/>
      </c>
      <c r="E1113" s="388"/>
      <c r="F1113" s="389"/>
      <c r="G1113" s="387"/>
      <c r="H1113" s="387"/>
      <c r="I1113" s="387"/>
      <c r="J1113" s="387"/>
      <c r="K1113" s="387"/>
      <c r="L1113" s="387"/>
      <c r="M1113" s="388"/>
      <c r="N1113" s="388"/>
      <c r="O1113" s="390"/>
      <c r="P1113" s="391"/>
      <c r="Q1113" s="389"/>
      <c r="R1113" s="390"/>
      <c r="S1113" s="390"/>
      <c r="T1113" s="391"/>
      <c r="U1113" s="392"/>
      <c r="V1113" s="391"/>
      <c r="W1113" s="391"/>
      <c r="X1113" s="388"/>
      <c r="Y1113" s="391"/>
      <c r="Z1113" s="393"/>
      <c r="AA1113" s="355" t="str">
        <f t="shared" si="1"/>
        <v/>
      </c>
      <c r="AB1113" s="391"/>
      <c r="AC1113" s="394" t="str">
        <f t="shared" si="2"/>
        <v/>
      </c>
      <c r="AD1113" s="389"/>
      <c r="AE1113" s="399"/>
      <c r="AF1113" s="395"/>
      <c r="AG1113" s="396" t="str">
        <f t="shared" si="3"/>
        <v/>
      </c>
      <c r="AH1113" s="396" t="str">
        <f t="shared" si="4"/>
        <v/>
      </c>
      <c r="AI1113" s="388"/>
      <c r="AJ1113" s="388"/>
      <c r="AK1113" s="397"/>
    </row>
    <row r="1114">
      <c r="A1114" s="398"/>
      <c r="B1114" s="386"/>
      <c r="C1114" s="387" t="str">
        <f>IF(A1114="","",IFERROR(IF(VLOOKUP(A1114,'1. Inbound Leads'!A:G,7,FALSE)=0,"",VLOOKUP(A1114,'1. Inbound Leads'!A:G,7,FALSE)),""))</f>
        <v/>
      </c>
      <c r="D1114" s="387" t="str">
        <f>IF(A1114="","",IFERROR(IF(VLOOKUP(A1114,'1. Inbound Leads'!A:L,12,FALSE)=0,"",VLOOKUP(A1114,'1. Inbound Leads'!A:L,12,FALSE)),""))</f>
        <v/>
      </c>
      <c r="E1114" s="388"/>
      <c r="F1114" s="389"/>
      <c r="G1114" s="387"/>
      <c r="H1114" s="387"/>
      <c r="I1114" s="387"/>
      <c r="J1114" s="387"/>
      <c r="K1114" s="387"/>
      <c r="L1114" s="387"/>
      <c r="M1114" s="388"/>
      <c r="N1114" s="388"/>
      <c r="O1114" s="390"/>
      <c r="P1114" s="391"/>
      <c r="Q1114" s="389"/>
      <c r="R1114" s="390"/>
      <c r="S1114" s="390"/>
      <c r="T1114" s="391"/>
      <c r="U1114" s="392"/>
      <c r="V1114" s="391"/>
      <c r="W1114" s="391"/>
      <c r="X1114" s="388"/>
      <c r="Y1114" s="391"/>
      <c r="Z1114" s="393"/>
      <c r="AA1114" s="355" t="str">
        <f t="shared" si="1"/>
        <v/>
      </c>
      <c r="AB1114" s="391"/>
      <c r="AC1114" s="394" t="str">
        <f t="shared" si="2"/>
        <v/>
      </c>
      <c r="AD1114" s="389"/>
      <c r="AE1114" s="399"/>
      <c r="AF1114" s="395"/>
      <c r="AG1114" s="396" t="str">
        <f t="shared" si="3"/>
        <v/>
      </c>
      <c r="AH1114" s="396" t="str">
        <f t="shared" si="4"/>
        <v/>
      </c>
      <c r="AI1114" s="388"/>
      <c r="AJ1114" s="388"/>
      <c r="AK1114" s="397"/>
    </row>
    <row r="1115">
      <c r="A1115" s="398"/>
      <c r="B1115" s="386"/>
      <c r="C1115" s="387" t="str">
        <f>IF(A1115="","",IFERROR(IF(VLOOKUP(A1115,'1. Inbound Leads'!A:G,7,FALSE)=0,"",VLOOKUP(A1115,'1. Inbound Leads'!A:G,7,FALSE)),""))</f>
        <v/>
      </c>
      <c r="D1115" s="387" t="str">
        <f>IF(A1115="","",IFERROR(IF(VLOOKUP(A1115,'1. Inbound Leads'!A:L,12,FALSE)=0,"",VLOOKUP(A1115,'1. Inbound Leads'!A:L,12,FALSE)),""))</f>
        <v/>
      </c>
      <c r="E1115" s="388"/>
      <c r="F1115" s="389"/>
      <c r="G1115" s="387"/>
      <c r="H1115" s="387"/>
      <c r="I1115" s="387"/>
      <c r="J1115" s="387"/>
      <c r="K1115" s="387"/>
      <c r="L1115" s="387"/>
      <c r="M1115" s="388"/>
      <c r="N1115" s="388"/>
      <c r="O1115" s="390"/>
      <c r="P1115" s="391"/>
      <c r="Q1115" s="389"/>
      <c r="R1115" s="390"/>
      <c r="S1115" s="390"/>
      <c r="T1115" s="391"/>
      <c r="U1115" s="392"/>
      <c r="V1115" s="391"/>
      <c r="W1115" s="391"/>
      <c r="X1115" s="388"/>
      <c r="Y1115" s="391"/>
      <c r="Z1115" s="393"/>
      <c r="AA1115" s="355" t="str">
        <f t="shared" si="1"/>
        <v/>
      </c>
      <c r="AB1115" s="391"/>
      <c r="AC1115" s="394" t="str">
        <f t="shared" si="2"/>
        <v/>
      </c>
      <c r="AD1115" s="389"/>
      <c r="AE1115" s="399"/>
      <c r="AF1115" s="395"/>
      <c r="AG1115" s="396" t="str">
        <f t="shared" si="3"/>
        <v/>
      </c>
      <c r="AH1115" s="396" t="str">
        <f t="shared" si="4"/>
        <v/>
      </c>
      <c r="AI1115" s="388"/>
      <c r="AJ1115" s="388"/>
      <c r="AK1115" s="397"/>
    </row>
    <row r="1116">
      <c r="A1116" s="398"/>
      <c r="B1116" s="386"/>
      <c r="C1116" s="387" t="str">
        <f>IF(A1116="","",IFERROR(IF(VLOOKUP(A1116,'1. Inbound Leads'!A:G,7,FALSE)=0,"",VLOOKUP(A1116,'1. Inbound Leads'!A:G,7,FALSE)),""))</f>
        <v/>
      </c>
      <c r="D1116" s="387" t="str">
        <f>IF(A1116="","",IFERROR(IF(VLOOKUP(A1116,'1. Inbound Leads'!A:L,12,FALSE)=0,"",VLOOKUP(A1116,'1. Inbound Leads'!A:L,12,FALSE)),""))</f>
        <v/>
      </c>
      <c r="E1116" s="388"/>
      <c r="F1116" s="389"/>
      <c r="G1116" s="387"/>
      <c r="H1116" s="387"/>
      <c r="I1116" s="387"/>
      <c r="J1116" s="387"/>
      <c r="K1116" s="387"/>
      <c r="L1116" s="387"/>
      <c r="M1116" s="388"/>
      <c r="N1116" s="388"/>
      <c r="O1116" s="390"/>
      <c r="P1116" s="391"/>
      <c r="Q1116" s="389"/>
      <c r="R1116" s="390"/>
      <c r="S1116" s="390"/>
      <c r="T1116" s="391"/>
      <c r="U1116" s="392"/>
      <c r="V1116" s="391"/>
      <c r="W1116" s="391"/>
      <c r="X1116" s="388"/>
      <c r="Y1116" s="391"/>
      <c r="Z1116" s="393"/>
      <c r="AA1116" s="355" t="str">
        <f t="shared" si="1"/>
        <v/>
      </c>
      <c r="AB1116" s="391"/>
      <c r="AC1116" s="394" t="str">
        <f t="shared" si="2"/>
        <v/>
      </c>
      <c r="AD1116" s="389"/>
      <c r="AE1116" s="399"/>
      <c r="AF1116" s="395"/>
      <c r="AG1116" s="396" t="str">
        <f t="shared" si="3"/>
        <v/>
      </c>
      <c r="AH1116" s="396" t="str">
        <f t="shared" si="4"/>
        <v/>
      </c>
      <c r="AI1116" s="388"/>
      <c r="AJ1116" s="388"/>
      <c r="AK1116" s="397"/>
    </row>
    <row r="1117">
      <c r="A1117" s="398"/>
      <c r="B1117" s="386"/>
      <c r="C1117" s="387" t="str">
        <f>IF(A1117="","",IFERROR(IF(VLOOKUP(A1117,'1. Inbound Leads'!A:G,7,FALSE)=0,"",VLOOKUP(A1117,'1. Inbound Leads'!A:G,7,FALSE)),""))</f>
        <v/>
      </c>
      <c r="D1117" s="387" t="str">
        <f>IF(A1117="","",IFERROR(IF(VLOOKUP(A1117,'1. Inbound Leads'!A:L,12,FALSE)=0,"",VLOOKUP(A1117,'1. Inbound Leads'!A:L,12,FALSE)),""))</f>
        <v/>
      </c>
      <c r="E1117" s="388"/>
      <c r="F1117" s="389"/>
      <c r="G1117" s="387"/>
      <c r="H1117" s="387"/>
      <c r="I1117" s="387"/>
      <c r="J1117" s="387"/>
      <c r="K1117" s="387"/>
      <c r="L1117" s="387"/>
      <c r="M1117" s="388"/>
      <c r="N1117" s="388"/>
      <c r="O1117" s="390"/>
      <c r="P1117" s="391"/>
      <c r="Q1117" s="389"/>
      <c r="R1117" s="390"/>
      <c r="S1117" s="390"/>
      <c r="T1117" s="391"/>
      <c r="U1117" s="392"/>
      <c r="V1117" s="391"/>
      <c r="W1117" s="391"/>
      <c r="X1117" s="388"/>
      <c r="Y1117" s="391"/>
      <c r="Z1117" s="393"/>
      <c r="AA1117" s="355" t="str">
        <f t="shared" si="1"/>
        <v/>
      </c>
      <c r="AB1117" s="391"/>
      <c r="AC1117" s="394" t="str">
        <f t="shared" si="2"/>
        <v/>
      </c>
      <c r="AD1117" s="389"/>
      <c r="AE1117" s="399"/>
      <c r="AF1117" s="395"/>
      <c r="AG1117" s="396" t="str">
        <f t="shared" si="3"/>
        <v/>
      </c>
      <c r="AH1117" s="396" t="str">
        <f t="shared" si="4"/>
        <v/>
      </c>
      <c r="AI1117" s="388"/>
      <c r="AJ1117" s="388"/>
      <c r="AK1117" s="397"/>
    </row>
    <row r="1118">
      <c r="A1118" s="398"/>
      <c r="B1118" s="386"/>
      <c r="C1118" s="387" t="str">
        <f>IF(A1118="","",IFERROR(IF(VLOOKUP(A1118,'1. Inbound Leads'!A:G,7,FALSE)=0,"",VLOOKUP(A1118,'1. Inbound Leads'!A:G,7,FALSE)),""))</f>
        <v/>
      </c>
      <c r="D1118" s="387" t="str">
        <f>IF(A1118="","",IFERROR(IF(VLOOKUP(A1118,'1. Inbound Leads'!A:L,12,FALSE)=0,"",VLOOKUP(A1118,'1. Inbound Leads'!A:L,12,FALSE)),""))</f>
        <v/>
      </c>
      <c r="E1118" s="388"/>
      <c r="F1118" s="389"/>
      <c r="G1118" s="387"/>
      <c r="H1118" s="387"/>
      <c r="I1118" s="387"/>
      <c r="J1118" s="387"/>
      <c r="K1118" s="387"/>
      <c r="L1118" s="387"/>
      <c r="M1118" s="388"/>
      <c r="N1118" s="388"/>
      <c r="O1118" s="390"/>
      <c r="P1118" s="391"/>
      <c r="Q1118" s="389"/>
      <c r="R1118" s="390"/>
      <c r="S1118" s="390"/>
      <c r="T1118" s="391"/>
      <c r="U1118" s="392"/>
      <c r="V1118" s="391"/>
      <c r="W1118" s="391"/>
      <c r="X1118" s="388"/>
      <c r="Y1118" s="391"/>
      <c r="Z1118" s="393"/>
      <c r="AA1118" s="355" t="str">
        <f t="shared" si="1"/>
        <v/>
      </c>
      <c r="AB1118" s="391"/>
      <c r="AC1118" s="394" t="str">
        <f t="shared" si="2"/>
        <v/>
      </c>
      <c r="AD1118" s="389"/>
      <c r="AE1118" s="399"/>
      <c r="AF1118" s="395"/>
      <c r="AG1118" s="396" t="str">
        <f t="shared" si="3"/>
        <v/>
      </c>
      <c r="AH1118" s="396" t="str">
        <f t="shared" si="4"/>
        <v/>
      </c>
      <c r="AI1118" s="388"/>
      <c r="AJ1118" s="388"/>
      <c r="AK1118" s="397"/>
    </row>
    <row r="1119">
      <c r="A1119" s="398"/>
      <c r="B1119" s="386"/>
      <c r="C1119" s="387" t="str">
        <f>IF(A1119="","",IFERROR(IF(VLOOKUP(A1119,'1. Inbound Leads'!A:G,7,FALSE)=0,"",VLOOKUP(A1119,'1. Inbound Leads'!A:G,7,FALSE)),""))</f>
        <v/>
      </c>
      <c r="D1119" s="387" t="str">
        <f>IF(A1119="","",IFERROR(IF(VLOOKUP(A1119,'1. Inbound Leads'!A:L,12,FALSE)=0,"",VLOOKUP(A1119,'1. Inbound Leads'!A:L,12,FALSE)),""))</f>
        <v/>
      </c>
      <c r="E1119" s="388"/>
      <c r="F1119" s="389"/>
      <c r="G1119" s="387"/>
      <c r="H1119" s="387"/>
      <c r="I1119" s="387"/>
      <c r="J1119" s="387"/>
      <c r="K1119" s="387"/>
      <c r="L1119" s="387"/>
      <c r="M1119" s="388"/>
      <c r="N1119" s="388"/>
      <c r="O1119" s="390"/>
      <c r="P1119" s="391"/>
      <c r="Q1119" s="389"/>
      <c r="R1119" s="390"/>
      <c r="S1119" s="390"/>
      <c r="T1119" s="391"/>
      <c r="U1119" s="392"/>
      <c r="V1119" s="391"/>
      <c r="W1119" s="391"/>
      <c r="X1119" s="388"/>
      <c r="Y1119" s="391"/>
      <c r="Z1119" s="393"/>
      <c r="AA1119" s="355" t="str">
        <f t="shared" si="1"/>
        <v/>
      </c>
      <c r="AB1119" s="391"/>
      <c r="AC1119" s="394" t="str">
        <f t="shared" si="2"/>
        <v/>
      </c>
      <c r="AD1119" s="389"/>
      <c r="AE1119" s="399"/>
      <c r="AF1119" s="395"/>
      <c r="AG1119" s="396" t="str">
        <f t="shared" si="3"/>
        <v/>
      </c>
      <c r="AH1119" s="396" t="str">
        <f t="shared" si="4"/>
        <v/>
      </c>
      <c r="AI1119" s="388"/>
      <c r="AJ1119" s="388"/>
      <c r="AK1119" s="397"/>
    </row>
    <row r="1120">
      <c r="A1120" s="398"/>
      <c r="B1120" s="386"/>
      <c r="C1120" s="387" t="str">
        <f>IF(A1120="","",IFERROR(IF(VLOOKUP(A1120,'1. Inbound Leads'!A:G,7,FALSE)=0,"",VLOOKUP(A1120,'1. Inbound Leads'!A:G,7,FALSE)),""))</f>
        <v/>
      </c>
      <c r="D1120" s="387" t="str">
        <f>IF(A1120="","",IFERROR(IF(VLOOKUP(A1120,'1. Inbound Leads'!A:L,12,FALSE)=0,"",VLOOKUP(A1120,'1. Inbound Leads'!A:L,12,FALSE)),""))</f>
        <v/>
      </c>
      <c r="E1120" s="388"/>
      <c r="F1120" s="389"/>
      <c r="G1120" s="387"/>
      <c r="H1120" s="387"/>
      <c r="I1120" s="387"/>
      <c r="J1120" s="387"/>
      <c r="K1120" s="387"/>
      <c r="L1120" s="387"/>
      <c r="M1120" s="388"/>
      <c r="N1120" s="388"/>
      <c r="O1120" s="390"/>
      <c r="P1120" s="391"/>
      <c r="Q1120" s="389"/>
      <c r="R1120" s="390"/>
      <c r="S1120" s="390"/>
      <c r="T1120" s="391"/>
      <c r="U1120" s="392"/>
      <c r="V1120" s="391"/>
      <c r="W1120" s="391"/>
      <c r="X1120" s="388"/>
      <c r="Y1120" s="391"/>
      <c r="Z1120" s="393"/>
      <c r="AA1120" s="355" t="str">
        <f t="shared" si="1"/>
        <v/>
      </c>
      <c r="AB1120" s="391"/>
      <c r="AC1120" s="394" t="str">
        <f t="shared" si="2"/>
        <v/>
      </c>
      <c r="AD1120" s="389"/>
      <c r="AE1120" s="399"/>
      <c r="AF1120" s="395"/>
      <c r="AG1120" s="396" t="str">
        <f t="shared" si="3"/>
        <v/>
      </c>
      <c r="AH1120" s="396" t="str">
        <f t="shared" si="4"/>
        <v/>
      </c>
      <c r="AI1120" s="388"/>
      <c r="AJ1120" s="388"/>
      <c r="AK1120" s="397"/>
    </row>
    <row r="1121">
      <c r="A1121" s="398"/>
      <c r="B1121" s="386"/>
      <c r="C1121" s="387" t="str">
        <f>IF(A1121="","",IFERROR(IF(VLOOKUP(A1121,'1. Inbound Leads'!A:G,7,FALSE)=0,"",VLOOKUP(A1121,'1. Inbound Leads'!A:G,7,FALSE)),""))</f>
        <v/>
      </c>
      <c r="D1121" s="387" t="str">
        <f>IF(A1121="","",IFERROR(IF(VLOOKUP(A1121,'1. Inbound Leads'!A:L,12,FALSE)=0,"",VLOOKUP(A1121,'1. Inbound Leads'!A:L,12,FALSE)),""))</f>
        <v/>
      </c>
      <c r="E1121" s="388"/>
      <c r="F1121" s="389"/>
      <c r="G1121" s="387"/>
      <c r="H1121" s="387"/>
      <c r="I1121" s="387"/>
      <c r="J1121" s="387"/>
      <c r="K1121" s="387"/>
      <c r="L1121" s="387"/>
      <c r="M1121" s="388"/>
      <c r="N1121" s="388"/>
      <c r="O1121" s="390"/>
      <c r="P1121" s="391"/>
      <c r="Q1121" s="389"/>
      <c r="R1121" s="390"/>
      <c r="S1121" s="390"/>
      <c r="T1121" s="391"/>
      <c r="U1121" s="392"/>
      <c r="V1121" s="391"/>
      <c r="W1121" s="391"/>
      <c r="X1121" s="388"/>
      <c r="Y1121" s="391"/>
      <c r="Z1121" s="393"/>
      <c r="AA1121" s="355" t="str">
        <f t="shared" si="1"/>
        <v/>
      </c>
      <c r="AB1121" s="391"/>
      <c r="AC1121" s="394" t="str">
        <f t="shared" si="2"/>
        <v/>
      </c>
      <c r="AD1121" s="389"/>
      <c r="AE1121" s="399"/>
      <c r="AF1121" s="395"/>
      <c r="AG1121" s="396" t="str">
        <f t="shared" si="3"/>
        <v/>
      </c>
      <c r="AH1121" s="396" t="str">
        <f t="shared" si="4"/>
        <v/>
      </c>
      <c r="AI1121" s="388"/>
      <c r="AJ1121" s="388"/>
      <c r="AK1121" s="397"/>
    </row>
    <row r="1122">
      <c r="A1122" s="398"/>
      <c r="B1122" s="386"/>
      <c r="C1122" s="387" t="str">
        <f>IF(A1122="","",IFERROR(IF(VLOOKUP(A1122,'1. Inbound Leads'!A:G,7,FALSE)=0,"",VLOOKUP(A1122,'1. Inbound Leads'!A:G,7,FALSE)),""))</f>
        <v/>
      </c>
      <c r="D1122" s="387" t="str">
        <f>IF(A1122="","",IFERROR(IF(VLOOKUP(A1122,'1. Inbound Leads'!A:L,12,FALSE)=0,"",VLOOKUP(A1122,'1. Inbound Leads'!A:L,12,FALSE)),""))</f>
        <v/>
      </c>
      <c r="E1122" s="388"/>
      <c r="F1122" s="389"/>
      <c r="G1122" s="387"/>
      <c r="H1122" s="387"/>
      <c r="I1122" s="387"/>
      <c r="J1122" s="387"/>
      <c r="K1122" s="387"/>
      <c r="L1122" s="387"/>
      <c r="M1122" s="388"/>
      <c r="N1122" s="388"/>
      <c r="O1122" s="390"/>
      <c r="P1122" s="391"/>
      <c r="Q1122" s="389"/>
      <c r="R1122" s="390"/>
      <c r="S1122" s="390"/>
      <c r="T1122" s="391"/>
      <c r="U1122" s="392"/>
      <c r="V1122" s="391"/>
      <c r="W1122" s="391"/>
      <c r="X1122" s="388"/>
      <c r="Y1122" s="391"/>
      <c r="Z1122" s="393"/>
      <c r="AA1122" s="355" t="str">
        <f t="shared" si="1"/>
        <v/>
      </c>
      <c r="AB1122" s="391"/>
      <c r="AC1122" s="394" t="str">
        <f t="shared" si="2"/>
        <v/>
      </c>
      <c r="AD1122" s="389"/>
      <c r="AE1122" s="399"/>
      <c r="AF1122" s="395"/>
      <c r="AG1122" s="396" t="str">
        <f t="shared" si="3"/>
        <v/>
      </c>
      <c r="AH1122" s="396" t="str">
        <f t="shared" si="4"/>
        <v/>
      </c>
      <c r="AI1122" s="388"/>
      <c r="AJ1122" s="388"/>
      <c r="AK1122" s="397"/>
    </row>
    <row r="1123">
      <c r="A1123" s="398"/>
      <c r="B1123" s="386"/>
      <c r="C1123" s="387" t="str">
        <f>IF(A1123="","",IFERROR(IF(VLOOKUP(A1123,'1. Inbound Leads'!A:G,7,FALSE)=0,"",VLOOKUP(A1123,'1. Inbound Leads'!A:G,7,FALSE)),""))</f>
        <v/>
      </c>
      <c r="D1123" s="387" t="str">
        <f>IF(A1123="","",IFERROR(IF(VLOOKUP(A1123,'1. Inbound Leads'!A:L,12,FALSE)=0,"",VLOOKUP(A1123,'1. Inbound Leads'!A:L,12,FALSE)),""))</f>
        <v/>
      </c>
      <c r="E1123" s="388"/>
      <c r="F1123" s="389"/>
      <c r="G1123" s="387"/>
      <c r="H1123" s="387"/>
      <c r="I1123" s="387"/>
      <c r="J1123" s="387"/>
      <c r="K1123" s="387"/>
      <c r="L1123" s="387"/>
      <c r="M1123" s="388"/>
      <c r="N1123" s="388"/>
      <c r="O1123" s="390"/>
      <c r="P1123" s="391"/>
      <c r="Q1123" s="389"/>
      <c r="R1123" s="390"/>
      <c r="S1123" s="390"/>
      <c r="T1123" s="391"/>
      <c r="U1123" s="392"/>
      <c r="V1123" s="391"/>
      <c r="W1123" s="391"/>
      <c r="X1123" s="388"/>
      <c r="Y1123" s="391"/>
      <c r="Z1123" s="393"/>
      <c r="AA1123" s="355" t="str">
        <f t="shared" si="1"/>
        <v/>
      </c>
      <c r="AB1123" s="391"/>
      <c r="AC1123" s="394" t="str">
        <f t="shared" si="2"/>
        <v/>
      </c>
      <c r="AD1123" s="389"/>
      <c r="AE1123" s="399"/>
      <c r="AF1123" s="395"/>
      <c r="AG1123" s="396" t="str">
        <f t="shared" si="3"/>
        <v/>
      </c>
      <c r="AH1123" s="396" t="str">
        <f t="shared" si="4"/>
        <v/>
      </c>
      <c r="AI1123" s="388"/>
      <c r="AJ1123" s="388"/>
      <c r="AK1123" s="397"/>
    </row>
    <row r="1124">
      <c r="A1124" s="398"/>
      <c r="B1124" s="386"/>
      <c r="C1124" s="387" t="str">
        <f>IF(A1124="","",IFERROR(IF(VLOOKUP(A1124,'1. Inbound Leads'!A:G,7,FALSE)=0,"",VLOOKUP(A1124,'1. Inbound Leads'!A:G,7,FALSE)),""))</f>
        <v/>
      </c>
      <c r="D1124" s="387" t="str">
        <f>IF(A1124="","",IFERROR(IF(VLOOKUP(A1124,'1. Inbound Leads'!A:L,12,FALSE)=0,"",VLOOKUP(A1124,'1. Inbound Leads'!A:L,12,FALSE)),""))</f>
        <v/>
      </c>
      <c r="E1124" s="388"/>
      <c r="F1124" s="389"/>
      <c r="G1124" s="387"/>
      <c r="H1124" s="387"/>
      <c r="I1124" s="387"/>
      <c r="J1124" s="387"/>
      <c r="K1124" s="387"/>
      <c r="L1124" s="387"/>
      <c r="M1124" s="388"/>
      <c r="N1124" s="388"/>
      <c r="O1124" s="390"/>
      <c r="P1124" s="391"/>
      <c r="Q1124" s="389"/>
      <c r="R1124" s="390"/>
      <c r="S1124" s="390"/>
      <c r="T1124" s="391"/>
      <c r="U1124" s="392"/>
      <c r="V1124" s="391"/>
      <c r="W1124" s="391"/>
      <c r="X1124" s="388"/>
      <c r="Y1124" s="391"/>
      <c r="Z1124" s="393"/>
      <c r="AA1124" s="355" t="str">
        <f t="shared" si="1"/>
        <v/>
      </c>
      <c r="AB1124" s="391"/>
      <c r="AC1124" s="394" t="str">
        <f t="shared" si="2"/>
        <v/>
      </c>
      <c r="AD1124" s="389"/>
      <c r="AE1124" s="399"/>
      <c r="AF1124" s="395"/>
      <c r="AG1124" s="396" t="str">
        <f t="shared" si="3"/>
        <v/>
      </c>
      <c r="AH1124" s="396" t="str">
        <f t="shared" si="4"/>
        <v/>
      </c>
      <c r="AI1124" s="388"/>
      <c r="AJ1124" s="388"/>
      <c r="AK1124" s="397"/>
    </row>
    <row r="1125">
      <c r="A1125" s="398"/>
      <c r="B1125" s="386"/>
      <c r="C1125" s="387" t="str">
        <f>IF(A1125="","",IFERROR(IF(VLOOKUP(A1125,'1. Inbound Leads'!A:G,7,FALSE)=0,"",VLOOKUP(A1125,'1. Inbound Leads'!A:G,7,FALSE)),""))</f>
        <v/>
      </c>
      <c r="D1125" s="387" t="str">
        <f>IF(A1125="","",IFERROR(IF(VLOOKUP(A1125,'1. Inbound Leads'!A:L,12,FALSE)=0,"",VLOOKUP(A1125,'1. Inbound Leads'!A:L,12,FALSE)),""))</f>
        <v/>
      </c>
      <c r="E1125" s="388"/>
      <c r="F1125" s="389"/>
      <c r="G1125" s="387"/>
      <c r="H1125" s="387"/>
      <c r="I1125" s="387"/>
      <c r="J1125" s="387"/>
      <c r="K1125" s="387"/>
      <c r="L1125" s="387"/>
      <c r="M1125" s="388"/>
      <c r="N1125" s="388"/>
      <c r="O1125" s="390"/>
      <c r="P1125" s="391"/>
      <c r="Q1125" s="389"/>
      <c r="R1125" s="390"/>
      <c r="S1125" s="390"/>
      <c r="T1125" s="391"/>
      <c r="U1125" s="392"/>
      <c r="V1125" s="391"/>
      <c r="W1125" s="391"/>
      <c r="X1125" s="388"/>
      <c r="Y1125" s="391"/>
      <c r="Z1125" s="393"/>
      <c r="AA1125" s="355" t="str">
        <f t="shared" si="1"/>
        <v/>
      </c>
      <c r="AB1125" s="391"/>
      <c r="AC1125" s="394" t="str">
        <f t="shared" si="2"/>
        <v/>
      </c>
      <c r="AD1125" s="389"/>
      <c r="AE1125" s="399"/>
      <c r="AF1125" s="395"/>
      <c r="AG1125" s="396" t="str">
        <f t="shared" si="3"/>
        <v/>
      </c>
      <c r="AH1125" s="396" t="str">
        <f t="shared" si="4"/>
        <v/>
      </c>
      <c r="AI1125" s="388"/>
      <c r="AJ1125" s="388"/>
      <c r="AK1125" s="397"/>
    </row>
    <row r="1126">
      <c r="A1126" s="398"/>
      <c r="B1126" s="386"/>
      <c r="C1126" s="387" t="str">
        <f>IF(A1126="","",IFERROR(IF(VLOOKUP(A1126,'1. Inbound Leads'!A:G,7,FALSE)=0,"",VLOOKUP(A1126,'1. Inbound Leads'!A:G,7,FALSE)),""))</f>
        <v/>
      </c>
      <c r="D1126" s="387" t="str">
        <f>IF(A1126="","",IFERROR(IF(VLOOKUP(A1126,'1. Inbound Leads'!A:L,12,FALSE)=0,"",VLOOKUP(A1126,'1. Inbound Leads'!A:L,12,FALSE)),""))</f>
        <v/>
      </c>
      <c r="E1126" s="388"/>
      <c r="F1126" s="389"/>
      <c r="G1126" s="387"/>
      <c r="H1126" s="387"/>
      <c r="I1126" s="387"/>
      <c r="J1126" s="387"/>
      <c r="K1126" s="387"/>
      <c r="L1126" s="387"/>
      <c r="M1126" s="388"/>
      <c r="N1126" s="388"/>
      <c r="O1126" s="390"/>
      <c r="P1126" s="391"/>
      <c r="Q1126" s="389"/>
      <c r="R1126" s="390"/>
      <c r="S1126" s="390"/>
      <c r="T1126" s="391"/>
      <c r="U1126" s="392"/>
      <c r="V1126" s="391"/>
      <c r="W1126" s="391"/>
      <c r="X1126" s="388"/>
      <c r="Y1126" s="391"/>
      <c r="Z1126" s="393"/>
      <c r="AA1126" s="355" t="str">
        <f t="shared" si="1"/>
        <v/>
      </c>
      <c r="AB1126" s="391"/>
      <c r="AC1126" s="394" t="str">
        <f t="shared" si="2"/>
        <v/>
      </c>
      <c r="AD1126" s="389"/>
      <c r="AE1126" s="399"/>
      <c r="AF1126" s="395"/>
      <c r="AG1126" s="396" t="str">
        <f t="shared" si="3"/>
        <v/>
      </c>
      <c r="AH1126" s="396" t="str">
        <f t="shared" si="4"/>
        <v/>
      </c>
      <c r="AI1126" s="388"/>
      <c r="AJ1126" s="388"/>
      <c r="AK1126" s="397"/>
    </row>
    <row r="1127">
      <c r="A1127" s="398"/>
      <c r="B1127" s="386"/>
      <c r="C1127" s="387" t="str">
        <f>IF(A1127="","",IFERROR(IF(VLOOKUP(A1127,'1. Inbound Leads'!A:G,7,FALSE)=0,"",VLOOKUP(A1127,'1. Inbound Leads'!A:G,7,FALSE)),""))</f>
        <v/>
      </c>
      <c r="D1127" s="387" t="str">
        <f>IF(A1127="","",IFERROR(IF(VLOOKUP(A1127,'1. Inbound Leads'!A:L,12,FALSE)=0,"",VLOOKUP(A1127,'1. Inbound Leads'!A:L,12,FALSE)),""))</f>
        <v/>
      </c>
      <c r="E1127" s="388"/>
      <c r="F1127" s="389"/>
      <c r="G1127" s="387"/>
      <c r="H1127" s="387"/>
      <c r="I1127" s="387"/>
      <c r="J1127" s="387"/>
      <c r="K1127" s="387"/>
      <c r="L1127" s="387"/>
      <c r="M1127" s="388"/>
      <c r="N1127" s="388"/>
      <c r="O1127" s="390"/>
      <c r="P1127" s="391"/>
      <c r="Q1127" s="389"/>
      <c r="R1127" s="390"/>
      <c r="S1127" s="390"/>
      <c r="T1127" s="391"/>
      <c r="U1127" s="392"/>
      <c r="V1127" s="391"/>
      <c r="W1127" s="391"/>
      <c r="X1127" s="388"/>
      <c r="Y1127" s="391"/>
      <c r="Z1127" s="393"/>
      <c r="AA1127" s="355" t="str">
        <f t="shared" si="1"/>
        <v/>
      </c>
      <c r="AB1127" s="391"/>
      <c r="AC1127" s="394" t="str">
        <f t="shared" si="2"/>
        <v/>
      </c>
      <c r="AD1127" s="389"/>
      <c r="AE1127" s="399"/>
      <c r="AF1127" s="395"/>
      <c r="AG1127" s="396" t="str">
        <f t="shared" si="3"/>
        <v/>
      </c>
      <c r="AH1127" s="396" t="str">
        <f t="shared" si="4"/>
        <v/>
      </c>
      <c r="AI1127" s="388"/>
      <c r="AJ1127" s="388"/>
      <c r="AK1127" s="397"/>
    </row>
    <row r="1128">
      <c r="A1128" s="398"/>
      <c r="B1128" s="386"/>
      <c r="C1128" s="387" t="str">
        <f>IF(A1128="","",IFERROR(IF(VLOOKUP(A1128,'1. Inbound Leads'!A:G,7,FALSE)=0,"",VLOOKUP(A1128,'1. Inbound Leads'!A:G,7,FALSE)),""))</f>
        <v/>
      </c>
      <c r="D1128" s="387" t="str">
        <f>IF(A1128="","",IFERROR(IF(VLOOKUP(A1128,'1. Inbound Leads'!A:L,12,FALSE)=0,"",VLOOKUP(A1128,'1. Inbound Leads'!A:L,12,FALSE)),""))</f>
        <v/>
      </c>
      <c r="E1128" s="388"/>
      <c r="F1128" s="389"/>
      <c r="G1128" s="387"/>
      <c r="H1128" s="387"/>
      <c r="I1128" s="387"/>
      <c r="J1128" s="387"/>
      <c r="K1128" s="387"/>
      <c r="L1128" s="387"/>
      <c r="M1128" s="388"/>
      <c r="N1128" s="388"/>
      <c r="O1128" s="390"/>
      <c r="P1128" s="391"/>
      <c r="Q1128" s="389"/>
      <c r="R1128" s="390"/>
      <c r="S1128" s="390"/>
      <c r="T1128" s="391"/>
      <c r="U1128" s="392"/>
      <c r="V1128" s="391"/>
      <c r="W1128" s="391"/>
      <c r="X1128" s="388"/>
      <c r="Y1128" s="391"/>
      <c r="Z1128" s="393"/>
      <c r="AA1128" s="355" t="str">
        <f t="shared" si="1"/>
        <v/>
      </c>
      <c r="AB1128" s="391"/>
      <c r="AC1128" s="394" t="str">
        <f t="shared" si="2"/>
        <v/>
      </c>
      <c r="AD1128" s="389"/>
      <c r="AE1128" s="399"/>
      <c r="AF1128" s="395"/>
      <c r="AG1128" s="396" t="str">
        <f t="shared" si="3"/>
        <v/>
      </c>
      <c r="AH1128" s="396" t="str">
        <f t="shared" si="4"/>
        <v/>
      </c>
      <c r="AI1128" s="388"/>
      <c r="AJ1128" s="388"/>
      <c r="AK1128" s="397"/>
    </row>
    <row r="1129">
      <c r="A1129" s="398"/>
      <c r="B1129" s="386"/>
      <c r="C1129" s="387" t="str">
        <f>IF(A1129="","",IFERROR(IF(VLOOKUP(A1129,'1. Inbound Leads'!A:G,7,FALSE)=0,"",VLOOKUP(A1129,'1. Inbound Leads'!A:G,7,FALSE)),""))</f>
        <v/>
      </c>
      <c r="D1129" s="387" t="str">
        <f>IF(A1129="","",IFERROR(IF(VLOOKUP(A1129,'1. Inbound Leads'!A:L,12,FALSE)=0,"",VLOOKUP(A1129,'1. Inbound Leads'!A:L,12,FALSE)),""))</f>
        <v/>
      </c>
      <c r="E1129" s="388"/>
      <c r="F1129" s="389"/>
      <c r="G1129" s="387"/>
      <c r="H1129" s="387"/>
      <c r="I1129" s="387"/>
      <c r="J1129" s="387"/>
      <c r="K1129" s="387"/>
      <c r="L1129" s="387"/>
      <c r="M1129" s="388"/>
      <c r="N1129" s="388"/>
      <c r="O1129" s="390"/>
      <c r="P1129" s="391"/>
      <c r="Q1129" s="389"/>
      <c r="R1129" s="390"/>
      <c r="S1129" s="390"/>
      <c r="T1129" s="391"/>
      <c r="U1129" s="392"/>
      <c r="V1129" s="391"/>
      <c r="W1129" s="391"/>
      <c r="X1129" s="388"/>
      <c r="Y1129" s="391"/>
      <c r="Z1129" s="393"/>
      <c r="AA1129" s="355" t="str">
        <f t="shared" si="1"/>
        <v/>
      </c>
      <c r="AB1129" s="391"/>
      <c r="AC1129" s="394" t="str">
        <f t="shared" si="2"/>
        <v/>
      </c>
      <c r="AD1129" s="389"/>
      <c r="AE1129" s="399"/>
      <c r="AF1129" s="395"/>
      <c r="AG1129" s="396" t="str">
        <f t="shared" si="3"/>
        <v/>
      </c>
      <c r="AH1129" s="396" t="str">
        <f t="shared" si="4"/>
        <v/>
      </c>
      <c r="AI1129" s="388"/>
      <c r="AJ1129" s="388"/>
      <c r="AK1129" s="397"/>
    </row>
    <row r="1130">
      <c r="A1130" s="398"/>
      <c r="B1130" s="386"/>
      <c r="C1130" s="387" t="str">
        <f>IF(A1130="","",IFERROR(IF(VLOOKUP(A1130,'1. Inbound Leads'!A:G,7,FALSE)=0,"",VLOOKUP(A1130,'1. Inbound Leads'!A:G,7,FALSE)),""))</f>
        <v/>
      </c>
      <c r="D1130" s="387" t="str">
        <f>IF(A1130="","",IFERROR(IF(VLOOKUP(A1130,'1. Inbound Leads'!A:L,12,FALSE)=0,"",VLOOKUP(A1130,'1. Inbound Leads'!A:L,12,FALSE)),""))</f>
        <v/>
      </c>
      <c r="E1130" s="388"/>
      <c r="F1130" s="389"/>
      <c r="G1130" s="387"/>
      <c r="H1130" s="387"/>
      <c r="I1130" s="387"/>
      <c r="J1130" s="387"/>
      <c r="K1130" s="387"/>
      <c r="L1130" s="387"/>
      <c r="M1130" s="388"/>
      <c r="N1130" s="388"/>
      <c r="O1130" s="390"/>
      <c r="P1130" s="391"/>
      <c r="Q1130" s="389"/>
      <c r="R1130" s="390"/>
      <c r="S1130" s="390"/>
      <c r="T1130" s="391"/>
      <c r="U1130" s="392"/>
      <c r="V1130" s="391"/>
      <c r="W1130" s="391"/>
      <c r="X1130" s="388"/>
      <c r="Y1130" s="391"/>
      <c r="Z1130" s="393"/>
      <c r="AA1130" s="355" t="str">
        <f t="shared" si="1"/>
        <v/>
      </c>
      <c r="AB1130" s="391"/>
      <c r="AC1130" s="394" t="str">
        <f t="shared" si="2"/>
        <v/>
      </c>
      <c r="AD1130" s="389"/>
      <c r="AE1130" s="399"/>
      <c r="AF1130" s="395"/>
      <c r="AG1130" s="396" t="str">
        <f t="shared" si="3"/>
        <v/>
      </c>
      <c r="AH1130" s="396" t="str">
        <f t="shared" si="4"/>
        <v/>
      </c>
      <c r="AI1130" s="388"/>
      <c r="AJ1130" s="388"/>
      <c r="AK1130" s="397"/>
    </row>
    <row r="1131">
      <c r="A1131" s="398"/>
      <c r="B1131" s="386"/>
      <c r="C1131" s="387" t="str">
        <f>IF(A1131="","",IFERROR(IF(VLOOKUP(A1131,'1. Inbound Leads'!A:G,7,FALSE)=0,"",VLOOKUP(A1131,'1. Inbound Leads'!A:G,7,FALSE)),""))</f>
        <v/>
      </c>
      <c r="D1131" s="387" t="str">
        <f>IF(A1131="","",IFERROR(IF(VLOOKUP(A1131,'1. Inbound Leads'!A:L,12,FALSE)=0,"",VLOOKUP(A1131,'1. Inbound Leads'!A:L,12,FALSE)),""))</f>
        <v/>
      </c>
      <c r="E1131" s="388"/>
      <c r="F1131" s="389"/>
      <c r="G1131" s="387"/>
      <c r="H1131" s="387"/>
      <c r="I1131" s="387"/>
      <c r="J1131" s="387"/>
      <c r="K1131" s="387"/>
      <c r="L1131" s="387"/>
      <c r="M1131" s="388"/>
      <c r="N1131" s="388"/>
      <c r="O1131" s="390"/>
      <c r="P1131" s="391"/>
      <c r="Q1131" s="389"/>
      <c r="R1131" s="390"/>
      <c r="S1131" s="390"/>
      <c r="T1131" s="391"/>
      <c r="U1131" s="392"/>
      <c r="V1131" s="391"/>
      <c r="W1131" s="391"/>
      <c r="X1131" s="388"/>
      <c r="Y1131" s="391"/>
      <c r="Z1131" s="393"/>
      <c r="AA1131" s="355" t="str">
        <f t="shared" si="1"/>
        <v/>
      </c>
      <c r="AB1131" s="391"/>
      <c r="AC1131" s="394" t="str">
        <f t="shared" si="2"/>
        <v/>
      </c>
      <c r="AD1131" s="389"/>
      <c r="AE1131" s="399"/>
      <c r="AF1131" s="395"/>
      <c r="AG1131" s="396" t="str">
        <f t="shared" si="3"/>
        <v/>
      </c>
      <c r="AH1131" s="396" t="str">
        <f t="shared" si="4"/>
        <v/>
      </c>
      <c r="AI1131" s="388"/>
      <c r="AJ1131" s="388"/>
      <c r="AK1131" s="397"/>
    </row>
    <row r="1132">
      <c r="A1132" s="398"/>
      <c r="B1132" s="386"/>
      <c r="C1132" s="387" t="str">
        <f>IF(A1132="","",IFERROR(IF(VLOOKUP(A1132,'1. Inbound Leads'!A:G,7,FALSE)=0,"",VLOOKUP(A1132,'1. Inbound Leads'!A:G,7,FALSE)),""))</f>
        <v/>
      </c>
      <c r="D1132" s="387" t="str">
        <f>IF(A1132="","",IFERROR(IF(VLOOKUP(A1132,'1. Inbound Leads'!A:L,12,FALSE)=0,"",VLOOKUP(A1132,'1. Inbound Leads'!A:L,12,FALSE)),""))</f>
        <v/>
      </c>
      <c r="E1132" s="388"/>
      <c r="F1132" s="389"/>
      <c r="G1132" s="387"/>
      <c r="H1132" s="387"/>
      <c r="I1132" s="387"/>
      <c r="J1132" s="387"/>
      <c r="K1132" s="387"/>
      <c r="L1132" s="387"/>
      <c r="M1132" s="388"/>
      <c r="N1132" s="388"/>
      <c r="O1132" s="390"/>
      <c r="P1132" s="391"/>
      <c r="Q1132" s="389"/>
      <c r="R1132" s="390"/>
      <c r="S1132" s="390"/>
      <c r="T1132" s="391"/>
      <c r="U1132" s="392"/>
      <c r="V1132" s="391"/>
      <c r="W1132" s="391"/>
      <c r="X1132" s="388"/>
      <c r="Y1132" s="391"/>
      <c r="Z1132" s="393"/>
      <c r="AA1132" s="355" t="str">
        <f t="shared" si="1"/>
        <v/>
      </c>
      <c r="AB1132" s="391"/>
      <c r="AC1132" s="394" t="str">
        <f t="shared" si="2"/>
        <v/>
      </c>
      <c r="AD1132" s="389"/>
      <c r="AE1132" s="399"/>
      <c r="AF1132" s="395"/>
      <c r="AG1132" s="396" t="str">
        <f t="shared" si="3"/>
        <v/>
      </c>
      <c r="AH1132" s="396" t="str">
        <f t="shared" si="4"/>
        <v/>
      </c>
      <c r="AI1132" s="388"/>
      <c r="AJ1132" s="388"/>
      <c r="AK1132" s="397"/>
    </row>
    <row r="1133">
      <c r="A1133" s="398"/>
      <c r="B1133" s="386"/>
      <c r="C1133" s="387" t="str">
        <f>IF(A1133="","",IFERROR(IF(VLOOKUP(A1133,'1. Inbound Leads'!A:G,7,FALSE)=0,"",VLOOKUP(A1133,'1. Inbound Leads'!A:G,7,FALSE)),""))</f>
        <v/>
      </c>
      <c r="D1133" s="387" t="str">
        <f>IF(A1133="","",IFERROR(IF(VLOOKUP(A1133,'1. Inbound Leads'!A:L,12,FALSE)=0,"",VLOOKUP(A1133,'1. Inbound Leads'!A:L,12,FALSE)),""))</f>
        <v/>
      </c>
      <c r="E1133" s="388"/>
      <c r="F1133" s="389"/>
      <c r="G1133" s="387"/>
      <c r="H1133" s="387"/>
      <c r="I1133" s="387"/>
      <c r="J1133" s="387"/>
      <c r="K1133" s="387"/>
      <c r="L1133" s="387"/>
      <c r="M1133" s="388"/>
      <c r="N1133" s="388"/>
      <c r="O1133" s="390"/>
      <c r="P1133" s="391"/>
      <c r="Q1133" s="389"/>
      <c r="R1133" s="390"/>
      <c r="S1133" s="390"/>
      <c r="T1133" s="391"/>
      <c r="U1133" s="392"/>
      <c r="V1133" s="391"/>
      <c r="W1133" s="391"/>
      <c r="X1133" s="388"/>
      <c r="Y1133" s="391"/>
      <c r="Z1133" s="393"/>
      <c r="AA1133" s="355" t="str">
        <f t="shared" si="1"/>
        <v/>
      </c>
      <c r="AB1133" s="391"/>
      <c r="AC1133" s="394" t="str">
        <f t="shared" si="2"/>
        <v/>
      </c>
      <c r="AD1133" s="389"/>
      <c r="AE1133" s="399"/>
      <c r="AF1133" s="395"/>
      <c r="AG1133" s="396" t="str">
        <f t="shared" si="3"/>
        <v/>
      </c>
      <c r="AH1133" s="396" t="str">
        <f t="shared" si="4"/>
        <v/>
      </c>
      <c r="AI1133" s="388"/>
      <c r="AJ1133" s="388"/>
      <c r="AK1133" s="397"/>
    </row>
    <row r="1134">
      <c r="A1134" s="398"/>
      <c r="B1134" s="386"/>
      <c r="C1134" s="387" t="str">
        <f>IF(A1134="","",IFERROR(IF(VLOOKUP(A1134,'1. Inbound Leads'!A:G,7,FALSE)=0,"",VLOOKUP(A1134,'1. Inbound Leads'!A:G,7,FALSE)),""))</f>
        <v/>
      </c>
      <c r="D1134" s="387" t="str">
        <f>IF(A1134="","",IFERROR(IF(VLOOKUP(A1134,'1. Inbound Leads'!A:L,12,FALSE)=0,"",VLOOKUP(A1134,'1. Inbound Leads'!A:L,12,FALSE)),""))</f>
        <v/>
      </c>
      <c r="E1134" s="388"/>
      <c r="F1134" s="389"/>
      <c r="G1134" s="387"/>
      <c r="H1134" s="387"/>
      <c r="I1134" s="387"/>
      <c r="J1134" s="387"/>
      <c r="K1134" s="387"/>
      <c r="L1134" s="387"/>
      <c r="M1134" s="388"/>
      <c r="N1134" s="388"/>
      <c r="O1134" s="390"/>
      <c r="P1134" s="391"/>
      <c r="Q1134" s="389"/>
      <c r="R1134" s="390"/>
      <c r="S1134" s="390"/>
      <c r="T1134" s="391"/>
      <c r="U1134" s="392"/>
      <c r="V1134" s="391"/>
      <c r="W1134" s="391"/>
      <c r="X1134" s="388"/>
      <c r="Y1134" s="391"/>
      <c r="Z1134" s="393"/>
      <c r="AA1134" s="355" t="str">
        <f t="shared" si="1"/>
        <v/>
      </c>
      <c r="AB1134" s="391"/>
      <c r="AC1134" s="394" t="str">
        <f t="shared" si="2"/>
        <v/>
      </c>
      <c r="AD1134" s="389"/>
      <c r="AE1134" s="399"/>
      <c r="AF1134" s="395"/>
      <c r="AG1134" s="396" t="str">
        <f t="shared" si="3"/>
        <v/>
      </c>
      <c r="AH1134" s="396" t="str">
        <f t="shared" si="4"/>
        <v/>
      </c>
      <c r="AI1134" s="388"/>
      <c r="AJ1134" s="388"/>
      <c r="AK1134" s="397"/>
    </row>
    <row r="1135">
      <c r="A1135" s="398"/>
      <c r="B1135" s="386"/>
      <c r="C1135" s="387" t="str">
        <f>IF(A1135="","",IFERROR(IF(VLOOKUP(A1135,'1. Inbound Leads'!A:G,7,FALSE)=0,"",VLOOKUP(A1135,'1. Inbound Leads'!A:G,7,FALSE)),""))</f>
        <v/>
      </c>
      <c r="D1135" s="387" t="str">
        <f>IF(A1135="","",IFERROR(IF(VLOOKUP(A1135,'1. Inbound Leads'!A:L,12,FALSE)=0,"",VLOOKUP(A1135,'1. Inbound Leads'!A:L,12,FALSE)),""))</f>
        <v/>
      </c>
      <c r="E1135" s="388"/>
      <c r="F1135" s="389"/>
      <c r="G1135" s="387"/>
      <c r="H1135" s="387"/>
      <c r="I1135" s="387"/>
      <c r="J1135" s="387"/>
      <c r="K1135" s="387"/>
      <c r="L1135" s="387"/>
      <c r="M1135" s="388"/>
      <c r="N1135" s="388"/>
      <c r="O1135" s="390"/>
      <c r="P1135" s="391"/>
      <c r="Q1135" s="389"/>
      <c r="R1135" s="390"/>
      <c r="S1135" s="390"/>
      <c r="T1135" s="391"/>
      <c r="U1135" s="392"/>
      <c r="V1135" s="391"/>
      <c r="W1135" s="391"/>
      <c r="X1135" s="388"/>
      <c r="Y1135" s="391"/>
      <c r="Z1135" s="393"/>
      <c r="AA1135" s="355" t="str">
        <f t="shared" si="1"/>
        <v/>
      </c>
      <c r="AB1135" s="391"/>
      <c r="AC1135" s="394" t="str">
        <f t="shared" si="2"/>
        <v/>
      </c>
      <c r="AD1135" s="389"/>
      <c r="AE1135" s="399"/>
      <c r="AF1135" s="395"/>
      <c r="AG1135" s="396" t="str">
        <f t="shared" si="3"/>
        <v/>
      </c>
      <c r="AH1135" s="396" t="str">
        <f t="shared" si="4"/>
        <v/>
      </c>
      <c r="AI1135" s="388"/>
      <c r="AJ1135" s="388"/>
      <c r="AK1135" s="397"/>
    </row>
    <row r="1136">
      <c r="A1136" s="398"/>
      <c r="B1136" s="386"/>
      <c r="C1136" s="387" t="str">
        <f>IF(A1136="","",IFERROR(IF(VLOOKUP(A1136,'1. Inbound Leads'!A:G,7,FALSE)=0,"",VLOOKUP(A1136,'1. Inbound Leads'!A:G,7,FALSE)),""))</f>
        <v/>
      </c>
      <c r="D1136" s="387" t="str">
        <f>IF(A1136="","",IFERROR(IF(VLOOKUP(A1136,'1. Inbound Leads'!A:L,12,FALSE)=0,"",VLOOKUP(A1136,'1. Inbound Leads'!A:L,12,FALSE)),""))</f>
        <v/>
      </c>
      <c r="E1136" s="388"/>
      <c r="F1136" s="389"/>
      <c r="G1136" s="387"/>
      <c r="H1136" s="387"/>
      <c r="I1136" s="387"/>
      <c r="J1136" s="387"/>
      <c r="K1136" s="387"/>
      <c r="L1136" s="387"/>
      <c r="M1136" s="388"/>
      <c r="N1136" s="388"/>
      <c r="O1136" s="390"/>
      <c r="P1136" s="391"/>
      <c r="Q1136" s="389"/>
      <c r="R1136" s="390"/>
      <c r="S1136" s="390"/>
      <c r="T1136" s="391"/>
      <c r="U1136" s="392"/>
      <c r="V1136" s="391"/>
      <c r="W1136" s="391"/>
      <c r="X1136" s="388"/>
      <c r="Y1136" s="391"/>
      <c r="Z1136" s="393"/>
      <c r="AA1136" s="355" t="str">
        <f t="shared" si="1"/>
        <v/>
      </c>
      <c r="AB1136" s="391"/>
      <c r="AC1136" s="394" t="str">
        <f t="shared" si="2"/>
        <v/>
      </c>
      <c r="AD1136" s="389"/>
      <c r="AE1136" s="399"/>
      <c r="AF1136" s="395"/>
      <c r="AG1136" s="396" t="str">
        <f t="shared" si="3"/>
        <v/>
      </c>
      <c r="AH1136" s="396" t="str">
        <f t="shared" si="4"/>
        <v/>
      </c>
      <c r="AI1136" s="388"/>
      <c r="AJ1136" s="388"/>
      <c r="AK1136" s="397"/>
    </row>
    <row r="1137">
      <c r="A1137" s="398"/>
      <c r="B1137" s="386"/>
      <c r="C1137" s="387" t="str">
        <f>IF(A1137="","",IFERROR(IF(VLOOKUP(A1137,'1. Inbound Leads'!A:G,7,FALSE)=0,"",VLOOKUP(A1137,'1. Inbound Leads'!A:G,7,FALSE)),""))</f>
        <v/>
      </c>
      <c r="D1137" s="387" t="str">
        <f>IF(A1137="","",IFERROR(IF(VLOOKUP(A1137,'1. Inbound Leads'!A:L,12,FALSE)=0,"",VLOOKUP(A1137,'1. Inbound Leads'!A:L,12,FALSE)),""))</f>
        <v/>
      </c>
      <c r="E1137" s="388"/>
      <c r="F1137" s="389"/>
      <c r="G1137" s="387"/>
      <c r="H1137" s="387"/>
      <c r="I1137" s="387"/>
      <c r="J1137" s="387"/>
      <c r="K1137" s="387"/>
      <c r="L1137" s="387"/>
      <c r="M1137" s="388"/>
      <c r="N1137" s="388"/>
      <c r="O1137" s="390"/>
      <c r="P1137" s="391"/>
      <c r="Q1137" s="389"/>
      <c r="R1137" s="390"/>
      <c r="S1137" s="390"/>
      <c r="T1137" s="391"/>
      <c r="U1137" s="392"/>
      <c r="V1137" s="391"/>
      <c r="W1137" s="391"/>
      <c r="X1137" s="388"/>
      <c r="Y1137" s="391"/>
      <c r="Z1137" s="393"/>
      <c r="AA1137" s="355" t="str">
        <f t="shared" si="1"/>
        <v/>
      </c>
      <c r="AB1137" s="391"/>
      <c r="AC1137" s="394" t="str">
        <f t="shared" si="2"/>
        <v/>
      </c>
      <c r="AD1137" s="389"/>
      <c r="AE1137" s="399"/>
      <c r="AF1137" s="395"/>
      <c r="AG1137" s="396" t="str">
        <f t="shared" si="3"/>
        <v/>
      </c>
      <c r="AH1137" s="396" t="str">
        <f t="shared" si="4"/>
        <v/>
      </c>
      <c r="AI1137" s="388"/>
      <c r="AJ1137" s="388"/>
      <c r="AK1137" s="397"/>
    </row>
    <row r="1138">
      <c r="A1138" s="398"/>
      <c r="B1138" s="386"/>
      <c r="C1138" s="387" t="str">
        <f>IF(A1138="","",IFERROR(IF(VLOOKUP(A1138,'1. Inbound Leads'!A:G,7,FALSE)=0,"",VLOOKUP(A1138,'1. Inbound Leads'!A:G,7,FALSE)),""))</f>
        <v/>
      </c>
      <c r="D1138" s="387" t="str">
        <f>IF(A1138="","",IFERROR(IF(VLOOKUP(A1138,'1. Inbound Leads'!A:L,12,FALSE)=0,"",VLOOKUP(A1138,'1. Inbound Leads'!A:L,12,FALSE)),""))</f>
        <v/>
      </c>
      <c r="E1138" s="388"/>
      <c r="F1138" s="389"/>
      <c r="G1138" s="387"/>
      <c r="H1138" s="387"/>
      <c r="I1138" s="387"/>
      <c r="J1138" s="387"/>
      <c r="K1138" s="387"/>
      <c r="L1138" s="387"/>
      <c r="M1138" s="388"/>
      <c r="N1138" s="388"/>
      <c r="O1138" s="390"/>
      <c r="P1138" s="391"/>
      <c r="Q1138" s="389"/>
      <c r="R1138" s="390"/>
      <c r="S1138" s="390"/>
      <c r="T1138" s="391"/>
      <c r="U1138" s="392"/>
      <c r="V1138" s="391"/>
      <c r="W1138" s="391"/>
      <c r="X1138" s="388"/>
      <c r="Y1138" s="391"/>
      <c r="Z1138" s="393"/>
      <c r="AA1138" s="355" t="str">
        <f t="shared" si="1"/>
        <v/>
      </c>
      <c r="AB1138" s="391"/>
      <c r="AC1138" s="394" t="str">
        <f t="shared" si="2"/>
        <v/>
      </c>
      <c r="AD1138" s="389"/>
      <c r="AE1138" s="399"/>
      <c r="AF1138" s="395"/>
      <c r="AG1138" s="396" t="str">
        <f t="shared" si="3"/>
        <v/>
      </c>
      <c r="AH1138" s="396" t="str">
        <f t="shared" si="4"/>
        <v/>
      </c>
      <c r="AI1138" s="388"/>
      <c r="AJ1138" s="388"/>
      <c r="AK1138" s="397"/>
    </row>
    <row r="1139">
      <c r="A1139" s="398"/>
      <c r="B1139" s="386"/>
      <c r="C1139" s="387" t="str">
        <f>IF(A1139="","",IFERROR(IF(VLOOKUP(A1139,'1. Inbound Leads'!A:G,7,FALSE)=0,"",VLOOKUP(A1139,'1. Inbound Leads'!A:G,7,FALSE)),""))</f>
        <v/>
      </c>
      <c r="D1139" s="387" t="str">
        <f>IF(A1139="","",IFERROR(IF(VLOOKUP(A1139,'1. Inbound Leads'!A:L,12,FALSE)=0,"",VLOOKUP(A1139,'1. Inbound Leads'!A:L,12,FALSE)),""))</f>
        <v/>
      </c>
      <c r="E1139" s="388"/>
      <c r="F1139" s="389"/>
      <c r="G1139" s="387"/>
      <c r="H1139" s="387"/>
      <c r="I1139" s="387"/>
      <c r="J1139" s="387"/>
      <c r="K1139" s="387"/>
      <c r="L1139" s="387"/>
      <c r="M1139" s="388"/>
      <c r="N1139" s="388"/>
      <c r="O1139" s="390"/>
      <c r="P1139" s="391"/>
      <c r="Q1139" s="389"/>
      <c r="R1139" s="390"/>
      <c r="S1139" s="390"/>
      <c r="T1139" s="391"/>
      <c r="U1139" s="392"/>
      <c r="V1139" s="391"/>
      <c r="W1139" s="391"/>
      <c r="X1139" s="388"/>
      <c r="Y1139" s="391"/>
      <c r="Z1139" s="393"/>
      <c r="AA1139" s="355" t="str">
        <f t="shared" si="1"/>
        <v/>
      </c>
      <c r="AB1139" s="391"/>
      <c r="AC1139" s="394" t="str">
        <f t="shared" si="2"/>
        <v/>
      </c>
      <c r="AD1139" s="389"/>
      <c r="AE1139" s="399"/>
      <c r="AF1139" s="395"/>
      <c r="AG1139" s="396" t="str">
        <f t="shared" si="3"/>
        <v/>
      </c>
      <c r="AH1139" s="396" t="str">
        <f t="shared" si="4"/>
        <v/>
      </c>
      <c r="AI1139" s="388"/>
      <c r="AJ1139" s="388"/>
      <c r="AK1139" s="397"/>
    </row>
    <row r="1140">
      <c r="A1140" s="398"/>
      <c r="B1140" s="386"/>
      <c r="C1140" s="387" t="str">
        <f>IF(A1140="","",IFERROR(IF(VLOOKUP(A1140,'1. Inbound Leads'!A:G,7,FALSE)=0,"",VLOOKUP(A1140,'1. Inbound Leads'!A:G,7,FALSE)),""))</f>
        <v/>
      </c>
      <c r="D1140" s="387" t="str">
        <f>IF(A1140="","",IFERROR(IF(VLOOKUP(A1140,'1. Inbound Leads'!A:L,12,FALSE)=0,"",VLOOKUP(A1140,'1. Inbound Leads'!A:L,12,FALSE)),""))</f>
        <v/>
      </c>
      <c r="E1140" s="388"/>
      <c r="F1140" s="389"/>
      <c r="G1140" s="387"/>
      <c r="H1140" s="387"/>
      <c r="I1140" s="387"/>
      <c r="J1140" s="387"/>
      <c r="K1140" s="387"/>
      <c r="L1140" s="387"/>
      <c r="M1140" s="388"/>
      <c r="N1140" s="388"/>
      <c r="O1140" s="390"/>
      <c r="P1140" s="391"/>
      <c r="Q1140" s="389"/>
      <c r="R1140" s="390"/>
      <c r="S1140" s="390"/>
      <c r="T1140" s="391"/>
      <c r="U1140" s="392"/>
      <c r="V1140" s="391"/>
      <c r="W1140" s="391"/>
      <c r="X1140" s="388"/>
      <c r="Y1140" s="391"/>
      <c r="Z1140" s="393"/>
      <c r="AA1140" s="355" t="str">
        <f t="shared" si="1"/>
        <v/>
      </c>
      <c r="AB1140" s="391"/>
      <c r="AC1140" s="394" t="str">
        <f t="shared" si="2"/>
        <v/>
      </c>
      <c r="AD1140" s="389"/>
      <c r="AE1140" s="399"/>
      <c r="AF1140" s="395"/>
      <c r="AG1140" s="396" t="str">
        <f t="shared" si="3"/>
        <v/>
      </c>
      <c r="AH1140" s="396" t="str">
        <f t="shared" si="4"/>
        <v/>
      </c>
      <c r="AI1140" s="388"/>
      <c r="AJ1140" s="388"/>
      <c r="AK1140" s="397"/>
    </row>
    <row r="1141">
      <c r="A1141" s="398"/>
      <c r="B1141" s="386"/>
      <c r="C1141" s="387" t="str">
        <f>IF(A1141="","",IFERROR(IF(VLOOKUP(A1141,'1. Inbound Leads'!A:G,7,FALSE)=0,"",VLOOKUP(A1141,'1. Inbound Leads'!A:G,7,FALSE)),""))</f>
        <v/>
      </c>
      <c r="D1141" s="387" t="str">
        <f>IF(A1141="","",IFERROR(IF(VLOOKUP(A1141,'1. Inbound Leads'!A:L,12,FALSE)=0,"",VLOOKUP(A1141,'1. Inbound Leads'!A:L,12,FALSE)),""))</f>
        <v/>
      </c>
      <c r="E1141" s="388"/>
      <c r="F1141" s="389"/>
      <c r="G1141" s="387"/>
      <c r="H1141" s="387"/>
      <c r="I1141" s="387"/>
      <c r="J1141" s="387"/>
      <c r="K1141" s="387"/>
      <c r="L1141" s="387"/>
      <c r="M1141" s="388"/>
      <c r="N1141" s="388"/>
      <c r="O1141" s="390"/>
      <c r="P1141" s="391"/>
      <c r="Q1141" s="389"/>
      <c r="R1141" s="390"/>
      <c r="S1141" s="390"/>
      <c r="T1141" s="391"/>
      <c r="U1141" s="392"/>
      <c r="V1141" s="391"/>
      <c r="W1141" s="391"/>
      <c r="X1141" s="388"/>
      <c r="Y1141" s="391"/>
      <c r="Z1141" s="393"/>
      <c r="AA1141" s="355" t="str">
        <f t="shared" si="1"/>
        <v/>
      </c>
      <c r="AB1141" s="391"/>
      <c r="AC1141" s="394" t="str">
        <f t="shared" si="2"/>
        <v/>
      </c>
      <c r="AD1141" s="389"/>
      <c r="AE1141" s="399"/>
      <c r="AF1141" s="395"/>
      <c r="AG1141" s="396" t="str">
        <f t="shared" si="3"/>
        <v/>
      </c>
      <c r="AH1141" s="396" t="str">
        <f t="shared" si="4"/>
        <v/>
      </c>
      <c r="AI1141" s="388"/>
      <c r="AJ1141" s="388"/>
      <c r="AK1141" s="397"/>
    </row>
    <row r="1142">
      <c r="A1142" s="398"/>
      <c r="B1142" s="386"/>
      <c r="C1142" s="387" t="str">
        <f>IF(A1142="","",IFERROR(IF(VLOOKUP(A1142,'1. Inbound Leads'!A:G,7,FALSE)=0,"",VLOOKUP(A1142,'1. Inbound Leads'!A:G,7,FALSE)),""))</f>
        <v/>
      </c>
      <c r="D1142" s="387" t="str">
        <f>IF(A1142="","",IFERROR(IF(VLOOKUP(A1142,'1. Inbound Leads'!A:L,12,FALSE)=0,"",VLOOKUP(A1142,'1. Inbound Leads'!A:L,12,FALSE)),""))</f>
        <v/>
      </c>
      <c r="E1142" s="388"/>
      <c r="F1142" s="389"/>
      <c r="G1142" s="387"/>
      <c r="H1142" s="387"/>
      <c r="I1142" s="387"/>
      <c r="J1142" s="387"/>
      <c r="K1142" s="387"/>
      <c r="L1142" s="387"/>
      <c r="M1142" s="388"/>
      <c r="N1142" s="388"/>
      <c r="O1142" s="390"/>
      <c r="P1142" s="391"/>
      <c r="Q1142" s="389"/>
      <c r="R1142" s="390"/>
      <c r="S1142" s="390"/>
      <c r="T1142" s="391"/>
      <c r="U1142" s="392"/>
      <c r="V1142" s="391"/>
      <c r="W1142" s="391"/>
      <c r="X1142" s="388"/>
      <c r="Y1142" s="391"/>
      <c r="Z1142" s="393"/>
      <c r="AA1142" s="355" t="str">
        <f t="shared" si="1"/>
        <v/>
      </c>
      <c r="AB1142" s="391"/>
      <c r="AC1142" s="394" t="str">
        <f t="shared" si="2"/>
        <v/>
      </c>
      <c r="AD1142" s="389"/>
      <c r="AE1142" s="399"/>
      <c r="AF1142" s="395"/>
      <c r="AG1142" s="396" t="str">
        <f t="shared" si="3"/>
        <v/>
      </c>
      <c r="AH1142" s="396" t="str">
        <f t="shared" si="4"/>
        <v/>
      </c>
      <c r="AI1142" s="388"/>
      <c r="AJ1142" s="388"/>
      <c r="AK1142" s="397"/>
    </row>
    <row r="1143">
      <c r="A1143" s="398"/>
      <c r="B1143" s="386"/>
      <c r="C1143" s="387" t="str">
        <f>IF(A1143="","",IFERROR(IF(VLOOKUP(A1143,'1. Inbound Leads'!A:G,7,FALSE)=0,"",VLOOKUP(A1143,'1. Inbound Leads'!A:G,7,FALSE)),""))</f>
        <v/>
      </c>
      <c r="D1143" s="387" t="str">
        <f>IF(A1143="","",IFERROR(IF(VLOOKUP(A1143,'1. Inbound Leads'!A:L,12,FALSE)=0,"",VLOOKUP(A1143,'1. Inbound Leads'!A:L,12,FALSE)),""))</f>
        <v/>
      </c>
      <c r="E1143" s="388"/>
      <c r="F1143" s="389"/>
      <c r="G1143" s="387"/>
      <c r="H1143" s="387"/>
      <c r="I1143" s="387"/>
      <c r="J1143" s="387"/>
      <c r="K1143" s="387"/>
      <c r="L1143" s="387"/>
      <c r="M1143" s="388"/>
      <c r="N1143" s="388"/>
      <c r="O1143" s="390"/>
      <c r="P1143" s="391"/>
      <c r="Q1143" s="389"/>
      <c r="R1143" s="390"/>
      <c r="S1143" s="390"/>
      <c r="T1143" s="391"/>
      <c r="U1143" s="392"/>
      <c r="V1143" s="391"/>
      <c r="W1143" s="391"/>
      <c r="X1143" s="388"/>
      <c r="Y1143" s="391"/>
      <c r="Z1143" s="393"/>
      <c r="AA1143" s="355" t="str">
        <f t="shared" si="1"/>
        <v/>
      </c>
      <c r="AB1143" s="391"/>
      <c r="AC1143" s="394" t="str">
        <f t="shared" si="2"/>
        <v/>
      </c>
      <c r="AD1143" s="389"/>
      <c r="AE1143" s="399"/>
      <c r="AF1143" s="395"/>
      <c r="AG1143" s="396" t="str">
        <f t="shared" si="3"/>
        <v/>
      </c>
      <c r="AH1143" s="396" t="str">
        <f t="shared" si="4"/>
        <v/>
      </c>
      <c r="AI1143" s="388"/>
      <c r="AJ1143" s="388"/>
      <c r="AK1143" s="397"/>
    </row>
    <row r="1144">
      <c r="A1144" s="398"/>
      <c r="B1144" s="386"/>
      <c r="C1144" s="387" t="str">
        <f>IF(A1144="","",IFERROR(IF(VLOOKUP(A1144,'1. Inbound Leads'!A:G,7,FALSE)=0,"",VLOOKUP(A1144,'1. Inbound Leads'!A:G,7,FALSE)),""))</f>
        <v/>
      </c>
      <c r="D1144" s="387" t="str">
        <f>IF(A1144="","",IFERROR(IF(VLOOKUP(A1144,'1. Inbound Leads'!A:L,12,FALSE)=0,"",VLOOKUP(A1144,'1. Inbound Leads'!A:L,12,FALSE)),""))</f>
        <v/>
      </c>
      <c r="E1144" s="388"/>
      <c r="F1144" s="389"/>
      <c r="G1144" s="387"/>
      <c r="H1144" s="387"/>
      <c r="I1144" s="387"/>
      <c r="J1144" s="387"/>
      <c r="K1144" s="387"/>
      <c r="L1144" s="387"/>
      <c r="M1144" s="388"/>
      <c r="N1144" s="388"/>
      <c r="O1144" s="390"/>
      <c r="P1144" s="391"/>
      <c r="Q1144" s="389"/>
      <c r="R1144" s="390"/>
      <c r="S1144" s="390"/>
      <c r="T1144" s="391"/>
      <c r="U1144" s="392"/>
      <c r="V1144" s="391"/>
      <c r="W1144" s="391"/>
      <c r="X1144" s="388"/>
      <c r="Y1144" s="391"/>
      <c r="Z1144" s="393"/>
      <c r="AA1144" s="355" t="str">
        <f t="shared" si="1"/>
        <v/>
      </c>
      <c r="AB1144" s="391"/>
      <c r="AC1144" s="394" t="str">
        <f t="shared" si="2"/>
        <v/>
      </c>
      <c r="AD1144" s="389"/>
      <c r="AE1144" s="399"/>
      <c r="AF1144" s="395"/>
      <c r="AG1144" s="396" t="str">
        <f t="shared" si="3"/>
        <v/>
      </c>
      <c r="AH1144" s="396" t="str">
        <f t="shared" si="4"/>
        <v/>
      </c>
      <c r="AI1144" s="388"/>
      <c r="AJ1144" s="388"/>
      <c r="AK1144" s="397"/>
    </row>
    <row r="1145">
      <c r="A1145" s="398"/>
      <c r="B1145" s="386"/>
      <c r="C1145" s="387" t="str">
        <f>IF(A1145="","",IFERROR(IF(VLOOKUP(A1145,'1. Inbound Leads'!A:G,7,FALSE)=0,"",VLOOKUP(A1145,'1. Inbound Leads'!A:G,7,FALSE)),""))</f>
        <v/>
      </c>
      <c r="D1145" s="387" t="str">
        <f>IF(A1145="","",IFERROR(IF(VLOOKUP(A1145,'1. Inbound Leads'!A:L,12,FALSE)=0,"",VLOOKUP(A1145,'1. Inbound Leads'!A:L,12,FALSE)),""))</f>
        <v/>
      </c>
      <c r="E1145" s="388"/>
      <c r="F1145" s="389"/>
      <c r="G1145" s="387"/>
      <c r="H1145" s="387"/>
      <c r="I1145" s="387"/>
      <c r="J1145" s="387"/>
      <c r="K1145" s="387"/>
      <c r="L1145" s="387"/>
      <c r="M1145" s="388"/>
      <c r="N1145" s="388"/>
      <c r="O1145" s="390"/>
      <c r="P1145" s="391"/>
      <c r="Q1145" s="389"/>
      <c r="R1145" s="390"/>
      <c r="S1145" s="390"/>
      <c r="T1145" s="391"/>
      <c r="U1145" s="392"/>
      <c r="V1145" s="391"/>
      <c r="W1145" s="391"/>
      <c r="X1145" s="388"/>
      <c r="Y1145" s="391"/>
      <c r="Z1145" s="393"/>
      <c r="AA1145" s="355" t="str">
        <f t="shared" si="1"/>
        <v/>
      </c>
      <c r="AB1145" s="391"/>
      <c r="AC1145" s="394" t="str">
        <f t="shared" si="2"/>
        <v/>
      </c>
      <c r="AD1145" s="389"/>
      <c r="AE1145" s="399"/>
      <c r="AF1145" s="395"/>
      <c r="AG1145" s="396" t="str">
        <f t="shared" si="3"/>
        <v/>
      </c>
      <c r="AH1145" s="396" t="str">
        <f t="shared" si="4"/>
        <v/>
      </c>
      <c r="AI1145" s="388"/>
      <c r="AJ1145" s="388"/>
      <c r="AK1145" s="397"/>
    </row>
    <row r="1146">
      <c r="A1146" s="398"/>
      <c r="B1146" s="386"/>
      <c r="C1146" s="387" t="str">
        <f>IF(A1146="","",IFERROR(IF(VLOOKUP(A1146,'1. Inbound Leads'!A:G,7,FALSE)=0,"",VLOOKUP(A1146,'1. Inbound Leads'!A:G,7,FALSE)),""))</f>
        <v/>
      </c>
      <c r="D1146" s="387" t="str">
        <f>IF(A1146="","",IFERROR(IF(VLOOKUP(A1146,'1. Inbound Leads'!A:L,12,FALSE)=0,"",VLOOKUP(A1146,'1. Inbound Leads'!A:L,12,FALSE)),""))</f>
        <v/>
      </c>
      <c r="E1146" s="388"/>
      <c r="F1146" s="389"/>
      <c r="G1146" s="387"/>
      <c r="H1146" s="387"/>
      <c r="I1146" s="387"/>
      <c r="J1146" s="387"/>
      <c r="K1146" s="387"/>
      <c r="L1146" s="387"/>
      <c r="M1146" s="388"/>
      <c r="N1146" s="388"/>
      <c r="O1146" s="390"/>
      <c r="P1146" s="391"/>
      <c r="Q1146" s="389"/>
      <c r="R1146" s="390"/>
      <c r="S1146" s="390"/>
      <c r="T1146" s="391"/>
      <c r="U1146" s="392"/>
      <c r="V1146" s="391"/>
      <c r="W1146" s="391"/>
      <c r="X1146" s="388"/>
      <c r="Y1146" s="391"/>
      <c r="Z1146" s="393"/>
      <c r="AA1146" s="355" t="str">
        <f t="shared" si="1"/>
        <v/>
      </c>
      <c r="AB1146" s="391"/>
      <c r="AC1146" s="394" t="str">
        <f t="shared" si="2"/>
        <v/>
      </c>
      <c r="AD1146" s="389"/>
      <c r="AE1146" s="399"/>
      <c r="AF1146" s="395"/>
      <c r="AG1146" s="396" t="str">
        <f t="shared" si="3"/>
        <v/>
      </c>
      <c r="AH1146" s="396" t="str">
        <f t="shared" si="4"/>
        <v/>
      </c>
      <c r="AI1146" s="388"/>
      <c r="AJ1146" s="388"/>
      <c r="AK1146" s="397"/>
    </row>
    <row r="1147">
      <c r="A1147" s="398"/>
      <c r="B1147" s="386"/>
      <c r="C1147" s="387" t="str">
        <f>IF(A1147="","",IFERROR(IF(VLOOKUP(A1147,'1. Inbound Leads'!A:G,7,FALSE)=0,"",VLOOKUP(A1147,'1. Inbound Leads'!A:G,7,FALSE)),""))</f>
        <v/>
      </c>
      <c r="D1147" s="387" t="str">
        <f>IF(A1147="","",IFERROR(IF(VLOOKUP(A1147,'1. Inbound Leads'!A:L,12,FALSE)=0,"",VLOOKUP(A1147,'1. Inbound Leads'!A:L,12,FALSE)),""))</f>
        <v/>
      </c>
      <c r="E1147" s="388"/>
      <c r="F1147" s="389"/>
      <c r="G1147" s="387"/>
      <c r="H1147" s="387"/>
      <c r="I1147" s="387"/>
      <c r="J1147" s="387"/>
      <c r="K1147" s="387"/>
      <c r="L1147" s="387"/>
      <c r="M1147" s="388"/>
      <c r="N1147" s="388"/>
      <c r="O1147" s="390"/>
      <c r="P1147" s="391"/>
      <c r="Q1147" s="389"/>
      <c r="R1147" s="390"/>
      <c r="S1147" s="390"/>
      <c r="T1147" s="391"/>
      <c r="U1147" s="392"/>
      <c r="V1147" s="391"/>
      <c r="W1147" s="391"/>
      <c r="X1147" s="388"/>
      <c r="Y1147" s="391"/>
      <c r="Z1147" s="393"/>
      <c r="AA1147" s="355" t="str">
        <f t="shared" si="1"/>
        <v/>
      </c>
      <c r="AB1147" s="391"/>
      <c r="AC1147" s="394" t="str">
        <f t="shared" si="2"/>
        <v/>
      </c>
      <c r="AD1147" s="389"/>
      <c r="AE1147" s="399"/>
      <c r="AF1147" s="395"/>
      <c r="AG1147" s="396" t="str">
        <f t="shared" si="3"/>
        <v/>
      </c>
      <c r="AH1147" s="396" t="str">
        <f t="shared" si="4"/>
        <v/>
      </c>
      <c r="AI1147" s="388"/>
      <c r="AJ1147" s="388"/>
      <c r="AK1147" s="397"/>
    </row>
    <row r="1148">
      <c r="A1148" s="398"/>
      <c r="B1148" s="386"/>
      <c r="C1148" s="387" t="str">
        <f>IF(A1148="","",IFERROR(IF(VLOOKUP(A1148,'1. Inbound Leads'!A:G,7,FALSE)=0,"",VLOOKUP(A1148,'1. Inbound Leads'!A:G,7,FALSE)),""))</f>
        <v/>
      </c>
      <c r="D1148" s="387" t="str">
        <f>IF(A1148="","",IFERROR(IF(VLOOKUP(A1148,'1. Inbound Leads'!A:L,12,FALSE)=0,"",VLOOKUP(A1148,'1. Inbound Leads'!A:L,12,FALSE)),""))</f>
        <v/>
      </c>
      <c r="E1148" s="388"/>
      <c r="F1148" s="389"/>
      <c r="G1148" s="387"/>
      <c r="H1148" s="387"/>
      <c r="I1148" s="387"/>
      <c r="J1148" s="387"/>
      <c r="K1148" s="387"/>
      <c r="L1148" s="387"/>
      <c r="M1148" s="388"/>
      <c r="N1148" s="388"/>
      <c r="O1148" s="390"/>
      <c r="P1148" s="391"/>
      <c r="Q1148" s="389"/>
      <c r="R1148" s="390"/>
      <c r="S1148" s="390"/>
      <c r="T1148" s="391"/>
      <c r="U1148" s="392"/>
      <c r="V1148" s="391"/>
      <c r="W1148" s="391"/>
      <c r="X1148" s="388"/>
      <c r="Y1148" s="391"/>
      <c r="Z1148" s="393"/>
      <c r="AA1148" s="355" t="str">
        <f t="shared" si="1"/>
        <v/>
      </c>
      <c r="AB1148" s="391"/>
      <c r="AC1148" s="394" t="str">
        <f t="shared" si="2"/>
        <v/>
      </c>
      <c r="AD1148" s="389"/>
      <c r="AE1148" s="399"/>
      <c r="AF1148" s="395"/>
      <c r="AG1148" s="396" t="str">
        <f t="shared" si="3"/>
        <v/>
      </c>
      <c r="AH1148" s="396" t="str">
        <f t="shared" si="4"/>
        <v/>
      </c>
      <c r="AI1148" s="388"/>
      <c r="AJ1148" s="388"/>
      <c r="AK1148" s="397"/>
    </row>
    <row r="1149">
      <c r="A1149" s="398"/>
      <c r="B1149" s="386"/>
      <c r="C1149" s="387" t="str">
        <f>IF(A1149="","",IFERROR(IF(VLOOKUP(A1149,'1. Inbound Leads'!A:G,7,FALSE)=0,"",VLOOKUP(A1149,'1. Inbound Leads'!A:G,7,FALSE)),""))</f>
        <v/>
      </c>
      <c r="D1149" s="387" t="str">
        <f>IF(A1149="","",IFERROR(IF(VLOOKUP(A1149,'1. Inbound Leads'!A:L,12,FALSE)=0,"",VLOOKUP(A1149,'1. Inbound Leads'!A:L,12,FALSE)),""))</f>
        <v/>
      </c>
      <c r="E1149" s="388"/>
      <c r="F1149" s="389"/>
      <c r="G1149" s="387"/>
      <c r="H1149" s="387"/>
      <c r="I1149" s="387"/>
      <c r="J1149" s="387"/>
      <c r="K1149" s="387"/>
      <c r="L1149" s="387"/>
      <c r="M1149" s="388"/>
      <c r="N1149" s="388"/>
      <c r="O1149" s="390"/>
      <c r="P1149" s="391"/>
      <c r="Q1149" s="389"/>
      <c r="R1149" s="390"/>
      <c r="S1149" s="390"/>
      <c r="T1149" s="391"/>
      <c r="U1149" s="392"/>
      <c r="V1149" s="391"/>
      <c r="W1149" s="391"/>
      <c r="X1149" s="388"/>
      <c r="Y1149" s="391"/>
      <c r="Z1149" s="393"/>
      <c r="AA1149" s="355" t="str">
        <f t="shared" si="1"/>
        <v/>
      </c>
      <c r="AB1149" s="391"/>
      <c r="AC1149" s="394" t="str">
        <f t="shared" si="2"/>
        <v/>
      </c>
      <c r="AD1149" s="389"/>
      <c r="AE1149" s="399"/>
      <c r="AF1149" s="395"/>
      <c r="AG1149" s="396" t="str">
        <f t="shared" si="3"/>
        <v/>
      </c>
      <c r="AH1149" s="396" t="str">
        <f t="shared" si="4"/>
        <v/>
      </c>
      <c r="AI1149" s="388"/>
      <c r="AJ1149" s="388"/>
      <c r="AK1149" s="397"/>
    </row>
    <row r="1150">
      <c r="A1150" s="398"/>
      <c r="B1150" s="386"/>
      <c r="C1150" s="387" t="str">
        <f>IF(A1150="","",IFERROR(IF(VLOOKUP(A1150,'1. Inbound Leads'!A:G,7,FALSE)=0,"",VLOOKUP(A1150,'1. Inbound Leads'!A:G,7,FALSE)),""))</f>
        <v/>
      </c>
      <c r="D1150" s="387" t="str">
        <f>IF(A1150="","",IFERROR(IF(VLOOKUP(A1150,'1. Inbound Leads'!A:L,12,FALSE)=0,"",VLOOKUP(A1150,'1. Inbound Leads'!A:L,12,FALSE)),""))</f>
        <v/>
      </c>
      <c r="E1150" s="388"/>
      <c r="F1150" s="389"/>
      <c r="G1150" s="387"/>
      <c r="H1150" s="387"/>
      <c r="I1150" s="387"/>
      <c r="J1150" s="387"/>
      <c r="K1150" s="387"/>
      <c r="L1150" s="387"/>
      <c r="M1150" s="388"/>
      <c r="N1150" s="388"/>
      <c r="O1150" s="390"/>
      <c r="P1150" s="391"/>
      <c r="Q1150" s="389"/>
      <c r="R1150" s="390"/>
      <c r="S1150" s="390"/>
      <c r="T1150" s="391"/>
      <c r="U1150" s="392"/>
      <c r="V1150" s="391"/>
      <c r="W1150" s="391"/>
      <c r="X1150" s="388"/>
      <c r="Y1150" s="391"/>
      <c r="Z1150" s="393"/>
      <c r="AA1150" s="355" t="str">
        <f t="shared" si="1"/>
        <v/>
      </c>
      <c r="AB1150" s="391"/>
      <c r="AC1150" s="394" t="str">
        <f t="shared" si="2"/>
        <v/>
      </c>
      <c r="AD1150" s="389"/>
      <c r="AE1150" s="399"/>
      <c r="AF1150" s="395"/>
      <c r="AG1150" s="396" t="str">
        <f t="shared" si="3"/>
        <v/>
      </c>
      <c r="AH1150" s="396" t="str">
        <f t="shared" si="4"/>
        <v/>
      </c>
      <c r="AI1150" s="388"/>
      <c r="AJ1150" s="388"/>
      <c r="AK1150" s="397"/>
    </row>
    <row r="1151">
      <c r="A1151" s="398"/>
      <c r="B1151" s="386"/>
      <c r="C1151" s="387" t="str">
        <f>IF(A1151="","",IFERROR(IF(VLOOKUP(A1151,'1. Inbound Leads'!A:G,7,FALSE)=0,"",VLOOKUP(A1151,'1. Inbound Leads'!A:G,7,FALSE)),""))</f>
        <v/>
      </c>
      <c r="D1151" s="387" t="str">
        <f>IF(A1151="","",IFERROR(IF(VLOOKUP(A1151,'1. Inbound Leads'!A:L,12,FALSE)=0,"",VLOOKUP(A1151,'1. Inbound Leads'!A:L,12,FALSE)),""))</f>
        <v/>
      </c>
      <c r="E1151" s="388"/>
      <c r="F1151" s="389"/>
      <c r="G1151" s="387"/>
      <c r="H1151" s="387"/>
      <c r="I1151" s="387"/>
      <c r="J1151" s="387"/>
      <c r="K1151" s="387"/>
      <c r="L1151" s="387"/>
      <c r="M1151" s="388"/>
      <c r="N1151" s="388"/>
      <c r="O1151" s="390"/>
      <c r="P1151" s="391"/>
      <c r="Q1151" s="389"/>
      <c r="R1151" s="390"/>
      <c r="S1151" s="390"/>
      <c r="T1151" s="391"/>
      <c r="U1151" s="392"/>
      <c r="V1151" s="391"/>
      <c r="W1151" s="391"/>
      <c r="X1151" s="388"/>
      <c r="Y1151" s="391"/>
      <c r="Z1151" s="393"/>
      <c r="AA1151" s="355" t="str">
        <f t="shared" si="1"/>
        <v/>
      </c>
      <c r="AB1151" s="391"/>
      <c r="AC1151" s="394" t="str">
        <f t="shared" si="2"/>
        <v/>
      </c>
      <c r="AD1151" s="389"/>
      <c r="AE1151" s="399"/>
      <c r="AF1151" s="395"/>
      <c r="AG1151" s="396" t="str">
        <f t="shared" si="3"/>
        <v/>
      </c>
      <c r="AH1151" s="396" t="str">
        <f t="shared" si="4"/>
        <v/>
      </c>
      <c r="AI1151" s="388"/>
      <c r="AJ1151" s="388"/>
      <c r="AK1151" s="397"/>
    </row>
    <row r="1152">
      <c r="A1152" s="398"/>
      <c r="B1152" s="386"/>
      <c r="C1152" s="387" t="str">
        <f>IF(A1152="","",IFERROR(IF(VLOOKUP(A1152,'1. Inbound Leads'!A:G,7,FALSE)=0,"",VLOOKUP(A1152,'1. Inbound Leads'!A:G,7,FALSE)),""))</f>
        <v/>
      </c>
      <c r="D1152" s="387" t="str">
        <f>IF(A1152="","",IFERROR(IF(VLOOKUP(A1152,'1. Inbound Leads'!A:L,12,FALSE)=0,"",VLOOKUP(A1152,'1. Inbound Leads'!A:L,12,FALSE)),""))</f>
        <v/>
      </c>
      <c r="E1152" s="388"/>
      <c r="F1152" s="389"/>
      <c r="G1152" s="387"/>
      <c r="H1152" s="387"/>
      <c r="I1152" s="387"/>
      <c r="J1152" s="387"/>
      <c r="K1152" s="387"/>
      <c r="L1152" s="387"/>
      <c r="M1152" s="388"/>
      <c r="N1152" s="388"/>
      <c r="O1152" s="390"/>
      <c r="P1152" s="391"/>
      <c r="Q1152" s="389"/>
      <c r="R1152" s="390"/>
      <c r="S1152" s="390"/>
      <c r="T1152" s="391"/>
      <c r="U1152" s="392"/>
      <c r="V1152" s="391"/>
      <c r="W1152" s="391"/>
      <c r="X1152" s="388"/>
      <c r="Y1152" s="391"/>
      <c r="Z1152" s="393"/>
      <c r="AA1152" s="355" t="str">
        <f t="shared" si="1"/>
        <v/>
      </c>
      <c r="AB1152" s="391"/>
      <c r="AC1152" s="394" t="str">
        <f t="shared" si="2"/>
        <v/>
      </c>
      <c r="AD1152" s="389"/>
      <c r="AE1152" s="399"/>
      <c r="AF1152" s="395"/>
      <c r="AG1152" s="396" t="str">
        <f t="shared" si="3"/>
        <v/>
      </c>
      <c r="AH1152" s="396" t="str">
        <f t="shared" si="4"/>
        <v/>
      </c>
      <c r="AI1152" s="388"/>
      <c r="AJ1152" s="388"/>
      <c r="AK1152" s="397"/>
    </row>
    <row r="1153">
      <c r="A1153" s="398"/>
      <c r="B1153" s="386"/>
      <c r="C1153" s="387" t="str">
        <f>IF(A1153="","",IFERROR(IF(VLOOKUP(A1153,'1. Inbound Leads'!A:G,7,FALSE)=0,"",VLOOKUP(A1153,'1. Inbound Leads'!A:G,7,FALSE)),""))</f>
        <v/>
      </c>
      <c r="D1153" s="387" t="str">
        <f>IF(A1153="","",IFERROR(IF(VLOOKUP(A1153,'1. Inbound Leads'!A:L,12,FALSE)=0,"",VLOOKUP(A1153,'1. Inbound Leads'!A:L,12,FALSE)),""))</f>
        <v/>
      </c>
      <c r="E1153" s="388"/>
      <c r="F1153" s="389"/>
      <c r="G1153" s="387"/>
      <c r="H1153" s="387"/>
      <c r="I1153" s="387"/>
      <c r="J1153" s="387"/>
      <c r="K1153" s="387"/>
      <c r="L1153" s="387"/>
      <c r="M1153" s="388"/>
      <c r="N1153" s="388"/>
      <c r="O1153" s="390"/>
      <c r="P1153" s="391"/>
      <c r="Q1153" s="389"/>
      <c r="R1153" s="390"/>
      <c r="S1153" s="390"/>
      <c r="T1153" s="391"/>
      <c r="U1153" s="392"/>
      <c r="V1153" s="391"/>
      <c r="W1153" s="391"/>
      <c r="X1153" s="388"/>
      <c r="Y1153" s="391"/>
      <c r="Z1153" s="393"/>
      <c r="AA1153" s="355" t="str">
        <f t="shared" si="1"/>
        <v/>
      </c>
      <c r="AB1153" s="391"/>
      <c r="AC1153" s="394" t="str">
        <f t="shared" si="2"/>
        <v/>
      </c>
      <c r="AD1153" s="389"/>
      <c r="AE1153" s="399"/>
      <c r="AF1153" s="395"/>
      <c r="AG1153" s="396" t="str">
        <f t="shared" si="3"/>
        <v/>
      </c>
      <c r="AH1153" s="396" t="str">
        <f t="shared" si="4"/>
        <v/>
      </c>
      <c r="AI1153" s="388"/>
      <c r="AJ1153" s="388"/>
      <c r="AK1153" s="397"/>
    </row>
    <row r="1154">
      <c r="A1154" s="398"/>
      <c r="B1154" s="386"/>
      <c r="C1154" s="387" t="str">
        <f>IF(A1154="","",IFERROR(IF(VLOOKUP(A1154,'1. Inbound Leads'!A:G,7,FALSE)=0,"",VLOOKUP(A1154,'1. Inbound Leads'!A:G,7,FALSE)),""))</f>
        <v/>
      </c>
      <c r="D1154" s="387" t="str">
        <f>IF(A1154="","",IFERROR(IF(VLOOKUP(A1154,'1. Inbound Leads'!A:L,12,FALSE)=0,"",VLOOKUP(A1154,'1. Inbound Leads'!A:L,12,FALSE)),""))</f>
        <v/>
      </c>
      <c r="E1154" s="388"/>
      <c r="F1154" s="389"/>
      <c r="G1154" s="387"/>
      <c r="H1154" s="387"/>
      <c r="I1154" s="387"/>
      <c r="J1154" s="387"/>
      <c r="K1154" s="387"/>
      <c r="L1154" s="387"/>
      <c r="M1154" s="388"/>
      <c r="N1154" s="388"/>
      <c r="O1154" s="390"/>
      <c r="P1154" s="391"/>
      <c r="Q1154" s="389"/>
      <c r="R1154" s="390"/>
      <c r="S1154" s="390"/>
      <c r="T1154" s="391"/>
      <c r="U1154" s="392"/>
      <c r="V1154" s="391"/>
      <c r="W1154" s="391"/>
      <c r="X1154" s="388"/>
      <c r="Y1154" s="391"/>
      <c r="Z1154" s="393"/>
      <c r="AA1154" s="355" t="str">
        <f t="shared" si="1"/>
        <v/>
      </c>
      <c r="AB1154" s="391"/>
      <c r="AC1154" s="394" t="str">
        <f t="shared" si="2"/>
        <v/>
      </c>
      <c r="AD1154" s="389"/>
      <c r="AE1154" s="399"/>
      <c r="AF1154" s="395"/>
      <c r="AG1154" s="396" t="str">
        <f t="shared" si="3"/>
        <v/>
      </c>
      <c r="AH1154" s="396" t="str">
        <f t="shared" si="4"/>
        <v/>
      </c>
      <c r="AI1154" s="388"/>
      <c r="AJ1154" s="388"/>
      <c r="AK1154" s="397"/>
    </row>
    <row r="1155">
      <c r="A1155" s="398"/>
      <c r="B1155" s="386"/>
      <c r="C1155" s="387" t="str">
        <f>IF(A1155="","",IFERROR(IF(VLOOKUP(A1155,'1. Inbound Leads'!A:G,7,FALSE)=0,"",VLOOKUP(A1155,'1. Inbound Leads'!A:G,7,FALSE)),""))</f>
        <v/>
      </c>
      <c r="D1155" s="387" t="str">
        <f>IF(A1155="","",IFERROR(IF(VLOOKUP(A1155,'1. Inbound Leads'!A:L,12,FALSE)=0,"",VLOOKUP(A1155,'1. Inbound Leads'!A:L,12,FALSE)),""))</f>
        <v/>
      </c>
      <c r="E1155" s="388"/>
      <c r="F1155" s="389"/>
      <c r="G1155" s="387"/>
      <c r="H1155" s="387"/>
      <c r="I1155" s="387"/>
      <c r="J1155" s="387"/>
      <c r="K1155" s="387"/>
      <c r="L1155" s="387"/>
      <c r="M1155" s="388"/>
      <c r="N1155" s="388"/>
      <c r="O1155" s="390"/>
      <c r="P1155" s="391"/>
      <c r="Q1155" s="389"/>
      <c r="R1155" s="390"/>
      <c r="S1155" s="390"/>
      <c r="T1155" s="391"/>
      <c r="U1155" s="392"/>
      <c r="V1155" s="391"/>
      <c r="W1155" s="391"/>
      <c r="X1155" s="388"/>
      <c r="Y1155" s="391"/>
      <c r="Z1155" s="393"/>
      <c r="AA1155" s="355" t="str">
        <f t="shared" si="1"/>
        <v/>
      </c>
      <c r="AB1155" s="391"/>
      <c r="AC1155" s="394" t="str">
        <f t="shared" si="2"/>
        <v/>
      </c>
      <c r="AD1155" s="389"/>
      <c r="AE1155" s="399"/>
      <c r="AF1155" s="395"/>
      <c r="AG1155" s="396" t="str">
        <f t="shared" si="3"/>
        <v/>
      </c>
      <c r="AH1155" s="396" t="str">
        <f t="shared" si="4"/>
        <v/>
      </c>
      <c r="AI1155" s="388"/>
      <c r="AJ1155" s="388"/>
      <c r="AK1155" s="397"/>
    </row>
    <row r="1156">
      <c r="A1156" s="398"/>
      <c r="B1156" s="386"/>
      <c r="C1156" s="387" t="str">
        <f>IF(A1156="","",IFERROR(IF(VLOOKUP(A1156,'1. Inbound Leads'!A:G,7,FALSE)=0,"",VLOOKUP(A1156,'1. Inbound Leads'!A:G,7,FALSE)),""))</f>
        <v/>
      </c>
      <c r="D1156" s="387" t="str">
        <f>IF(A1156="","",IFERROR(IF(VLOOKUP(A1156,'1. Inbound Leads'!A:L,12,FALSE)=0,"",VLOOKUP(A1156,'1. Inbound Leads'!A:L,12,FALSE)),""))</f>
        <v/>
      </c>
      <c r="E1156" s="388"/>
      <c r="F1156" s="389"/>
      <c r="G1156" s="387"/>
      <c r="H1156" s="387"/>
      <c r="I1156" s="387"/>
      <c r="J1156" s="387"/>
      <c r="K1156" s="387"/>
      <c r="L1156" s="387"/>
      <c r="M1156" s="388"/>
      <c r="N1156" s="388"/>
      <c r="O1156" s="390"/>
      <c r="P1156" s="391"/>
      <c r="Q1156" s="389"/>
      <c r="R1156" s="390"/>
      <c r="S1156" s="390"/>
      <c r="T1156" s="391"/>
      <c r="U1156" s="392"/>
      <c r="V1156" s="391"/>
      <c r="W1156" s="391"/>
      <c r="X1156" s="388"/>
      <c r="Y1156" s="391"/>
      <c r="Z1156" s="393"/>
      <c r="AA1156" s="355" t="str">
        <f t="shared" si="1"/>
        <v/>
      </c>
      <c r="AB1156" s="391"/>
      <c r="AC1156" s="394" t="str">
        <f t="shared" si="2"/>
        <v/>
      </c>
      <c r="AD1156" s="389"/>
      <c r="AE1156" s="399"/>
      <c r="AF1156" s="395"/>
      <c r="AG1156" s="396" t="str">
        <f t="shared" si="3"/>
        <v/>
      </c>
      <c r="AH1156" s="396" t="str">
        <f t="shared" si="4"/>
        <v/>
      </c>
      <c r="AI1156" s="388"/>
      <c r="AJ1156" s="388"/>
      <c r="AK1156" s="397"/>
    </row>
    <row r="1157">
      <c r="A1157" s="398"/>
      <c r="B1157" s="386"/>
      <c r="C1157" s="387" t="str">
        <f>IF(A1157="","",IFERROR(IF(VLOOKUP(A1157,'1. Inbound Leads'!A:G,7,FALSE)=0,"",VLOOKUP(A1157,'1. Inbound Leads'!A:G,7,FALSE)),""))</f>
        <v/>
      </c>
      <c r="D1157" s="387" t="str">
        <f>IF(A1157="","",IFERROR(IF(VLOOKUP(A1157,'1. Inbound Leads'!A:L,12,FALSE)=0,"",VLOOKUP(A1157,'1. Inbound Leads'!A:L,12,FALSE)),""))</f>
        <v/>
      </c>
      <c r="E1157" s="388"/>
      <c r="F1157" s="389"/>
      <c r="G1157" s="387"/>
      <c r="H1157" s="387"/>
      <c r="I1157" s="387"/>
      <c r="J1157" s="387"/>
      <c r="K1157" s="387"/>
      <c r="L1157" s="387"/>
      <c r="M1157" s="388"/>
      <c r="N1157" s="388"/>
      <c r="O1157" s="390"/>
      <c r="P1157" s="391"/>
      <c r="Q1157" s="389"/>
      <c r="R1157" s="390"/>
      <c r="S1157" s="390"/>
      <c r="T1157" s="391"/>
      <c r="U1157" s="392"/>
      <c r="V1157" s="391"/>
      <c r="W1157" s="391"/>
      <c r="X1157" s="388"/>
      <c r="Y1157" s="391"/>
      <c r="Z1157" s="393"/>
      <c r="AA1157" s="355" t="str">
        <f t="shared" si="1"/>
        <v/>
      </c>
      <c r="AB1157" s="391"/>
      <c r="AC1157" s="394" t="str">
        <f t="shared" si="2"/>
        <v/>
      </c>
      <c r="AD1157" s="389"/>
      <c r="AE1157" s="399"/>
      <c r="AF1157" s="395"/>
      <c r="AG1157" s="396" t="str">
        <f t="shared" si="3"/>
        <v/>
      </c>
      <c r="AH1157" s="396" t="str">
        <f t="shared" si="4"/>
        <v/>
      </c>
      <c r="AI1157" s="388"/>
      <c r="AJ1157" s="388"/>
      <c r="AK1157" s="397"/>
    </row>
    <row r="1158">
      <c r="A1158" s="398"/>
      <c r="B1158" s="386"/>
      <c r="C1158" s="387" t="str">
        <f>IF(A1158="","",IFERROR(IF(VLOOKUP(A1158,'1. Inbound Leads'!A:G,7,FALSE)=0,"",VLOOKUP(A1158,'1. Inbound Leads'!A:G,7,FALSE)),""))</f>
        <v/>
      </c>
      <c r="D1158" s="387" t="str">
        <f>IF(A1158="","",IFERROR(IF(VLOOKUP(A1158,'1. Inbound Leads'!A:L,12,FALSE)=0,"",VLOOKUP(A1158,'1. Inbound Leads'!A:L,12,FALSE)),""))</f>
        <v/>
      </c>
      <c r="E1158" s="388"/>
      <c r="F1158" s="389"/>
      <c r="G1158" s="387"/>
      <c r="H1158" s="387"/>
      <c r="I1158" s="387"/>
      <c r="J1158" s="387"/>
      <c r="K1158" s="387"/>
      <c r="L1158" s="387"/>
      <c r="M1158" s="388"/>
      <c r="N1158" s="388"/>
      <c r="O1158" s="390"/>
      <c r="P1158" s="391"/>
      <c r="Q1158" s="389"/>
      <c r="R1158" s="390"/>
      <c r="S1158" s="390"/>
      <c r="T1158" s="391"/>
      <c r="U1158" s="392"/>
      <c r="V1158" s="391"/>
      <c r="W1158" s="391"/>
      <c r="X1158" s="388"/>
      <c r="Y1158" s="391"/>
      <c r="Z1158" s="393"/>
      <c r="AA1158" s="355" t="str">
        <f t="shared" si="1"/>
        <v/>
      </c>
      <c r="AB1158" s="391"/>
      <c r="AC1158" s="394" t="str">
        <f t="shared" si="2"/>
        <v/>
      </c>
      <c r="AD1158" s="389"/>
      <c r="AE1158" s="399"/>
      <c r="AF1158" s="395"/>
      <c r="AG1158" s="396" t="str">
        <f t="shared" si="3"/>
        <v/>
      </c>
      <c r="AH1158" s="396" t="str">
        <f t="shared" si="4"/>
        <v/>
      </c>
      <c r="AI1158" s="388"/>
      <c r="AJ1158" s="388"/>
      <c r="AK1158" s="397"/>
    </row>
    <row r="1159">
      <c r="A1159" s="398"/>
      <c r="B1159" s="386"/>
      <c r="C1159" s="387" t="str">
        <f>IF(A1159="","",IFERROR(IF(VLOOKUP(A1159,'1. Inbound Leads'!A:G,7,FALSE)=0,"",VLOOKUP(A1159,'1. Inbound Leads'!A:G,7,FALSE)),""))</f>
        <v/>
      </c>
      <c r="D1159" s="387" t="str">
        <f>IF(A1159="","",IFERROR(IF(VLOOKUP(A1159,'1. Inbound Leads'!A:L,12,FALSE)=0,"",VLOOKUP(A1159,'1. Inbound Leads'!A:L,12,FALSE)),""))</f>
        <v/>
      </c>
      <c r="E1159" s="388"/>
      <c r="F1159" s="389"/>
      <c r="G1159" s="387"/>
      <c r="H1159" s="387"/>
      <c r="I1159" s="387"/>
      <c r="J1159" s="387"/>
      <c r="K1159" s="387"/>
      <c r="L1159" s="387"/>
      <c r="M1159" s="388"/>
      <c r="N1159" s="388"/>
      <c r="O1159" s="390"/>
      <c r="P1159" s="391"/>
      <c r="Q1159" s="389"/>
      <c r="R1159" s="390"/>
      <c r="S1159" s="390"/>
      <c r="T1159" s="391"/>
      <c r="U1159" s="392"/>
      <c r="V1159" s="391"/>
      <c r="W1159" s="391"/>
      <c r="X1159" s="388"/>
      <c r="Y1159" s="391"/>
      <c r="Z1159" s="393"/>
      <c r="AA1159" s="355" t="str">
        <f t="shared" si="1"/>
        <v/>
      </c>
      <c r="AB1159" s="391"/>
      <c r="AC1159" s="394" t="str">
        <f t="shared" si="2"/>
        <v/>
      </c>
      <c r="AD1159" s="389"/>
      <c r="AE1159" s="399"/>
      <c r="AF1159" s="395"/>
      <c r="AG1159" s="396" t="str">
        <f t="shared" si="3"/>
        <v/>
      </c>
      <c r="AH1159" s="396" t="str">
        <f t="shared" si="4"/>
        <v/>
      </c>
      <c r="AI1159" s="388"/>
      <c r="AJ1159" s="388"/>
      <c r="AK1159" s="397"/>
    </row>
    <row r="1160">
      <c r="A1160" s="398"/>
      <c r="B1160" s="386"/>
      <c r="C1160" s="387" t="str">
        <f>IF(A1160="","",IFERROR(IF(VLOOKUP(A1160,'1. Inbound Leads'!A:G,7,FALSE)=0,"",VLOOKUP(A1160,'1. Inbound Leads'!A:G,7,FALSE)),""))</f>
        <v/>
      </c>
      <c r="D1160" s="387" t="str">
        <f>IF(A1160="","",IFERROR(IF(VLOOKUP(A1160,'1. Inbound Leads'!A:L,12,FALSE)=0,"",VLOOKUP(A1160,'1. Inbound Leads'!A:L,12,FALSE)),""))</f>
        <v/>
      </c>
      <c r="E1160" s="388"/>
      <c r="F1160" s="389"/>
      <c r="G1160" s="387"/>
      <c r="H1160" s="387"/>
      <c r="I1160" s="387"/>
      <c r="J1160" s="387"/>
      <c r="K1160" s="387"/>
      <c r="L1160" s="387"/>
      <c r="M1160" s="388"/>
      <c r="N1160" s="388"/>
      <c r="O1160" s="390"/>
      <c r="P1160" s="391"/>
      <c r="Q1160" s="389"/>
      <c r="R1160" s="390"/>
      <c r="S1160" s="390"/>
      <c r="T1160" s="391"/>
      <c r="U1160" s="392"/>
      <c r="V1160" s="391"/>
      <c r="W1160" s="391"/>
      <c r="X1160" s="388"/>
      <c r="Y1160" s="391"/>
      <c r="Z1160" s="393"/>
      <c r="AA1160" s="355" t="str">
        <f t="shared" si="1"/>
        <v/>
      </c>
      <c r="AB1160" s="391"/>
      <c r="AC1160" s="394" t="str">
        <f t="shared" si="2"/>
        <v/>
      </c>
      <c r="AD1160" s="389"/>
      <c r="AE1160" s="399"/>
      <c r="AF1160" s="395"/>
      <c r="AG1160" s="396" t="str">
        <f t="shared" si="3"/>
        <v/>
      </c>
      <c r="AH1160" s="396" t="str">
        <f t="shared" si="4"/>
        <v/>
      </c>
      <c r="AI1160" s="388"/>
      <c r="AJ1160" s="388"/>
      <c r="AK1160" s="397"/>
    </row>
    <row r="1161">
      <c r="A1161" s="398"/>
      <c r="B1161" s="386"/>
      <c r="C1161" s="387" t="str">
        <f>IF(A1161="","",IFERROR(IF(VLOOKUP(A1161,'1. Inbound Leads'!A:G,7,FALSE)=0,"",VLOOKUP(A1161,'1. Inbound Leads'!A:G,7,FALSE)),""))</f>
        <v/>
      </c>
      <c r="D1161" s="387" t="str">
        <f>IF(A1161="","",IFERROR(IF(VLOOKUP(A1161,'1. Inbound Leads'!A:L,12,FALSE)=0,"",VLOOKUP(A1161,'1. Inbound Leads'!A:L,12,FALSE)),""))</f>
        <v/>
      </c>
      <c r="E1161" s="388"/>
      <c r="F1161" s="389"/>
      <c r="G1161" s="387"/>
      <c r="H1161" s="387"/>
      <c r="I1161" s="387"/>
      <c r="J1161" s="387"/>
      <c r="K1161" s="387"/>
      <c r="L1161" s="387"/>
      <c r="M1161" s="388"/>
      <c r="N1161" s="388"/>
      <c r="O1161" s="390"/>
      <c r="P1161" s="391"/>
      <c r="Q1161" s="389"/>
      <c r="R1161" s="390"/>
      <c r="S1161" s="390"/>
      <c r="T1161" s="391"/>
      <c r="U1161" s="392"/>
      <c r="V1161" s="391"/>
      <c r="W1161" s="391"/>
      <c r="X1161" s="388"/>
      <c r="Y1161" s="391"/>
      <c r="Z1161" s="393"/>
      <c r="AA1161" s="355" t="str">
        <f t="shared" si="1"/>
        <v/>
      </c>
      <c r="AB1161" s="391"/>
      <c r="AC1161" s="394" t="str">
        <f t="shared" si="2"/>
        <v/>
      </c>
      <c r="AD1161" s="389"/>
      <c r="AE1161" s="399"/>
      <c r="AF1161" s="395"/>
      <c r="AG1161" s="396" t="str">
        <f t="shared" si="3"/>
        <v/>
      </c>
      <c r="AH1161" s="396" t="str">
        <f t="shared" si="4"/>
        <v/>
      </c>
      <c r="AI1161" s="388"/>
      <c r="AJ1161" s="388"/>
      <c r="AK1161" s="397"/>
    </row>
    <row r="1162">
      <c r="A1162" s="398"/>
      <c r="B1162" s="386"/>
      <c r="C1162" s="387" t="str">
        <f>IF(A1162="","",IFERROR(IF(VLOOKUP(A1162,'1. Inbound Leads'!A:G,7,FALSE)=0,"",VLOOKUP(A1162,'1. Inbound Leads'!A:G,7,FALSE)),""))</f>
        <v/>
      </c>
      <c r="D1162" s="387" t="str">
        <f>IF(A1162="","",IFERROR(IF(VLOOKUP(A1162,'1. Inbound Leads'!A:L,12,FALSE)=0,"",VLOOKUP(A1162,'1. Inbound Leads'!A:L,12,FALSE)),""))</f>
        <v/>
      </c>
      <c r="E1162" s="388"/>
      <c r="F1162" s="389"/>
      <c r="G1162" s="387"/>
      <c r="H1162" s="387"/>
      <c r="I1162" s="387"/>
      <c r="J1162" s="387"/>
      <c r="K1162" s="387"/>
      <c r="L1162" s="387"/>
      <c r="M1162" s="388"/>
      <c r="N1162" s="388"/>
      <c r="O1162" s="390"/>
      <c r="P1162" s="391"/>
      <c r="Q1162" s="389"/>
      <c r="R1162" s="390"/>
      <c r="S1162" s="390"/>
      <c r="T1162" s="391"/>
      <c r="U1162" s="392"/>
      <c r="V1162" s="391"/>
      <c r="W1162" s="391"/>
      <c r="X1162" s="388"/>
      <c r="Y1162" s="391"/>
      <c r="Z1162" s="393"/>
      <c r="AA1162" s="355" t="str">
        <f t="shared" si="1"/>
        <v/>
      </c>
      <c r="AB1162" s="391"/>
      <c r="AC1162" s="394" t="str">
        <f t="shared" si="2"/>
        <v/>
      </c>
      <c r="AD1162" s="389"/>
      <c r="AE1162" s="399"/>
      <c r="AF1162" s="395"/>
      <c r="AG1162" s="396" t="str">
        <f t="shared" si="3"/>
        <v/>
      </c>
      <c r="AH1162" s="396" t="str">
        <f t="shared" si="4"/>
        <v/>
      </c>
      <c r="AI1162" s="388"/>
      <c r="AJ1162" s="388"/>
      <c r="AK1162" s="397"/>
    </row>
    <row r="1163">
      <c r="A1163" s="398"/>
      <c r="B1163" s="386"/>
      <c r="C1163" s="387" t="str">
        <f>IF(A1163="","",IFERROR(IF(VLOOKUP(A1163,'1. Inbound Leads'!A:G,7,FALSE)=0,"",VLOOKUP(A1163,'1. Inbound Leads'!A:G,7,FALSE)),""))</f>
        <v/>
      </c>
      <c r="D1163" s="387" t="str">
        <f>IF(A1163="","",IFERROR(IF(VLOOKUP(A1163,'1. Inbound Leads'!A:L,12,FALSE)=0,"",VLOOKUP(A1163,'1. Inbound Leads'!A:L,12,FALSE)),""))</f>
        <v/>
      </c>
      <c r="E1163" s="388"/>
      <c r="F1163" s="389"/>
      <c r="G1163" s="387"/>
      <c r="H1163" s="387"/>
      <c r="I1163" s="387"/>
      <c r="J1163" s="387"/>
      <c r="K1163" s="387"/>
      <c r="L1163" s="387"/>
      <c r="M1163" s="388"/>
      <c r="N1163" s="388"/>
      <c r="O1163" s="390"/>
      <c r="P1163" s="391"/>
      <c r="Q1163" s="389"/>
      <c r="R1163" s="390"/>
      <c r="S1163" s="390"/>
      <c r="T1163" s="391"/>
      <c r="U1163" s="392"/>
      <c r="V1163" s="391"/>
      <c r="W1163" s="391"/>
      <c r="X1163" s="388"/>
      <c r="Y1163" s="391"/>
      <c r="Z1163" s="393"/>
      <c r="AA1163" s="355" t="str">
        <f t="shared" si="1"/>
        <v/>
      </c>
      <c r="AB1163" s="391"/>
      <c r="AC1163" s="394" t="str">
        <f t="shared" si="2"/>
        <v/>
      </c>
      <c r="AD1163" s="389"/>
      <c r="AE1163" s="399"/>
      <c r="AF1163" s="395"/>
      <c r="AG1163" s="396" t="str">
        <f t="shared" si="3"/>
        <v/>
      </c>
      <c r="AH1163" s="396" t="str">
        <f t="shared" si="4"/>
        <v/>
      </c>
      <c r="AI1163" s="388"/>
      <c r="AJ1163" s="388"/>
      <c r="AK1163" s="397"/>
    </row>
    <row r="1164">
      <c r="A1164" s="398"/>
      <c r="B1164" s="386"/>
      <c r="C1164" s="387" t="str">
        <f>IF(A1164="","",IFERROR(IF(VLOOKUP(A1164,'1. Inbound Leads'!A:G,7,FALSE)=0,"",VLOOKUP(A1164,'1. Inbound Leads'!A:G,7,FALSE)),""))</f>
        <v/>
      </c>
      <c r="D1164" s="387" t="str">
        <f>IF(A1164="","",IFERROR(IF(VLOOKUP(A1164,'1. Inbound Leads'!A:L,12,FALSE)=0,"",VLOOKUP(A1164,'1. Inbound Leads'!A:L,12,FALSE)),""))</f>
        <v/>
      </c>
      <c r="E1164" s="388"/>
      <c r="F1164" s="389"/>
      <c r="G1164" s="387"/>
      <c r="H1164" s="387"/>
      <c r="I1164" s="387"/>
      <c r="J1164" s="387"/>
      <c r="K1164" s="387"/>
      <c r="L1164" s="387"/>
      <c r="M1164" s="388"/>
      <c r="N1164" s="388"/>
      <c r="O1164" s="390"/>
      <c r="P1164" s="391"/>
      <c r="Q1164" s="389"/>
      <c r="R1164" s="390"/>
      <c r="S1164" s="390"/>
      <c r="T1164" s="391"/>
      <c r="U1164" s="392"/>
      <c r="V1164" s="391"/>
      <c r="W1164" s="391"/>
      <c r="X1164" s="388"/>
      <c r="Y1164" s="391"/>
      <c r="Z1164" s="393"/>
      <c r="AA1164" s="355" t="str">
        <f t="shared" si="1"/>
        <v/>
      </c>
      <c r="AB1164" s="391"/>
      <c r="AC1164" s="394" t="str">
        <f t="shared" si="2"/>
        <v/>
      </c>
      <c r="AD1164" s="389"/>
      <c r="AE1164" s="399"/>
      <c r="AF1164" s="395"/>
      <c r="AG1164" s="396" t="str">
        <f t="shared" si="3"/>
        <v/>
      </c>
      <c r="AH1164" s="396" t="str">
        <f t="shared" si="4"/>
        <v/>
      </c>
      <c r="AI1164" s="388"/>
      <c r="AJ1164" s="388"/>
      <c r="AK1164" s="397"/>
    </row>
    <row r="1165">
      <c r="A1165" s="398"/>
      <c r="B1165" s="386"/>
      <c r="C1165" s="387" t="str">
        <f>IF(A1165="","",IFERROR(IF(VLOOKUP(A1165,'1. Inbound Leads'!A:G,7,FALSE)=0,"",VLOOKUP(A1165,'1. Inbound Leads'!A:G,7,FALSE)),""))</f>
        <v/>
      </c>
      <c r="D1165" s="387" t="str">
        <f>IF(A1165="","",IFERROR(IF(VLOOKUP(A1165,'1. Inbound Leads'!A:L,12,FALSE)=0,"",VLOOKUP(A1165,'1. Inbound Leads'!A:L,12,FALSE)),""))</f>
        <v/>
      </c>
      <c r="E1165" s="388"/>
      <c r="F1165" s="389"/>
      <c r="G1165" s="387"/>
      <c r="H1165" s="387"/>
      <c r="I1165" s="387"/>
      <c r="J1165" s="387"/>
      <c r="K1165" s="387"/>
      <c r="L1165" s="387"/>
      <c r="M1165" s="388"/>
      <c r="N1165" s="388"/>
      <c r="O1165" s="390"/>
      <c r="P1165" s="391"/>
      <c r="Q1165" s="389"/>
      <c r="R1165" s="390"/>
      <c r="S1165" s="390"/>
      <c r="T1165" s="391"/>
      <c r="U1165" s="392"/>
      <c r="V1165" s="391"/>
      <c r="W1165" s="391"/>
      <c r="X1165" s="388"/>
      <c r="Y1165" s="391"/>
      <c r="Z1165" s="393"/>
      <c r="AA1165" s="355" t="str">
        <f t="shared" si="1"/>
        <v/>
      </c>
      <c r="AB1165" s="391"/>
      <c r="AC1165" s="394" t="str">
        <f t="shared" si="2"/>
        <v/>
      </c>
      <c r="AD1165" s="389"/>
      <c r="AE1165" s="399"/>
      <c r="AF1165" s="395"/>
      <c r="AG1165" s="396" t="str">
        <f t="shared" si="3"/>
        <v/>
      </c>
      <c r="AH1165" s="396" t="str">
        <f t="shared" si="4"/>
        <v/>
      </c>
      <c r="AI1165" s="388"/>
      <c r="AJ1165" s="388"/>
      <c r="AK1165" s="397"/>
    </row>
    <row r="1166">
      <c r="A1166" s="398"/>
      <c r="B1166" s="386"/>
      <c r="C1166" s="387" t="str">
        <f>IF(A1166="","",IFERROR(IF(VLOOKUP(A1166,'1. Inbound Leads'!A:G,7,FALSE)=0,"",VLOOKUP(A1166,'1. Inbound Leads'!A:G,7,FALSE)),""))</f>
        <v/>
      </c>
      <c r="D1166" s="387" t="str">
        <f>IF(A1166="","",IFERROR(IF(VLOOKUP(A1166,'1. Inbound Leads'!A:L,12,FALSE)=0,"",VLOOKUP(A1166,'1. Inbound Leads'!A:L,12,FALSE)),""))</f>
        <v/>
      </c>
      <c r="E1166" s="388"/>
      <c r="F1166" s="389"/>
      <c r="G1166" s="387"/>
      <c r="H1166" s="387"/>
      <c r="I1166" s="387"/>
      <c r="J1166" s="387"/>
      <c r="K1166" s="387"/>
      <c r="L1166" s="387"/>
      <c r="M1166" s="388"/>
      <c r="N1166" s="388"/>
      <c r="O1166" s="390"/>
      <c r="P1166" s="391"/>
      <c r="Q1166" s="389"/>
      <c r="R1166" s="390"/>
      <c r="S1166" s="390"/>
      <c r="T1166" s="391"/>
      <c r="U1166" s="392"/>
      <c r="V1166" s="391"/>
      <c r="W1166" s="391"/>
      <c r="X1166" s="388"/>
      <c r="Y1166" s="391"/>
      <c r="Z1166" s="393"/>
      <c r="AA1166" s="355" t="str">
        <f t="shared" si="1"/>
        <v/>
      </c>
      <c r="AB1166" s="391"/>
      <c r="AC1166" s="394" t="str">
        <f t="shared" si="2"/>
        <v/>
      </c>
      <c r="AD1166" s="389"/>
      <c r="AE1166" s="399"/>
      <c r="AF1166" s="395"/>
      <c r="AG1166" s="396" t="str">
        <f t="shared" si="3"/>
        <v/>
      </c>
      <c r="AH1166" s="396" t="str">
        <f t="shared" si="4"/>
        <v/>
      </c>
      <c r="AI1166" s="388"/>
      <c r="AJ1166" s="388"/>
      <c r="AK1166" s="397"/>
    </row>
    <row r="1167">
      <c r="A1167" s="398"/>
      <c r="B1167" s="386"/>
      <c r="C1167" s="387" t="str">
        <f>IF(A1167="","",IFERROR(IF(VLOOKUP(A1167,'1. Inbound Leads'!A:G,7,FALSE)=0,"",VLOOKUP(A1167,'1. Inbound Leads'!A:G,7,FALSE)),""))</f>
        <v/>
      </c>
      <c r="D1167" s="387" t="str">
        <f>IF(A1167="","",IFERROR(IF(VLOOKUP(A1167,'1. Inbound Leads'!A:L,12,FALSE)=0,"",VLOOKUP(A1167,'1. Inbound Leads'!A:L,12,FALSE)),""))</f>
        <v/>
      </c>
      <c r="E1167" s="388"/>
      <c r="F1167" s="389"/>
      <c r="G1167" s="387"/>
      <c r="H1167" s="387"/>
      <c r="I1167" s="387"/>
      <c r="J1167" s="387"/>
      <c r="K1167" s="387"/>
      <c r="L1167" s="387"/>
      <c r="M1167" s="388"/>
      <c r="N1167" s="388"/>
      <c r="O1167" s="390"/>
      <c r="P1167" s="391"/>
      <c r="Q1167" s="389"/>
      <c r="R1167" s="390"/>
      <c r="S1167" s="390"/>
      <c r="T1167" s="391"/>
      <c r="U1167" s="392"/>
      <c r="V1167" s="391"/>
      <c r="W1167" s="391"/>
      <c r="X1167" s="388"/>
      <c r="Y1167" s="391"/>
      <c r="Z1167" s="393"/>
      <c r="AA1167" s="355" t="str">
        <f t="shared" si="1"/>
        <v/>
      </c>
      <c r="AB1167" s="391"/>
      <c r="AC1167" s="394" t="str">
        <f t="shared" si="2"/>
        <v/>
      </c>
      <c r="AD1167" s="389"/>
      <c r="AE1167" s="399"/>
      <c r="AF1167" s="395"/>
      <c r="AG1167" s="396" t="str">
        <f t="shared" si="3"/>
        <v/>
      </c>
      <c r="AH1167" s="396" t="str">
        <f t="shared" si="4"/>
        <v/>
      </c>
      <c r="AI1167" s="388"/>
      <c r="AJ1167" s="388"/>
      <c r="AK1167" s="397"/>
    </row>
    <row r="1168">
      <c r="A1168" s="398"/>
      <c r="B1168" s="386"/>
      <c r="C1168" s="387" t="str">
        <f>IF(A1168="","",IFERROR(IF(VLOOKUP(A1168,'1. Inbound Leads'!A:G,7,FALSE)=0,"",VLOOKUP(A1168,'1. Inbound Leads'!A:G,7,FALSE)),""))</f>
        <v/>
      </c>
      <c r="D1168" s="387" t="str">
        <f>IF(A1168="","",IFERROR(IF(VLOOKUP(A1168,'1. Inbound Leads'!A:L,12,FALSE)=0,"",VLOOKUP(A1168,'1. Inbound Leads'!A:L,12,FALSE)),""))</f>
        <v/>
      </c>
      <c r="E1168" s="388"/>
      <c r="F1168" s="389"/>
      <c r="G1168" s="387"/>
      <c r="H1168" s="387"/>
      <c r="I1168" s="387"/>
      <c r="J1168" s="387"/>
      <c r="K1168" s="387"/>
      <c r="L1168" s="387"/>
      <c r="M1168" s="388"/>
      <c r="N1168" s="388"/>
      <c r="O1168" s="390"/>
      <c r="P1168" s="391"/>
      <c r="Q1168" s="389"/>
      <c r="R1168" s="390"/>
      <c r="S1168" s="390"/>
      <c r="T1168" s="391"/>
      <c r="U1168" s="392"/>
      <c r="V1168" s="391"/>
      <c r="W1168" s="391"/>
      <c r="X1168" s="388"/>
      <c r="Y1168" s="391"/>
      <c r="Z1168" s="393"/>
      <c r="AA1168" s="355" t="str">
        <f t="shared" si="1"/>
        <v/>
      </c>
      <c r="AB1168" s="391"/>
      <c r="AC1168" s="394" t="str">
        <f t="shared" si="2"/>
        <v/>
      </c>
      <c r="AD1168" s="389"/>
      <c r="AE1168" s="399"/>
      <c r="AF1168" s="395"/>
      <c r="AG1168" s="396" t="str">
        <f t="shared" si="3"/>
        <v/>
      </c>
      <c r="AH1168" s="396" t="str">
        <f t="shared" si="4"/>
        <v/>
      </c>
      <c r="AI1168" s="388"/>
      <c r="AJ1168" s="388"/>
      <c r="AK1168" s="397"/>
    </row>
    <row r="1169">
      <c r="A1169" s="398"/>
      <c r="B1169" s="386"/>
      <c r="C1169" s="387" t="str">
        <f>IF(A1169="","",IFERROR(IF(VLOOKUP(A1169,'1. Inbound Leads'!A:G,7,FALSE)=0,"",VLOOKUP(A1169,'1. Inbound Leads'!A:G,7,FALSE)),""))</f>
        <v/>
      </c>
      <c r="D1169" s="387" t="str">
        <f>IF(A1169="","",IFERROR(IF(VLOOKUP(A1169,'1. Inbound Leads'!A:L,12,FALSE)=0,"",VLOOKUP(A1169,'1. Inbound Leads'!A:L,12,FALSE)),""))</f>
        <v/>
      </c>
      <c r="E1169" s="388"/>
      <c r="F1169" s="389"/>
      <c r="G1169" s="387"/>
      <c r="H1169" s="387"/>
      <c r="I1169" s="387"/>
      <c r="J1169" s="387"/>
      <c r="K1169" s="387"/>
      <c r="L1169" s="387"/>
      <c r="M1169" s="388"/>
      <c r="N1169" s="388"/>
      <c r="O1169" s="390"/>
      <c r="P1169" s="391"/>
      <c r="Q1169" s="389"/>
      <c r="R1169" s="390"/>
      <c r="S1169" s="390"/>
      <c r="T1169" s="391"/>
      <c r="U1169" s="392"/>
      <c r="V1169" s="391"/>
      <c r="W1169" s="391"/>
      <c r="X1169" s="388"/>
      <c r="Y1169" s="391"/>
      <c r="Z1169" s="393"/>
      <c r="AA1169" s="355" t="str">
        <f t="shared" si="1"/>
        <v/>
      </c>
      <c r="AB1169" s="391"/>
      <c r="AC1169" s="394" t="str">
        <f t="shared" si="2"/>
        <v/>
      </c>
      <c r="AD1169" s="389"/>
      <c r="AE1169" s="399"/>
      <c r="AF1169" s="395"/>
      <c r="AG1169" s="396" t="str">
        <f t="shared" si="3"/>
        <v/>
      </c>
      <c r="AH1169" s="396" t="str">
        <f t="shared" si="4"/>
        <v/>
      </c>
      <c r="AI1169" s="388"/>
      <c r="AJ1169" s="388"/>
      <c r="AK1169" s="397"/>
    </row>
    <row r="1170">
      <c r="A1170" s="398"/>
      <c r="B1170" s="386"/>
      <c r="C1170" s="387" t="str">
        <f>IF(A1170="","",IFERROR(IF(VLOOKUP(A1170,'1. Inbound Leads'!A:G,7,FALSE)=0,"",VLOOKUP(A1170,'1. Inbound Leads'!A:G,7,FALSE)),""))</f>
        <v/>
      </c>
      <c r="D1170" s="387" t="str">
        <f>IF(A1170="","",IFERROR(IF(VLOOKUP(A1170,'1. Inbound Leads'!A:L,12,FALSE)=0,"",VLOOKUP(A1170,'1. Inbound Leads'!A:L,12,FALSE)),""))</f>
        <v/>
      </c>
      <c r="E1170" s="388"/>
      <c r="F1170" s="389"/>
      <c r="G1170" s="387"/>
      <c r="H1170" s="387"/>
      <c r="I1170" s="387"/>
      <c r="J1170" s="387"/>
      <c r="K1170" s="387"/>
      <c r="L1170" s="387"/>
      <c r="M1170" s="388"/>
      <c r="N1170" s="388"/>
      <c r="O1170" s="390"/>
      <c r="P1170" s="391"/>
      <c r="Q1170" s="389"/>
      <c r="R1170" s="390"/>
      <c r="S1170" s="390"/>
      <c r="T1170" s="391"/>
      <c r="U1170" s="392"/>
      <c r="V1170" s="391"/>
      <c r="W1170" s="391"/>
      <c r="X1170" s="388"/>
      <c r="Y1170" s="391"/>
      <c r="Z1170" s="393"/>
      <c r="AA1170" s="355" t="str">
        <f t="shared" si="1"/>
        <v/>
      </c>
      <c r="AB1170" s="391"/>
      <c r="AC1170" s="394" t="str">
        <f t="shared" si="2"/>
        <v/>
      </c>
      <c r="AD1170" s="389"/>
      <c r="AE1170" s="399"/>
      <c r="AF1170" s="395"/>
      <c r="AG1170" s="396" t="str">
        <f t="shared" si="3"/>
        <v/>
      </c>
      <c r="AH1170" s="396" t="str">
        <f t="shared" si="4"/>
        <v/>
      </c>
      <c r="AI1170" s="388"/>
      <c r="AJ1170" s="388"/>
      <c r="AK1170" s="397"/>
    </row>
    <row r="1171">
      <c r="A1171" s="398"/>
      <c r="B1171" s="386"/>
      <c r="C1171" s="387" t="str">
        <f>IF(A1171="","",IFERROR(IF(VLOOKUP(A1171,'1. Inbound Leads'!A:G,7,FALSE)=0,"",VLOOKUP(A1171,'1. Inbound Leads'!A:G,7,FALSE)),""))</f>
        <v/>
      </c>
      <c r="D1171" s="387" t="str">
        <f>IF(A1171="","",IFERROR(IF(VLOOKUP(A1171,'1. Inbound Leads'!A:L,12,FALSE)=0,"",VLOOKUP(A1171,'1. Inbound Leads'!A:L,12,FALSE)),""))</f>
        <v/>
      </c>
      <c r="E1171" s="388"/>
      <c r="F1171" s="389"/>
      <c r="G1171" s="387"/>
      <c r="H1171" s="387"/>
      <c r="I1171" s="387"/>
      <c r="J1171" s="387"/>
      <c r="K1171" s="387"/>
      <c r="L1171" s="387"/>
      <c r="M1171" s="388"/>
      <c r="N1171" s="388"/>
      <c r="O1171" s="390"/>
      <c r="P1171" s="391"/>
      <c r="Q1171" s="389"/>
      <c r="R1171" s="390"/>
      <c r="S1171" s="390"/>
      <c r="T1171" s="391"/>
      <c r="U1171" s="392"/>
      <c r="V1171" s="391"/>
      <c r="W1171" s="391"/>
      <c r="X1171" s="388"/>
      <c r="Y1171" s="391"/>
      <c r="Z1171" s="393"/>
      <c r="AA1171" s="355" t="str">
        <f t="shared" si="1"/>
        <v/>
      </c>
      <c r="AB1171" s="391"/>
      <c r="AC1171" s="394" t="str">
        <f t="shared" si="2"/>
        <v/>
      </c>
      <c r="AD1171" s="389"/>
      <c r="AE1171" s="399"/>
      <c r="AF1171" s="395"/>
      <c r="AG1171" s="396" t="str">
        <f t="shared" si="3"/>
        <v/>
      </c>
      <c r="AH1171" s="396" t="str">
        <f t="shared" si="4"/>
        <v/>
      </c>
      <c r="AI1171" s="388"/>
      <c r="AJ1171" s="388"/>
      <c r="AK1171" s="397"/>
    </row>
    <row r="1172">
      <c r="A1172" s="398"/>
      <c r="B1172" s="386"/>
      <c r="C1172" s="387" t="str">
        <f>IF(A1172="","",IFERROR(IF(VLOOKUP(A1172,'1. Inbound Leads'!A:G,7,FALSE)=0,"",VLOOKUP(A1172,'1. Inbound Leads'!A:G,7,FALSE)),""))</f>
        <v/>
      </c>
      <c r="D1172" s="387" t="str">
        <f>IF(A1172="","",IFERROR(IF(VLOOKUP(A1172,'1. Inbound Leads'!A:L,12,FALSE)=0,"",VLOOKUP(A1172,'1. Inbound Leads'!A:L,12,FALSE)),""))</f>
        <v/>
      </c>
      <c r="E1172" s="388"/>
      <c r="F1172" s="389"/>
      <c r="G1172" s="387"/>
      <c r="H1172" s="387"/>
      <c r="I1172" s="387"/>
      <c r="J1172" s="387"/>
      <c r="K1172" s="387"/>
      <c r="L1172" s="387"/>
      <c r="M1172" s="388"/>
      <c r="N1172" s="388"/>
      <c r="O1172" s="390"/>
      <c r="P1172" s="391"/>
      <c r="Q1172" s="389"/>
      <c r="R1172" s="390"/>
      <c r="S1172" s="390"/>
      <c r="T1172" s="391"/>
      <c r="U1172" s="392"/>
      <c r="V1172" s="391"/>
      <c r="W1172" s="391"/>
      <c r="X1172" s="388"/>
      <c r="Y1172" s="391"/>
      <c r="Z1172" s="393"/>
      <c r="AA1172" s="355" t="str">
        <f t="shared" si="1"/>
        <v/>
      </c>
      <c r="AB1172" s="391"/>
      <c r="AC1172" s="394" t="str">
        <f t="shared" si="2"/>
        <v/>
      </c>
      <c r="AD1172" s="389"/>
      <c r="AE1172" s="399"/>
      <c r="AF1172" s="395"/>
      <c r="AG1172" s="396" t="str">
        <f t="shared" si="3"/>
        <v/>
      </c>
      <c r="AH1172" s="396" t="str">
        <f t="shared" si="4"/>
        <v/>
      </c>
      <c r="AI1172" s="388"/>
      <c r="AJ1172" s="388"/>
      <c r="AK1172" s="397"/>
    </row>
    <row r="1173">
      <c r="A1173" s="398"/>
      <c r="B1173" s="386"/>
      <c r="C1173" s="387" t="str">
        <f>IF(A1173="","",IFERROR(IF(VLOOKUP(A1173,'1. Inbound Leads'!A:G,7,FALSE)=0,"",VLOOKUP(A1173,'1. Inbound Leads'!A:G,7,FALSE)),""))</f>
        <v/>
      </c>
      <c r="D1173" s="387" t="str">
        <f>IF(A1173="","",IFERROR(IF(VLOOKUP(A1173,'1. Inbound Leads'!A:L,12,FALSE)=0,"",VLOOKUP(A1173,'1. Inbound Leads'!A:L,12,FALSE)),""))</f>
        <v/>
      </c>
      <c r="E1173" s="388"/>
      <c r="F1173" s="389"/>
      <c r="G1173" s="387"/>
      <c r="H1173" s="387"/>
      <c r="I1173" s="387"/>
      <c r="J1173" s="387"/>
      <c r="K1173" s="387"/>
      <c r="L1173" s="387"/>
      <c r="M1173" s="388"/>
      <c r="N1173" s="388"/>
      <c r="O1173" s="390"/>
      <c r="P1173" s="391"/>
      <c r="Q1173" s="389"/>
      <c r="R1173" s="390"/>
      <c r="S1173" s="390"/>
      <c r="T1173" s="391"/>
      <c r="U1173" s="392"/>
      <c r="V1173" s="391"/>
      <c r="W1173" s="391"/>
      <c r="X1173" s="388"/>
      <c r="Y1173" s="391"/>
      <c r="Z1173" s="393"/>
      <c r="AA1173" s="355" t="str">
        <f t="shared" si="1"/>
        <v/>
      </c>
      <c r="AB1173" s="391"/>
      <c r="AC1173" s="394" t="str">
        <f t="shared" si="2"/>
        <v/>
      </c>
      <c r="AD1173" s="389"/>
      <c r="AE1173" s="399"/>
      <c r="AF1173" s="395"/>
      <c r="AG1173" s="396" t="str">
        <f t="shared" si="3"/>
        <v/>
      </c>
      <c r="AH1173" s="396" t="str">
        <f t="shared" si="4"/>
        <v/>
      </c>
      <c r="AI1173" s="388"/>
      <c r="AJ1173" s="388"/>
      <c r="AK1173" s="397"/>
    </row>
    <row r="1174">
      <c r="A1174" s="398"/>
      <c r="B1174" s="386"/>
      <c r="C1174" s="387" t="str">
        <f>IF(A1174="","",IFERROR(IF(VLOOKUP(A1174,'1. Inbound Leads'!A:G,7,FALSE)=0,"",VLOOKUP(A1174,'1. Inbound Leads'!A:G,7,FALSE)),""))</f>
        <v/>
      </c>
      <c r="D1174" s="387" t="str">
        <f>IF(A1174="","",IFERROR(IF(VLOOKUP(A1174,'1. Inbound Leads'!A:L,12,FALSE)=0,"",VLOOKUP(A1174,'1. Inbound Leads'!A:L,12,FALSE)),""))</f>
        <v/>
      </c>
      <c r="E1174" s="388"/>
      <c r="F1174" s="389"/>
      <c r="G1174" s="387"/>
      <c r="H1174" s="387"/>
      <c r="I1174" s="387"/>
      <c r="J1174" s="387"/>
      <c r="K1174" s="387"/>
      <c r="L1174" s="387"/>
      <c r="M1174" s="388"/>
      <c r="N1174" s="388"/>
      <c r="O1174" s="390"/>
      <c r="P1174" s="391"/>
      <c r="Q1174" s="389"/>
      <c r="R1174" s="390"/>
      <c r="S1174" s="390"/>
      <c r="T1174" s="391"/>
      <c r="U1174" s="392"/>
      <c r="V1174" s="391"/>
      <c r="W1174" s="391"/>
      <c r="X1174" s="388"/>
      <c r="Y1174" s="391"/>
      <c r="Z1174" s="393"/>
      <c r="AA1174" s="355" t="str">
        <f t="shared" si="1"/>
        <v/>
      </c>
      <c r="AB1174" s="391"/>
      <c r="AC1174" s="394" t="str">
        <f t="shared" si="2"/>
        <v/>
      </c>
      <c r="AD1174" s="389"/>
      <c r="AE1174" s="399"/>
      <c r="AF1174" s="395"/>
      <c r="AG1174" s="396" t="str">
        <f t="shared" si="3"/>
        <v/>
      </c>
      <c r="AH1174" s="396" t="str">
        <f t="shared" si="4"/>
        <v/>
      </c>
      <c r="AI1174" s="388"/>
      <c r="AJ1174" s="388"/>
      <c r="AK1174" s="397"/>
    </row>
    <row r="1175">
      <c r="A1175" s="398"/>
      <c r="B1175" s="386"/>
      <c r="C1175" s="387" t="str">
        <f>IF(A1175="","",IFERROR(IF(VLOOKUP(A1175,'1. Inbound Leads'!A:G,7,FALSE)=0,"",VLOOKUP(A1175,'1. Inbound Leads'!A:G,7,FALSE)),""))</f>
        <v/>
      </c>
      <c r="D1175" s="387" t="str">
        <f>IF(A1175="","",IFERROR(IF(VLOOKUP(A1175,'1. Inbound Leads'!A:L,12,FALSE)=0,"",VLOOKUP(A1175,'1. Inbound Leads'!A:L,12,FALSE)),""))</f>
        <v/>
      </c>
      <c r="E1175" s="388"/>
      <c r="F1175" s="389"/>
      <c r="G1175" s="387"/>
      <c r="H1175" s="387"/>
      <c r="I1175" s="387"/>
      <c r="J1175" s="387"/>
      <c r="K1175" s="387"/>
      <c r="L1175" s="387"/>
      <c r="M1175" s="388"/>
      <c r="N1175" s="388"/>
      <c r="O1175" s="390"/>
      <c r="P1175" s="391"/>
      <c r="Q1175" s="389"/>
      <c r="R1175" s="390"/>
      <c r="S1175" s="390"/>
      <c r="T1175" s="391"/>
      <c r="U1175" s="392"/>
      <c r="V1175" s="391"/>
      <c r="W1175" s="391"/>
      <c r="X1175" s="388"/>
      <c r="Y1175" s="391"/>
      <c r="Z1175" s="393"/>
      <c r="AA1175" s="355" t="str">
        <f t="shared" si="1"/>
        <v/>
      </c>
      <c r="AB1175" s="391"/>
      <c r="AC1175" s="394" t="str">
        <f t="shared" si="2"/>
        <v/>
      </c>
      <c r="AD1175" s="389"/>
      <c r="AE1175" s="399"/>
      <c r="AF1175" s="395"/>
      <c r="AG1175" s="396" t="str">
        <f t="shared" si="3"/>
        <v/>
      </c>
      <c r="AH1175" s="396" t="str">
        <f t="shared" si="4"/>
        <v/>
      </c>
      <c r="AI1175" s="388"/>
      <c r="AJ1175" s="388"/>
      <c r="AK1175" s="397"/>
    </row>
    <row r="1176">
      <c r="A1176" s="398"/>
      <c r="B1176" s="386"/>
      <c r="C1176" s="387" t="str">
        <f>IF(A1176="","",IFERROR(IF(VLOOKUP(A1176,'1. Inbound Leads'!A:G,7,FALSE)=0,"",VLOOKUP(A1176,'1. Inbound Leads'!A:G,7,FALSE)),""))</f>
        <v/>
      </c>
      <c r="D1176" s="387" t="str">
        <f>IF(A1176="","",IFERROR(IF(VLOOKUP(A1176,'1. Inbound Leads'!A:L,12,FALSE)=0,"",VLOOKUP(A1176,'1. Inbound Leads'!A:L,12,FALSE)),""))</f>
        <v/>
      </c>
      <c r="E1176" s="388"/>
      <c r="F1176" s="389"/>
      <c r="G1176" s="387"/>
      <c r="H1176" s="387"/>
      <c r="I1176" s="387"/>
      <c r="J1176" s="387"/>
      <c r="K1176" s="387"/>
      <c r="L1176" s="387"/>
      <c r="M1176" s="388"/>
      <c r="N1176" s="388"/>
      <c r="O1176" s="390"/>
      <c r="P1176" s="391"/>
      <c r="Q1176" s="389"/>
      <c r="R1176" s="390"/>
      <c r="S1176" s="390"/>
      <c r="T1176" s="391"/>
      <c r="U1176" s="392"/>
      <c r="V1176" s="391"/>
      <c r="W1176" s="391"/>
      <c r="X1176" s="388"/>
      <c r="Y1176" s="391"/>
      <c r="Z1176" s="393"/>
      <c r="AA1176" s="355" t="str">
        <f t="shared" si="1"/>
        <v/>
      </c>
      <c r="AB1176" s="391"/>
      <c r="AC1176" s="394" t="str">
        <f t="shared" si="2"/>
        <v/>
      </c>
      <c r="AD1176" s="389"/>
      <c r="AE1176" s="399"/>
      <c r="AF1176" s="395"/>
      <c r="AG1176" s="396" t="str">
        <f t="shared" si="3"/>
        <v/>
      </c>
      <c r="AH1176" s="396" t="str">
        <f t="shared" si="4"/>
        <v/>
      </c>
      <c r="AI1176" s="388"/>
      <c r="AJ1176" s="388"/>
      <c r="AK1176" s="397"/>
    </row>
    <row r="1177">
      <c r="A1177" s="398"/>
      <c r="B1177" s="386"/>
      <c r="C1177" s="387" t="str">
        <f>IF(A1177="","",IFERROR(IF(VLOOKUP(A1177,'1. Inbound Leads'!A:G,7,FALSE)=0,"",VLOOKUP(A1177,'1. Inbound Leads'!A:G,7,FALSE)),""))</f>
        <v/>
      </c>
      <c r="D1177" s="387" t="str">
        <f>IF(A1177="","",IFERROR(IF(VLOOKUP(A1177,'1. Inbound Leads'!A:L,12,FALSE)=0,"",VLOOKUP(A1177,'1. Inbound Leads'!A:L,12,FALSE)),""))</f>
        <v/>
      </c>
      <c r="E1177" s="388"/>
      <c r="F1177" s="389"/>
      <c r="G1177" s="387"/>
      <c r="H1177" s="387"/>
      <c r="I1177" s="387"/>
      <c r="J1177" s="387"/>
      <c r="K1177" s="387"/>
      <c r="L1177" s="387"/>
      <c r="M1177" s="388"/>
      <c r="N1177" s="388"/>
      <c r="O1177" s="390"/>
      <c r="P1177" s="391"/>
      <c r="Q1177" s="389"/>
      <c r="R1177" s="390"/>
      <c r="S1177" s="390"/>
      <c r="T1177" s="391"/>
      <c r="U1177" s="392"/>
      <c r="V1177" s="391"/>
      <c r="W1177" s="391"/>
      <c r="X1177" s="388"/>
      <c r="Y1177" s="391"/>
      <c r="Z1177" s="393"/>
      <c r="AA1177" s="355" t="str">
        <f t="shared" si="1"/>
        <v/>
      </c>
      <c r="AB1177" s="391"/>
      <c r="AC1177" s="394" t="str">
        <f t="shared" si="2"/>
        <v/>
      </c>
      <c r="AD1177" s="389"/>
      <c r="AE1177" s="399"/>
      <c r="AF1177" s="395"/>
      <c r="AG1177" s="396" t="str">
        <f t="shared" si="3"/>
        <v/>
      </c>
      <c r="AH1177" s="396" t="str">
        <f t="shared" si="4"/>
        <v/>
      </c>
      <c r="AI1177" s="388"/>
      <c r="AJ1177" s="388"/>
      <c r="AK1177" s="397"/>
    </row>
    <row r="1178">
      <c r="A1178" s="398"/>
      <c r="B1178" s="386"/>
      <c r="C1178" s="387" t="str">
        <f>IF(A1178="","",IFERROR(IF(VLOOKUP(A1178,'1. Inbound Leads'!A:G,7,FALSE)=0,"",VLOOKUP(A1178,'1. Inbound Leads'!A:G,7,FALSE)),""))</f>
        <v/>
      </c>
      <c r="D1178" s="387" t="str">
        <f>IF(A1178="","",IFERROR(IF(VLOOKUP(A1178,'1. Inbound Leads'!A:L,12,FALSE)=0,"",VLOOKUP(A1178,'1. Inbound Leads'!A:L,12,FALSE)),""))</f>
        <v/>
      </c>
      <c r="E1178" s="388"/>
      <c r="F1178" s="389"/>
      <c r="G1178" s="387"/>
      <c r="H1178" s="387"/>
      <c r="I1178" s="387"/>
      <c r="J1178" s="387"/>
      <c r="K1178" s="387"/>
      <c r="L1178" s="387"/>
      <c r="M1178" s="388"/>
      <c r="N1178" s="388"/>
      <c r="O1178" s="390"/>
      <c r="P1178" s="391"/>
      <c r="Q1178" s="389"/>
      <c r="R1178" s="390"/>
      <c r="S1178" s="390"/>
      <c r="T1178" s="391"/>
      <c r="U1178" s="392"/>
      <c r="V1178" s="391"/>
      <c r="W1178" s="391"/>
      <c r="X1178" s="388"/>
      <c r="Y1178" s="391"/>
      <c r="Z1178" s="393"/>
      <c r="AA1178" s="355" t="str">
        <f t="shared" si="1"/>
        <v/>
      </c>
      <c r="AB1178" s="391"/>
      <c r="AC1178" s="394" t="str">
        <f t="shared" si="2"/>
        <v/>
      </c>
      <c r="AD1178" s="389"/>
      <c r="AE1178" s="399"/>
      <c r="AF1178" s="395"/>
      <c r="AG1178" s="396" t="str">
        <f t="shared" si="3"/>
        <v/>
      </c>
      <c r="AH1178" s="396" t="str">
        <f t="shared" si="4"/>
        <v/>
      </c>
      <c r="AI1178" s="388"/>
      <c r="AJ1178" s="388"/>
      <c r="AK1178" s="397"/>
    </row>
    <row r="1179">
      <c r="A1179" s="398"/>
      <c r="B1179" s="386"/>
      <c r="C1179" s="387" t="str">
        <f>IF(A1179="","",IFERROR(IF(VLOOKUP(A1179,'1. Inbound Leads'!A:G,7,FALSE)=0,"",VLOOKUP(A1179,'1. Inbound Leads'!A:G,7,FALSE)),""))</f>
        <v/>
      </c>
      <c r="D1179" s="387" t="str">
        <f>IF(A1179="","",IFERROR(IF(VLOOKUP(A1179,'1. Inbound Leads'!A:L,12,FALSE)=0,"",VLOOKUP(A1179,'1. Inbound Leads'!A:L,12,FALSE)),""))</f>
        <v/>
      </c>
      <c r="E1179" s="388"/>
      <c r="F1179" s="389"/>
      <c r="G1179" s="387"/>
      <c r="H1179" s="387"/>
      <c r="I1179" s="387"/>
      <c r="J1179" s="387"/>
      <c r="K1179" s="387"/>
      <c r="L1179" s="387"/>
      <c r="M1179" s="388"/>
      <c r="N1179" s="388"/>
      <c r="O1179" s="390"/>
      <c r="P1179" s="391"/>
      <c r="Q1179" s="389"/>
      <c r="R1179" s="390"/>
      <c r="S1179" s="390"/>
      <c r="T1179" s="391"/>
      <c r="U1179" s="392"/>
      <c r="V1179" s="391"/>
      <c r="W1179" s="391"/>
      <c r="X1179" s="388"/>
      <c r="Y1179" s="391"/>
      <c r="Z1179" s="393"/>
      <c r="AA1179" s="355" t="str">
        <f t="shared" si="1"/>
        <v/>
      </c>
      <c r="AB1179" s="391"/>
      <c r="AC1179" s="394" t="str">
        <f t="shared" si="2"/>
        <v/>
      </c>
      <c r="AD1179" s="389"/>
      <c r="AE1179" s="399"/>
      <c r="AF1179" s="395"/>
      <c r="AG1179" s="396" t="str">
        <f t="shared" si="3"/>
        <v/>
      </c>
      <c r="AH1179" s="396" t="str">
        <f t="shared" si="4"/>
        <v/>
      </c>
      <c r="AI1179" s="388"/>
      <c r="AJ1179" s="388"/>
      <c r="AK1179" s="397"/>
    </row>
    <row r="1180">
      <c r="A1180" s="398"/>
      <c r="B1180" s="386"/>
      <c r="C1180" s="387" t="str">
        <f>IF(A1180="","",IFERROR(IF(VLOOKUP(A1180,'1. Inbound Leads'!A:G,7,FALSE)=0,"",VLOOKUP(A1180,'1. Inbound Leads'!A:G,7,FALSE)),""))</f>
        <v/>
      </c>
      <c r="D1180" s="387" t="str">
        <f>IF(A1180="","",IFERROR(IF(VLOOKUP(A1180,'1. Inbound Leads'!A:L,12,FALSE)=0,"",VLOOKUP(A1180,'1. Inbound Leads'!A:L,12,FALSE)),""))</f>
        <v/>
      </c>
      <c r="E1180" s="388"/>
      <c r="F1180" s="389"/>
      <c r="G1180" s="387"/>
      <c r="H1180" s="387"/>
      <c r="I1180" s="387"/>
      <c r="J1180" s="387"/>
      <c r="K1180" s="387"/>
      <c r="L1180" s="387"/>
      <c r="M1180" s="388"/>
      <c r="N1180" s="388"/>
      <c r="O1180" s="390"/>
      <c r="P1180" s="391"/>
      <c r="Q1180" s="389"/>
      <c r="R1180" s="390"/>
      <c r="S1180" s="390"/>
      <c r="T1180" s="391"/>
      <c r="U1180" s="392"/>
      <c r="V1180" s="391"/>
      <c r="W1180" s="391"/>
      <c r="X1180" s="388"/>
      <c r="Y1180" s="391"/>
      <c r="Z1180" s="393"/>
      <c r="AA1180" s="355" t="str">
        <f t="shared" si="1"/>
        <v/>
      </c>
      <c r="AB1180" s="391"/>
      <c r="AC1180" s="394" t="str">
        <f t="shared" si="2"/>
        <v/>
      </c>
      <c r="AD1180" s="389"/>
      <c r="AE1180" s="399"/>
      <c r="AF1180" s="395"/>
      <c r="AG1180" s="396" t="str">
        <f t="shared" si="3"/>
        <v/>
      </c>
      <c r="AH1180" s="396" t="str">
        <f t="shared" si="4"/>
        <v/>
      </c>
      <c r="AI1180" s="388"/>
      <c r="AJ1180" s="388"/>
      <c r="AK1180" s="397"/>
    </row>
    <row r="1181">
      <c r="A1181" s="398"/>
      <c r="B1181" s="386"/>
      <c r="C1181" s="387" t="str">
        <f>IF(A1181="","",IFERROR(IF(VLOOKUP(A1181,'1. Inbound Leads'!A:G,7,FALSE)=0,"",VLOOKUP(A1181,'1. Inbound Leads'!A:G,7,FALSE)),""))</f>
        <v/>
      </c>
      <c r="D1181" s="387" t="str">
        <f>IF(A1181="","",IFERROR(IF(VLOOKUP(A1181,'1. Inbound Leads'!A:L,12,FALSE)=0,"",VLOOKUP(A1181,'1. Inbound Leads'!A:L,12,FALSE)),""))</f>
        <v/>
      </c>
      <c r="E1181" s="388"/>
      <c r="F1181" s="389"/>
      <c r="G1181" s="387"/>
      <c r="H1181" s="387"/>
      <c r="I1181" s="387"/>
      <c r="J1181" s="387"/>
      <c r="K1181" s="387"/>
      <c r="L1181" s="387"/>
      <c r="M1181" s="388"/>
      <c r="N1181" s="388"/>
      <c r="O1181" s="390"/>
      <c r="P1181" s="391"/>
      <c r="Q1181" s="389"/>
      <c r="R1181" s="390"/>
      <c r="S1181" s="390"/>
      <c r="T1181" s="391"/>
      <c r="U1181" s="392"/>
      <c r="V1181" s="391"/>
      <c r="W1181" s="391"/>
      <c r="X1181" s="388"/>
      <c r="Y1181" s="391"/>
      <c r="Z1181" s="393"/>
      <c r="AA1181" s="355" t="str">
        <f t="shared" si="1"/>
        <v/>
      </c>
      <c r="AB1181" s="391"/>
      <c r="AC1181" s="394" t="str">
        <f t="shared" si="2"/>
        <v/>
      </c>
      <c r="AD1181" s="389"/>
      <c r="AE1181" s="399"/>
      <c r="AF1181" s="395"/>
      <c r="AG1181" s="396" t="str">
        <f t="shared" si="3"/>
        <v/>
      </c>
      <c r="AH1181" s="396" t="str">
        <f t="shared" si="4"/>
        <v/>
      </c>
      <c r="AI1181" s="388"/>
      <c r="AJ1181" s="388"/>
      <c r="AK1181" s="397"/>
    </row>
    <row r="1182">
      <c r="A1182" s="398"/>
      <c r="B1182" s="386"/>
      <c r="C1182" s="387" t="str">
        <f>IF(A1182="","",IFERROR(IF(VLOOKUP(A1182,'1. Inbound Leads'!A:G,7,FALSE)=0,"",VLOOKUP(A1182,'1. Inbound Leads'!A:G,7,FALSE)),""))</f>
        <v/>
      </c>
      <c r="D1182" s="387" t="str">
        <f>IF(A1182="","",IFERROR(IF(VLOOKUP(A1182,'1. Inbound Leads'!A:L,12,FALSE)=0,"",VLOOKUP(A1182,'1. Inbound Leads'!A:L,12,FALSE)),""))</f>
        <v/>
      </c>
      <c r="E1182" s="388"/>
      <c r="F1182" s="389"/>
      <c r="G1182" s="387"/>
      <c r="H1182" s="387"/>
      <c r="I1182" s="387"/>
      <c r="J1182" s="387"/>
      <c r="K1182" s="387"/>
      <c r="L1182" s="387"/>
      <c r="M1182" s="388"/>
      <c r="N1182" s="388"/>
      <c r="O1182" s="390"/>
      <c r="P1182" s="391"/>
      <c r="Q1182" s="389"/>
      <c r="R1182" s="390"/>
      <c r="S1182" s="390"/>
      <c r="T1182" s="391"/>
      <c r="U1182" s="392"/>
      <c r="V1182" s="391"/>
      <c r="W1182" s="391"/>
      <c r="X1182" s="388"/>
      <c r="Y1182" s="391"/>
      <c r="Z1182" s="393"/>
      <c r="AA1182" s="355" t="str">
        <f t="shared" si="1"/>
        <v/>
      </c>
      <c r="AB1182" s="391"/>
      <c r="AC1182" s="394" t="str">
        <f t="shared" si="2"/>
        <v/>
      </c>
      <c r="AD1182" s="389"/>
      <c r="AE1182" s="399"/>
      <c r="AF1182" s="395"/>
      <c r="AG1182" s="396" t="str">
        <f t="shared" si="3"/>
        <v/>
      </c>
      <c r="AH1182" s="396" t="str">
        <f t="shared" si="4"/>
        <v/>
      </c>
      <c r="AI1182" s="388"/>
      <c r="AJ1182" s="388"/>
      <c r="AK1182" s="397"/>
    </row>
    <row r="1183">
      <c r="A1183" s="398"/>
      <c r="B1183" s="386"/>
      <c r="C1183" s="387" t="str">
        <f>IF(A1183="","",IFERROR(IF(VLOOKUP(A1183,'1. Inbound Leads'!A:G,7,FALSE)=0,"",VLOOKUP(A1183,'1. Inbound Leads'!A:G,7,FALSE)),""))</f>
        <v/>
      </c>
      <c r="D1183" s="387" t="str">
        <f>IF(A1183="","",IFERROR(IF(VLOOKUP(A1183,'1. Inbound Leads'!A:L,12,FALSE)=0,"",VLOOKUP(A1183,'1. Inbound Leads'!A:L,12,FALSE)),""))</f>
        <v/>
      </c>
      <c r="E1183" s="388"/>
      <c r="F1183" s="389"/>
      <c r="G1183" s="387"/>
      <c r="H1183" s="387"/>
      <c r="I1183" s="387"/>
      <c r="J1183" s="387"/>
      <c r="K1183" s="387"/>
      <c r="L1183" s="387"/>
      <c r="M1183" s="388"/>
      <c r="N1183" s="388"/>
      <c r="O1183" s="390"/>
      <c r="P1183" s="391"/>
      <c r="Q1183" s="389"/>
      <c r="R1183" s="390"/>
      <c r="S1183" s="390"/>
      <c r="T1183" s="391"/>
      <c r="U1183" s="392"/>
      <c r="V1183" s="391"/>
      <c r="W1183" s="391"/>
      <c r="X1183" s="388"/>
      <c r="Y1183" s="391"/>
      <c r="Z1183" s="393"/>
      <c r="AA1183" s="355" t="str">
        <f t="shared" si="1"/>
        <v/>
      </c>
      <c r="AB1183" s="391"/>
      <c r="AC1183" s="394" t="str">
        <f t="shared" si="2"/>
        <v/>
      </c>
      <c r="AD1183" s="389"/>
      <c r="AE1183" s="399"/>
      <c r="AF1183" s="395"/>
      <c r="AG1183" s="396" t="str">
        <f t="shared" si="3"/>
        <v/>
      </c>
      <c r="AH1183" s="396" t="str">
        <f t="shared" si="4"/>
        <v/>
      </c>
      <c r="AI1183" s="388"/>
      <c r="AJ1183" s="388"/>
      <c r="AK1183" s="397"/>
    </row>
    <row r="1184">
      <c r="A1184" s="398"/>
      <c r="B1184" s="386"/>
      <c r="C1184" s="387" t="str">
        <f>IF(A1184="","",IFERROR(IF(VLOOKUP(A1184,'1. Inbound Leads'!A:G,7,FALSE)=0,"",VLOOKUP(A1184,'1. Inbound Leads'!A:G,7,FALSE)),""))</f>
        <v/>
      </c>
      <c r="D1184" s="387" t="str">
        <f>IF(A1184="","",IFERROR(IF(VLOOKUP(A1184,'1. Inbound Leads'!A:L,12,FALSE)=0,"",VLOOKUP(A1184,'1. Inbound Leads'!A:L,12,FALSE)),""))</f>
        <v/>
      </c>
      <c r="E1184" s="388"/>
      <c r="F1184" s="389"/>
      <c r="G1184" s="387"/>
      <c r="H1184" s="387"/>
      <c r="I1184" s="387"/>
      <c r="J1184" s="387"/>
      <c r="K1184" s="387"/>
      <c r="L1184" s="387"/>
      <c r="M1184" s="388"/>
      <c r="N1184" s="388"/>
      <c r="O1184" s="390"/>
      <c r="P1184" s="391"/>
      <c r="Q1184" s="389"/>
      <c r="R1184" s="390"/>
      <c r="S1184" s="390"/>
      <c r="T1184" s="391"/>
      <c r="U1184" s="392"/>
      <c r="V1184" s="391"/>
      <c r="W1184" s="391"/>
      <c r="X1184" s="388"/>
      <c r="Y1184" s="391"/>
      <c r="Z1184" s="393"/>
      <c r="AA1184" s="355" t="str">
        <f t="shared" si="1"/>
        <v/>
      </c>
      <c r="AB1184" s="391"/>
      <c r="AC1184" s="394" t="str">
        <f t="shared" si="2"/>
        <v/>
      </c>
      <c r="AD1184" s="389"/>
      <c r="AE1184" s="399"/>
      <c r="AF1184" s="395"/>
      <c r="AG1184" s="396" t="str">
        <f t="shared" si="3"/>
        <v/>
      </c>
      <c r="AH1184" s="396" t="str">
        <f t="shared" si="4"/>
        <v/>
      </c>
      <c r="AI1184" s="388"/>
      <c r="AJ1184" s="388"/>
      <c r="AK1184" s="397"/>
    </row>
    <row r="1185">
      <c r="A1185" s="398"/>
      <c r="B1185" s="386"/>
      <c r="C1185" s="387" t="str">
        <f>IF(A1185="","",IFERROR(IF(VLOOKUP(A1185,'1. Inbound Leads'!A:G,7,FALSE)=0,"",VLOOKUP(A1185,'1. Inbound Leads'!A:G,7,FALSE)),""))</f>
        <v/>
      </c>
      <c r="D1185" s="387" t="str">
        <f>IF(A1185="","",IFERROR(IF(VLOOKUP(A1185,'1. Inbound Leads'!A:L,12,FALSE)=0,"",VLOOKUP(A1185,'1. Inbound Leads'!A:L,12,FALSE)),""))</f>
        <v/>
      </c>
      <c r="E1185" s="388"/>
      <c r="F1185" s="389"/>
      <c r="G1185" s="387"/>
      <c r="H1185" s="387"/>
      <c r="I1185" s="387"/>
      <c r="J1185" s="387"/>
      <c r="K1185" s="387"/>
      <c r="L1185" s="387"/>
      <c r="M1185" s="388"/>
      <c r="N1185" s="388"/>
      <c r="O1185" s="390"/>
      <c r="P1185" s="391"/>
      <c r="Q1185" s="389"/>
      <c r="R1185" s="390"/>
      <c r="S1185" s="390"/>
      <c r="T1185" s="391"/>
      <c r="U1185" s="392"/>
      <c r="V1185" s="391"/>
      <c r="W1185" s="391"/>
      <c r="X1185" s="388"/>
      <c r="Y1185" s="391"/>
      <c r="Z1185" s="393"/>
      <c r="AA1185" s="355" t="str">
        <f t="shared" si="1"/>
        <v/>
      </c>
      <c r="AB1185" s="391"/>
      <c r="AC1185" s="394" t="str">
        <f t="shared" si="2"/>
        <v/>
      </c>
      <c r="AD1185" s="389"/>
      <c r="AE1185" s="399"/>
      <c r="AF1185" s="395"/>
      <c r="AG1185" s="396" t="str">
        <f t="shared" si="3"/>
        <v/>
      </c>
      <c r="AH1185" s="396" t="str">
        <f t="shared" si="4"/>
        <v/>
      </c>
      <c r="AI1185" s="388"/>
      <c r="AJ1185" s="388"/>
      <c r="AK1185" s="397"/>
    </row>
    <row r="1186">
      <c r="A1186" s="398"/>
      <c r="B1186" s="386"/>
      <c r="C1186" s="387" t="str">
        <f>IF(A1186="","",IFERROR(IF(VLOOKUP(A1186,'1. Inbound Leads'!A:G,7,FALSE)=0,"",VLOOKUP(A1186,'1. Inbound Leads'!A:G,7,FALSE)),""))</f>
        <v/>
      </c>
      <c r="D1186" s="387" t="str">
        <f>IF(A1186="","",IFERROR(IF(VLOOKUP(A1186,'1. Inbound Leads'!A:L,12,FALSE)=0,"",VLOOKUP(A1186,'1. Inbound Leads'!A:L,12,FALSE)),""))</f>
        <v/>
      </c>
      <c r="E1186" s="388"/>
      <c r="F1186" s="389"/>
      <c r="G1186" s="387"/>
      <c r="H1186" s="387"/>
      <c r="I1186" s="387"/>
      <c r="J1186" s="387"/>
      <c r="K1186" s="387"/>
      <c r="L1186" s="387"/>
      <c r="M1186" s="388"/>
      <c r="N1186" s="388"/>
      <c r="O1186" s="390"/>
      <c r="P1186" s="391"/>
      <c r="Q1186" s="389"/>
      <c r="R1186" s="390"/>
      <c r="S1186" s="390"/>
      <c r="T1186" s="391"/>
      <c r="U1186" s="392"/>
      <c r="V1186" s="391"/>
      <c r="W1186" s="391"/>
      <c r="X1186" s="388"/>
      <c r="Y1186" s="391"/>
      <c r="Z1186" s="393"/>
      <c r="AA1186" s="355" t="str">
        <f t="shared" si="1"/>
        <v/>
      </c>
      <c r="AB1186" s="391"/>
      <c r="AC1186" s="394" t="str">
        <f t="shared" si="2"/>
        <v/>
      </c>
      <c r="AD1186" s="389"/>
      <c r="AE1186" s="399"/>
      <c r="AF1186" s="395"/>
      <c r="AG1186" s="396" t="str">
        <f t="shared" si="3"/>
        <v/>
      </c>
      <c r="AH1186" s="396" t="str">
        <f t="shared" si="4"/>
        <v/>
      </c>
      <c r="AI1186" s="388"/>
      <c r="AJ1186" s="388"/>
      <c r="AK1186" s="397"/>
    </row>
    <row r="1187">
      <c r="A1187" s="398"/>
      <c r="B1187" s="386"/>
      <c r="C1187" s="387" t="str">
        <f>IF(A1187="","",IFERROR(IF(VLOOKUP(A1187,'1. Inbound Leads'!A:G,7,FALSE)=0,"",VLOOKUP(A1187,'1. Inbound Leads'!A:G,7,FALSE)),""))</f>
        <v/>
      </c>
      <c r="D1187" s="387" t="str">
        <f>IF(A1187="","",IFERROR(IF(VLOOKUP(A1187,'1. Inbound Leads'!A:L,12,FALSE)=0,"",VLOOKUP(A1187,'1. Inbound Leads'!A:L,12,FALSE)),""))</f>
        <v/>
      </c>
      <c r="E1187" s="388"/>
      <c r="F1187" s="389"/>
      <c r="G1187" s="387"/>
      <c r="H1187" s="387"/>
      <c r="I1187" s="387"/>
      <c r="J1187" s="387"/>
      <c r="K1187" s="387"/>
      <c r="L1187" s="387"/>
      <c r="M1187" s="388"/>
      <c r="N1187" s="388"/>
      <c r="O1187" s="390"/>
      <c r="P1187" s="391"/>
      <c r="Q1187" s="389"/>
      <c r="R1187" s="390"/>
      <c r="S1187" s="390"/>
      <c r="T1187" s="391"/>
      <c r="U1187" s="392"/>
      <c r="V1187" s="391"/>
      <c r="W1187" s="391"/>
      <c r="X1187" s="388"/>
      <c r="Y1187" s="391"/>
      <c r="Z1187" s="393"/>
      <c r="AA1187" s="355" t="str">
        <f t="shared" si="1"/>
        <v/>
      </c>
      <c r="AB1187" s="391"/>
      <c r="AC1187" s="394" t="str">
        <f t="shared" si="2"/>
        <v/>
      </c>
      <c r="AD1187" s="389"/>
      <c r="AE1187" s="399"/>
      <c r="AF1187" s="395"/>
      <c r="AG1187" s="396" t="str">
        <f t="shared" si="3"/>
        <v/>
      </c>
      <c r="AH1187" s="396" t="str">
        <f t="shared" si="4"/>
        <v/>
      </c>
      <c r="AI1187" s="388"/>
      <c r="AJ1187" s="388"/>
      <c r="AK1187" s="397"/>
    </row>
    <row r="1188">
      <c r="A1188" s="398"/>
      <c r="B1188" s="386"/>
      <c r="C1188" s="387" t="str">
        <f>IF(A1188="","",IFERROR(IF(VLOOKUP(A1188,'1. Inbound Leads'!A:G,7,FALSE)=0,"",VLOOKUP(A1188,'1. Inbound Leads'!A:G,7,FALSE)),""))</f>
        <v/>
      </c>
      <c r="D1188" s="387" t="str">
        <f>IF(A1188="","",IFERROR(IF(VLOOKUP(A1188,'1. Inbound Leads'!A:L,12,FALSE)=0,"",VLOOKUP(A1188,'1. Inbound Leads'!A:L,12,FALSE)),""))</f>
        <v/>
      </c>
      <c r="E1188" s="388"/>
      <c r="F1188" s="389"/>
      <c r="G1188" s="387"/>
      <c r="H1188" s="387"/>
      <c r="I1188" s="387"/>
      <c r="J1188" s="387"/>
      <c r="K1188" s="387"/>
      <c r="L1188" s="387"/>
      <c r="M1188" s="388"/>
      <c r="N1188" s="388"/>
      <c r="O1188" s="390"/>
      <c r="P1188" s="391"/>
      <c r="Q1188" s="389"/>
      <c r="R1188" s="390"/>
      <c r="S1188" s="390"/>
      <c r="T1188" s="391"/>
      <c r="U1188" s="392"/>
      <c r="V1188" s="391"/>
      <c r="W1188" s="391"/>
      <c r="X1188" s="388"/>
      <c r="Y1188" s="391"/>
      <c r="Z1188" s="393"/>
      <c r="AA1188" s="355" t="str">
        <f t="shared" si="1"/>
        <v/>
      </c>
      <c r="AB1188" s="391"/>
      <c r="AC1188" s="394" t="str">
        <f t="shared" si="2"/>
        <v/>
      </c>
      <c r="AD1188" s="389"/>
      <c r="AE1188" s="399"/>
      <c r="AF1188" s="395"/>
      <c r="AG1188" s="396" t="str">
        <f t="shared" si="3"/>
        <v/>
      </c>
      <c r="AH1188" s="396" t="str">
        <f t="shared" si="4"/>
        <v/>
      </c>
      <c r="AI1188" s="388"/>
      <c r="AJ1188" s="388"/>
      <c r="AK1188" s="397"/>
    </row>
    <row r="1189">
      <c r="A1189" s="398"/>
      <c r="B1189" s="386"/>
      <c r="C1189" s="387" t="str">
        <f>IF(A1189="","",IFERROR(IF(VLOOKUP(A1189,'1. Inbound Leads'!A:G,7,FALSE)=0,"",VLOOKUP(A1189,'1. Inbound Leads'!A:G,7,FALSE)),""))</f>
        <v/>
      </c>
      <c r="D1189" s="387" t="str">
        <f>IF(A1189="","",IFERROR(IF(VLOOKUP(A1189,'1. Inbound Leads'!A:L,12,FALSE)=0,"",VLOOKUP(A1189,'1. Inbound Leads'!A:L,12,FALSE)),""))</f>
        <v/>
      </c>
      <c r="E1189" s="388"/>
      <c r="F1189" s="389"/>
      <c r="G1189" s="387"/>
      <c r="H1189" s="387"/>
      <c r="I1189" s="387"/>
      <c r="J1189" s="387"/>
      <c r="K1189" s="387"/>
      <c r="L1189" s="387"/>
      <c r="M1189" s="388"/>
      <c r="N1189" s="388"/>
      <c r="O1189" s="390"/>
      <c r="P1189" s="391"/>
      <c r="Q1189" s="389"/>
      <c r="R1189" s="390"/>
      <c r="S1189" s="390"/>
      <c r="T1189" s="391"/>
      <c r="U1189" s="392"/>
      <c r="V1189" s="391"/>
      <c r="W1189" s="391"/>
      <c r="X1189" s="388"/>
      <c r="Y1189" s="391"/>
      <c r="Z1189" s="393"/>
      <c r="AA1189" s="355" t="str">
        <f t="shared" si="1"/>
        <v/>
      </c>
      <c r="AB1189" s="391"/>
      <c r="AC1189" s="394" t="str">
        <f t="shared" si="2"/>
        <v/>
      </c>
      <c r="AD1189" s="389"/>
      <c r="AE1189" s="399"/>
      <c r="AF1189" s="395"/>
      <c r="AG1189" s="396" t="str">
        <f t="shared" si="3"/>
        <v/>
      </c>
      <c r="AH1189" s="396" t="str">
        <f t="shared" si="4"/>
        <v/>
      </c>
      <c r="AI1189" s="388"/>
      <c r="AJ1189" s="388"/>
      <c r="AK1189" s="397"/>
    </row>
    <row r="1190">
      <c r="A1190" s="398"/>
      <c r="B1190" s="386"/>
      <c r="C1190" s="387" t="str">
        <f>IF(A1190="","",IFERROR(IF(VLOOKUP(A1190,'1. Inbound Leads'!A:G,7,FALSE)=0,"",VLOOKUP(A1190,'1. Inbound Leads'!A:G,7,FALSE)),""))</f>
        <v/>
      </c>
      <c r="D1190" s="387" t="str">
        <f>IF(A1190="","",IFERROR(IF(VLOOKUP(A1190,'1. Inbound Leads'!A:L,12,FALSE)=0,"",VLOOKUP(A1190,'1. Inbound Leads'!A:L,12,FALSE)),""))</f>
        <v/>
      </c>
      <c r="E1190" s="388"/>
      <c r="F1190" s="389"/>
      <c r="G1190" s="387"/>
      <c r="H1190" s="387"/>
      <c r="I1190" s="387"/>
      <c r="J1190" s="387"/>
      <c r="K1190" s="387"/>
      <c r="L1190" s="387"/>
      <c r="M1190" s="388"/>
      <c r="N1190" s="388"/>
      <c r="O1190" s="390"/>
      <c r="P1190" s="391"/>
      <c r="Q1190" s="389"/>
      <c r="R1190" s="390"/>
      <c r="S1190" s="390"/>
      <c r="T1190" s="391"/>
      <c r="U1190" s="392"/>
      <c r="V1190" s="391"/>
      <c r="W1190" s="391"/>
      <c r="X1190" s="388"/>
      <c r="Y1190" s="391"/>
      <c r="Z1190" s="393"/>
      <c r="AA1190" s="355" t="str">
        <f t="shared" si="1"/>
        <v/>
      </c>
      <c r="AB1190" s="391"/>
      <c r="AC1190" s="394" t="str">
        <f t="shared" si="2"/>
        <v/>
      </c>
      <c r="AD1190" s="389"/>
      <c r="AE1190" s="399"/>
      <c r="AF1190" s="395"/>
      <c r="AG1190" s="396" t="str">
        <f t="shared" si="3"/>
        <v/>
      </c>
      <c r="AH1190" s="396" t="str">
        <f t="shared" si="4"/>
        <v/>
      </c>
      <c r="AI1190" s="388"/>
      <c r="AJ1190" s="388"/>
      <c r="AK1190" s="397"/>
    </row>
    <row r="1191">
      <c r="A1191" s="398"/>
      <c r="B1191" s="386"/>
      <c r="C1191" s="387" t="str">
        <f>IF(A1191="","",IFERROR(IF(VLOOKUP(A1191,'1. Inbound Leads'!A:G,7,FALSE)=0,"",VLOOKUP(A1191,'1. Inbound Leads'!A:G,7,FALSE)),""))</f>
        <v/>
      </c>
      <c r="D1191" s="387" t="str">
        <f>IF(A1191="","",IFERROR(IF(VLOOKUP(A1191,'1. Inbound Leads'!A:L,12,FALSE)=0,"",VLOOKUP(A1191,'1. Inbound Leads'!A:L,12,FALSE)),""))</f>
        <v/>
      </c>
      <c r="E1191" s="388"/>
      <c r="F1191" s="389"/>
      <c r="G1191" s="387"/>
      <c r="H1191" s="387"/>
      <c r="I1191" s="387"/>
      <c r="J1191" s="387"/>
      <c r="K1191" s="387"/>
      <c r="L1191" s="387"/>
      <c r="M1191" s="388"/>
      <c r="N1191" s="388"/>
      <c r="O1191" s="390"/>
      <c r="P1191" s="391"/>
      <c r="Q1191" s="389"/>
      <c r="R1191" s="390"/>
      <c r="S1191" s="390"/>
      <c r="T1191" s="391"/>
      <c r="U1191" s="392"/>
      <c r="V1191" s="391"/>
      <c r="W1191" s="391"/>
      <c r="X1191" s="388"/>
      <c r="Y1191" s="391"/>
      <c r="Z1191" s="393"/>
      <c r="AA1191" s="355" t="str">
        <f t="shared" si="1"/>
        <v/>
      </c>
      <c r="AB1191" s="391"/>
      <c r="AC1191" s="394" t="str">
        <f t="shared" si="2"/>
        <v/>
      </c>
      <c r="AD1191" s="389"/>
      <c r="AE1191" s="399"/>
      <c r="AF1191" s="395"/>
      <c r="AG1191" s="396" t="str">
        <f t="shared" si="3"/>
        <v/>
      </c>
      <c r="AH1191" s="396" t="str">
        <f t="shared" si="4"/>
        <v/>
      </c>
      <c r="AI1191" s="388"/>
      <c r="AJ1191" s="388"/>
      <c r="AK1191" s="397"/>
    </row>
    <row r="1192">
      <c r="A1192" s="398"/>
      <c r="B1192" s="386"/>
      <c r="C1192" s="387" t="str">
        <f>IF(A1192="","",IFERROR(IF(VLOOKUP(A1192,'1. Inbound Leads'!A:G,7,FALSE)=0,"",VLOOKUP(A1192,'1. Inbound Leads'!A:G,7,FALSE)),""))</f>
        <v/>
      </c>
      <c r="D1192" s="387" t="str">
        <f>IF(A1192="","",IFERROR(IF(VLOOKUP(A1192,'1. Inbound Leads'!A:L,12,FALSE)=0,"",VLOOKUP(A1192,'1. Inbound Leads'!A:L,12,FALSE)),""))</f>
        <v/>
      </c>
      <c r="E1192" s="388"/>
      <c r="F1192" s="389"/>
      <c r="G1192" s="387"/>
      <c r="H1192" s="387"/>
      <c r="I1192" s="387"/>
      <c r="J1192" s="387"/>
      <c r="K1192" s="387"/>
      <c r="L1192" s="387"/>
      <c r="M1192" s="388"/>
      <c r="N1192" s="388"/>
      <c r="O1192" s="390"/>
      <c r="P1192" s="391"/>
      <c r="Q1192" s="389"/>
      <c r="R1192" s="390"/>
      <c r="S1192" s="390"/>
      <c r="T1192" s="391"/>
      <c r="U1192" s="392"/>
      <c r="V1192" s="391"/>
      <c r="W1192" s="391"/>
      <c r="X1192" s="388"/>
      <c r="Y1192" s="391"/>
      <c r="Z1192" s="393"/>
      <c r="AA1192" s="355" t="str">
        <f t="shared" si="1"/>
        <v/>
      </c>
      <c r="AB1192" s="391"/>
      <c r="AC1192" s="394" t="str">
        <f t="shared" si="2"/>
        <v/>
      </c>
      <c r="AD1192" s="389"/>
      <c r="AE1192" s="399"/>
      <c r="AF1192" s="395"/>
      <c r="AG1192" s="396" t="str">
        <f t="shared" si="3"/>
        <v/>
      </c>
      <c r="AH1192" s="396" t="str">
        <f t="shared" si="4"/>
        <v/>
      </c>
      <c r="AI1192" s="388"/>
      <c r="AJ1192" s="388"/>
      <c r="AK1192" s="397"/>
    </row>
    <row r="1193">
      <c r="A1193" s="398"/>
      <c r="B1193" s="386"/>
      <c r="C1193" s="387" t="str">
        <f>IF(A1193="","",IFERROR(IF(VLOOKUP(A1193,'1. Inbound Leads'!A:G,7,FALSE)=0,"",VLOOKUP(A1193,'1. Inbound Leads'!A:G,7,FALSE)),""))</f>
        <v/>
      </c>
      <c r="D1193" s="387" t="str">
        <f>IF(A1193="","",IFERROR(IF(VLOOKUP(A1193,'1. Inbound Leads'!A:L,12,FALSE)=0,"",VLOOKUP(A1193,'1. Inbound Leads'!A:L,12,FALSE)),""))</f>
        <v/>
      </c>
      <c r="E1193" s="388"/>
      <c r="F1193" s="389"/>
      <c r="G1193" s="387"/>
      <c r="H1193" s="387"/>
      <c r="I1193" s="387"/>
      <c r="J1193" s="387"/>
      <c r="K1193" s="387"/>
      <c r="L1193" s="387"/>
      <c r="M1193" s="388"/>
      <c r="N1193" s="388"/>
      <c r="O1193" s="390"/>
      <c r="P1193" s="391"/>
      <c r="Q1193" s="389"/>
      <c r="R1193" s="390"/>
      <c r="S1193" s="390"/>
      <c r="T1193" s="391"/>
      <c r="U1193" s="392"/>
      <c r="V1193" s="391"/>
      <c r="W1193" s="391"/>
      <c r="X1193" s="388"/>
      <c r="Y1193" s="391"/>
      <c r="Z1193" s="393"/>
      <c r="AA1193" s="355" t="str">
        <f t="shared" si="1"/>
        <v/>
      </c>
      <c r="AB1193" s="391"/>
      <c r="AC1193" s="394" t="str">
        <f t="shared" si="2"/>
        <v/>
      </c>
      <c r="AD1193" s="389"/>
      <c r="AE1193" s="399"/>
      <c r="AF1193" s="395"/>
      <c r="AG1193" s="396" t="str">
        <f t="shared" si="3"/>
        <v/>
      </c>
      <c r="AH1193" s="396" t="str">
        <f t="shared" si="4"/>
        <v/>
      </c>
      <c r="AI1193" s="388"/>
      <c r="AJ1193" s="388"/>
      <c r="AK1193" s="397"/>
    </row>
    <row r="1194">
      <c r="A1194" s="398"/>
      <c r="B1194" s="386"/>
      <c r="C1194" s="387" t="str">
        <f>IF(A1194="","",IFERROR(IF(VLOOKUP(A1194,'1. Inbound Leads'!A:G,7,FALSE)=0,"",VLOOKUP(A1194,'1. Inbound Leads'!A:G,7,FALSE)),""))</f>
        <v/>
      </c>
      <c r="D1194" s="387" t="str">
        <f>IF(A1194="","",IFERROR(IF(VLOOKUP(A1194,'1. Inbound Leads'!A:L,12,FALSE)=0,"",VLOOKUP(A1194,'1. Inbound Leads'!A:L,12,FALSE)),""))</f>
        <v/>
      </c>
      <c r="E1194" s="388"/>
      <c r="F1194" s="389"/>
      <c r="G1194" s="387"/>
      <c r="H1194" s="387"/>
      <c r="I1194" s="387"/>
      <c r="J1194" s="387"/>
      <c r="K1194" s="387"/>
      <c r="L1194" s="387"/>
      <c r="M1194" s="388"/>
      <c r="N1194" s="388"/>
      <c r="O1194" s="390"/>
      <c r="P1194" s="391"/>
      <c r="Q1194" s="389"/>
      <c r="R1194" s="390"/>
      <c r="S1194" s="390"/>
      <c r="T1194" s="391"/>
      <c r="U1194" s="392"/>
      <c r="V1194" s="391"/>
      <c r="W1194" s="391"/>
      <c r="X1194" s="388"/>
      <c r="Y1194" s="391"/>
      <c r="Z1194" s="393"/>
      <c r="AA1194" s="355" t="str">
        <f t="shared" si="1"/>
        <v/>
      </c>
      <c r="AB1194" s="391"/>
      <c r="AC1194" s="394" t="str">
        <f t="shared" si="2"/>
        <v/>
      </c>
      <c r="AD1194" s="389"/>
      <c r="AE1194" s="399"/>
      <c r="AF1194" s="395"/>
      <c r="AG1194" s="396" t="str">
        <f t="shared" si="3"/>
        <v/>
      </c>
      <c r="AH1194" s="396" t="str">
        <f t="shared" si="4"/>
        <v/>
      </c>
      <c r="AI1194" s="388"/>
      <c r="AJ1194" s="388"/>
      <c r="AK1194" s="397"/>
    </row>
    <row r="1195">
      <c r="A1195" s="398"/>
      <c r="B1195" s="386"/>
      <c r="C1195" s="387" t="str">
        <f>IF(A1195="","",IFERROR(IF(VLOOKUP(A1195,'1. Inbound Leads'!A:G,7,FALSE)=0,"",VLOOKUP(A1195,'1. Inbound Leads'!A:G,7,FALSE)),""))</f>
        <v/>
      </c>
      <c r="D1195" s="387" t="str">
        <f>IF(A1195="","",IFERROR(IF(VLOOKUP(A1195,'1. Inbound Leads'!A:L,12,FALSE)=0,"",VLOOKUP(A1195,'1. Inbound Leads'!A:L,12,FALSE)),""))</f>
        <v/>
      </c>
      <c r="E1195" s="388"/>
      <c r="F1195" s="389"/>
      <c r="G1195" s="387"/>
      <c r="H1195" s="387"/>
      <c r="I1195" s="387"/>
      <c r="J1195" s="387"/>
      <c r="K1195" s="387"/>
      <c r="L1195" s="387"/>
      <c r="M1195" s="388"/>
      <c r="N1195" s="388"/>
      <c r="O1195" s="390"/>
      <c r="P1195" s="391"/>
      <c r="Q1195" s="389"/>
      <c r="R1195" s="390"/>
      <c r="S1195" s="390"/>
      <c r="T1195" s="391"/>
      <c r="U1195" s="392"/>
      <c r="V1195" s="391"/>
      <c r="W1195" s="391"/>
      <c r="X1195" s="388"/>
      <c r="Y1195" s="391"/>
      <c r="Z1195" s="393"/>
      <c r="AA1195" s="355" t="str">
        <f t="shared" si="1"/>
        <v/>
      </c>
      <c r="AB1195" s="391"/>
      <c r="AC1195" s="394" t="str">
        <f t="shared" si="2"/>
        <v/>
      </c>
      <c r="AD1195" s="389"/>
      <c r="AE1195" s="399"/>
      <c r="AF1195" s="395"/>
      <c r="AG1195" s="396" t="str">
        <f t="shared" si="3"/>
        <v/>
      </c>
      <c r="AH1195" s="396" t="str">
        <f t="shared" si="4"/>
        <v/>
      </c>
      <c r="AI1195" s="388"/>
      <c r="AJ1195" s="388"/>
      <c r="AK1195" s="397"/>
    </row>
    <row r="1196">
      <c r="A1196" s="398"/>
      <c r="B1196" s="386"/>
      <c r="C1196" s="387" t="str">
        <f>IF(A1196="","",IFERROR(IF(VLOOKUP(A1196,'1. Inbound Leads'!A:G,7,FALSE)=0,"",VLOOKUP(A1196,'1. Inbound Leads'!A:G,7,FALSE)),""))</f>
        <v/>
      </c>
      <c r="D1196" s="387" t="str">
        <f>IF(A1196="","",IFERROR(IF(VLOOKUP(A1196,'1. Inbound Leads'!A:L,12,FALSE)=0,"",VLOOKUP(A1196,'1. Inbound Leads'!A:L,12,FALSE)),""))</f>
        <v/>
      </c>
      <c r="E1196" s="388"/>
      <c r="F1196" s="389"/>
      <c r="G1196" s="387"/>
      <c r="H1196" s="387"/>
      <c r="I1196" s="387"/>
      <c r="J1196" s="387"/>
      <c r="K1196" s="387"/>
      <c r="L1196" s="387"/>
      <c r="M1196" s="388"/>
      <c r="N1196" s="388"/>
      <c r="O1196" s="390"/>
      <c r="P1196" s="391"/>
      <c r="Q1196" s="389"/>
      <c r="R1196" s="390"/>
      <c r="S1196" s="390"/>
      <c r="T1196" s="391"/>
      <c r="U1196" s="392"/>
      <c r="V1196" s="391"/>
      <c r="W1196" s="391"/>
      <c r="X1196" s="388"/>
      <c r="Y1196" s="391"/>
      <c r="Z1196" s="393"/>
      <c r="AA1196" s="355" t="str">
        <f t="shared" si="1"/>
        <v/>
      </c>
      <c r="AB1196" s="391"/>
      <c r="AC1196" s="394" t="str">
        <f t="shared" si="2"/>
        <v/>
      </c>
      <c r="AD1196" s="389"/>
      <c r="AE1196" s="399"/>
      <c r="AF1196" s="395"/>
      <c r="AG1196" s="396" t="str">
        <f t="shared" si="3"/>
        <v/>
      </c>
      <c r="AH1196" s="396" t="str">
        <f t="shared" si="4"/>
        <v/>
      </c>
      <c r="AI1196" s="388"/>
      <c r="AJ1196" s="388"/>
      <c r="AK1196" s="397"/>
    </row>
    <row r="1197">
      <c r="A1197" s="398"/>
      <c r="B1197" s="386"/>
      <c r="C1197" s="387" t="str">
        <f>IF(A1197="","",IFERROR(IF(VLOOKUP(A1197,'1. Inbound Leads'!A:G,7,FALSE)=0,"",VLOOKUP(A1197,'1. Inbound Leads'!A:G,7,FALSE)),""))</f>
        <v/>
      </c>
      <c r="D1197" s="387" t="str">
        <f>IF(A1197="","",IFERROR(IF(VLOOKUP(A1197,'1. Inbound Leads'!A:L,12,FALSE)=0,"",VLOOKUP(A1197,'1. Inbound Leads'!A:L,12,FALSE)),""))</f>
        <v/>
      </c>
      <c r="E1197" s="388"/>
      <c r="F1197" s="389"/>
      <c r="G1197" s="387"/>
      <c r="H1197" s="387"/>
      <c r="I1197" s="387"/>
      <c r="J1197" s="387"/>
      <c r="K1197" s="387"/>
      <c r="L1197" s="387"/>
      <c r="M1197" s="388"/>
      <c r="N1197" s="388"/>
      <c r="O1197" s="390"/>
      <c r="P1197" s="391"/>
      <c r="Q1197" s="389"/>
      <c r="R1197" s="390"/>
      <c r="S1197" s="390"/>
      <c r="T1197" s="391"/>
      <c r="U1197" s="392"/>
      <c r="V1197" s="391"/>
      <c r="W1197" s="391"/>
      <c r="X1197" s="388"/>
      <c r="Y1197" s="391"/>
      <c r="Z1197" s="393"/>
      <c r="AA1197" s="355" t="str">
        <f t="shared" si="1"/>
        <v/>
      </c>
      <c r="AB1197" s="391"/>
      <c r="AC1197" s="394" t="str">
        <f t="shared" si="2"/>
        <v/>
      </c>
      <c r="AD1197" s="389"/>
      <c r="AE1197" s="399"/>
      <c r="AF1197" s="395"/>
      <c r="AG1197" s="396" t="str">
        <f t="shared" si="3"/>
        <v/>
      </c>
      <c r="AH1197" s="396" t="str">
        <f t="shared" si="4"/>
        <v/>
      </c>
      <c r="AI1197" s="388"/>
      <c r="AJ1197" s="388"/>
      <c r="AK1197" s="397"/>
    </row>
    <row r="1198">
      <c r="A1198" s="398"/>
      <c r="B1198" s="386"/>
      <c r="C1198" s="387" t="str">
        <f>IF(A1198="","",IFERROR(IF(VLOOKUP(A1198,'1. Inbound Leads'!A:G,7,FALSE)=0,"",VLOOKUP(A1198,'1. Inbound Leads'!A:G,7,FALSE)),""))</f>
        <v/>
      </c>
      <c r="D1198" s="387" t="str">
        <f>IF(A1198="","",IFERROR(IF(VLOOKUP(A1198,'1. Inbound Leads'!A:L,12,FALSE)=0,"",VLOOKUP(A1198,'1. Inbound Leads'!A:L,12,FALSE)),""))</f>
        <v/>
      </c>
      <c r="E1198" s="388"/>
      <c r="F1198" s="389"/>
      <c r="G1198" s="387"/>
      <c r="H1198" s="387"/>
      <c r="I1198" s="387"/>
      <c r="J1198" s="387"/>
      <c r="K1198" s="387"/>
      <c r="L1198" s="387"/>
      <c r="M1198" s="388"/>
      <c r="N1198" s="388"/>
      <c r="O1198" s="390"/>
      <c r="P1198" s="391"/>
      <c r="Q1198" s="389"/>
      <c r="R1198" s="390"/>
      <c r="S1198" s="390"/>
      <c r="T1198" s="391"/>
      <c r="U1198" s="392"/>
      <c r="V1198" s="391"/>
      <c r="W1198" s="391"/>
      <c r="X1198" s="388"/>
      <c r="Y1198" s="391"/>
      <c r="Z1198" s="393"/>
      <c r="AA1198" s="355" t="str">
        <f t="shared" si="1"/>
        <v/>
      </c>
      <c r="AB1198" s="391"/>
      <c r="AC1198" s="394" t="str">
        <f t="shared" si="2"/>
        <v/>
      </c>
      <c r="AD1198" s="389"/>
      <c r="AE1198" s="399"/>
      <c r="AF1198" s="395"/>
      <c r="AG1198" s="396" t="str">
        <f t="shared" si="3"/>
        <v/>
      </c>
      <c r="AH1198" s="396" t="str">
        <f t="shared" si="4"/>
        <v/>
      </c>
      <c r="AI1198" s="388"/>
      <c r="AJ1198" s="388"/>
      <c r="AK1198" s="397"/>
    </row>
    <row r="1199">
      <c r="A1199" s="398"/>
      <c r="B1199" s="386"/>
      <c r="C1199" s="387" t="str">
        <f>IF(A1199="","",IFERROR(IF(VLOOKUP(A1199,'1. Inbound Leads'!A:G,7,FALSE)=0,"",VLOOKUP(A1199,'1. Inbound Leads'!A:G,7,FALSE)),""))</f>
        <v/>
      </c>
      <c r="D1199" s="387" t="str">
        <f>IF(A1199="","",IFERROR(IF(VLOOKUP(A1199,'1. Inbound Leads'!A:L,12,FALSE)=0,"",VLOOKUP(A1199,'1. Inbound Leads'!A:L,12,FALSE)),""))</f>
        <v/>
      </c>
      <c r="E1199" s="388"/>
      <c r="F1199" s="389"/>
      <c r="G1199" s="387"/>
      <c r="H1199" s="387"/>
      <c r="I1199" s="387"/>
      <c r="J1199" s="387"/>
      <c r="K1199" s="387"/>
      <c r="L1199" s="387"/>
      <c r="M1199" s="388"/>
      <c r="N1199" s="388"/>
      <c r="O1199" s="390"/>
      <c r="P1199" s="391"/>
      <c r="Q1199" s="389"/>
      <c r="R1199" s="390"/>
      <c r="S1199" s="390"/>
      <c r="T1199" s="391"/>
      <c r="U1199" s="392"/>
      <c r="V1199" s="391"/>
      <c r="W1199" s="391"/>
      <c r="X1199" s="388"/>
      <c r="Y1199" s="391"/>
      <c r="Z1199" s="393"/>
      <c r="AA1199" s="355" t="str">
        <f t="shared" si="1"/>
        <v/>
      </c>
      <c r="AB1199" s="391"/>
      <c r="AC1199" s="394" t="str">
        <f t="shared" si="2"/>
        <v/>
      </c>
      <c r="AD1199" s="389"/>
      <c r="AE1199" s="399"/>
      <c r="AF1199" s="395"/>
      <c r="AG1199" s="396" t="str">
        <f t="shared" si="3"/>
        <v/>
      </c>
      <c r="AH1199" s="396" t="str">
        <f t="shared" si="4"/>
        <v/>
      </c>
      <c r="AI1199" s="388"/>
      <c r="AJ1199" s="388"/>
      <c r="AK1199" s="397"/>
    </row>
    <row r="1200">
      <c r="A1200" s="398"/>
      <c r="B1200" s="386"/>
      <c r="C1200" s="387" t="str">
        <f>IF(A1200="","",IFERROR(IF(VLOOKUP(A1200,'1. Inbound Leads'!A:G,7,FALSE)=0,"",VLOOKUP(A1200,'1. Inbound Leads'!A:G,7,FALSE)),""))</f>
        <v/>
      </c>
      <c r="D1200" s="387" t="str">
        <f>IF(A1200="","",IFERROR(IF(VLOOKUP(A1200,'1. Inbound Leads'!A:L,12,FALSE)=0,"",VLOOKUP(A1200,'1. Inbound Leads'!A:L,12,FALSE)),""))</f>
        <v/>
      </c>
      <c r="E1200" s="388"/>
      <c r="F1200" s="389"/>
      <c r="G1200" s="387"/>
      <c r="H1200" s="387"/>
      <c r="I1200" s="387"/>
      <c r="J1200" s="387"/>
      <c r="K1200" s="387"/>
      <c r="L1200" s="387"/>
      <c r="M1200" s="388"/>
      <c r="N1200" s="388"/>
      <c r="O1200" s="390"/>
      <c r="P1200" s="391"/>
      <c r="Q1200" s="389"/>
      <c r="R1200" s="390"/>
      <c r="S1200" s="390"/>
      <c r="T1200" s="391"/>
      <c r="U1200" s="392"/>
      <c r="V1200" s="391"/>
      <c r="W1200" s="391"/>
      <c r="X1200" s="388"/>
      <c r="Y1200" s="391"/>
      <c r="Z1200" s="393"/>
      <c r="AA1200" s="355" t="str">
        <f t="shared" si="1"/>
        <v/>
      </c>
      <c r="AB1200" s="391"/>
      <c r="AC1200" s="394" t="str">
        <f t="shared" si="2"/>
        <v/>
      </c>
      <c r="AD1200" s="389"/>
      <c r="AE1200" s="399"/>
      <c r="AF1200" s="395"/>
      <c r="AG1200" s="396" t="str">
        <f t="shared" si="3"/>
        <v/>
      </c>
      <c r="AH1200" s="396" t="str">
        <f t="shared" si="4"/>
        <v/>
      </c>
      <c r="AI1200" s="388"/>
      <c r="AJ1200" s="388"/>
      <c r="AK1200" s="397"/>
    </row>
    <row r="1201">
      <c r="A1201" s="398"/>
      <c r="B1201" s="386"/>
      <c r="C1201" s="387" t="str">
        <f>IF(A1201="","",IFERROR(IF(VLOOKUP(A1201,'1. Inbound Leads'!A:G,7,FALSE)=0,"",VLOOKUP(A1201,'1. Inbound Leads'!A:G,7,FALSE)),""))</f>
        <v/>
      </c>
      <c r="D1201" s="387" t="str">
        <f>IF(A1201="","",IFERROR(IF(VLOOKUP(A1201,'1. Inbound Leads'!A:L,12,FALSE)=0,"",VLOOKUP(A1201,'1. Inbound Leads'!A:L,12,FALSE)),""))</f>
        <v/>
      </c>
      <c r="E1201" s="388"/>
      <c r="F1201" s="389"/>
      <c r="G1201" s="387"/>
      <c r="H1201" s="387"/>
      <c r="I1201" s="387"/>
      <c r="J1201" s="387"/>
      <c r="K1201" s="387"/>
      <c r="L1201" s="387"/>
      <c r="M1201" s="388"/>
      <c r="N1201" s="388"/>
      <c r="O1201" s="390"/>
      <c r="P1201" s="391"/>
      <c r="Q1201" s="389"/>
      <c r="R1201" s="390"/>
      <c r="S1201" s="390"/>
      <c r="T1201" s="391"/>
      <c r="U1201" s="392"/>
      <c r="V1201" s="391"/>
      <c r="W1201" s="391"/>
      <c r="X1201" s="388"/>
      <c r="Y1201" s="391"/>
      <c r="Z1201" s="393"/>
      <c r="AA1201" s="355" t="str">
        <f t="shared" si="1"/>
        <v/>
      </c>
      <c r="AB1201" s="391"/>
      <c r="AC1201" s="394" t="str">
        <f t="shared" si="2"/>
        <v/>
      </c>
      <c r="AD1201" s="389"/>
      <c r="AE1201" s="399"/>
      <c r="AF1201" s="395"/>
      <c r="AG1201" s="396" t="str">
        <f t="shared" si="3"/>
        <v/>
      </c>
      <c r="AH1201" s="396" t="str">
        <f t="shared" si="4"/>
        <v/>
      </c>
      <c r="AI1201" s="388"/>
      <c r="AJ1201" s="388"/>
      <c r="AK1201" s="397"/>
    </row>
    <row r="1202">
      <c r="A1202" s="398"/>
      <c r="B1202" s="386"/>
      <c r="C1202" s="387" t="str">
        <f>IF(A1202="","",IFERROR(IF(VLOOKUP(A1202,'1. Inbound Leads'!A:G,7,FALSE)=0,"",VLOOKUP(A1202,'1. Inbound Leads'!A:G,7,FALSE)),""))</f>
        <v/>
      </c>
      <c r="D1202" s="387" t="str">
        <f>IF(A1202="","",IFERROR(IF(VLOOKUP(A1202,'1. Inbound Leads'!A:L,12,FALSE)=0,"",VLOOKUP(A1202,'1. Inbound Leads'!A:L,12,FALSE)),""))</f>
        <v/>
      </c>
      <c r="E1202" s="388"/>
      <c r="F1202" s="389"/>
      <c r="G1202" s="387"/>
      <c r="H1202" s="387"/>
      <c r="I1202" s="387"/>
      <c r="J1202" s="387"/>
      <c r="K1202" s="387"/>
      <c r="L1202" s="387"/>
      <c r="M1202" s="388"/>
      <c r="N1202" s="388"/>
      <c r="O1202" s="390"/>
      <c r="P1202" s="391"/>
      <c r="Q1202" s="389"/>
      <c r="R1202" s="390"/>
      <c r="S1202" s="390"/>
      <c r="T1202" s="391"/>
      <c r="U1202" s="392"/>
      <c r="V1202" s="391"/>
      <c r="W1202" s="391"/>
      <c r="X1202" s="388"/>
      <c r="Y1202" s="391"/>
      <c r="Z1202" s="393"/>
      <c r="AA1202" s="355" t="str">
        <f t="shared" si="1"/>
        <v/>
      </c>
      <c r="AB1202" s="391"/>
      <c r="AC1202" s="394" t="str">
        <f t="shared" si="2"/>
        <v/>
      </c>
      <c r="AD1202" s="389"/>
      <c r="AE1202" s="399"/>
      <c r="AF1202" s="395"/>
      <c r="AG1202" s="396" t="str">
        <f t="shared" si="3"/>
        <v/>
      </c>
      <c r="AH1202" s="396" t="str">
        <f t="shared" si="4"/>
        <v/>
      </c>
      <c r="AI1202" s="388"/>
      <c r="AJ1202" s="388"/>
      <c r="AK1202" s="397"/>
    </row>
    <row r="1203">
      <c r="A1203" s="398"/>
      <c r="B1203" s="386"/>
      <c r="C1203" s="387" t="str">
        <f>IF(A1203="","",IFERROR(IF(VLOOKUP(A1203,'1. Inbound Leads'!A:G,7,FALSE)=0,"",VLOOKUP(A1203,'1. Inbound Leads'!A:G,7,FALSE)),""))</f>
        <v/>
      </c>
      <c r="D1203" s="387" t="str">
        <f>IF(A1203="","",IFERROR(IF(VLOOKUP(A1203,'1. Inbound Leads'!A:L,12,FALSE)=0,"",VLOOKUP(A1203,'1. Inbound Leads'!A:L,12,FALSE)),""))</f>
        <v/>
      </c>
      <c r="E1203" s="388"/>
      <c r="F1203" s="389"/>
      <c r="G1203" s="387"/>
      <c r="H1203" s="387"/>
      <c r="I1203" s="387"/>
      <c r="J1203" s="387"/>
      <c r="K1203" s="387"/>
      <c r="L1203" s="387"/>
      <c r="M1203" s="388"/>
      <c r="N1203" s="388"/>
      <c r="O1203" s="390"/>
      <c r="P1203" s="391"/>
      <c r="Q1203" s="389"/>
      <c r="R1203" s="390"/>
      <c r="S1203" s="390"/>
      <c r="T1203" s="391"/>
      <c r="U1203" s="392"/>
      <c r="V1203" s="391"/>
      <c r="W1203" s="391"/>
      <c r="X1203" s="388"/>
      <c r="Y1203" s="391"/>
      <c r="Z1203" s="393"/>
      <c r="AA1203" s="355" t="str">
        <f t="shared" si="1"/>
        <v/>
      </c>
      <c r="AB1203" s="391"/>
      <c r="AC1203" s="394" t="str">
        <f t="shared" si="2"/>
        <v/>
      </c>
      <c r="AD1203" s="389"/>
      <c r="AE1203" s="399"/>
      <c r="AF1203" s="395"/>
      <c r="AG1203" s="396" t="str">
        <f t="shared" si="3"/>
        <v/>
      </c>
      <c r="AH1203" s="396" t="str">
        <f t="shared" si="4"/>
        <v/>
      </c>
      <c r="AI1203" s="388"/>
      <c r="AJ1203" s="388"/>
      <c r="AK1203" s="397"/>
    </row>
    <row r="1204">
      <c r="A1204" s="398"/>
      <c r="B1204" s="386"/>
      <c r="C1204" s="387" t="str">
        <f>IF(A1204="","",IFERROR(IF(VLOOKUP(A1204,'1. Inbound Leads'!A:G,7,FALSE)=0,"",VLOOKUP(A1204,'1. Inbound Leads'!A:G,7,FALSE)),""))</f>
        <v/>
      </c>
      <c r="D1204" s="387" t="str">
        <f>IF(A1204="","",IFERROR(IF(VLOOKUP(A1204,'1. Inbound Leads'!A:L,12,FALSE)=0,"",VLOOKUP(A1204,'1. Inbound Leads'!A:L,12,FALSE)),""))</f>
        <v/>
      </c>
      <c r="E1204" s="388"/>
      <c r="F1204" s="389"/>
      <c r="G1204" s="387"/>
      <c r="H1204" s="387"/>
      <c r="I1204" s="387"/>
      <c r="J1204" s="387"/>
      <c r="K1204" s="387"/>
      <c r="L1204" s="387"/>
      <c r="M1204" s="388"/>
      <c r="N1204" s="388"/>
      <c r="O1204" s="390"/>
      <c r="P1204" s="391"/>
      <c r="Q1204" s="389"/>
      <c r="R1204" s="390"/>
      <c r="S1204" s="390"/>
      <c r="T1204" s="391"/>
      <c r="U1204" s="392"/>
      <c r="V1204" s="391"/>
      <c r="W1204" s="391"/>
      <c r="X1204" s="388"/>
      <c r="Y1204" s="391"/>
      <c r="Z1204" s="393"/>
      <c r="AA1204" s="355" t="str">
        <f t="shared" si="1"/>
        <v/>
      </c>
      <c r="AB1204" s="391"/>
      <c r="AC1204" s="394" t="str">
        <f t="shared" si="2"/>
        <v/>
      </c>
      <c r="AD1204" s="389"/>
      <c r="AE1204" s="399"/>
      <c r="AF1204" s="395"/>
      <c r="AG1204" s="396" t="str">
        <f t="shared" si="3"/>
        <v/>
      </c>
      <c r="AH1204" s="396" t="str">
        <f t="shared" si="4"/>
        <v/>
      </c>
      <c r="AI1204" s="388"/>
      <c r="AJ1204" s="388"/>
      <c r="AK1204" s="397"/>
    </row>
    <row r="1205">
      <c r="A1205" s="398"/>
      <c r="B1205" s="386"/>
      <c r="C1205" s="387" t="str">
        <f>IF(A1205="","",IFERROR(IF(VLOOKUP(A1205,'1. Inbound Leads'!A:G,7,FALSE)=0,"",VLOOKUP(A1205,'1. Inbound Leads'!A:G,7,FALSE)),""))</f>
        <v/>
      </c>
      <c r="D1205" s="387" t="str">
        <f>IF(A1205="","",IFERROR(IF(VLOOKUP(A1205,'1. Inbound Leads'!A:L,12,FALSE)=0,"",VLOOKUP(A1205,'1. Inbound Leads'!A:L,12,FALSE)),""))</f>
        <v/>
      </c>
      <c r="E1205" s="388"/>
      <c r="F1205" s="389"/>
      <c r="G1205" s="387"/>
      <c r="H1205" s="387"/>
      <c r="I1205" s="387"/>
      <c r="J1205" s="387"/>
      <c r="K1205" s="387"/>
      <c r="L1205" s="387"/>
      <c r="M1205" s="388"/>
      <c r="N1205" s="388"/>
      <c r="O1205" s="390"/>
      <c r="P1205" s="391"/>
      <c r="Q1205" s="389"/>
      <c r="R1205" s="390"/>
      <c r="S1205" s="390"/>
      <c r="T1205" s="391"/>
      <c r="U1205" s="392"/>
      <c r="V1205" s="391"/>
      <c r="W1205" s="391"/>
      <c r="X1205" s="388"/>
      <c r="Y1205" s="391"/>
      <c r="Z1205" s="393"/>
      <c r="AA1205" s="355" t="str">
        <f t="shared" si="1"/>
        <v/>
      </c>
      <c r="AB1205" s="391"/>
      <c r="AC1205" s="394" t="str">
        <f t="shared" si="2"/>
        <v/>
      </c>
      <c r="AD1205" s="389"/>
      <c r="AE1205" s="399"/>
      <c r="AF1205" s="395"/>
      <c r="AG1205" s="396" t="str">
        <f t="shared" si="3"/>
        <v/>
      </c>
      <c r="AH1205" s="396" t="str">
        <f t="shared" si="4"/>
        <v/>
      </c>
      <c r="AI1205" s="388"/>
      <c r="AJ1205" s="388"/>
      <c r="AK1205" s="397"/>
    </row>
    <row r="1206">
      <c r="A1206" s="398"/>
      <c r="B1206" s="386"/>
      <c r="C1206" s="387" t="str">
        <f>IF(A1206="","",IFERROR(IF(VLOOKUP(A1206,'1. Inbound Leads'!A:G,7,FALSE)=0,"",VLOOKUP(A1206,'1. Inbound Leads'!A:G,7,FALSE)),""))</f>
        <v/>
      </c>
      <c r="D1206" s="387" t="str">
        <f>IF(A1206="","",IFERROR(IF(VLOOKUP(A1206,'1. Inbound Leads'!A:L,12,FALSE)=0,"",VLOOKUP(A1206,'1. Inbound Leads'!A:L,12,FALSE)),""))</f>
        <v/>
      </c>
      <c r="E1206" s="388"/>
      <c r="F1206" s="389"/>
      <c r="G1206" s="387"/>
      <c r="H1206" s="387"/>
      <c r="I1206" s="387"/>
      <c r="J1206" s="387"/>
      <c r="K1206" s="387"/>
      <c r="L1206" s="387"/>
      <c r="M1206" s="388"/>
      <c r="N1206" s="388"/>
      <c r="O1206" s="390"/>
      <c r="P1206" s="391"/>
      <c r="Q1206" s="389"/>
      <c r="R1206" s="390"/>
      <c r="S1206" s="390"/>
      <c r="T1206" s="391"/>
      <c r="U1206" s="392"/>
      <c r="V1206" s="391"/>
      <c r="W1206" s="391"/>
      <c r="X1206" s="388"/>
      <c r="Y1206" s="391"/>
      <c r="Z1206" s="393"/>
      <c r="AA1206" s="355" t="str">
        <f t="shared" si="1"/>
        <v/>
      </c>
      <c r="AB1206" s="391"/>
      <c r="AC1206" s="394" t="str">
        <f t="shared" si="2"/>
        <v/>
      </c>
      <c r="AD1206" s="389"/>
      <c r="AE1206" s="399"/>
      <c r="AF1206" s="395"/>
      <c r="AG1206" s="396" t="str">
        <f t="shared" si="3"/>
        <v/>
      </c>
      <c r="AH1206" s="396" t="str">
        <f t="shared" si="4"/>
        <v/>
      </c>
      <c r="AI1206" s="388"/>
      <c r="AJ1206" s="388"/>
      <c r="AK1206" s="397"/>
    </row>
    <row r="1207">
      <c r="A1207" s="398"/>
      <c r="B1207" s="386"/>
      <c r="C1207" s="387" t="str">
        <f>IF(A1207="","",IFERROR(IF(VLOOKUP(A1207,'1. Inbound Leads'!A:G,7,FALSE)=0,"",VLOOKUP(A1207,'1. Inbound Leads'!A:G,7,FALSE)),""))</f>
        <v/>
      </c>
      <c r="D1207" s="387" t="str">
        <f>IF(A1207="","",IFERROR(IF(VLOOKUP(A1207,'1. Inbound Leads'!A:L,12,FALSE)=0,"",VLOOKUP(A1207,'1. Inbound Leads'!A:L,12,FALSE)),""))</f>
        <v/>
      </c>
      <c r="E1207" s="388"/>
      <c r="F1207" s="389"/>
      <c r="G1207" s="387"/>
      <c r="H1207" s="387"/>
      <c r="I1207" s="387"/>
      <c r="J1207" s="387"/>
      <c r="K1207" s="387"/>
      <c r="L1207" s="387"/>
      <c r="M1207" s="388"/>
      <c r="N1207" s="388"/>
      <c r="O1207" s="390"/>
      <c r="P1207" s="391"/>
      <c r="Q1207" s="389"/>
      <c r="R1207" s="390"/>
      <c r="S1207" s="390"/>
      <c r="T1207" s="391"/>
      <c r="U1207" s="392"/>
      <c r="V1207" s="391"/>
      <c r="W1207" s="391"/>
      <c r="X1207" s="388"/>
      <c r="Y1207" s="391"/>
      <c r="Z1207" s="393"/>
      <c r="AA1207" s="355" t="str">
        <f t="shared" si="1"/>
        <v/>
      </c>
      <c r="AB1207" s="391"/>
      <c r="AC1207" s="394" t="str">
        <f t="shared" si="2"/>
        <v/>
      </c>
      <c r="AD1207" s="389"/>
      <c r="AE1207" s="399"/>
      <c r="AF1207" s="395"/>
      <c r="AG1207" s="396" t="str">
        <f t="shared" si="3"/>
        <v/>
      </c>
      <c r="AH1207" s="396" t="str">
        <f t="shared" si="4"/>
        <v/>
      </c>
      <c r="AI1207" s="388"/>
      <c r="AJ1207" s="388"/>
      <c r="AK1207" s="397"/>
    </row>
    <row r="1208">
      <c r="A1208" s="398"/>
      <c r="B1208" s="386"/>
      <c r="C1208" s="387" t="str">
        <f>IF(A1208="","",IFERROR(IF(VLOOKUP(A1208,'1. Inbound Leads'!A:G,7,FALSE)=0,"",VLOOKUP(A1208,'1. Inbound Leads'!A:G,7,FALSE)),""))</f>
        <v/>
      </c>
      <c r="D1208" s="387" t="str">
        <f>IF(A1208="","",IFERROR(IF(VLOOKUP(A1208,'1. Inbound Leads'!A:L,12,FALSE)=0,"",VLOOKUP(A1208,'1. Inbound Leads'!A:L,12,FALSE)),""))</f>
        <v/>
      </c>
      <c r="E1208" s="388"/>
      <c r="F1208" s="389"/>
      <c r="G1208" s="387"/>
      <c r="H1208" s="387"/>
      <c r="I1208" s="387"/>
      <c r="J1208" s="387"/>
      <c r="K1208" s="387"/>
      <c r="L1208" s="387"/>
      <c r="M1208" s="388"/>
      <c r="N1208" s="388"/>
      <c r="O1208" s="390"/>
      <c r="P1208" s="391"/>
      <c r="Q1208" s="389"/>
      <c r="R1208" s="390"/>
      <c r="S1208" s="390"/>
      <c r="T1208" s="391"/>
      <c r="U1208" s="392"/>
      <c r="V1208" s="391"/>
      <c r="W1208" s="391"/>
      <c r="X1208" s="388"/>
      <c r="Y1208" s="391"/>
      <c r="Z1208" s="393"/>
      <c r="AA1208" s="355" t="str">
        <f t="shared" si="1"/>
        <v/>
      </c>
      <c r="AB1208" s="391"/>
      <c r="AC1208" s="394" t="str">
        <f t="shared" si="2"/>
        <v/>
      </c>
      <c r="AD1208" s="389"/>
      <c r="AE1208" s="399"/>
      <c r="AF1208" s="395"/>
      <c r="AG1208" s="396" t="str">
        <f t="shared" si="3"/>
        <v/>
      </c>
      <c r="AH1208" s="396" t="str">
        <f t="shared" si="4"/>
        <v/>
      </c>
      <c r="AI1208" s="388"/>
      <c r="AJ1208" s="388"/>
      <c r="AK1208" s="397"/>
    </row>
    <row r="1209">
      <c r="A1209" s="398"/>
      <c r="B1209" s="386"/>
      <c r="C1209" s="387" t="str">
        <f>IF(A1209="","",IFERROR(IF(VLOOKUP(A1209,'1. Inbound Leads'!A:G,7,FALSE)=0,"",VLOOKUP(A1209,'1. Inbound Leads'!A:G,7,FALSE)),""))</f>
        <v/>
      </c>
      <c r="D1209" s="387" t="str">
        <f>IF(A1209="","",IFERROR(IF(VLOOKUP(A1209,'1. Inbound Leads'!A:L,12,FALSE)=0,"",VLOOKUP(A1209,'1. Inbound Leads'!A:L,12,FALSE)),""))</f>
        <v/>
      </c>
      <c r="E1209" s="388"/>
      <c r="F1209" s="389"/>
      <c r="G1209" s="387"/>
      <c r="H1209" s="387"/>
      <c r="I1209" s="387"/>
      <c r="J1209" s="387"/>
      <c r="K1209" s="387"/>
      <c r="L1209" s="387"/>
      <c r="M1209" s="388"/>
      <c r="N1209" s="388"/>
      <c r="O1209" s="390"/>
      <c r="P1209" s="391"/>
      <c r="Q1209" s="389"/>
      <c r="R1209" s="390"/>
      <c r="S1209" s="390"/>
      <c r="T1209" s="391"/>
      <c r="U1209" s="392"/>
      <c r="V1209" s="391"/>
      <c r="W1209" s="391"/>
      <c r="X1209" s="388"/>
      <c r="Y1209" s="391"/>
      <c r="Z1209" s="393"/>
      <c r="AA1209" s="355" t="str">
        <f t="shared" si="1"/>
        <v/>
      </c>
      <c r="AB1209" s="391"/>
      <c r="AC1209" s="394" t="str">
        <f t="shared" si="2"/>
        <v/>
      </c>
      <c r="AD1209" s="389"/>
      <c r="AE1209" s="399"/>
      <c r="AF1209" s="395"/>
      <c r="AG1209" s="396" t="str">
        <f t="shared" si="3"/>
        <v/>
      </c>
      <c r="AH1209" s="396" t="str">
        <f t="shared" si="4"/>
        <v/>
      </c>
      <c r="AI1209" s="388"/>
      <c r="AJ1209" s="388"/>
      <c r="AK1209" s="397"/>
    </row>
    <row r="1210">
      <c r="A1210" s="398"/>
      <c r="B1210" s="386"/>
      <c r="C1210" s="387" t="str">
        <f>IF(A1210="","",IFERROR(IF(VLOOKUP(A1210,'1. Inbound Leads'!A:G,7,FALSE)=0,"",VLOOKUP(A1210,'1. Inbound Leads'!A:G,7,FALSE)),""))</f>
        <v/>
      </c>
      <c r="D1210" s="387" t="str">
        <f>IF(A1210="","",IFERROR(IF(VLOOKUP(A1210,'1. Inbound Leads'!A:L,12,FALSE)=0,"",VLOOKUP(A1210,'1. Inbound Leads'!A:L,12,FALSE)),""))</f>
        <v/>
      </c>
      <c r="E1210" s="388"/>
      <c r="F1210" s="389"/>
      <c r="G1210" s="387"/>
      <c r="H1210" s="387"/>
      <c r="I1210" s="387"/>
      <c r="J1210" s="387"/>
      <c r="K1210" s="387"/>
      <c r="L1210" s="387"/>
      <c r="M1210" s="388"/>
      <c r="N1210" s="388"/>
      <c r="O1210" s="390"/>
      <c r="P1210" s="391"/>
      <c r="Q1210" s="389"/>
      <c r="R1210" s="390"/>
      <c r="S1210" s="390"/>
      <c r="T1210" s="391"/>
      <c r="U1210" s="392"/>
      <c r="V1210" s="391"/>
      <c r="W1210" s="391"/>
      <c r="X1210" s="388"/>
      <c r="Y1210" s="391"/>
      <c r="Z1210" s="393"/>
      <c r="AA1210" s="355" t="str">
        <f t="shared" si="1"/>
        <v/>
      </c>
      <c r="AB1210" s="391"/>
      <c r="AC1210" s="394" t="str">
        <f t="shared" si="2"/>
        <v/>
      </c>
      <c r="AD1210" s="389"/>
      <c r="AE1210" s="399"/>
      <c r="AF1210" s="395"/>
      <c r="AG1210" s="396" t="str">
        <f t="shared" si="3"/>
        <v/>
      </c>
      <c r="AH1210" s="396" t="str">
        <f t="shared" si="4"/>
        <v/>
      </c>
      <c r="AI1210" s="388"/>
      <c r="AJ1210" s="388"/>
      <c r="AK1210" s="397"/>
    </row>
    <row r="1211">
      <c r="A1211" s="398"/>
      <c r="B1211" s="386"/>
      <c r="C1211" s="387" t="str">
        <f>IF(A1211="","",IFERROR(IF(VLOOKUP(A1211,'1. Inbound Leads'!A:G,7,FALSE)=0,"",VLOOKUP(A1211,'1. Inbound Leads'!A:G,7,FALSE)),""))</f>
        <v/>
      </c>
      <c r="D1211" s="387" t="str">
        <f>IF(A1211="","",IFERROR(IF(VLOOKUP(A1211,'1. Inbound Leads'!A:L,12,FALSE)=0,"",VLOOKUP(A1211,'1. Inbound Leads'!A:L,12,FALSE)),""))</f>
        <v/>
      </c>
      <c r="E1211" s="388"/>
      <c r="F1211" s="389"/>
      <c r="G1211" s="387"/>
      <c r="H1211" s="387"/>
      <c r="I1211" s="387"/>
      <c r="J1211" s="387"/>
      <c r="K1211" s="387"/>
      <c r="L1211" s="387"/>
      <c r="M1211" s="388"/>
      <c r="N1211" s="388"/>
      <c r="O1211" s="390"/>
      <c r="P1211" s="391"/>
      <c r="Q1211" s="389"/>
      <c r="R1211" s="390"/>
      <c r="S1211" s="390"/>
      <c r="T1211" s="391"/>
      <c r="U1211" s="392"/>
      <c r="V1211" s="391"/>
      <c r="W1211" s="391"/>
      <c r="X1211" s="388"/>
      <c r="Y1211" s="391"/>
      <c r="Z1211" s="393"/>
      <c r="AA1211" s="355" t="str">
        <f t="shared" si="1"/>
        <v/>
      </c>
      <c r="AB1211" s="391"/>
      <c r="AC1211" s="394" t="str">
        <f t="shared" si="2"/>
        <v/>
      </c>
      <c r="AD1211" s="389"/>
      <c r="AE1211" s="399"/>
      <c r="AF1211" s="395"/>
      <c r="AG1211" s="396" t="str">
        <f t="shared" si="3"/>
        <v/>
      </c>
      <c r="AH1211" s="396" t="str">
        <f t="shared" si="4"/>
        <v/>
      </c>
      <c r="AI1211" s="388"/>
      <c r="AJ1211" s="388"/>
      <c r="AK1211" s="397"/>
    </row>
    <row r="1212">
      <c r="A1212" s="398"/>
      <c r="B1212" s="386"/>
      <c r="C1212" s="387" t="str">
        <f>IF(A1212="","",IFERROR(IF(VLOOKUP(A1212,'1. Inbound Leads'!A:G,7,FALSE)=0,"",VLOOKUP(A1212,'1. Inbound Leads'!A:G,7,FALSE)),""))</f>
        <v/>
      </c>
      <c r="D1212" s="387" t="str">
        <f>IF(A1212="","",IFERROR(IF(VLOOKUP(A1212,'1. Inbound Leads'!A:L,12,FALSE)=0,"",VLOOKUP(A1212,'1. Inbound Leads'!A:L,12,FALSE)),""))</f>
        <v/>
      </c>
      <c r="E1212" s="388"/>
      <c r="F1212" s="389"/>
      <c r="G1212" s="387"/>
      <c r="H1212" s="387"/>
      <c r="I1212" s="387"/>
      <c r="J1212" s="387"/>
      <c r="K1212" s="387"/>
      <c r="L1212" s="387"/>
      <c r="M1212" s="388"/>
      <c r="N1212" s="388"/>
      <c r="O1212" s="390"/>
      <c r="P1212" s="391"/>
      <c r="Q1212" s="389"/>
      <c r="R1212" s="390"/>
      <c r="S1212" s="390"/>
      <c r="T1212" s="391"/>
      <c r="U1212" s="392"/>
      <c r="V1212" s="391"/>
      <c r="W1212" s="391"/>
      <c r="X1212" s="388"/>
      <c r="Y1212" s="391"/>
      <c r="Z1212" s="393"/>
      <c r="AA1212" s="355" t="str">
        <f t="shared" si="1"/>
        <v/>
      </c>
      <c r="AB1212" s="391"/>
      <c r="AC1212" s="394" t="str">
        <f t="shared" si="2"/>
        <v/>
      </c>
      <c r="AD1212" s="389"/>
      <c r="AE1212" s="399"/>
      <c r="AF1212" s="395"/>
      <c r="AG1212" s="396" t="str">
        <f t="shared" si="3"/>
        <v/>
      </c>
      <c r="AH1212" s="396" t="str">
        <f t="shared" si="4"/>
        <v/>
      </c>
      <c r="AI1212" s="388"/>
      <c r="AJ1212" s="388"/>
      <c r="AK1212" s="397"/>
    </row>
    <row r="1213">
      <c r="A1213" s="398"/>
      <c r="B1213" s="386"/>
      <c r="C1213" s="387" t="str">
        <f>IF(A1213="","",IFERROR(IF(VLOOKUP(A1213,'1. Inbound Leads'!A:G,7,FALSE)=0,"",VLOOKUP(A1213,'1. Inbound Leads'!A:G,7,FALSE)),""))</f>
        <v/>
      </c>
      <c r="D1213" s="387" t="str">
        <f>IF(A1213="","",IFERROR(IF(VLOOKUP(A1213,'1. Inbound Leads'!A:L,12,FALSE)=0,"",VLOOKUP(A1213,'1. Inbound Leads'!A:L,12,FALSE)),""))</f>
        <v/>
      </c>
      <c r="E1213" s="388"/>
      <c r="F1213" s="389"/>
      <c r="G1213" s="387"/>
      <c r="H1213" s="387"/>
      <c r="I1213" s="387"/>
      <c r="J1213" s="387"/>
      <c r="K1213" s="387"/>
      <c r="L1213" s="387"/>
      <c r="M1213" s="388"/>
      <c r="N1213" s="388"/>
      <c r="O1213" s="390"/>
      <c r="P1213" s="391"/>
      <c r="Q1213" s="389"/>
      <c r="R1213" s="390"/>
      <c r="S1213" s="390"/>
      <c r="T1213" s="391"/>
      <c r="U1213" s="392"/>
      <c r="V1213" s="391"/>
      <c r="W1213" s="391"/>
      <c r="X1213" s="388"/>
      <c r="Y1213" s="391"/>
      <c r="Z1213" s="393"/>
      <c r="AA1213" s="355" t="str">
        <f t="shared" si="1"/>
        <v/>
      </c>
      <c r="AB1213" s="391"/>
      <c r="AC1213" s="394" t="str">
        <f t="shared" si="2"/>
        <v/>
      </c>
      <c r="AD1213" s="389"/>
      <c r="AE1213" s="399"/>
      <c r="AF1213" s="395"/>
      <c r="AG1213" s="396" t="str">
        <f t="shared" si="3"/>
        <v/>
      </c>
      <c r="AH1213" s="396" t="str">
        <f t="shared" si="4"/>
        <v/>
      </c>
      <c r="AI1213" s="388"/>
      <c r="AJ1213" s="388"/>
      <c r="AK1213" s="397"/>
    </row>
    <row r="1214">
      <c r="A1214" s="398"/>
      <c r="B1214" s="386"/>
      <c r="C1214" s="387" t="str">
        <f>IF(A1214="","",IFERROR(IF(VLOOKUP(A1214,'1. Inbound Leads'!A:G,7,FALSE)=0,"",VLOOKUP(A1214,'1. Inbound Leads'!A:G,7,FALSE)),""))</f>
        <v/>
      </c>
      <c r="D1214" s="387" t="str">
        <f>IF(A1214="","",IFERROR(IF(VLOOKUP(A1214,'1. Inbound Leads'!A:L,12,FALSE)=0,"",VLOOKUP(A1214,'1. Inbound Leads'!A:L,12,FALSE)),""))</f>
        <v/>
      </c>
      <c r="E1214" s="388"/>
      <c r="F1214" s="389"/>
      <c r="G1214" s="387"/>
      <c r="H1214" s="387"/>
      <c r="I1214" s="387"/>
      <c r="J1214" s="387"/>
      <c r="K1214" s="387"/>
      <c r="L1214" s="387"/>
      <c r="M1214" s="388"/>
      <c r="N1214" s="388"/>
      <c r="O1214" s="390"/>
      <c r="P1214" s="391"/>
      <c r="Q1214" s="389"/>
      <c r="R1214" s="390"/>
      <c r="S1214" s="390"/>
      <c r="T1214" s="391"/>
      <c r="U1214" s="392"/>
      <c r="V1214" s="391"/>
      <c r="W1214" s="391"/>
      <c r="X1214" s="388"/>
      <c r="Y1214" s="391"/>
      <c r="Z1214" s="393"/>
      <c r="AA1214" s="355" t="str">
        <f t="shared" si="1"/>
        <v/>
      </c>
      <c r="AB1214" s="391"/>
      <c r="AC1214" s="394" t="str">
        <f t="shared" si="2"/>
        <v/>
      </c>
      <c r="AD1214" s="389"/>
      <c r="AE1214" s="399"/>
      <c r="AF1214" s="395"/>
      <c r="AG1214" s="396" t="str">
        <f t="shared" si="3"/>
        <v/>
      </c>
      <c r="AH1214" s="396" t="str">
        <f t="shared" si="4"/>
        <v/>
      </c>
      <c r="AI1214" s="388"/>
      <c r="AJ1214" s="388"/>
      <c r="AK1214" s="397"/>
    </row>
    <row r="1215">
      <c r="A1215" s="398"/>
      <c r="B1215" s="386"/>
      <c r="C1215" s="387" t="str">
        <f>IF(A1215="","",IFERROR(IF(VLOOKUP(A1215,'1. Inbound Leads'!A:G,7,FALSE)=0,"",VLOOKUP(A1215,'1. Inbound Leads'!A:G,7,FALSE)),""))</f>
        <v/>
      </c>
      <c r="D1215" s="387" t="str">
        <f>IF(A1215="","",IFERROR(IF(VLOOKUP(A1215,'1. Inbound Leads'!A:L,12,FALSE)=0,"",VLOOKUP(A1215,'1. Inbound Leads'!A:L,12,FALSE)),""))</f>
        <v/>
      </c>
      <c r="E1215" s="388"/>
      <c r="F1215" s="389"/>
      <c r="G1215" s="387"/>
      <c r="H1215" s="387"/>
      <c r="I1215" s="387"/>
      <c r="J1215" s="387"/>
      <c r="K1215" s="387"/>
      <c r="L1215" s="387"/>
      <c r="M1215" s="388"/>
      <c r="N1215" s="388"/>
      <c r="O1215" s="390"/>
      <c r="P1215" s="391"/>
      <c r="Q1215" s="389"/>
      <c r="R1215" s="390"/>
      <c r="S1215" s="390"/>
      <c r="T1215" s="391"/>
      <c r="U1215" s="392"/>
      <c r="V1215" s="391"/>
      <c r="W1215" s="391"/>
      <c r="X1215" s="388"/>
      <c r="Y1215" s="391"/>
      <c r="Z1215" s="393"/>
      <c r="AA1215" s="355" t="str">
        <f t="shared" si="1"/>
        <v/>
      </c>
      <c r="AB1215" s="391"/>
      <c r="AC1215" s="394" t="str">
        <f t="shared" si="2"/>
        <v/>
      </c>
      <c r="AD1215" s="389"/>
      <c r="AE1215" s="399"/>
      <c r="AF1215" s="395"/>
      <c r="AG1215" s="396" t="str">
        <f t="shared" si="3"/>
        <v/>
      </c>
      <c r="AH1215" s="396" t="str">
        <f t="shared" si="4"/>
        <v/>
      </c>
      <c r="AI1215" s="388"/>
      <c r="AJ1215" s="388"/>
      <c r="AK1215" s="397"/>
    </row>
    <row r="1216">
      <c r="A1216" s="398"/>
      <c r="B1216" s="386"/>
      <c r="C1216" s="387" t="str">
        <f>IF(A1216="","",IFERROR(IF(VLOOKUP(A1216,'1. Inbound Leads'!A:G,7,FALSE)=0,"",VLOOKUP(A1216,'1. Inbound Leads'!A:G,7,FALSE)),""))</f>
        <v/>
      </c>
      <c r="D1216" s="387" t="str">
        <f>IF(A1216="","",IFERROR(IF(VLOOKUP(A1216,'1. Inbound Leads'!A:L,12,FALSE)=0,"",VLOOKUP(A1216,'1. Inbound Leads'!A:L,12,FALSE)),""))</f>
        <v/>
      </c>
      <c r="E1216" s="388"/>
      <c r="F1216" s="389"/>
      <c r="G1216" s="387"/>
      <c r="H1216" s="387"/>
      <c r="I1216" s="387"/>
      <c r="J1216" s="387"/>
      <c r="K1216" s="387"/>
      <c r="L1216" s="387"/>
      <c r="M1216" s="388"/>
      <c r="N1216" s="388"/>
      <c r="O1216" s="390"/>
      <c r="P1216" s="391"/>
      <c r="Q1216" s="389"/>
      <c r="R1216" s="390"/>
      <c r="S1216" s="390"/>
      <c r="T1216" s="391"/>
      <c r="U1216" s="392"/>
      <c r="V1216" s="391"/>
      <c r="W1216" s="391"/>
      <c r="X1216" s="388"/>
      <c r="Y1216" s="391"/>
      <c r="Z1216" s="393"/>
      <c r="AA1216" s="355" t="str">
        <f t="shared" si="1"/>
        <v/>
      </c>
      <c r="AB1216" s="391"/>
      <c r="AC1216" s="394" t="str">
        <f t="shared" si="2"/>
        <v/>
      </c>
      <c r="AD1216" s="389"/>
      <c r="AE1216" s="399"/>
      <c r="AF1216" s="395"/>
      <c r="AG1216" s="396" t="str">
        <f t="shared" si="3"/>
        <v/>
      </c>
      <c r="AH1216" s="396" t="str">
        <f t="shared" si="4"/>
        <v/>
      </c>
      <c r="AI1216" s="388"/>
      <c r="AJ1216" s="388"/>
      <c r="AK1216" s="397"/>
    </row>
    <row r="1217">
      <c r="A1217" s="398"/>
      <c r="B1217" s="386"/>
      <c r="C1217" s="387" t="str">
        <f>IF(A1217="","",IFERROR(IF(VLOOKUP(A1217,'1. Inbound Leads'!A:G,7,FALSE)=0,"",VLOOKUP(A1217,'1. Inbound Leads'!A:G,7,FALSE)),""))</f>
        <v/>
      </c>
      <c r="D1217" s="387" t="str">
        <f>IF(A1217="","",IFERROR(IF(VLOOKUP(A1217,'1. Inbound Leads'!A:L,12,FALSE)=0,"",VLOOKUP(A1217,'1. Inbound Leads'!A:L,12,FALSE)),""))</f>
        <v/>
      </c>
      <c r="E1217" s="388"/>
      <c r="F1217" s="389"/>
      <c r="G1217" s="387"/>
      <c r="H1217" s="387"/>
      <c r="I1217" s="387"/>
      <c r="J1217" s="387"/>
      <c r="K1217" s="387"/>
      <c r="L1217" s="387"/>
      <c r="M1217" s="388"/>
      <c r="N1217" s="388"/>
      <c r="O1217" s="390"/>
      <c r="P1217" s="391"/>
      <c r="Q1217" s="389"/>
      <c r="R1217" s="390"/>
      <c r="S1217" s="390"/>
      <c r="T1217" s="391"/>
      <c r="U1217" s="392"/>
      <c r="V1217" s="391"/>
      <c r="W1217" s="391"/>
      <c r="X1217" s="388"/>
      <c r="Y1217" s="391"/>
      <c r="Z1217" s="393"/>
      <c r="AA1217" s="355" t="str">
        <f t="shared" si="1"/>
        <v/>
      </c>
      <c r="AB1217" s="391"/>
      <c r="AC1217" s="394" t="str">
        <f t="shared" si="2"/>
        <v/>
      </c>
      <c r="AD1217" s="389"/>
      <c r="AE1217" s="399"/>
      <c r="AF1217" s="395"/>
      <c r="AG1217" s="396" t="str">
        <f t="shared" si="3"/>
        <v/>
      </c>
      <c r="AH1217" s="396" t="str">
        <f t="shared" si="4"/>
        <v/>
      </c>
      <c r="AI1217" s="388"/>
      <c r="AJ1217" s="388"/>
      <c r="AK1217" s="397"/>
    </row>
    <row r="1218">
      <c r="A1218" s="398"/>
      <c r="B1218" s="386"/>
      <c r="C1218" s="387" t="str">
        <f>IF(A1218="","",IFERROR(IF(VLOOKUP(A1218,'1. Inbound Leads'!A:G,7,FALSE)=0,"",VLOOKUP(A1218,'1. Inbound Leads'!A:G,7,FALSE)),""))</f>
        <v/>
      </c>
      <c r="D1218" s="387" t="str">
        <f>IF(A1218="","",IFERROR(IF(VLOOKUP(A1218,'1. Inbound Leads'!A:L,12,FALSE)=0,"",VLOOKUP(A1218,'1. Inbound Leads'!A:L,12,FALSE)),""))</f>
        <v/>
      </c>
      <c r="E1218" s="388"/>
      <c r="F1218" s="389"/>
      <c r="G1218" s="387"/>
      <c r="H1218" s="387"/>
      <c r="I1218" s="387"/>
      <c r="J1218" s="387"/>
      <c r="K1218" s="387"/>
      <c r="L1218" s="387"/>
      <c r="M1218" s="388"/>
      <c r="N1218" s="388"/>
      <c r="O1218" s="390"/>
      <c r="P1218" s="391"/>
      <c r="Q1218" s="389"/>
      <c r="R1218" s="390"/>
      <c r="S1218" s="390"/>
      <c r="T1218" s="391"/>
      <c r="U1218" s="392"/>
      <c r="V1218" s="391"/>
      <c r="W1218" s="391"/>
      <c r="X1218" s="388"/>
      <c r="Y1218" s="391"/>
      <c r="Z1218" s="393"/>
      <c r="AA1218" s="355" t="str">
        <f t="shared" si="1"/>
        <v/>
      </c>
      <c r="AB1218" s="391"/>
      <c r="AC1218" s="394" t="str">
        <f t="shared" si="2"/>
        <v/>
      </c>
      <c r="AD1218" s="389"/>
      <c r="AE1218" s="399"/>
      <c r="AF1218" s="395"/>
      <c r="AG1218" s="396" t="str">
        <f t="shared" si="3"/>
        <v/>
      </c>
      <c r="AH1218" s="396" t="str">
        <f t="shared" si="4"/>
        <v/>
      </c>
      <c r="AI1218" s="388"/>
      <c r="AJ1218" s="388"/>
      <c r="AK1218" s="397"/>
    </row>
    <row r="1219">
      <c r="A1219" s="398"/>
      <c r="B1219" s="386"/>
      <c r="C1219" s="387" t="str">
        <f>IF(A1219="","",IFERROR(IF(VLOOKUP(A1219,'1. Inbound Leads'!A:G,7,FALSE)=0,"",VLOOKUP(A1219,'1. Inbound Leads'!A:G,7,FALSE)),""))</f>
        <v/>
      </c>
      <c r="D1219" s="387" t="str">
        <f>IF(A1219="","",IFERROR(IF(VLOOKUP(A1219,'1. Inbound Leads'!A:L,12,FALSE)=0,"",VLOOKUP(A1219,'1. Inbound Leads'!A:L,12,FALSE)),""))</f>
        <v/>
      </c>
      <c r="E1219" s="388"/>
      <c r="F1219" s="389"/>
      <c r="G1219" s="387"/>
      <c r="H1219" s="387"/>
      <c r="I1219" s="387"/>
      <c r="J1219" s="387"/>
      <c r="K1219" s="387"/>
      <c r="L1219" s="387"/>
      <c r="M1219" s="388"/>
      <c r="N1219" s="388"/>
      <c r="O1219" s="390"/>
      <c r="P1219" s="391"/>
      <c r="Q1219" s="389"/>
      <c r="R1219" s="390"/>
      <c r="S1219" s="390"/>
      <c r="T1219" s="391"/>
      <c r="U1219" s="392"/>
      <c r="V1219" s="391"/>
      <c r="W1219" s="391"/>
      <c r="X1219" s="388"/>
      <c r="Y1219" s="391"/>
      <c r="Z1219" s="393"/>
      <c r="AA1219" s="355" t="str">
        <f t="shared" si="1"/>
        <v/>
      </c>
      <c r="AB1219" s="391"/>
      <c r="AC1219" s="394" t="str">
        <f t="shared" si="2"/>
        <v/>
      </c>
      <c r="AD1219" s="389"/>
      <c r="AE1219" s="399"/>
      <c r="AF1219" s="395"/>
      <c r="AG1219" s="396" t="str">
        <f t="shared" si="3"/>
        <v/>
      </c>
      <c r="AH1219" s="396" t="str">
        <f t="shared" si="4"/>
        <v/>
      </c>
      <c r="AI1219" s="388"/>
      <c r="AJ1219" s="388"/>
      <c r="AK1219" s="397"/>
    </row>
    <row r="1220">
      <c r="A1220" s="398"/>
      <c r="B1220" s="386"/>
      <c r="C1220" s="387" t="str">
        <f>IF(A1220="","",IFERROR(IF(VLOOKUP(A1220,'1. Inbound Leads'!A:G,7,FALSE)=0,"",VLOOKUP(A1220,'1. Inbound Leads'!A:G,7,FALSE)),""))</f>
        <v/>
      </c>
      <c r="D1220" s="387" t="str">
        <f>IF(A1220="","",IFERROR(IF(VLOOKUP(A1220,'1. Inbound Leads'!A:L,12,FALSE)=0,"",VLOOKUP(A1220,'1. Inbound Leads'!A:L,12,FALSE)),""))</f>
        <v/>
      </c>
      <c r="E1220" s="388"/>
      <c r="F1220" s="389"/>
      <c r="G1220" s="387"/>
      <c r="H1220" s="387"/>
      <c r="I1220" s="387"/>
      <c r="J1220" s="387"/>
      <c r="K1220" s="387"/>
      <c r="L1220" s="387"/>
      <c r="M1220" s="388"/>
      <c r="N1220" s="388"/>
      <c r="O1220" s="390"/>
      <c r="P1220" s="391"/>
      <c r="Q1220" s="389"/>
      <c r="R1220" s="390"/>
      <c r="S1220" s="390"/>
      <c r="T1220" s="391"/>
      <c r="U1220" s="392"/>
      <c r="V1220" s="391"/>
      <c r="W1220" s="391"/>
      <c r="X1220" s="388"/>
      <c r="Y1220" s="391"/>
      <c r="Z1220" s="393"/>
      <c r="AA1220" s="355" t="str">
        <f t="shared" si="1"/>
        <v/>
      </c>
      <c r="AB1220" s="391"/>
      <c r="AC1220" s="394" t="str">
        <f t="shared" si="2"/>
        <v/>
      </c>
      <c r="AD1220" s="389"/>
      <c r="AE1220" s="399"/>
      <c r="AF1220" s="395"/>
      <c r="AG1220" s="396" t="str">
        <f t="shared" si="3"/>
        <v/>
      </c>
      <c r="AH1220" s="396" t="str">
        <f t="shared" si="4"/>
        <v/>
      </c>
      <c r="AI1220" s="388"/>
      <c r="AJ1220" s="388"/>
      <c r="AK1220" s="397"/>
    </row>
    <row r="1221">
      <c r="A1221" s="398"/>
      <c r="B1221" s="386"/>
      <c r="C1221" s="387" t="str">
        <f>IF(A1221="","",IFERROR(IF(VLOOKUP(A1221,'1. Inbound Leads'!A:G,7,FALSE)=0,"",VLOOKUP(A1221,'1. Inbound Leads'!A:G,7,FALSE)),""))</f>
        <v/>
      </c>
      <c r="D1221" s="387" t="str">
        <f>IF(A1221="","",IFERROR(IF(VLOOKUP(A1221,'1. Inbound Leads'!A:L,12,FALSE)=0,"",VLOOKUP(A1221,'1. Inbound Leads'!A:L,12,FALSE)),""))</f>
        <v/>
      </c>
      <c r="E1221" s="388"/>
      <c r="F1221" s="389"/>
      <c r="G1221" s="387"/>
      <c r="H1221" s="387"/>
      <c r="I1221" s="387"/>
      <c r="J1221" s="387"/>
      <c r="K1221" s="387"/>
      <c r="L1221" s="387"/>
      <c r="M1221" s="388"/>
      <c r="N1221" s="388"/>
      <c r="O1221" s="390"/>
      <c r="P1221" s="391"/>
      <c r="Q1221" s="389"/>
      <c r="R1221" s="390"/>
      <c r="S1221" s="390"/>
      <c r="T1221" s="391"/>
      <c r="U1221" s="392"/>
      <c r="V1221" s="391"/>
      <c r="W1221" s="391"/>
      <c r="X1221" s="388"/>
      <c r="Y1221" s="391"/>
      <c r="Z1221" s="393"/>
      <c r="AA1221" s="355" t="str">
        <f t="shared" si="1"/>
        <v/>
      </c>
      <c r="AB1221" s="391"/>
      <c r="AC1221" s="394" t="str">
        <f t="shared" si="2"/>
        <v/>
      </c>
      <c r="AD1221" s="389"/>
      <c r="AE1221" s="399"/>
      <c r="AF1221" s="395"/>
      <c r="AG1221" s="396" t="str">
        <f t="shared" si="3"/>
        <v/>
      </c>
      <c r="AH1221" s="396" t="str">
        <f t="shared" si="4"/>
        <v/>
      </c>
      <c r="AI1221" s="388"/>
      <c r="AJ1221" s="388"/>
      <c r="AK1221" s="397"/>
    </row>
    <row r="1222">
      <c r="A1222" s="398"/>
      <c r="B1222" s="386"/>
      <c r="C1222" s="387" t="str">
        <f>IF(A1222="","",IFERROR(IF(VLOOKUP(A1222,'1. Inbound Leads'!A:G,7,FALSE)=0,"",VLOOKUP(A1222,'1. Inbound Leads'!A:G,7,FALSE)),""))</f>
        <v/>
      </c>
      <c r="D1222" s="387" t="str">
        <f>IF(A1222="","",IFERROR(IF(VLOOKUP(A1222,'1. Inbound Leads'!A:L,12,FALSE)=0,"",VLOOKUP(A1222,'1. Inbound Leads'!A:L,12,FALSE)),""))</f>
        <v/>
      </c>
      <c r="E1222" s="388"/>
      <c r="F1222" s="389"/>
      <c r="G1222" s="387"/>
      <c r="H1222" s="387"/>
      <c r="I1222" s="387"/>
      <c r="J1222" s="387"/>
      <c r="K1222" s="387"/>
      <c r="L1222" s="387"/>
      <c r="M1222" s="388"/>
      <c r="N1222" s="388"/>
      <c r="O1222" s="390"/>
      <c r="P1222" s="391"/>
      <c r="Q1222" s="389"/>
      <c r="R1222" s="390"/>
      <c r="S1222" s="390"/>
      <c r="T1222" s="391"/>
      <c r="U1222" s="392"/>
      <c r="V1222" s="391"/>
      <c r="W1222" s="391"/>
      <c r="X1222" s="388"/>
      <c r="Y1222" s="391"/>
      <c r="Z1222" s="393"/>
      <c r="AA1222" s="355" t="str">
        <f t="shared" si="1"/>
        <v/>
      </c>
      <c r="AB1222" s="391"/>
      <c r="AC1222" s="394" t="str">
        <f t="shared" si="2"/>
        <v/>
      </c>
      <c r="AD1222" s="389"/>
      <c r="AE1222" s="399"/>
      <c r="AF1222" s="395"/>
      <c r="AG1222" s="396" t="str">
        <f t="shared" si="3"/>
        <v/>
      </c>
      <c r="AH1222" s="396" t="str">
        <f t="shared" si="4"/>
        <v/>
      </c>
      <c r="AI1222" s="388"/>
      <c r="AJ1222" s="388"/>
      <c r="AK1222" s="397"/>
    </row>
    <row r="1223">
      <c r="A1223" s="398"/>
      <c r="B1223" s="386"/>
      <c r="C1223" s="387" t="str">
        <f>IF(A1223="","",IFERROR(IF(VLOOKUP(A1223,'1. Inbound Leads'!A:G,7,FALSE)=0,"",VLOOKUP(A1223,'1. Inbound Leads'!A:G,7,FALSE)),""))</f>
        <v/>
      </c>
      <c r="D1223" s="387" t="str">
        <f>IF(A1223="","",IFERROR(IF(VLOOKUP(A1223,'1. Inbound Leads'!A:L,12,FALSE)=0,"",VLOOKUP(A1223,'1. Inbound Leads'!A:L,12,FALSE)),""))</f>
        <v/>
      </c>
      <c r="E1223" s="388"/>
      <c r="F1223" s="389"/>
      <c r="G1223" s="387"/>
      <c r="H1223" s="387"/>
      <c r="I1223" s="387"/>
      <c r="J1223" s="387"/>
      <c r="K1223" s="387"/>
      <c r="L1223" s="387"/>
      <c r="M1223" s="388"/>
      <c r="N1223" s="388"/>
      <c r="O1223" s="390"/>
      <c r="P1223" s="391"/>
      <c r="Q1223" s="389"/>
      <c r="R1223" s="390"/>
      <c r="S1223" s="390"/>
      <c r="T1223" s="391"/>
      <c r="U1223" s="392"/>
      <c r="V1223" s="391"/>
      <c r="W1223" s="391"/>
      <c r="X1223" s="388"/>
      <c r="Y1223" s="391"/>
      <c r="Z1223" s="393"/>
      <c r="AA1223" s="355" t="str">
        <f t="shared" si="1"/>
        <v/>
      </c>
      <c r="AB1223" s="391"/>
      <c r="AC1223" s="394" t="str">
        <f t="shared" si="2"/>
        <v/>
      </c>
      <c r="AD1223" s="389"/>
      <c r="AE1223" s="399"/>
      <c r="AF1223" s="395"/>
      <c r="AG1223" s="396" t="str">
        <f t="shared" si="3"/>
        <v/>
      </c>
      <c r="AH1223" s="396" t="str">
        <f t="shared" si="4"/>
        <v/>
      </c>
      <c r="AI1223" s="388"/>
      <c r="AJ1223" s="388"/>
      <c r="AK1223" s="397"/>
    </row>
    <row r="1224">
      <c r="A1224" s="398"/>
      <c r="B1224" s="386"/>
      <c r="C1224" s="387" t="str">
        <f>IF(A1224="","",IFERROR(IF(VLOOKUP(A1224,'1. Inbound Leads'!A:G,7,FALSE)=0,"",VLOOKUP(A1224,'1. Inbound Leads'!A:G,7,FALSE)),""))</f>
        <v/>
      </c>
      <c r="D1224" s="387" t="str">
        <f>IF(A1224="","",IFERROR(IF(VLOOKUP(A1224,'1. Inbound Leads'!A:L,12,FALSE)=0,"",VLOOKUP(A1224,'1. Inbound Leads'!A:L,12,FALSE)),""))</f>
        <v/>
      </c>
      <c r="E1224" s="388"/>
      <c r="F1224" s="389"/>
      <c r="G1224" s="387"/>
      <c r="H1224" s="387"/>
      <c r="I1224" s="387"/>
      <c r="J1224" s="387"/>
      <c r="K1224" s="387"/>
      <c r="L1224" s="387"/>
      <c r="M1224" s="388"/>
      <c r="N1224" s="388"/>
      <c r="O1224" s="390"/>
      <c r="P1224" s="391"/>
      <c r="Q1224" s="389"/>
      <c r="R1224" s="390"/>
      <c r="S1224" s="390"/>
      <c r="T1224" s="391"/>
      <c r="U1224" s="392"/>
      <c r="V1224" s="391"/>
      <c r="W1224" s="391"/>
      <c r="X1224" s="388"/>
      <c r="Y1224" s="391"/>
      <c r="Z1224" s="393"/>
      <c r="AA1224" s="355" t="str">
        <f t="shared" si="1"/>
        <v/>
      </c>
      <c r="AB1224" s="391"/>
      <c r="AC1224" s="394" t="str">
        <f t="shared" si="2"/>
        <v/>
      </c>
      <c r="AD1224" s="389"/>
      <c r="AE1224" s="399"/>
      <c r="AF1224" s="395"/>
      <c r="AG1224" s="396" t="str">
        <f t="shared" si="3"/>
        <v/>
      </c>
      <c r="AH1224" s="396" t="str">
        <f t="shared" si="4"/>
        <v/>
      </c>
      <c r="AI1224" s="388"/>
      <c r="AJ1224" s="388"/>
      <c r="AK1224" s="397"/>
    </row>
    <row r="1225">
      <c r="A1225" s="398"/>
      <c r="B1225" s="386"/>
      <c r="C1225" s="387" t="str">
        <f>IF(A1225="","",IFERROR(IF(VLOOKUP(A1225,'1. Inbound Leads'!A:G,7,FALSE)=0,"",VLOOKUP(A1225,'1. Inbound Leads'!A:G,7,FALSE)),""))</f>
        <v/>
      </c>
      <c r="D1225" s="387" t="str">
        <f>IF(A1225="","",IFERROR(IF(VLOOKUP(A1225,'1. Inbound Leads'!A:L,12,FALSE)=0,"",VLOOKUP(A1225,'1. Inbound Leads'!A:L,12,FALSE)),""))</f>
        <v/>
      </c>
      <c r="E1225" s="388"/>
      <c r="F1225" s="389"/>
      <c r="G1225" s="387"/>
      <c r="H1225" s="387"/>
      <c r="I1225" s="387"/>
      <c r="J1225" s="387"/>
      <c r="K1225" s="387"/>
      <c r="L1225" s="387"/>
      <c r="M1225" s="388"/>
      <c r="N1225" s="388"/>
      <c r="O1225" s="390"/>
      <c r="P1225" s="391"/>
      <c r="Q1225" s="389"/>
      <c r="R1225" s="390"/>
      <c r="S1225" s="390"/>
      <c r="T1225" s="391"/>
      <c r="U1225" s="392"/>
      <c r="V1225" s="391"/>
      <c r="W1225" s="391"/>
      <c r="X1225" s="388"/>
      <c r="Y1225" s="391"/>
      <c r="Z1225" s="393"/>
      <c r="AA1225" s="355" t="str">
        <f t="shared" si="1"/>
        <v/>
      </c>
      <c r="AB1225" s="391"/>
      <c r="AC1225" s="394" t="str">
        <f t="shared" si="2"/>
        <v/>
      </c>
      <c r="AD1225" s="389"/>
      <c r="AE1225" s="399"/>
      <c r="AF1225" s="395"/>
      <c r="AG1225" s="396" t="str">
        <f t="shared" si="3"/>
        <v/>
      </c>
      <c r="AH1225" s="396" t="str">
        <f t="shared" si="4"/>
        <v/>
      </c>
      <c r="AI1225" s="388"/>
      <c r="AJ1225" s="388"/>
      <c r="AK1225" s="397"/>
    </row>
    <row r="1226">
      <c r="A1226" s="398"/>
      <c r="B1226" s="386"/>
      <c r="C1226" s="387" t="str">
        <f>IF(A1226="","",IFERROR(IF(VLOOKUP(A1226,'1. Inbound Leads'!A:G,7,FALSE)=0,"",VLOOKUP(A1226,'1. Inbound Leads'!A:G,7,FALSE)),""))</f>
        <v/>
      </c>
      <c r="D1226" s="387" t="str">
        <f>IF(A1226="","",IFERROR(IF(VLOOKUP(A1226,'1. Inbound Leads'!A:L,12,FALSE)=0,"",VLOOKUP(A1226,'1. Inbound Leads'!A:L,12,FALSE)),""))</f>
        <v/>
      </c>
      <c r="E1226" s="388"/>
      <c r="F1226" s="389"/>
      <c r="G1226" s="387"/>
      <c r="H1226" s="387"/>
      <c r="I1226" s="387"/>
      <c r="J1226" s="387"/>
      <c r="K1226" s="387"/>
      <c r="L1226" s="387"/>
      <c r="M1226" s="388"/>
      <c r="N1226" s="388"/>
      <c r="O1226" s="390"/>
      <c r="P1226" s="391"/>
      <c r="Q1226" s="389"/>
      <c r="R1226" s="390"/>
      <c r="S1226" s="390"/>
      <c r="T1226" s="391"/>
      <c r="U1226" s="392"/>
      <c r="V1226" s="391"/>
      <c r="W1226" s="391"/>
      <c r="X1226" s="388"/>
      <c r="Y1226" s="391"/>
      <c r="Z1226" s="393"/>
      <c r="AA1226" s="355" t="str">
        <f t="shared" si="1"/>
        <v/>
      </c>
      <c r="AB1226" s="391"/>
      <c r="AC1226" s="394" t="str">
        <f t="shared" si="2"/>
        <v/>
      </c>
      <c r="AD1226" s="389"/>
      <c r="AE1226" s="399"/>
      <c r="AF1226" s="395"/>
      <c r="AG1226" s="396" t="str">
        <f t="shared" si="3"/>
        <v/>
      </c>
      <c r="AH1226" s="396" t="str">
        <f t="shared" si="4"/>
        <v/>
      </c>
      <c r="AI1226" s="388"/>
      <c r="AJ1226" s="388"/>
      <c r="AK1226" s="397"/>
    </row>
    <row r="1227">
      <c r="A1227" s="398"/>
      <c r="B1227" s="386"/>
      <c r="C1227" s="387" t="str">
        <f>IF(A1227="","",IFERROR(IF(VLOOKUP(A1227,'1. Inbound Leads'!A:G,7,FALSE)=0,"",VLOOKUP(A1227,'1. Inbound Leads'!A:G,7,FALSE)),""))</f>
        <v/>
      </c>
      <c r="D1227" s="387" t="str">
        <f>IF(A1227="","",IFERROR(IF(VLOOKUP(A1227,'1. Inbound Leads'!A:L,12,FALSE)=0,"",VLOOKUP(A1227,'1. Inbound Leads'!A:L,12,FALSE)),""))</f>
        <v/>
      </c>
      <c r="E1227" s="388"/>
      <c r="F1227" s="389"/>
      <c r="G1227" s="387"/>
      <c r="H1227" s="387"/>
      <c r="I1227" s="387"/>
      <c r="J1227" s="387"/>
      <c r="K1227" s="387"/>
      <c r="L1227" s="387"/>
      <c r="M1227" s="388"/>
      <c r="N1227" s="388"/>
      <c r="O1227" s="390"/>
      <c r="P1227" s="391"/>
      <c r="Q1227" s="389"/>
      <c r="R1227" s="390"/>
      <c r="S1227" s="390"/>
      <c r="T1227" s="391"/>
      <c r="U1227" s="392"/>
      <c r="V1227" s="391"/>
      <c r="W1227" s="391"/>
      <c r="X1227" s="388"/>
      <c r="Y1227" s="391"/>
      <c r="Z1227" s="393"/>
      <c r="AA1227" s="355" t="str">
        <f t="shared" si="1"/>
        <v/>
      </c>
      <c r="AB1227" s="391"/>
      <c r="AC1227" s="394" t="str">
        <f t="shared" si="2"/>
        <v/>
      </c>
      <c r="AD1227" s="389"/>
      <c r="AE1227" s="399"/>
      <c r="AF1227" s="395"/>
      <c r="AG1227" s="396" t="str">
        <f t="shared" si="3"/>
        <v/>
      </c>
      <c r="AH1227" s="396" t="str">
        <f t="shared" si="4"/>
        <v/>
      </c>
      <c r="AI1227" s="388"/>
      <c r="AJ1227" s="388"/>
      <c r="AK1227" s="397"/>
    </row>
    <row r="1228">
      <c r="A1228" s="398"/>
      <c r="B1228" s="386"/>
      <c r="C1228" s="387" t="str">
        <f>IF(A1228="","",IFERROR(IF(VLOOKUP(A1228,'1. Inbound Leads'!A:G,7,FALSE)=0,"",VLOOKUP(A1228,'1. Inbound Leads'!A:G,7,FALSE)),""))</f>
        <v/>
      </c>
      <c r="D1228" s="387" t="str">
        <f>IF(A1228="","",IFERROR(IF(VLOOKUP(A1228,'1. Inbound Leads'!A:L,12,FALSE)=0,"",VLOOKUP(A1228,'1. Inbound Leads'!A:L,12,FALSE)),""))</f>
        <v/>
      </c>
      <c r="E1228" s="388"/>
      <c r="F1228" s="389"/>
      <c r="G1228" s="387"/>
      <c r="H1228" s="387"/>
      <c r="I1228" s="387"/>
      <c r="J1228" s="387"/>
      <c r="K1228" s="387"/>
      <c r="L1228" s="387"/>
      <c r="M1228" s="388"/>
      <c r="N1228" s="388"/>
      <c r="O1228" s="390"/>
      <c r="P1228" s="391"/>
      <c r="Q1228" s="389"/>
      <c r="R1228" s="390"/>
      <c r="S1228" s="390"/>
      <c r="T1228" s="391"/>
      <c r="U1228" s="392"/>
      <c r="V1228" s="391"/>
      <c r="W1228" s="391"/>
      <c r="X1228" s="388"/>
      <c r="Y1228" s="391"/>
      <c r="Z1228" s="393"/>
      <c r="AA1228" s="355" t="str">
        <f t="shared" si="1"/>
        <v/>
      </c>
      <c r="AB1228" s="391"/>
      <c r="AC1228" s="394" t="str">
        <f t="shared" si="2"/>
        <v/>
      </c>
      <c r="AD1228" s="389"/>
      <c r="AE1228" s="399"/>
      <c r="AF1228" s="395"/>
      <c r="AG1228" s="396" t="str">
        <f t="shared" si="3"/>
        <v/>
      </c>
      <c r="AH1228" s="396" t="str">
        <f t="shared" si="4"/>
        <v/>
      </c>
      <c r="AI1228" s="388"/>
      <c r="AJ1228" s="388"/>
      <c r="AK1228" s="397"/>
    </row>
    <row r="1229">
      <c r="A1229" s="398"/>
      <c r="B1229" s="386"/>
      <c r="C1229" s="387" t="str">
        <f>IF(A1229="","",IFERROR(IF(VLOOKUP(A1229,'1. Inbound Leads'!A:G,7,FALSE)=0,"",VLOOKUP(A1229,'1. Inbound Leads'!A:G,7,FALSE)),""))</f>
        <v/>
      </c>
      <c r="D1229" s="387" t="str">
        <f>IF(A1229="","",IFERROR(IF(VLOOKUP(A1229,'1. Inbound Leads'!A:L,12,FALSE)=0,"",VLOOKUP(A1229,'1. Inbound Leads'!A:L,12,FALSE)),""))</f>
        <v/>
      </c>
      <c r="E1229" s="388"/>
      <c r="F1229" s="389"/>
      <c r="G1229" s="387"/>
      <c r="H1229" s="387"/>
      <c r="I1229" s="387"/>
      <c r="J1229" s="387"/>
      <c r="K1229" s="387"/>
      <c r="L1229" s="387"/>
      <c r="M1229" s="388"/>
      <c r="N1229" s="388"/>
      <c r="O1229" s="390"/>
      <c r="P1229" s="391"/>
      <c r="Q1229" s="389"/>
      <c r="R1229" s="390"/>
      <c r="S1229" s="390"/>
      <c r="T1229" s="391"/>
      <c r="U1229" s="392"/>
      <c r="V1229" s="391"/>
      <c r="W1229" s="391"/>
      <c r="X1229" s="388"/>
      <c r="Y1229" s="391"/>
      <c r="Z1229" s="393"/>
      <c r="AA1229" s="355" t="str">
        <f t="shared" si="1"/>
        <v/>
      </c>
      <c r="AB1229" s="391"/>
      <c r="AC1229" s="394" t="str">
        <f t="shared" si="2"/>
        <v/>
      </c>
      <c r="AD1229" s="389"/>
      <c r="AE1229" s="399"/>
      <c r="AF1229" s="395"/>
      <c r="AG1229" s="396" t="str">
        <f t="shared" si="3"/>
        <v/>
      </c>
      <c r="AH1229" s="396" t="str">
        <f t="shared" si="4"/>
        <v/>
      </c>
      <c r="AI1229" s="388"/>
      <c r="AJ1229" s="388"/>
      <c r="AK1229" s="397"/>
    </row>
    <row r="1230">
      <c r="A1230" s="398"/>
      <c r="B1230" s="386"/>
      <c r="C1230" s="387" t="str">
        <f>IF(A1230="","",IFERROR(IF(VLOOKUP(A1230,'1. Inbound Leads'!A:G,7,FALSE)=0,"",VLOOKUP(A1230,'1. Inbound Leads'!A:G,7,FALSE)),""))</f>
        <v/>
      </c>
      <c r="D1230" s="387" t="str">
        <f>IF(A1230="","",IFERROR(IF(VLOOKUP(A1230,'1. Inbound Leads'!A:L,12,FALSE)=0,"",VLOOKUP(A1230,'1. Inbound Leads'!A:L,12,FALSE)),""))</f>
        <v/>
      </c>
      <c r="E1230" s="388"/>
      <c r="F1230" s="389"/>
      <c r="G1230" s="387"/>
      <c r="H1230" s="387"/>
      <c r="I1230" s="387"/>
      <c r="J1230" s="387"/>
      <c r="K1230" s="387"/>
      <c r="L1230" s="387"/>
      <c r="M1230" s="388"/>
      <c r="N1230" s="388"/>
      <c r="O1230" s="390"/>
      <c r="P1230" s="391"/>
      <c r="Q1230" s="389"/>
      <c r="R1230" s="390"/>
      <c r="S1230" s="390"/>
      <c r="T1230" s="391"/>
      <c r="U1230" s="392"/>
      <c r="V1230" s="391"/>
      <c r="W1230" s="391"/>
      <c r="X1230" s="388"/>
      <c r="Y1230" s="391"/>
      <c r="Z1230" s="393"/>
      <c r="AA1230" s="355" t="str">
        <f t="shared" si="1"/>
        <v/>
      </c>
      <c r="AB1230" s="391"/>
      <c r="AC1230" s="394" t="str">
        <f t="shared" si="2"/>
        <v/>
      </c>
      <c r="AD1230" s="389"/>
      <c r="AE1230" s="399"/>
      <c r="AF1230" s="395"/>
      <c r="AG1230" s="396" t="str">
        <f t="shared" si="3"/>
        <v/>
      </c>
      <c r="AH1230" s="396" t="str">
        <f t="shared" si="4"/>
        <v/>
      </c>
      <c r="AI1230" s="388"/>
      <c r="AJ1230" s="388"/>
      <c r="AK1230" s="397"/>
    </row>
    <row r="1231">
      <c r="A1231" s="398"/>
      <c r="B1231" s="386"/>
      <c r="C1231" s="387" t="str">
        <f>IF(A1231="","",IFERROR(IF(VLOOKUP(A1231,'1. Inbound Leads'!A:G,7,FALSE)=0,"",VLOOKUP(A1231,'1. Inbound Leads'!A:G,7,FALSE)),""))</f>
        <v/>
      </c>
      <c r="D1231" s="387" t="str">
        <f>IF(A1231="","",IFERROR(IF(VLOOKUP(A1231,'1. Inbound Leads'!A:L,12,FALSE)=0,"",VLOOKUP(A1231,'1. Inbound Leads'!A:L,12,FALSE)),""))</f>
        <v/>
      </c>
      <c r="E1231" s="388"/>
      <c r="F1231" s="389"/>
      <c r="G1231" s="387"/>
      <c r="H1231" s="387"/>
      <c r="I1231" s="387"/>
      <c r="J1231" s="387"/>
      <c r="K1231" s="387"/>
      <c r="L1231" s="387"/>
      <c r="M1231" s="388"/>
      <c r="N1231" s="388"/>
      <c r="O1231" s="390"/>
      <c r="P1231" s="391"/>
      <c r="Q1231" s="389"/>
      <c r="R1231" s="390"/>
      <c r="S1231" s="390"/>
      <c r="T1231" s="391"/>
      <c r="U1231" s="392"/>
      <c r="V1231" s="391"/>
      <c r="W1231" s="391"/>
      <c r="X1231" s="388"/>
      <c r="Y1231" s="391"/>
      <c r="Z1231" s="393"/>
      <c r="AA1231" s="355" t="str">
        <f t="shared" si="1"/>
        <v/>
      </c>
      <c r="AB1231" s="391"/>
      <c r="AC1231" s="394" t="str">
        <f t="shared" si="2"/>
        <v/>
      </c>
      <c r="AD1231" s="389"/>
      <c r="AE1231" s="399"/>
      <c r="AF1231" s="395"/>
      <c r="AG1231" s="396" t="str">
        <f t="shared" si="3"/>
        <v/>
      </c>
      <c r="AH1231" s="396" t="str">
        <f t="shared" si="4"/>
        <v/>
      </c>
      <c r="AI1231" s="388"/>
      <c r="AJ1231" s="388"/>
      <c r="AK1231" s="397"/>
    </row>
    <row r="1232">
      <c r="A1232" s="398"/>
      <c r="B1232" s="386"/>
      <c r="C1232" s="387" t="str">
        <f>IF(A1232="","",IFERROR(IF(VLOOKUP(A1232,'1. Inbound Leads'!A:G,7,FALSE)=0,"",VLOOKUP(A1232,'1. Inbound Leads'!A:G,7,FALSE)),""))</f>
        <v/>
      </c>
      <c r="D1232" s="387" t="str">
        <f>IF(A1232="","",IFERROR(IF(VLOOKUP(A1232,'1. Inbound Leads'!A:L,12,FALSE)=0,"",VLOOKUP(A1232,'1. Inbound Leads'!A:L,12,FALSE)),""))</f>
        <v/>
      </c>
      <c r="E1232" s="388"/>
      <c r="F1232" s="389"/>
      <c r="G1232" s="387"/>
      <c r="H1232" s="387"/>
      <c r="I1232" s="387"/>
      <c r="J1232" s="387"/>
      <c r="K1232" s="387"/>
      <c r="L1232" s="387"/>
      <c r="M1232" s="388"/>
      <c r="N1232" s="388"/>
      <c r="O1232" s="390"/>
      <c r="P1232" s="391"/>
      <c r="Q1232" s="389"/>
      <c r="R1232" s="390"/>
      <c r="S1232" s="390"/>
      <c r="T1232" s="391"/>
      <c r="U1232" s="392"/>
      <c r="V1232" s="391"/>
      <c r="W1232" s="391"/>
      <c r="X1232" s="388"/>
      <c r="Y1232" s="391"/>
      <c r="Z1232" s="393"/>
      <c r="AA1232" s="355" t="str">
        <f t="shared" si="1"/>
        <v/>
      </c>
      <c r="AB1232" s="391"/>
      <c r="AC1232" s="394" t="str">
        <f t="shared" si="2"/>
        <v/>
      </c>
      <c r="AD1232" s="389"/>
      <c r="AE1232" s="399"/>
      <c r="AF1232" s="395"/>
      <c r="AG1232" s="396" t="str">
        <f t="shared" si="3"/>
        <v/>
      </c>
      <c r="AH1232" s="396" t="str">
        <f t="shared" si="4"/>
        <v/>
      </c>
      <c r="AI1232" s="388"/>
      <c r="AJ1232" s="388"/>
      <c r="AK1232" s="397"/>
    </row>
    <row r="1233">
      <c r="A1233" s="398"/>
      <c r="B1233" s="386"/>
      <c r="C1233" s="387" t="str">
        <f>IF(A1233="","",IFERROR(IF(VLOOKUP(A1233,'1. Inbound Leads'!A:G,7,FALSE)=0,"",VLOOKUP(A1233,'1. Inbound Leads'!A:G,7,FALSE)),""))</f>
        <v/>
      </c>
      <c r="D1233" s="387" t="str">
        <f>IF(A1233="","",IFERROR(IF(VLOOKUP(A1233,'1. Inbound Leads'!A:L,12,FALSE)=0,"",VLOOKUP(A1233,'1. Inbound Leads'!A:L,12,FALSE)),""))</f>
        <v/>
      </c>
      <c r="E1233" s="388"/>
      <c r="F1233" s="389"/>
      <c r="G1233" s="387"/>
      <c r="H1233" s="387"/>
      <c r="I1233" s="387"/>
      <c r="J1233" s="387"/>
      <c r="K1233" s="387"/>
      <c r="L1233" s="387"/>
      <c r="M1233" s="388"/>
      <c r="N1233" s="388"/>
      <c r="O1233" s="390"/>
      <c r="P1233" s="391"/>
      <c r="Q1233" s="389"/>
      <c r="R1233" s="390"/>
      <c r="S1233" s="390"/>
      <c r="T1233" s="391"/>
      <c r="U1233" s="392"/>
      <c r="V1233" s="391"/>
      <c r="W1233" s="391"/>
      <c r="X1233" s="388"/>
      <c r="Y1233" s="391"/>
      <c r="Z1233" s="393"/>
      <c r="AA1233" s="355" t="str">
        <f t="shared" si="1"/>
        <v/>
      </c>
      <c r="AB1233" s="391"/>
      <c r="AC1233" s="394" t="str">
        <f t="shared" si="2"/>
        <v/>
      </c>
      <c r="AD1233" s="389"/>
      <c r="AE1233" s="399"/>
      <c r="AF1233" s="395"/>
      <c r="AG1233" s="396" t="str">
        <f t="shared" si="3"/>
        <v/>
      </c>
      <c r="AH1233" s="396" t="str">
        <f t="shared" si="4"/>
        <v/>
      </c>
      <c r="AI1233" s="388"/>
      <c r="AJ1233" s="388"/>
      <c r="AK1233" s="397"/>
    </row>
    <row r="1234">
      <c r="A1234" s="398"/>
      <c r="B1234" s="386"/>
      <c r="C1234" s="387" t="str">
        <f>IF(A1234="","",IFERROR(IF(VLOOKUP(A1234,'1. Inbound Leads'!A:G,7,FALSE)=0,"",VLOOKUP(A1234,'1. Inbound Leads'!A:G,7,FALSE)),""))</f>
        <v/>
      </c>
      <c r="D1234" s="387" t="str">
        <f>IF(A1234="","",IFERROR(IF(VLOOKUP(A1234,'1. Inbound Leads'!A:L,12,FALSE)=0,"",VLOOKUP(A1234,'1. Inbound Leads'!A:L,12,FALSE)),""))</f>
        <v/>
      </c>
      <c r="E1234" s="388"/>
      <c r="F1234" s="389"/>
      <c r="G1234" s="387"/>
      <c r="H1234" s="387"/>
      <c r="I1234" s="387"/>
      <c r="J1234" s="387"/>
      <c r="K1234" s="387"/>
      <c r="L1234" s="387"/>
      <c r="M1234" s="388"/>
      <c r="N1234" s="388"/>
      <c r="O1234" s="390"/>
      <c r="P1234" s="391"/>
      <c r="Q1234" s="389"/>
      <c r="R1234" s="390"/>
      <c r="S1234" s="390"/>
      <c r="T1234" s="391"/>
      <c r="U1234" s="392"/>
      <c r="V1234" s="391"/>
      <c r="W1234" s="391"/>
      <c r="X1234" s="388"/>
      <c r="Y1234" s="391"/>
      <c r="Z1234" s="393"/>
      <c r="AA1234" s="355" t="str">
        <f t="shared" si="1"/>
        <v/>
      </c>
      <c r="AB1234" s="391"/>
      <c r="AC1234" s="394" t="str">
        <f t="shared" si="2"/>
        <v/>
      </c>
      <c r="AD1234" s="389"/>
      <c r="AE1234" s="399"/>
      <c r="AF1234" s="395"/>
      <c r="AG1234" s="396" t="str">
        <f t="shared" si="3"/>
        <v/>
      </c>
      <c r="AH1234" s="396" t="str">
        <f t="shared" si="4"/>
        <v/>
      </c>
      <c r="AI1234" s="388"/>
      <c r="AJ1234" s="388"/>
      <c r="AK1234" s="397"/>
    </row>
    <row r="1235">
      <c r="A1235" s="398"/>
      <c r="B1235" s="386"/>
      <c r="C1235" s="387" t="str">
        <f>IF(A1235="","",IFERROR(IF(VLOOKUP(A1235,'1. Inbound Leads'!A:G,7,FALSE)=0,"",VLOOKUP(A1235,'1. Inbound Leads'!A:G,7,FALSE)),""))</f>
        <v/>
      </c>
      <c r="D1235" s="387" t="str">
        <f>IF(A1235="","",IFERROR(IF(VLOOKUP(A1235,'1. Inbound Leads'!A:L,12,FALSE)=0,"",VLOOKUP(A1235,'1. Inbound Leads'!A:L,12,FALSE)),""))</f>
        <v/>
      </c>
      <c r="E1235" s="388"/>
      <c r="F1235" s="389"/>
      <c r="G1235" s="387"/>
      <c r="H1235" s="387"/>
      <c r="I1235" s="387"/>
      <c r="J1235" s="387"/>
      <c r="K1235" s="387"/>
      <c r="L1235" s="387"/>
      <c r="M1235" s="388"/>
      <c r="N1235" s="388"/>
      <c r="O1235" s="390"/>
      <c r="P1235" s="391"/>
      <c r="Q1235" s="389"/>
      <c r="R1235" s="390"/>
      <c r="S1235" s="390"/>
      <c r="T1235" s="391"/>
      <c r="U1235" s="392"/>
      <c r="V1235" s="391"/>
      <c r="W1235" s="391"/>
      <c r="X1235" s="388"/>
      <c r="Y1235" s="391"/>
      <c r="Z1235" s="393"/>
      <c r="AA1235" s="355" t="str">
        <f t="shared" si="1"/>
        <v/>
      </c>
      <c r="AB1235" s="391"/>
      <c r="AC1235" s="394" t="str">
        <f t="shared" si="2"/>
        <v/>
      </c>
      <c r="AD1235" s="389"/>
      <c r="AE1235" s="399"/>
      <c r="AF1235" s="395"/>
      <c r="AG1235" s="396" t="str">
        <f t="shared" si="3"/>
        <v/>
      </c>
      <c r="AH1235" s="396" t="str">
        <f t="shared" si="4"/>
        <v/>
      </c>
      <c r="AI1235" s="388"/>
      <c r="AJ1235" s="388"/>
      <c r="AK1235" s="397"/>
    </row>
    <row r="1236">
      <c r="A1236" s="398"/>
      <c r="B1236" s="386"/>
      <c r="C1236" s="387" t="str">
        <f>IF(A1236="","",IFERROR(IF(VLOOKUP(A1236,'1. Inbound Leads'!A:G,7,FALSE)=0,"",VLOOKUP(A1236,'1. Inbound Leads'!A:G,7,FALSE)),""))</f>
        <v/>
      </c>
      <c r="D1236" s="387" t="str">
        <f>IF(A1236="","",IFERROR(IF(VLOOKUP(A1236,'1. Inbound Leads'!A:L,12,FALSE)=0,"",VLOOKUP(A1236,'1. Inbound Leads'!A:L,12,FALSE)),""))</f>
        <v/>
      </c>
      <c r="E1236" s="388"/>
      <c r="F1236" s="389"/>
      <c r="G1236" s="387"/>
      <c r="H1236" s="387"/>
      <c r="I1236" s="387"/>
      <c r="J1236" s="387"/>
      <c r="K1236" s="387"/>
      <c r="L1236" s="387"/>
      <c r="M1236" s="388"/>
      <c r="N1236" s="388"/>
      <c r="O1236" s="390"/>
      <c r="P1236" s="391"/>
      <c r="Q1236" s="389"/>
      <c r="R1236" s="390"/>
      <c r="S1236" s="390"/>
      <c r="T1236" s="391"/>
      <c r="U1236" s="392"/>
      <c r="V1236" s="391"/>
      <c r="W1236" s="391"/>
      <c r="X1236" s="388"/>
      <c r="Y1236" s="391"/>
      <c r="Z1236" s="393"/>
      <c r="AA1236" s="355" t="str">
        <f t="shared" si="1"/>
        <v/>
      </c>
      <c r="AB1236" s="391"/>
      <c r="AC1236" s="394" t="str">
        <f t="shared" si="2"/>
        <v/>
      </c>
      <c r="AD1236" s="389"/>
      <c r="AE1236" s="399"/>
      <c r="AF1236" s="395"/>
      <c r="AG1236" s="396" t="str">
        <f t="shared" si="3"/>
        <v/>
      </c>
      <c r="AH1236" s="396" t="str">
        <f t="shared" si="4"/>
        <v/>
      </c>
      <c r="AI1236" s="388"/>
      <c r="AJ1236" s="388"/>
      <c r="AK1236" s="397"/>
    </row>
    <row r="1237">
      <c r="A1237" s="398"/>
      <c r="B1237" s="386"/>
      <c r="C1237" s="387" t="str">
        <f>IF(A1237="","",IFERROR(IF(VLOOKUP(A1237,'1. Inbound Leads'!A:G,7,FALSE)=0,"",VLOOKUP(A1237,'1. Inbound Leads'!A:G,7,FALSE)),""))</f>
        <v/>
      </c>
      <c r="D1237" s="387" t="str">
        <f>IF(A1237="","",IFERROR(IF(VLOOKUP(A1237,'1. Inbound Leads'!A:L,12,FALSE)=0,"",VLOOKUP(A1237,'1. Inbound Leads'!A:L,12,FALSE)),""))</f>
        <v/>
      </c>
      <c r="E1237" s="388"/>
      <c r="F1237" s="389"/>
      <c r="G1237" s="387"/>
      <c r="H1237" s="387"/>
      <c r="I1237" s="387"/>
      <c r="J1237" s="387"/>
      <c r="K1237" s="387"/>
      <c r="L1237" s="387"/>
      <c r="M1237" s="388"/>
      <c r="N1237" s="388"/>
      <c r="O1237" s="390"/>
      <c r="P1237" s="391"/>
      <c r="Q1237" s="389"/>
      <c r="R1237" s="390"/>
      <c r="S1237" s="390"/>
      <c r="T1237" s="391"/>
      <c r="U1237" s="392"/>
      <c r="V1237" s="391"/>
      <c r="W1237" s="391"/>
      <c r="X1237" s="388"/>
      <c r="Y1237" s="391"/>
      <c r="Z1237" s="393"/>
      <c r="AA1237" s="355" t="str">
        <f t="shared" si="1"/>
        <v/>
      </c>
      <c r="AB1237" s="391"/>
      <c r="AC1237" s="394" t="str">
        <f t="shared" si="2"/>
        <v/>
      </c>
      <c r="AD1237" s="389"/>
      <c r="AE1237" s="399"/>
      <c r="AF1237" s="395"/>
      <c r="AG1237" s="396" t="str">
        <f t="shared" si="3"/>
        <v/>
      </c>
      <c r="AH1237" s="396" t="str">
        <f t="shared" si="4"/>
        <v/>
      </c>
      <c r="AI1237" s="388"/>
      <c r="AJ1237" s="388"/>
      <c r="AK1237" s="397"/>
    </row>
    <row r="1238">
      <c r="A1238" s="398"/>
      <c r="B1238" s="386"/>
      <c r="C1238" s="387" t="str">
        <f>IF(A1238="","",IFERROR(IF(VLOOKUP(A1238,'1. Inbound Leads'!A:G,7,FALSE)=0,"",VLOOKUP(A1238,'1. Inbound Leads'!A:G,7,FALSE)),""))</f>
        <v/>
      </c>
      <c r="D1238" s="387" t="str">
        <f>IF(A1238="","",IFERROR(IF(VLOOKUP(A1238,'1. Inbound Leads'!A:L,12,FALSE)=0,"",VLOOKUP(A1238,'1. Inbound Leads'!A:L,12,FALSE)),""))</f>
        <v/>
      </c>
      <c r="E1238" s="388"/>
      <c r="F1238" s="389"/>
      <c r="G1238" s="387"/>
      <c r="H1238" s="387"/>
      <c r="I1238" s="387"/>
      <c r="J1238" s="387"/>
      <c r="K1238" s="387"/>
      <c r="L1238" s="387"/>
      <c r="M1238" s="388"/>
      <c r="N1238" s="388"/>
      <c r="O1238" s="390"/>
      <c r="P1238" s="391"/>
      <c r="Q1238" s="389"/>
      <c r="R1238" s="390"/>
      <c r="S1238" s="390"/>
      <c r="T1238" s="391"/>
      <c r="U1238" s="392"/>
      <c r="V1238" s="391"/>
      <c r="W1238" s="391"/>
      <c r="X1238" s="388"/>
      <c r="Y1238" s="391"/>
      <c r="Z1238" s="393"/>
      <c r="AA1238" s="355" t="str">
        <f t="shared" si="1"/>
        <v/>
      </c>
      <c r="AB1238" s="391"/>
      <c r="AC1238" s="394" t="str">
        <f t="shared" si="2"/>
        <v/>
      </c>
      <c r="AD1238" s="389"/>
      <c r="AE1238" s="399"/>
      <c r="AF1238" s="395"/>
      <c r="AG1238" s="396" t="str">
        <f t="shared" si="3"/>
        <v/>
      </c>
      <c r="AH1238" s="396" t="str">
        <f t="shared" si="4"/>
        <v/>
      </c>
      <c r="AI1238" s="388"/>
      <c r="AJ1238" s="388"/>
      <c r="AK1238" s="397"/>
    </row>
    <row r="1239">
      <c r="A1239" s="398"/>
      <c r="B1239" s="386"/>
      <c r="C1239" s="387" t="str">
        <f>IF(A1239="","",IFERROR(IF(VLOOKUP(A1239,'1. Inbound Leads'!A:G,7,FALSE)=0,"",VLOOKUP(A1239,'1. Inbound Leads'!A:G,7,FALSE)),""))</f>
        <v/>
      </c>
      <c r="D1239" s="387" t="str">
        <f>IF(A1239="","",IFERROR(IF(VLOOKUP(A1239,'1. Inbound Leads'!A:L,12,FALSE)=0,"",VLOOKUP(A1239,'1. Inbound Leads'!A:L,12,FALSE)),""))</f>
        <v/>
      </c>
      <c r="E1239" s="388"/>
      <c r="F1239" s="389"/>
      <c r="G1239" s="387"/>
      <c r="H1239" s="387"/>
      <c r="I1239" s="387"/>
      <c r="J1239" s="387"/>
      <c r="K1239" s="387"/>
      <c r="L1239" s="387"/>
      <c r="M1239" s="388"/>
      <c r="N1239" s="388"/>
      <c r="O1239" s="390"/>
      <c r="P1239" s="391"/>
      <c r="Q1239" s="389"/>
      <c r="R1239" s="390"/>
      <c r="S1239" s="390"/>
      <c r="T1239" s="391"/>
      <c r="U1239" s="392"/>
      <c r="V1239" s="391"/>
      <c r="W1239" s="391"/>
      <c r="X1239" s="388"/>
      <c r="Y1239" s="391"/>
      <c r="Z1239" s="393"/>
      <c r="AA1239" s="355" t="str">
        <f t="shared" si="1"/>
        <v/>
      </c>
      <c r="AB1239" s="391"/>
      <c r="AC1239" s="394" t="str">
        <f t="shared" si="2"/>
        <v/>
      </c>
      <c r="AD1239" s="389"/>
      <c r="AE1239" s="399"/>
      <c r="AF1239" s="395"/>
      <c r="AG1239" s="396" t="str">
        <f t="shared" si="3"/>
        <v/>
      </c>
      <c r="AH1239" s="396" t="str">
        <f t="shared" si="4"/>
        <v/>
      </c>
      <c r="AI1239" s="388"/>
      <c r="AJ1239" s="388"/>
      <c r="AK1239" s="397"/>
    </row>
    <row r="1240">
      <c r="A1240" s="398"/>
      <c r="B1240" s="386"/>
      <c r="C1240" s="387" t="str">
        <f>IF(A1240="","",IFERROR(IF(VLOOKUP(A1240,'1. Inbound Leads'!A:G,7,FALSE)=0,"",VLOOKUP(A1240,'1. Inbound Leads'!A:G,7,FALSE)),""))</f>
        <v/>
      </c>
      <c r="D1240" s="387" t="str">
        <f>IF(A1240="","",IFERROR(IF(VLOOKUP(A1240,'1. Inbound Leads'!A:L,12,FALSE)=0,"",VLOOKUP(A1240,'1. Inbound Leads'!A:L,12,FALSE)),""))</f>
        <v/>
      </c>
      <c r="E1240" s="388"/>
      <c r="F1240" s="389"/>
      <c r="G1240" s="387"/>
      <c r="H1240" s="387"/>
      <c r="I1240" s="387"/>
      <c r="J1240" s="387"/>
      <c r="K1240" s="387"/>
      <c r="L1240" s="387"/>
      <c r="M1240" s="388"/>
      <c r="N1240" s="388"/>
      <c r="O1240" s="390"/>
      <c r="P1240" s="391"/>
      <c r="Q1240" s="389"/>
      <c r="R1240" s="390"/>
      <c r="S1240" s="390"/>
      <c r="T1240" s="391"/>
      <c r="U1240" s="392"/>
      <c r="V1240" s="391"/>
      <c r="W1240" s="391"/>
      <c r="X1240" s="388"/>
      <c r="Y1240" s="391"/>
      <c r="Z1240" s="393"/>
      <c r="AA1240" s="355" t="str">
        <f t="shared" si="1"/>
        <v/>
      </c>
      <c r="AB1240" s="391"/>
      <c r="AC1240" s="394" t="str">
        <f t="shared" si="2"/>
        <v/>
      </c>
      <c r="AD1240" s="389"/>
      <c r="AE1240" s="399"/>
      <c r="AF1240" s="395"/>
      <c r="AG1240" s="396" t="str">
        <f t="shared" si="3"/>
        <v/>
      </c>
      <c r="AH1240" s="396" t="str">
        <f t="shared" si="4"/>
        <v/>
      </c>
      <c r="AI1240" s="388"/>
      <c r="AJ1240" s="388"/>
      <c r="AK1240" s="397"/>
    </row>
    <row r="1241">
      <c r="A1241" s="398"/>
      <c r="B1241" s="386"/>
      <c r="C1241" s="387" t="str">
        <f>IF(A1241="","",IFERROR(IF(VLOOKUP(A1241,'1. Inbound Leads'!A:G,7,FALSE)=0,"",VLOOKUP(A1241,'1. Inbound Leads'!A:G,7,FALSE)),""))</f>
        <v/>
      </c>
      <c r="D1241" s="387" t="str">
        <f>IF(A1241="","",IFERROR(IF(VLOOKUP(A1241,'1. Inbound Leads'!A:L,12,FALSE)=0,"",VLOOKUP(A1241,'1. Inbound Leads'!A:L,12,FALSE)),""))</f>
        <v/>
      </c>
      <c r="E1241" s="388"/>
      <c r="F1241" s="389"/>
      <c r="G1241" s="387"/>
      <c r="H1241" s="387"/>
      <c r="I1241" s="387"/>
      <c r="J1241" s="387"/>
      <c r="K1241" s="387"/>
      <c r="L1241" s="387"/>
      <c r="M1241" s="388"/>
      <c r="N1241" s="388"/>
      <c r="O1241" s="390"/>
      <c r="P1241" s="391"/>
      <c r="Q1241" s="389"/>
      <c r="R1241" s="390"/>
      <c r="S1241" s="390"/>
      <c r="T1241" s="391"/>
      <c r="U1241" s="392"/>
      <c r="V1241" s="391"/>
      <c r="W1241" s="391"/>
      <c r="X1241" s="388"/>
      <c r="Y1241" s="391"/>
      <c r="Z1241" s="393"/>
      <c r="AA1241" s="355" t="str">
        <f t="shared" si="1"/>
        <v/>
      </c>
      <c r="AB1241" s="391"/>
      <c r="AC1241" s="394" t="str">
        <f t="shared" si="2"/>
        <v/>
      </c>
      <c r="AD1241" s="389"/>
      <c r="AE1241" s="399"/>
      <c r="AF1241" s="395"/>
      <c r="AG1241" s="396" t="str">
        <f t="shared" si="3"/>
        <v/>
      </c>
      <c r="AH1241" s="396" t="str">
        <f t="shared" si="4"/>
        <v/>
      </c>
      <c r="AI1241" s="388"/>
      <c r="AJ1241" s="388"/>
      <c r="AK1241" s="397"/>
    </row>
    <row r="1242">
      <c r="A1242" s="398"/>
      <c r="B1242" s="386"/>
      <c r="C1242" s="387" t="str">
        <f>IF(A1242="","",IFERROR(IF(VLOOKUP(A1242,'1. Inbound Leads'!A:G,7,FALSE)=0,"",VLOOKUP(A1242,'1. Inbound Leads'!A:G,7,FALSE)),""))</f>
        <v/>
      </c>
      <c r="D1242" s="387" t="str">
        <f>IF(A1242="","",IFERROR(IF(VLOOKUP(A1242,'1. Inbound Leads'!A:L,12,FALSE)=0,"",VLOOKUP(A1242,'1. Inbound Leads'!A:L,12,FALSE)),""))</f>
        <v/>
      </c>
      <c r="E1242" s="388"/>
      <c r="F1242" s="389"/>
      <c r="G1242" s="387"/>
      <c r="H1242" s="387"/>
      <c r="I1242" s="387"/>
      <c r="J1242" s="387"/>
      <c r="K1242" s="387"/>
      <c r="L1242" s="387"/>
      <c r="M1242" s="388"/>
      <c r="N1242" s="388"/>
      <c r="O1242" s="390"/>
      <c r="P1242" s="391"/>
      <c r="Q1242" s="389"/>
      <c r="R1242" s="390"/>
      <c r="S1242" s="390"/>
      <c r="T1242" s="391"/>
      <c r="U1242" s="392"/>
      <c r="V1242" s="391"/>
      <c r="W1242" s="391"/>
      <c r="X1242" s="388"/>
      <c r="Y1242" s="391"/>
      <c r="Z1242" s="393"/>
      <c r="AA1242" s="355" t="str">
        <f t="shared" si="1"/>
        <v/>
      </c>
      <c r="AB1242" s="391"/>
      <c r="AC1242" s="394" t="str">
        <f t="shared" si="2"/>
        <v/>
      </c>
      <c r="AD1242" s="389"/>
      <c r="AE1242" s="399"/>
      <c r="AF1242" s="395"/>
      <c r="AG1242" s="396" t="str">
        <f t="shared" si="3"/>
        <v/>
      </c>
      <c r="AH1242" s="396" t="str">
        <f t="shared" si="4"/>
        <v/>
      </c>
      <c r="AI1242" s="388"/>
      <c r="AJ1242" s="388"/>
      <c r="AK1242" s="397"/>
    </row>
    <row r="1243">
      <c r="A1243" s="398"/>
      <c r="B1243" s="386"/>
      <c r="C1243" s="387" t="str">
        <f>IF(A1243="","",IFERROR(IF(VLOOKUP(A1243,'1. Inbound Leads'!A:G,7,FALSE)=0,"",VLOOKUP(A1243,'1. Inbound Leads'!A:G,7,FALSE)),""))</f>
        <v/>
      </c>
      <c r="D1243" s="387" t="str">
        <f>IF(A1243="","",IFERROR(IF(VLOOKUP(A1243,'1. Inbound Leads'!A:L,12,FALSE)=0,"",VLOOKUP(A1243,'1. Inbound Leads'!A:L,12,FALSE)),""))</f>
        <v/>
      </c>
      <c r="E1243" s="388"/>
      <c r="F1243" s="389"/>
      <c r="G1243" s="387"/>
      <c r="H1243" s="387"/>
      <c r="I1243" s="387"/>
      <c r="J1243" s="387"/>
      <c r="K1243" s="387"/>
      <c r="L1243" s="387"/>
      <c r="M1243" s="388"/>
      <c r="N1243" s="388"/>
      <c r="O1243" s="390"/>
      <c r="P1243" s="391"/>
      <c r="Q1243" s="389"/>
      <c r="R1243" s="390"/>
      <c r="S1243" s="390"/>
      <c r="T1243" s="391"/>
      <c r="U1243" s="392"/>
      <c r="V1243" s="391"/>
      <c r="W1243" s="391"/>
      <c r="X1243" s="388"/>
      <c r="Y1243" s="391"/>
      <c r="Z1243" s="393"/>
      <c r="AA1243" s="355" t="str">
        <f t="shared" si="1"/>
        <v/>
      </c>
      <c r="AB1243" s="391"/>
      <c r="AC1243" s="394" t="str">
        <f t="shared" si="2"/>
        <v/>
      </c>
      <c r="AD1243" s="389"/>
      <c r="AE1243" s="399"/>
      <c r="AF1243" s="395"/>
      <c r="AG1243" s="396" t="str">
        <f t="shared" si="3"/>
        <v/>
      </c>
      <c r="AH1243" s="396" t="str">
        <f t="shared" si="4"/>
        <v/>
      </c>
      <c r="AI1243" s="388"/>
      <c r="AJ1243" s="388"/>
      <c r="AK1243" s="397"/>
    </row>
    <row r="1244">
      <c r="A1244" s="398"/>
      <c r="B1244" s="386"/>
      <c r="C1244" s="387" t="str">
        <f>IF(A1244="","",IFERROR(IF(VLOOKUP(A1244,'1. Inbound Leads'!A:G,7,FALSE)=0,"",VLOOKUP(A1244,'1. Inbound Leads'!A:G,7,FALSE)),""))</f>
        <v/>
      </c>
      <c r="D1244" s="387" t="str">
        <f>IF(A1244="","",IFERROR(IF(VLOOKUP(A1244,'1. Inbound Leads'!A:L,12,FALSE)=0,"",VLOOKUP(A1244,'1. Inbound Leads'!A:L,12,FALSE)),""))</f>
        <v/>
      </c>
      <c r="E1244" s="388"/>
      <c r="F1244" s="389"/>
      <c r="G1244" s="387"/>
      <c r="H1244" s="387"/>
      <c r="I1244" s="387"/>
      <c r="J1244" s="387"/>
      <c r="K1244" s="387"/>
      <c r="L1244" s="387"/>
      <c r="M1244" s="388"/>
      <c r="N1244" s="388"/>
      <c r="O1244" s="390"/>
      <c r="P1244" s="391"/>
      <c r="Q1244" s="389"/>
      <c r="R1244" s="390"/>
      <c r="S1244" s="390"/>
      <c r="T1244" s="391"/>
      <c r="U1244" s="392"/>
      <c r="V1244" s="391"/>
      <c r="W1244" s="391"/>
      <c r="X1244" s="388"/>
      <c r="Y1244" s="391"/>
      <c r="Z1244" s="393"/>
      <c r="AA1244" s="355" t="str">
        <f t="shared" si="1"/>
        <v/>
      </c>
      <c r="AB1244" s="391"/>
      <c r="AC1244" s="394" t="str">
        <f t="shared" si="2"/>
        <v/>
      </c>
      <c r="AD1244" s="389"/>
      <c r="AE1244" s="399"/>
      <c r="AF1244" s="395"/>
      <c r="AG1244" s="396" t="str">
        <f t="shared" si="3"/>
        <v/>
      </c>
      <c r="AH1244" s="396" t="str">
        <f t="shared" si="4"/>
        <v/>
      </c>
      <c r="AI1244" s="388"/>
      <c r="AJ1244" s="388"/>
      <c r="AK1244" s="397"/>
    </row>
    <row r="1245">
      <c r="A1245" s="398"/>
      <c r="B1245" s="386"/>
      <c r="C1245" s="387" t="str">
        <f>IF(A1245="","",IFERROR(IF(VLOOKUP(A1245,'1. Inbound Leads'!A:G,7,FALSE)=0,"",VLOOKUP(A1245,'1. Inbound Leads'!A:G,7,FALSE)),""))</f>
        <v/>
      </c>
      <c r="D1245" s="387" t="str">
        <f>IF(A1245="","",IFERROR(IF(VLOOKUP(A1245,'1. Inbound Leads'!A:L,12,FALSE)=0,"",VLOOKUP(A1245,'1. Inbound Leads'!A:L,12,FALSE)),""))</f>
        <v/>
      </c>
      <c r="E1245" s="388"/>
      <c r="F1245" s="389"/>
      <c r="G1245" s="387"/>
      <c r="H1245" s="387"/>
      <c r="I1245" s="387"/>
      <c r="J1245" s="387"/>
      <c r="K1245" s="387"/>
      <c r="L1245" s="387"/>
      <c r="M1245" s="388"/>
      <c r="N1245" s="388"/>
      <c r="O1245" s="390"/>
      <c r="P1245" s="391"/>
      <c r="Q1245" s="389"/>
      <c r="R1245" s="390"/>
      <c r="S1245" s="390"/>
      <c r="T1245" s="391"/>
      <c r="U1245" s="392"/>
      <c r="V1245" s="391"/>
      <c r="W1245" s="391"/>
      <c r="X1245" s="388"/>
      <c r="Y1245" s="391"/>
      <c r="Z1245" s="393"/>
      <c r="AA1245" s="355" t="str">
        <f t="shared" si="1"/>
        <v/>
      </c>
      <c r="AB1245" s="391"/>
      <c r="AC1245" s="394" t="str">
        <f t="shared" si="2"/>
        <v/>
      </c>
      <c r="AD1245" s="389"/>
      <c r="AE1245" s="399"/>
      <c r="AF1245" s="395"/>
      <c r="AG1245" s="396" t="str">
        <f t="shared" si="3"/>
        <v/>
      </c>
      <c r="AH1245" s="396" t="str">
        <f t="shared" si="4"/>
        <v/>
      </c>
      <c r="AI1245" s="388"/>
      <c r="AJ1245" s="388"/>
      <c r="AK1245" s="397"/>
    </row>
    <row r="1246">
      <c r="A1246" s="398"/>
      <c r="B1246" s="386"/>
      <c r="C1246" s="387" t="str">
        <f>IF(A1246="","",IFERROR(IF(VLOOKUP(A1246,'1. Inbound Leads'!A:G,7,FALSE)=0,"",VLOOKUP(A1246,'1. Inbound Leads'!A:G,7,FALSE)),""))</f>
        <v/>
      </c>
      <c r="D1246" s="387" t="str">
        <f>IF(A1246="","",IFERROR(IF(VLOOKUP(A1246,'1. Inbound Leads'!A:L,12,FALSE)=0,"",VLOOKUP(A1246,'1. Inbound Leads'!A:L,12,FALSE)),""))</f>
        <v/>
      </c>
      <c r="E1246" s="388"/>
      <c r="F1246" s="389"/>
      <c r="G1246" s="387"/>
      <c r="H1246" s="387"/>
      <c r="I1246" s="387"/>
      <c r="J1246" s="387"/>
      <c r="K1246" s="387"/>
      <c r="L1246" s="387"/>
      <c r="M1246" s="388"/>
      <c r="N1246" s="388"/>
      <c r="O1246" s="390"/>
      <c r="P1246" s="391"/>
      <c r="Q1246" s="389"/>
      <c r="R1246" s="390"/>
      <c r="S1246" s="390"/>
      <c r="T1246" s="391"/>
      <c r="U1246" s="392"/>
      <c r="V1246" s="391"/>
      <c r="W1246" s="391"/>
      <c r="X1246" s="388"/>
      <c r="Y1246" s="391"/>
      <c r="Z1246" s="393"/>
      <c r="AA1246" s="355" t="str">
        <f t="shared" si="1"/>
        <v/>
      </c>
      <c r="AB1246" s="391"/>
      <c r="AC1246" s="394" t="str">
        <f t="shared" si="2"/>
        <v/>
      </c>
      <c r="AD1246" s="389"/>
      <c r="AE1246" s="399"/>
      <c r="AF1246" s="395"/>
      <c r="AG1246" s="396" t="str">
        <f t="shared" si="3"/>
        <v/>
      </c>
      <c r="AH1246" s="396" t="str">
        <f t="shared" si="4"/>
        <v/>
      </c>
      <c r="AI1246" s="388"/>
      <c r="AJ1246" s="388"/>
      <c r="AK1246" s="397"/>
    </row>
    <row r="1247">
      <c r="A1247" s="398"/>
      <c r="B1247" s="386"/>
      <c r="C1247" s="387" t="str">
        <f>IF(A1247="","",IFERROR(IF(VLOOKUP(A1247,'1. Inbound Leads'!A:G,7,FALSE)=0,"",VLOOKUP(A1247,'1. Inbound Leads'!A:G,7,FALSE)),""))</f>
        <v/>
      </c>
      <c r="D1247" s="387" t="str">
        <f>IF(A1247="","",IFERROR(IF(VLOOKUP(A1247,'1. Inbound Leads'!A:L,12,FALSE)=0,"",VLOOKUP(A1247,'1. Inbound Leads'!A:L,12,FALSE)),""))</f>
        <v/>
      </c>
      <c r="E1247" s="388"/>
      <c r="F1247" s="389"/>
      <c r="G1247" s="387"/>
      <c r="H1247" s="387"/>
      <c r="I1247" s="387"/>
      <c r="J1247" s="387"/>
      <c r="K1247" s="387"/>
      <c r="L1247" s="387"/>
      <c r="M1247" s="388"/>
      <c r="N1247" s="388"/>
      <c r="O1247" s="390"/>
      <c r="P1247" s="391"/>
      <c r="Q1247" s="389"/>
      <c r="R1247" s="390"/>
      <c r="S1247" s="390"/>
      <c r="T1247" s="391"/>
      <c r="U1247" s="392"/>
      <c r="V1247" s="391"/>
      <c r="W1247" s="391"/>
      <c r="X1247" s="388"/>
      <c r="Y1247" s="391"/>
      <c r="Z1247" s="393"/>
      <c r="AA1247" s="355" t="str">
        <f t="shared" si="1"/>
        <v/>
      </c>
      <c r="AB1247" s="391"/>
      <c r="AC1247" s="394" t="str">
        <f t="shared" si="2"/>
        <v/>
      </c>
      <c r="AD1247" s="389"/>
      <c r="AE1247" s="399"/>
      <c r="AF1247" s="395"/>
      <c r="AG1247" s="396" t="str">
        <f t="shared" si="3"/>
        <v/>
      </c>
      <c r="AH1247" s="396" t="str">
        <f t="shared" si="4"/>
        <v/>
      </c>
      <c r="AI1247" s="388"/>
      <c r="AJ1247" s="388"/>
      <c r="AK1247" s="397"/>
    </row>
    <row r="1248">
      <c r="A1248" s="398"/>
      <c r="B1248" s="386"/>
      <c r="C1248" s="387" t="str">
        <f>IF(A1248="","",IFERROR(IF(VLOOKUP(A1248,'1. Inbound Leads'!A:G,7,FALSE)=0,"",VLOOKUP(A1248,'1. Inbound Leads'!A:G,7,FALSE)),""))</f>
        <v/>
      </c>
      <c r="D1248" s="387" t="str">
        <f>IF(A1248="","",IFERROR(IF(VLOOKUP(A1248,'1. Inbound Leads'!A:L,12,FALSE)=0,"",VLOOKUP(A1248,'1. Inbound Leads'!A:L,12,FALSE)),""))</f>
        <v/>
      </c>
      <c r="E1248" s="388"/>
      <c r="F1248" s="389"/>
      <c r="G1248" s="387"/>
      <c r="H1248" s="387"/>
      <c r="I1248" s="387"/>
      <c r="J1248" s="387"/>
      <c r="K1248" s="387"/>
      <c r="L1248" s="387"/>
      <c r="M1248" s="388"/>
      <c r="N1248" s="388"/>
      <c r="O1248" s="390"/>
      <c r="P1248" s="391"/>
      <c r="Q1248" s="389"/>
      <c r="R1248" s="390"/>
      <c r="S1248" s="390"/>
      <c r="T1248" s="391"/>
      <c r="U1248" s="392"/>
      <c r="V1248" s="391"/>
      <c r="W1248" s="391"/>
      <c r="X1248" s="388"/>
      <c r="Y1248" s="391"/>
      <c r="Z1248" s="393"/>
      <c r="AA1248" s="355" t="str">
        <f t="shared" si="1"/>
        <v/>
      </c>
      <c r="AB1248" s="391"/>
      <c r="AC1248" s="394" t="str">
        <f t="shared" si="2"/>
        <v/>
      </c>
      <c r="AD1248" s="389"/>
      <c r="AE1248" s="399"/>
      <c r="AF1248" s="395"/>
      <c r="AG1248" s="396" t="str">
        <f t="shared" si="3"/>
        <v/>
      </c>
      <c r="AH1248" s="396" t="str">
        <f t="shared" si="4"/>
        <v/>
      </c>
      <c r="AI1248" s="388"/>
      <c r="AJ1248" s="388"/>
      <c r="AK1248" s="397"/>
    </row>
    <row r="1249">
      <c r="A1249" s="398"/>
      <c r="B1249" s="386"/>
      <c r="C1249" s="387" t="str">
        <f>IF(A1249="","",IFERROR(IF(VLOOKUP(A1249,'1. Inbound Leads'!A:G,7,FALSE)=0,"",VLOOKUP(A1249,'1. Inbound Leads'!A:G,7,FALSE)),""))</f>
        <v/>
      </c>
      <c r="D1249" s="387" t="str">
        <f>IF(A1249="","",IFERROR(IF(VLOOKUP(A1249,'1. Inbound Leads'!A:L,12,FALSE)=0,"",VLOOKUP(A1249,'1. Inbound Leads'!A:L,12,FALSE)),""))</f>
        <v/>
      </c>
      <c r="E1249" s="388"/>
      <c r="F1249" s="389"/>
      <c r="G1249" s="387"/>
      <c r="H1249" s="387"/>
      <c r="I1249" s="387"/>
      <c r="J1249" s="387"/>
      <c r="K1249" s="387"/>
      <c r="L1249" s="387"/>
      <c r="M1249" s="388"/>
      <c r="N1249" s="388"/>
      <c r="O1249" s="390"/>
      <c r="P1249" s="391"/>
      <c r="Q1249" s="389"/>
      <c r="R1249" s="390"/>
      <c r="S1249" s="390"/>
      <c r="T1249" s="391"/>
      <c r="U1249" s="392"/>
      <c r="V1249" s="391"/>
      <c r="W1249" s="391"/>
      <c r="X1249" s="388"/>
      <c r="Y1249" s="391"/>
      <c r="Z1249" s="393"/>
      <c r="AA1249" s="355" t="str">
        <f t="shared" si="1"/>
        <v/>
      </c>
      <c r="AB1249" s="391"/>
      <c r="AC1249" s="394" t="str">
        <f t="shared" si="2"/>
        <v/>
      </c>
      <c r="AD1249" s="389"/>
      <c r="AE1249" s="399"/>
      <c r="AF1249" s="395"/>
      <c r="AG1249" s="396" t="str">
        <f t="shared" si="3"/>
        <v/>
      </c>
      <c r="AH1249" s="396" t="str">
        <f t="shared" si="4"/>
        <v/>
      </c>
      <c r="AI1249" s="388"/>
      <c r="AJ1249" s="388"/>
      <c r="AK1249" s="397"/>
    </row>
    <row r="1250">
      <c r="A1250" s="398"/>
      <c r="B1250" s="386"/>
      <c r="C1250" s="387" t="str">
        <f>IF(A1250="","",IFERROR(IF(VLOOKUP(A1250,'1. Inbound Leads'!A:G,7,FALSE)=0,"",VLOOKUP(A1250,'1. Inbound Leads'!A:G,7,FALSE)),""))</f>
        <v/>
      </c>
      <c r="D1250" s="387" t="str">
        <f>IF(A1250="","",IFERROR(IF(VLOOKUP(A1250,'1. Inbound Leads'!A:L,12,FALSE)=0,"",VLOOKUP(A1250,'1. Inbound Leads'!A:L,12,FALSE)),""))</f>
        <v/>
      </c>
      <c r="E1250" s="388"/>
      <c r="F1250" s="389"/>
      <c r="G1250" s="387"/>
      <c r="H1250" s="387"/>
      <c r="I1250" s="387"/>
      <c r="J1250" s="387"/>
      <c r="K1250" s="387"/>
      <c r="L1250" s="387"/>
      <c r="M1250" s="388"/>
      <c r="N1250" s="388"/>
      <c r="O1250" s="390"/>
      <c r="P1250" s="391"/>
      <c r="Q1250" s="389"/>
      <c r="R1250" s="390"/>
      <c r="S1250" s="390"/>
      <c r="T1250" s="391"/>
      <c r="U1250" s="392"/>
      <c r="V1250" s="391"/>
      <c r="W1250" s="391"/>
      <c r="X1250" s="388"/>
      <c r="Y1250" s="391"/>
      <c r="Z1250" s="393"/>
      <c r="AA1250" s="355" t="str">
        <f t="shared" si="1"/>
        <v/>
      </c>
      <c r="AB1250" s="391"/>
      <c r="AC1250" s="394" t="str">
        <f t="shared" si="2"/>
        <v/>
      </c>
      <c r="AD1250" s="389"/>
      <c r="AE1250" s="399"/>
      <c r="AF1250" s="395"/>
      <c r="AG1250" s="396" t="str">
        <f t="shared" si="3"/>
        <v/>
      </c>
      <c r="AH1250" s="396" t="str">
        <f t="shared" si="4"/>
        <v/>
      </c>
      <c r="AI1250" s="388"/>
      <c r="AJ1250" s="388"/>
      <c r="AK1250" s="397"/>
    </row>
    <row r="1251">
      <c r="A1251" s="398"/>
      <c r="B1251" s="386"/>
      <c r="C1251" s="387" t="str">
        <f>IF(A1251="","",IFERROR(IF(VLOOKUP(A1251,'1. Inbound Leads'!A:G,7,FALSE)=0,"",VLOOKUP(A1251,'1. Inbound Leads'!A:G,7,FALSE)),""))</f>
        <v/>
      </c>
      <c r="D1251" s="387" t="str">
        <f>IF(A1251="","",IFERROR(IF(VLOOKUP(A1251,'1. Inbound Leads'!A:L,12,FALSE)=0,"",VLOOKUP(A1251,'1. Inbound Leads'!A:L,12,FALSE)),""))</f>
        <v/>
      </c>
      <c r="E1251" s="388"/>
      <c r="F1251" s="389"/>
      <c r="G1251" s="387"/>
      <c r="H1251" s="387"/>
      <c r="I1251" s="387"/>
      <c r="J1251" s="387"/>
      <c r="K1251" s="387"/>
      <c r="L1251" s="387"/>
      <c r="M1251" s="388"/>
      <c r="N1251" s="388"/>
      <c r="O1251" s="390"/>
      <c r="P1251" s="391"/>
      <c r="Q1251" s="389"/>
      <c r="R1251" s="390"/>
      <c r="S1251" s="390"/>
      <c r="T1251" s="391"/>
      <c r="U1251" s="392"/>
      <c r="V1251" s="391"/>
      <c r="W1251" s="391"/>
      <c r="X1251" s="388"/>
      <c r="Y1251" s="391"/>
      <c r="Z1251" s="393"/>
      <c r="AA1251" s="355" t="str">
        <f t="shared" si="1"/>
        <v/>
      </c>
      <c r="AB1251" s="391"/>
      <c r="AC1251" s="394" t="str">
        <f t="shared" si="2"/>
        <v/>
      </c>
      <c r="AD1251" s="389"/>
      <c r="AE1251" s="399"/>
      <c r="AF1251" s="395"/>
      <c r="AG1251" s="396" t="str">
        <f t="shared" si="3"/>
        <v/>
      </c>
      <c r="AH1251" s="396" t="str">
        <f t="shared" si="4"/>
        <v/>
      </c>
      <c r="AI1251" s="388"/>
      <c r="AJ1251" s="388"/>
      <c r="AK1251" s="397"/>
    </row>
    <row r="1252">
      <c r="A1252" s="398"/>
      <c r="B1252" s="386"/>
      <c r="C1252" s="387" t="str">
        <f>IF(A1252="","",IFERROR(IF(VLOOKUP(A1252,'1. Inbound Leads'!A:G,7,FALSE)=0,"",VLOOKUP(A1252,'1. Inbound Leads'!A:G,7,FALSE)),""))</f>
        <v/>
      </c>
      <c r="D1252" s="387" t="str">
        <f>IF(A1252="","",IFERROR(IF(VLOOKUP(A1252,'1. Inbound Leads'!A:L,12,FALSE)=0,"",VLOOKUP(A1252,'1. Inbound Leads'!A:L,12,FALSE)),""))</f>
        <v/>
      </c>
      <c r="E1252" s="388"/>
      <c r="F1252" s="389"/>
      <c r="G1252" s="387"/>
      <c r="H1252" s="387"/>
      <c r="I1252" s="387"/>
      <c r="J1252" s="387"/>
      <c r="K1252" s="387"/>
      <c r="L1252" s="387"/>
      <c r="M1252" s="388"/>
      <c r="N1252" s="388"/>
      <c r="O1252" s="390"/>
      <c r="P1252" s="391"/>
      <c r="Q1252" s="389"/>
      <c r="R1252" s="390"/>
      <c r="S1252" s="390"/>
      <c r="T1252" s="391"/>
      <c r="U1252" s="392"/>
      <c r="V1252" s="391"/>
      <c r="W1252" s="391"/>
      <c r="X1252" s="388"/>
      <c r="Y1252" s="391"/>
      <c r="Z1252" s="393"/>
      <c r="AA1252" s="355" t="str">
        <f t="shared" si="1"/>
        <v/>
      </c>
      <c r="AB1252" s="391"/>
      <c r="AC1252" s="394" t="str">
        <f t="shared" si="2"/>
        <v/>
      </c>
      <c r="AD1252" s="389"/>
      <c r="AE1252" s="399"/>
      <c r="AF1252" s="395"/>
      <c r="AG1252" s="396" t="str">
        <f t="shared" si="3"/>
        <v/>
      </c>
      <c r="AH1252" s="396" t="str">
        <f t="shared" si="4"/>
        <v/>
      </c>
      <c r="AI1252" s="388"/>
      <c r="AJ1252" s="388"/>
      <c r="AK1252" s="397"/>
    </row>
    <row r="1253">
      <c r="A1253" s="398"/>
      <c r="B1253" s="386"/>
      <c r="C1253" s="387" t="str">
        <f>IF(A1253="","",IFERROR(IF(VLOOKUP(A1253,'1. Inbound Leads'!A:G,7,FALSE)=0,"",VLOOKUP(A1253,'1. Inbound Leads'!A:G,7,FALSE)),""))</f>
        <v/>
      </c>
      <c r="D1253" s="387" t="str">
        <f>IF(A1253="","",IFERROR(IF(VLOOKUP(A1253,'1. Inbound Leads'!A:L,12,FALSE)=0,"",VLOOKUP(A1253,'1. Inbound Leads'!A:L,12,FALSE)),""))</f>
        <v/>
      </c>
      <c r="E1253" s="388"/>
      <c r="F1253" s="389"/>
      <c r="G1253" s="387"/>
      <c r="H1253" s="387"/>
      <c r="I1253" s="387"/>
      <c r="J1253" s="387"/>
      <c r="K1253" s="387"/>
      <c r="L1253" s="387"/>
      <c r="M1253" s="388"/>
      <c r="N1253" s="388"/>
      <c r="O1253" s="390"/>
      <c r="P1253" s="391"/>
      <c r="Q1253" s="389"/>
      <c r="R1253" s="390"/>
      <c r="S1253" s="390"/>
      <c r="T1253" s="391"/>
      <c r="U1253" s="392"/>
      <c r="V1253" s="391"/>
      <c r="W1253" s="391"/>
      <c r="X1253" s="388"/>
      <c r="Y1253" s="391"/>
      <c r="Z1253" s="393"/>
      <c r="AA1253" s="355" t="str">
        <f t="shared" si="1"/>
        <v/>
      </c>
      <c r="AB1253" s="391"/>
      <c r="AC1253" s="394" t="str">
        <f t="shared" si="2"/>
        <v/>
      </c>
      <c r="AD1253" s="389"/>
      <c r="AE1253" s="399"/>
      <c r="AF1253" s="395"/>
      <c r="AG1253" s="396" t="str">
        <f t="shared" si="3"/>
        <v/>
      </c>
      <c r="AH1253" s="396" t="str">
        <f t="shared" si="4"/>
        <v/>
      </c>
      <c r="AI1253" s="388"/>
      <c r="AJ1253" s="388"/>
      <c r="AK1253" s="397"/>
    </row>
    <row r="1254">
      <c r="A1254" s="398"/>
      <c r="B1254" s="386"/>
      <c r="C1254" s="387" t="str">
        <f>IF(A1254="","",IFERROR(IF(VLOOKUP(A1254,'1. Inbound Leads'!A:G,7,FALSE)=0,"",VLOOKUP(A1254,'1. Inbound Leads'!A:G,7,FALSE)),""))</f>
        <v/>
      </c>
      <c r="D1254" s="387" t="str">
        <f>IF(A1254="","",IFERROR(IF(VLOOKUP(A1254,'1. Inbound Leads'!A:L,12,FALSE)=0,"",VLOOKUP(A1254,'1. Inbound Leads'!A:L,12,FALSE)),""))</f>
        <v/>
      </c>
      <c r="E1254" s="388"/>
      <c r="F1254" s="389"/>
      <c r="G1254" s="387"/>
      <c r="H1254" s="387"/>
      <c r="I1254" s="387"/>
      <c r="J1254" s="387"/>
      <c r="K1254" s="387"/>
      <c r="L1254" s="387"/>
      <c r="M1254" s="388"/>
      <c r="N1254" s="388"/>
      <c r="O1254" s="390"/>
      <c r="P1254" s="391"/>
      <c r="Q1254" s="389"/>
      <c r="R1254" s="390"/>
      <c r="S1254" s="390"/>
      <c r="T1254" s="391"/>
      <c r="U1254" s="392"/>
      <c r="V1254" s="391"/>
      <c r="W1254" s="391"/>
      <c r="X1254" s="388"/>
      <c r="Y1254" s="391"/>
      <c r="Z1254" s="393"/>
      <c r="AA1254" s="355" t="str">
        <f t="shared" si="1"/>
        <v/>
      </c>
      <c r="AB1254" s="391"/>
      <c r="AC1254" s="394" t="str">
        <f t="shared" si="2"/>
        <v/>
      </c>
      <c r="AD1254" s="389"/>
      <c r="AE1254" s="399"/>
      <c r="AF1254" s="395"/>
      <c r="AG1254" s="396" t="str">
        <f t="shared" si="3"/>
        <v/>
      </c>
      <c r="AH1254" s="396" t="str">
        <f t="shared" si="4"/>
        <v/>
      </c>
      <c r="AI1254" s="388"/>
      <c r="AJ1254" s="388"/>
      <c r="AK1254" s="397"/>
    </row>
    <row r="1255">
      <c r="A1255" s="398"/>
      <c r="B1255" s="386"/>
      <c r="C1255" s="387" t="str">
        <f>IF(A1255="","",IFERROR(IF(VLOOKUP(A1255,'1. Inbound Leads'!A:G,7,FALSE)=0,"",VLOOKUP(A1255,'1. Inbound Leads'!A:G,7,FALSE)),""))</f>
        <v/>
      </c>
      <c r="D1255" s="387" t="str">
        <f>IF(A1255="","",IFERROR(IF(VLOOKUP(A1255,'1. Inbound Leads'!A:L,12,FALSE)=0,"",VLOOKUP(A1255,'1. Inbound Leads'!A:L,12,FALSE)),""))</f>
        <v/>
      </c>
      <c r="E1255" s="388"/>
      <c r="F1255" s="389"/>
      <c r="G1255" s="387"/>
      <c r="H1255" s="387"/>
      <c r="I1255" s="387"/>
      <c r="J1255" s="387"/>
      <c r="K1255" s="387"/>
      <c r="L1255" s="387"/>
      <c r="M1255" s="388"/>
      <c r="N1255" s="388"/>
      <c r="O1255" s="390"/>
      <c r="P1255" s="391"/>
      <c r="Q1255" s="389"/>
      <c r="R1255" s="390"/>
      <c r="S1255" s="390"/>
      <c r="T1255" s="391"/>
      <c r="U1255" s="392"/>
      <c r="V1255" s="391"/>
      <c r="W1255" s="391"/>
      <c r="X1255" s="388"/>
      <c r="Y1255" s="391"/>
      <c r="Z1255" s="393"/>
      <c r="AA1255" s="355" t="str">
        <f t="shared" si="1"/>
        <v/>
      </c>
      <c r="AB1255" s="391"/>
      <c r="AC1255" s="394" t="str">
        <f t="shared" si="2"/>
        <v/>
      </c>
      <c r="AD1255" s="389"/>
      <c r="AE1255" s="399"/>
      <c r="AF1255" s="395"/>
      <c r="AG1255" s="396" t="str">
        <f t="shared" si="3"/>
        <v/>
      </c>
      <c r="AH1255" s="396" t="str">
        <f t="shared" si="4"/>
        <v/>
      </c>
      <c r="AI1255" s="388"/>
      <c r="AJ1255" s="388"/>
      <c r="AK1255" s="397"/>
    </row>
    <row r="1256">
      <c r="A1256" s="398"/>
      <c r="B1256" s="386"/>
      <c r="C1256" s="387" t="str">
        <f>IF(A1256="","",IFERROR(IF(VLOOKUP(A1256,'1. Inbound Leads'!A:G,7,FALSE)=0,"",VLOOKUP(A1256,'1. Inbound Leads'!A:G,7,FALSE)),""))</f>
        <v/>
      </c>
      <c r="D1256" s="387" t="str">
        <f>IF(A1256="","",IFERROR(IF(VLOOKUP(A1256,'1. Inbound Leads'!A:L,12,FALSE)=0,"",VLOOKUP(A1256,'1. Inbound Leads'!A:L,12,FALSE)),""))</f>
        <v/>
      </c>
      <c r="E1256" s="388"/>
      <c r="F1256" s="389"/>
      <c r="G1256" s="387"/>
      <c r="H1256" s="387"/>
      <c r="I1256" s="387"/>
      <c r="J1256" s="387"/>
      <c r="K1256" s="387"/>
      <c r="L1256" s="387"/>
      <c r="M1256" s="388"/>
      <c r="N1256" s="388"/>
      <c r="O1256" s="390"/>
      <c r="P1256" s="391"/>
      <c r="Q1256" s="389"/>
      <c r="R1256" s="390"/>
      <c r="S1256" s="390"/>
      <c r="T1256" s="391"/>
      <c r="U1256" s="392"/>
      <c r="V1256" s="391"/>
      <c r="W1256" s="391"/>
      <c r="X1256" s="388"/>
      <c r="Y1256" s="391"/>
      <c r="Z1256" s="393"/>
      <c r="AA1256" s="355" t="str">
        <f t="shared" si="1"/>
        <v/>
      </c>
      <c r="AB1256" s="391"/>
      <c r="AC1256" s="394" t="str">
        <f t="shared" si="2"/>
        <v/>
      </c>
      <c r="AD1256" s="389"/>
      <c r="AE1256" s="399"/>
      <c r="AF1256" s="395"/>
      <c r="AG1256" s="396" t="str">
        <f t="shared" si="3"/>
        <v/>
      </c>
      <c r="AH1256" s="396" t="str">
        <f t="shared" si="4"/>
        <v/>
      </c>
      <c r="AI1256" s="388"/>
      <c r="AJ1256" s="388"/>
      <c r="AK1256" s="397"/>
    </row>
    <row r="1257">
      <c r="A1257" s="398"/>
      <c r="B1257" s="386"/>
      <c r="C1257" s="387" t="str">
        <f>IF(A1257="","",IFERROR(IF(VLOOKUP(A1257,'1. Inbound Leads'!A:G,7,FALSE)=0,"",VLOOKUP(A1257,'1. Inbound Leads'!A:G,7,FALSE)),""))</f>
        <v/>
      </c>
      <c r="D1257" s="387" t="str">
        <f>IF(A1257="","",IFERROR(IF(VLOOKUP(A1257,'1. Inbound Leads'!A:L,12,FALSE)=0,"",VLOOKUP(A1257,'1. Inbound Leads'!A:L,12,FALSE)),""))</f>
        <v/>
      </c>
      <c r="E1257" s="388"/>
      <c r="F1257" s="389"/>
      <c r="G1257" s="387"/>
      <c r="H1257" s="387"/>
      <c r="I1257" s="387"/>
      <c r="J1257" s="387"/>
      <c r="K1257" s="387"/>
      <c r="L1257" s="387"/>
      <c r="M1257" s="388"/>
      <c r="N1257" s="388"/>
      <c r="O1257" s="390"/>
      <c r="P1257" s="391"/>
      <c r="Q1257" s="389"/>
      <c r="R1257" s="390"/>
      <c r="S1257" s="390"/>
      <c r="T1257" s="391"/>
      <c r="U1257" s="392"/>
      <c r="V1257" s="391"/>
      <c r="W1257" s="391"/>
      <c r="X1257" s="388"/>
      <c r="Y1257" s="391"/>
      <c r="Z1257" s="393"/>
      <c r="AA1257" s="355" t="str">
        <f t="shared" si="1"/>
        <v/>
      </c>
      <c r="AB1257" s="391"/>
      <c r="AC1257" s="394" t="str">
        <f t="shared" si="2"/>
        <v/>
      </c>
      <c r="AD1257" s="389"/>
      <c r="AE1257" s="399"/>
      <c r="AF1257" s="395"/>
      <c r="AG1257" s="396" t="str">
        <f t="shared" si="3"/>
        <v/>
      </c>
      <c r="AH1257" s="396" t="str">
        <f t="shared" si="4"/>
        <v/>
      </c>
      <c r="AI1257" s="388"/>
      <c r="AJ1257" s="388"/>
      <c r="AK1257" s="397"/>
    </row>
    <row r="1258">
      <c r="A1258" s="398"/>
      <c r="B1258" s="386"/>
      <c r="C1258" s="387" t="str">
        <f>IF(A1258="","",IFERROR(IF(VLOOKUP(A1258,'1. Inbound Leads'!A:G,7,FALSE)=0,"",VLOOKUP(A1258,'1. Inbound Leads'!A:G,7,FALSE)),""))</f>
        <v/>
      </c>
      <c r="D1258" s="387" t="str">
        <f>IF(A1258="","",IFERROR(IF(VLOOKUP(A1258,'1. Inbound Leads'!A:L,12,FALSE)=0,"",VLOOKUP(A1258,'1. Inbound Leads'!A:L,12,FALSE)),""))</f>
        <v/>
      </c>
      <c r="E1258" s="388"/>
      <c r="F1258" s="389"/>
      <c r="G1258" s="387"/>
      <c r="H1258" s="387"/>
      <c r="I1258" s="387"/>
      <c r="J1258" s="387"/>
      <c r="K1258" s="387"/>
      <c r="L1258" s="387"/>
      <c r="M1258" s="388"/>
      <c r="N1258" s="388"/>
      <c r="O1258" s="390"/>
      <c r="P1258" s="391"/>
      <c r="Q1258" s="389"/>
      <c r="R1258" s="390"/>
      <c r="S1258" s="390"/>
      <c r="T1258" s="391"/>
      <c r="U1258" s="392"/>
      <c r="V1258" s="391"/>
      <c r="W1258" s="391"/>
      <c r="X1258" s="388"/>
      <c r="Y1258" s="391"/>
      <c r="Z1258" s="393"/>
      <c r="AA1258" s="355" t="str">
        <f t="shared" si="1"/>
        <v/>
      </c>
      <c r="AB1258" s="391"/>
      <c r="AC1258" s="394" t="str">
        <f t="shared" si="2"/>
        <v/>
      </c>
      <c r="AD1258" s="389"/>
      <c r="AE1258" s="399"/>
      <c r="AF1258" s="395"/>
      <c r="AG1258" s="396" t="str">
        <f t="shared" si="3"/>
        <v/>
      </c>
      <c r="AH1258" s="396" t="str">
        <f t="shared" si="4"/>
        <v/>
      </c>
      <c r="AI1258" s="388"/>
      <c r="AJ1258" s="388"/>
      <c r="AK1258" s="397"/>
    </row>
    <row r="1259">
      <c r="A1259" s="398"/>
      <c r="B1259" s="386"/>
      <c r="C1259" s="387" t="str">
        <f>IF(A1259="","",IFERROR(IF(VLOOKUP(A1259,'1. Inbound Leads'!A:G,7,FALSE)=0,"",VLOOKUP(A1259,'1. Inbound Leads'!A:G,7,FALSE)),""))</f>
        <v/>
      </c>
      <c r="D1259" s="387" t="str">
        <f>IF(A1259="","",IFERROR(IF(VLOOKUP(A1259,'1. Inbound Leads'!A:L,12,FALSE)=0,"",VLOOKUP(A1259,'1. Inbound Leads'!A:L,12,FALSE)),""))</f>
        <v/>
      </c>
      <c r="E1259" s="388"/>
      <c r="F1259" s="389"/>
      <c r="G1259" s="387"/>
      <c r="H1259" s="387"/>
      <c r="I1259" s="387"/>
      <c r="J1259" s="387"/>
      <c r="K1259" s="387"/>
      <c r="L1259" s="387"/>
      <c r="M1259" s="388"/>
      <c r="N1259" s="388"/>
      <c r="O1259" s="390"/>
      <c r="P1259" s="391"/>
      <c r="Q1259" s="389"/>
      <c r="R1259" s="390"/>
      <c r="S1259" s="390"/>
      <c r="T1259" s="391"/>
      <c r="U1259" s="392"/>
      <c r="V1259" s="391"/>
      <c r="W1259" s="391"/>
      <c r="X1259" s="388"/>
      <c r="Y1259" s="391"/>
      <c r="Z1259" s="393"/>
      <c r="AA1259" s="355" t="str">
        <f t="shared" si="1"/>
        <v/>
      </c>
      <c r="AB1259" s="391"/>
      <c r="AC1259" s="394" t="str">
        <f t="shared" si="2"/>
        <v/>
      </c>
      <c r="AD1259" s="389"/>
      <c r="AE1259" s="399"/>
      <c r="AF1259" s="395"/>
      <c r="AG1259" s="396" t="str">
        <f t="shared" si="3"/>
        <v/>
      </c>
      <c r="AH1259" s="396" t="str">
        <f t="shared" si="4"/>
        <v/>
      </c>
      <c r="AI1259" s="388"/>
      <c r="AJ1259" s="388"/>
      <c r="AK1259" s="397"/>
    </row>
    <row r="1260">
      <c r="A1260" s="398"/>
      <c r="B1260" s="386"/>
      <c r="C1260" s="387" t="str">
        <f>IF(A1260="","",IFERROR(IF(VLOOKUP(A1260,'1. Inbound Leads'!A:G,7,FALSE)=0,"",VLOOKUP(A1260,'1. Inbound Leads'!A:G,7,FALSE)),""))</f>
        <v/>
      </c>
      <c r="D1260" s="387" t="str">
        <f>IF(A1260="","",IFERROR(IF(VLOOKUP(A1260,'1. Inbound Leads'!A:L,12,FALSE)=0,"",VLOOKUP(A1260,'1. Inbound Leads'!A:L,12,FALSE)),""))</f>
        <v/>
      </c>
      <c r="E1260" s="388"/>
      <c r="F1260" s="389"/>
      <c r="G1260" s="387"/>
      <c r="H1260" s="387"/>
      <c r="I1260" s="387"/>
      <c r="J1260" s="387"/>
      <c r="K1260" s="387"/>
      <c r="L1260" s="387"/>
      <c r="M1260" s="388"/>
      <c r="N1260" s="388"/>
      <c r="O1260" s="390"/>
      <c r="P1260" s="391"/>
      <c r="Q1260" s="389"/>
      <c r="R1260" s="390"/>
      <c r="S1260" s="390"/>
      <c r="T1260" s="391"/>
      <c r="U1260" s="392"/>
      <c r="V1260" s="391"/>
      <c r="W1260" s="391"/>
      <c r="X1260" s="388"/>
      <c r="Y1260" s="391"/>
      <c r="Z1260" s="393"/>
      <c r="AA1260" s="355" t="str">
        <f t="shared" si="1"/>
        <v/>
      </c>
      <c r="AB1260" s="391"/>
      <c r="AC1260" s="394" t="str">
        <f t="shared" si="2"/>
        <v/>
      </c>
      <c r="AD1260" s="389"/>
      <c r="AE1260" s="399"/>
      <c r="AF1260" s="395"/>
      <c r="AG1260" s="396" t="str">
        <f t="shared" si="3"/>
        <v/>
      </c>
      <c r="AH1260" s="396" t="str">
        <f t="shared" si="4"/>
        <v/>
      </c>
      <c r="AI1260" s="388"/>
      <c r="AJ1260" s="388"/>
      <c r="AK1260" s="397"/>
    </row>
    <row r="1261">
      <c r="A1261" s="398"/>
      <c r="B1261" s="386"/>
      <c r="C1261" s="387" t="str">
        <f>IF(A1261="","",IFERROR(IF(VLOOKUP(A1261,'1. Inbound Leads'!A:G,7,FALSE)=0,"",VLOOKUP(A1261,'1. Inbound Leads'!A:G,7,FALSE)),""))</f>
        <v/>
      </c>
      <c r="D1261" s="387" t="str">
        <f>IF(A1261="","",IFERROR(IF(VLOOKUP(A1261,'1. Inbound Leads'!A:L,12,FALSE)=0,"",VLOOKUP(A1261,'1. Inbound Leads'!A:L,12,FALSE)),""))</f>
        <v/>
      </c>
      <c r="E1261" s="388"/>
      <c r="F1261" s="389"/>
      <c r="G1261" s="387"/>
      <c r="H1261" s="387"/>
      <c r="I1261" s="387"/>
      <c r="J1261" s="387"/>
      <c r="K1261" s="387"/>
      <c r="L1261" s="387"/>
      <c r="M1261" s="388"/>
      <c r="N1261" s="388"/>
      <c r="O1261" s="390"/>
      <c r="P1261" s="391"/>
      <c r="Q1261" s="389"/>
      <c r="R1261" s="390"/>
      <c r="S1261" s="390"/>
      <c r="T1261" s="391"/>
      <c r="U1261" s="392"/>
      <c r="V1261" s="391"/>
      <c r="W1261" s="391"/>
      <c r="X1261" s="388"/>
      <c r="Y1261" s="391"/>
      <c r="Z1261" s="393"/>
      <c r="AA1261" s="355" t="str">
        <f t="shared" si="1"/>
        <v/>
      </c>
      <c r="AB1261" s="391"/>
      <c r="AC1261" s="394" t="str">
        <f t="shared" si="2"/>
        <v/>
      </c>
      <c r="AD1261" s="389"/>
      <c r="AE1261" s="399"/>
      <c r="AF1261" s="395"/>
      <c r="AG1261" s="396" t="str">
        <f t="shared" si="3"/>
        <v/>
      </c>
      <c r="AH1261" s="396" t="str">
        <f t="shared" si="4"/>
        <v/>
      </c>
      <c r="AI1261" s="388"/>
      <c r="AJ1261" s="388"/>
      <c r="AK1261" s="397"/>
    </row>
    <row r="1262">
      <c r="A1262" s="398"/>
      <c r="B1262" s="386"/>
      <c r="C1262" s="387" t="str">
        <f>IF(A1262="","",IFERROR(IF(VLOOKUP(A1262,'1. Inbound Leads'!A:G,7,FALSE)=0,"",VLOOKUP(A1262,'1. Inbound Leads'!A:G,7,FALSE)),""))</f>
        <v/>
      </c>
      <c r="D1262" s="387" t="str">
        <f>IF(A1262="","",IFERROR(IF(VLOOKUP(A1262,'1. Inbound Leads'!A:L,12,FALSE)=0,"",VLOOKUP(A1262,'1. Inbound Leads'!A:L,12,FALSE)),""))</f>
        <v/>
      </c>
      <c r="E1262" s="388"/>
      <c r="F1262" s="389"/>
      <c r="G1262" s="387"/>
      <c r="H1262" s="387"/>
      <c r="I1262" s="387"/>
      <c r="J1262" s="387"/>
      <c r="K1262" s="387"/>
      <c r="L1262" s="387"/>
      <c r="M1262" s="388"/>
      <c r="N1262" s="388"/>
      <c r="O1262" s="390"/>
      <c r="P1262" s="391"/>
      <c r="Q1262" s="389"/>
      <c r="R1262" s="390"/>
      <c r="S1262" s="390"/>
      <c r="T1262" s="391"/>
      <c r="U1262" s="392"/>
      <c r="V1262" s="391"/>
      <c r="W1262" s="391"/>
      <c r="X1262" s="388"/>
      <c r="Y1262" s="391"/>
      <c r="Z1262" s="393"/>
      <c r="AA1262" s="355" t="str">
        <f t="shared" si="1"/>
        <v/>
      </c>
      <c r="AB1262" s="391"/>
      <c r="AC1262" s="394" t="str">
        <f t="shared" si="2"/>
        <v/>
      </c>
      <c r="AD1262" s="389"/>
      <c r="AE1262" s="399"/>
      <c r="AF1262" s="395"/>
      <c r="AG1262" s="396" t="str">
        <f t="shared" si="3"/>
        <v/>
      </c>
      <c r="AH1262" s="396" t="str">
        <f t="shared" si="4"/>
        <v/>
      </c>
      <c r="AI1262" s="388"/>
      <c r="AJ1262" s="388"/>
      <c r="AK1262" s="397"/>
    </row>
    <row r="1263">
      <c r="A1263" s="398"/>
      <c r="B1263" s="386"/>
      <c r="C1263" s="387" t="str">
        <f>IF(A1263="","",IFERROR(IF(VLOOKUP(A1263,'1. Inbound Leads'!A:G,7,FALSE)=0,"",VLOOKUP(A1263,'1. Inbound Leads'!A:G,7,FALSE)),""))</f>
        <v/>
      </c>
      <c r="D1263" s="387" t="str">
        <f>IF(A1263="","",IFERROR(IF(VLOOKUP(A1263,'1. Inbound Leads'!A:L,12,FALSE)=0,"",VLOOKUP(A1263,'1. Inbound Leads'!A:L,12,FALSE)),""))</f>
        <v/>
      </c>
      <c r="E1263" s="388"/>
      <c r="F1263" s="389"/>
      <c r="G1263" s="387"/>
      <c r="H1263" s="387"/>
      <c r="I1263" s="387"/>
      <c r="J1263" s="387"/>
      <c r="K1263" s="387"/>
      <c r="L1263" s="387"/>
      <c r="M1263" s="388"/>
      <c r="N1263" s="388"/>
      <c r="O1263" s="390"/>
      <c r="P1263" s="391"/>
      <c r="Q1263" s="389"/>
      <c r="R1263" s="390"/>
      <c r="S1263" s="390"/>
      <c r="T1263" s="391"/>
      <c r="U1263" s="392"/>
      <c r="V1263" s="391"/>
      <c r="W1263" s="391"/>
      <c r="X1263" s="388"/>
      <c r="Y1263" s="391"/>
      <c r="Z1263" s="393"/>
      <c r="AA1263" s="355" t="str">
        <f t="shared" si="1"/>
        <v/>
      </c>
      <c r="AB1263" s="391"/>
      <c r="AC1263" s="394" t="str">
        <f t="shared" si="2"/>
        <v/>
      </c>
      <c r="AD1263" s="389"/>
      <c r="AE1263" s="399"/>
      <c r="AF1263" s="395"/>
      <c r="AG1263" s="396" t="str">
        <f t="shared" si="3"/>
        <v/>
      </c>
      <c r="AH1263" s="396" t="str">
        <f t="shared" si="4"/>
        <v/>
      </c>
      <c r="AI1263" s="388"/>
      <c r="AJ1263" s="388"/>
      <c r="AK1263" s="397"/>
    </row>
    <row r="1264">
      <c r="A1264" s="398"/>
      <c r="B1264" s="386"/>
      <c r="C1264" s="387" t="str">
        <f>IF(A1264="","",IFERROR(IF(VLOOKUP(A1264,'1. Inbound Leads'!A:G,7,FALSE)=0,"",VLOOKUP(A1264,'1. Inbound Leads'!A:G,7,FALSE)),""))</f>
        <v/>
      </c>
      <c r="D1264" s="387" t="str">
        <f>IF(A1264="","",IFERROR(IF(VLOOKUP(A1264,'1. Inbound Leads'!A:L,12,FALSE)=0,"",VLOOKUP(A1264,'1. Inbound Leads'!A:L,12,FALSE)),""))</f>
        <v/>
      </c>
      <c r="E1264" s="388"/>
      <c r="F1264" s="389"/>
      <c r="G1264" s="387"/>
      <c r="H1264" s="387"/>
      <c r="I1264" s="387"/>
      <c r="J1264" s="387"/>
      <c r="K1264" s="387"/>
      <c r="L1264" s="387"/>
      <c r="M1264" s="388"/>
      <c r="N1264" s="388"/>
      <c r="O1264" s="390"/>
      <c r="P1264" s="391"/>
      <c r="Q1264" s="389"/>
      <c r="R1264" s="390"/>
      <c r="S1264" s="390"/>
      <c r="T1264" s="391"/>
      <c r="U1264" s="392"/>
      <c r="V1264" s="391"/>
      <c r="W1264" s="391"/>
      <c r="X1264" s="388"/>
      <c r="Y1264" s="391"/>
      <c r="Z1264" s="393"/>
      <c r="AA1264" s="355" t="str">
        <f t="shared" si="1"/>
        <v/>
      </c>
      <c r="AB1264" s="391"/>
      <c r="AC1264" s="394" t="str">
        <f t="shared" si="2"/>
        <v/>
      </c>
      <c r="AD1264" s="389"/>
      <c r="AE1264" s="399"/>
      <c r="AF1264" s="395"/>
      <c r="AG1264" s="396" t="str">
        <f t="shared" si="3"/>
        <v/>
      </c>
      <c r="AH1264" s="396" t="str">
        <f t="shared" si="4"/>
        <v/>
      </c>
      <c r="AI1264" s="388"/>
      <c r="AJ1264" s="388"/>
      <c r="AK1264" s="397"/>
    </row>
    <row r="1265">
      <c r="A1265" s="398"/>
      <c r="B1265" s="386"/>
      <c r="C1265" s="387" t="str">
        <f>IF(A1265="","",IFERROR(IF(VLOOKUP(A1265,'1. Inbound Leads'!A:G,7,FALSE)=0,"",VLOOKUP(A1265,'1. Inbound Leads'!A:G,7,FALSE)),""))</f>
        <v/>
      </c>
      <c r="D1265" s="387" t="str">
        <f>IF(A1265="","",IFERROR(IF(VLOOKUP(A1265,'1. Inbound Leads'!A:L,12,FALSE)=0,"",VLOOKUP(A1265,'1. Inbound Leads'!A:L,12,FALSE)),""))</f>
        <v/>
      </c>
      <c r="E1265" s="388"/>
      <c r="F1265" s="389"/>
      <c r="G1265" s="387"/>
      <c r="H1265" s="387"/>
      <c r="I1265" s="387"/>
      <c r="J1265" s="387"/>
      <c r="K1265" s="387"/>
      <c r="L1265" s="387"/>
      <c r="M1265" s="388"/>
      <c r="N1265" s="388"/>
      <c r="O1265" s="390"/>
      <c r="P1265" s="391"/>
      <c r="Q1265" s="389"/>
      <c r="R1265" s="390"/>
      <c r="S1265" s="390"/>
      <c r="T1265" s="391"/>
      <c r="U1265" s="392"/>
      <c r="V1265" s="391"/>
      <c r="W1265" s="391"/>
      <c r="X1265" s="388"/>
      <c r="Y1265" s="391"/>
      <c r="Z1265" s="393"/>
      <c r="AA1265" s="355" t="str">
        <f t="shared" si="1"/>
        <v/>
      </c>
      <c r="AB1265" s="391"/>
      <c r="AC1265" s="394" t="str">
        <f t="shared" si="2"/>
        <v/>
      </c>
      <c r="AD1265" s="389"/>
      <c r="AE1265" s="399"/>
      <c r="AF1265" s="395"/>
      <c r="AG1265" s="396" t="str">
        <f t="shared" si="3"/>
        <v/>
      </c>
      <c r="AH1265" s="396" t="str">
        <f t="shared" si="4"/>
        <v/>
      </c>
      <c r="AI1265" s="388"/>
      <c r="AJ1265" s="388"/>
      <c r="AK1265" s="397"/>
    </row>
    <row r="1266">
      <c r="A1266" s="398"/>
      <c r="B1266" s="386"/>
      <c r="C1266" s="387" t="str">
        <f>IF(A1266="","",IFERROR(IF(VLOOKUP(A1266,'1. Inbound Leads'!A:G,7,FALSE)=0,"",VLOOKUP(A1266,'1. Inbound Leads'!A:G,7,FALSE)),""))</f>
        <v/>
      </c>
      <c r="D1266" s="387" t="str">
        <f>IF(A1266="","",IFERROR(IF(VLOOKUP(A1266,'1. Inbound Leads'!A:L,12,FALSE)=0,"",VLOOKUP(A1266,'1. Inbound Leads'!A:L,12,FALSE)),""))</f>
        <v/>
      </c>
      <c r="E1266" s="388"/>
      <c r="F1266" s="389"/>
      <c r="G1266" s="387"/>
      <c r="H1266" s="387"/>
      <c r="I1266" s="387"/>
      <c r="J1266" s="387"/>
      <c r="K1266" s="387"/>
      <c r="L1266" s="387"/>
      <c r="M1266" s="388"/>
      <c r="N1266" s="388"/>
      <c r="O1266" s="390"/>
      <c r="P1266" s="391"/>
      <c r="Q1266" s="389"/>
      <c r="R1266" s="390"/>
      <c r="S1266" s="390"/>
      <c r="T1266" s="391"/>
      <c r="U1266" s="392"/>
      <c r="V1266" s="391"/>
      <c r="W1266" s="391"/>
      <c r="X1266" s="388"/>
      <c r="Y1266" s="391"/>
      <c r="Z1266" s="393"/>
      <c r="AA1266" s="355" t="str">
        <f t="shared" si="1"/>
        <v/>
      </c>
      <c r="AB1266" s="391"/>
      <c r="AC1266" s="394" t="str">
        <f t="shared" si="2"/>
        <v/>
      </c>
      <c r="AD1266" s="389"/>
      <c r="AE1266" s="399"/>
      <c r="AF1266" s="395"/>
      <c r="AG1266" s="396" t="str">
        <f t="shared" si="3"/>
        <v/>
      </c>
      <c r="AH1266" s="396" t="str">
        <f t="shared" si="4"/>
        <v/>
      </c>
      <c r="AI1266" s="388"/>
      <c r="AJ1266" s="388"/>
      <c r="AK1266" s="397"/>
    </row>
    <row r="1267">
      <c r="A1267" s="398"/>
      <c r="B1267" s="386"/>
      <c r="C1267" s="387" t="str">
        <f>IF(A1267="","",IFERROR(IF(VLOOKUP(A1267,'1. Inbound Leads'!A:G,7,FALSE)=0,"",VLOOKUP(A1267,'1. Inbound Leads'!A:G,7,FALSE)),""))</f>
        <v/>
      </c>
      <c r="D1267" s="387" t="str">
        <f>IF(A1267="","",IFERROR(IF(VLOOKUP(A1267,'1. Inbound Leads'!A:L,12,FALSE)=0,"",VLOOKUP(A1267,'1. Inbound Leads'!A:L,12,FALSE)),""))</f>
        <v/>
      </c>
      <c r="E1267" s="388"/>
      <c r="F1267" s="389"/>
      <c r="G1267" s="387"/>
      <c r="H1267" s="387"/>
      <c r="I1267" s="387"/>
      <c r="J1267" s="387"/>
      <c r="K1267" s="387"/>
      <c r="L1267" s="387"/>
      <c r="M1267" s="388"/>
      <c r="N1267" s="388"/>
      <c r="O1267" s="390"/>
      <c r="P1267" s="391"/>
      <c r="Q1267" s="389"/>
      <c r="R1267" s="390"/>
      <c r="S1267" s="390"/>
      <c r="T1267" s="391"/>
      <c r="U1267" s="392"/>
      <c r="V1267" s="391"/>
      <c r="W1267" s="391"/>
      <c r="X1267" s="388"/>
      <c r="Y1267" s="391"/>
      <c r="Z1267" s="393"/>
      <c r="AA1267" s="355" t="str">
        <f t="shared" si="1"/>
        <v/>
      </c>
      <c r="AB1267" s="391"/>
      <c r="AC1267" s="394" t="str">
        <f t="shared" si="2"/>
        <v/>
      </c>
      <c r="AD1267" s="389"/>
      <c r="AE1267" s="399"/>
      <c r="AF1267" s="395"/>
      <c r="AG1267" s="396" t="str">
        <f t="shared" si="3"/>
        <v/>
      </c>
      <c r="AH1267" s="396" t="str">
        <f t="shared" si="4"/>
        <v/>
      </c>
      <c r="AI1267" s="388"/>
      <c r="AJ1267" s="388"/>
      <c r="AK1267" s="397"/>
    </row>
    <row r="1268">
      <c r="A1268" s="398"/>
      <c r="B1268" s="386"/>
      <c r="C1268" s="387" t="str">
        <f>IF(A1268="","",IFERROR(IF(VLOOKUP(A1268,'1. Inbound Leads'!A:G,7,FALSE)=0,"",VLOOKUP(A1268,'1. Inbound Leads'!A:G,7,FALSE)),""))</f>
        <v/>
      </c>
      <c r="D1268" s="387" t="str">
        <f>IF(A1268="","",IFERROR(IF(VLOOKUP(A1268,'1. Inbound Leads'!A:L,12,FALSE)=0,"",VLOOKUP(A1268,'1. Inbound Leads'!A:L,12,FALSE)),""))</f>
        <v/>
      </c>
      <c r="E1268" s="388"/>
      <c r="F1268" s="389"/>
      <c r="G1268" s="387"/>
      <c r="H1268" s="387"/>
      <c r="I1268" s="387"/>
      <c r="J1268" s="387"/>
      <c r="K1268" s="387"/>
      <c r="L1268" s="387"/>
      <c r="M1268" s="388"/>
      <c r="N1268" s="388"/>
      <c r="O1268" s="390"/>
      <c r="P1268" s="391"/>
      <c r="Q1268" s="389"/>
      <c r="R1268" s="390"/>
      <c r="S1268" s="390"/>
      <c r="T1268" s="391"/>
      <c r="U1268" s="392"/>
      <c r="V1268" s="391"/>
      <c r="W1268" s="391"/>
      <c r="X1268" s="388"/>
      <c r="Y1268" s="391"/>
      <c r="Z1268" s="393"/>
      <c r="AA1268" s="355" t="str">
        <f t="shared" si="1"/>
        <v/>
      </c>
      <c r="AB1268" s="391"/>
      <c r="AC1268" s="394" t="str">
        <f t="shared" si="2"/>
        <v/>
      </c>
      <c r="AD1268" s="389"/>
      <c r="AE1268" s="399"/>
      <c r="AF1268" s="395"/>
      <c r="AG1268" s="396" t="str">
        <f t="shared" si="3"/>
        <v/>
      </c>
      <c r="AH1268" s="396" t="str">
        <f t="shared" si="4"/>
        <v/>
      </c>
      <c r="AI1268" s="388"/>
      <c r="AJ1268" s="388"/>
      <c r="AK1268" s="397"/>
    </row>
    <row r="1269">
      <c r="A1269" s="398"/>
      <c r="B1269" s="386"/>
      <c r="C1269" s="387" t="str">
        <f>IF(A1269="","",IFERROR(IF(VLOOKUP(A1269,'1. Inbound Leads'!A:G,7,FALSE)=0,"",VLOOKUP(A1269,'1. Inbound Leads'!A:G,7,FALSE)),""))</f>
        <v/>
      </c>
      <c r="D1269" s="387" t="str">
        <f>IF(A1269="","",IFERROR(IF(VLOOKUP(A1269,'1. Inbound Leads'!A:L,12,FALSE)=0,"",VLOOKUP(A1269,'1. Inbound Leads'!A:L,12,FALSE)),""))</f>
        <v/>
      </c>
      <c r="E1269" s="388"/>
      <c r="F1269" s="389"/>
      <c r="G1269" s="387"/>
      <c r="H1269" s="387"/>
      <c r="I1269" s="387"/>
      <c r="J1269" s="387"/>
      <c r="K1269" s="387"/>
      <c r="L1269" s="387"/>
      <c r="M1269" s="388"/>
      <c r="N1269" s="388"/>
      <c r="O1269" s="390"/>
      <c r="P1269" s="391"/>
      <c r="Q1269" s="389"/>
      <c r="R1269" s="390"/>
      <c r="S1269" s="390"/>
      <c r="T1269" s="391"/>
      <c r="U1269" s="392"/>
      <c r="V1269" s="391"/>
      <c r="W1269" s="391"/>
      <c r="X1269" s="388"/>
      <c r="Y1269" s="391"/>
      <c r="Z1269" s="393"/>
      <c r="AA1269" s="355" t="str">
        <f t="shared" si="1"/>
        <v/>
      </c>
      <c r="AB1269" s="391"/>
      <c r="AC1269" s="394" t="str">
        <f t="shared" si="2"/>
        <v/>
      </c>
      <c r="AD1269" s="389"/>
      <c r="AE1269" s="399"/>
      <c r="AF1269" s="395"/>
      <c r="AG1269" s="396" t="str">
        <f t="shared" si="3"/>
        <v/>
      </c>
      <c r="AH1269" s="396" t="str">
        <f t="shared" si="4"/>
        <v/>
      </c>
      <c r="AI1269" s="388"/>
      <c r="AJ1269" s="388"/>
      <c r="AK1269" s="397"/>
    </row>
    <row r="1270">
      <c r="A1270" s="398"/>
      <c r="B1270" s="386"/>
      <c r="C1270" s="387" t="str">
        <f>IF(A1270="","",IFERROR(IF(VLOOKUP(A1270,'1. Inbound Leads'!A:G,7,FALSE)=0,"",VLOOKUP(A1270,'1. Inbound Leads'!A:G,7,FALSE)),""))</f>
        <v/>
      </c>
      <c r="D1270" s="387" t="str">
        <f>IF(A1270="","",IFERROR(IF(VLOOKUP(A1270,'1. Inbound Leads'!A:L,12,FALSE)=0,"",VLOOKUP(A1270,'1. Inbound Leads'!A:L,12,FALSE)),""))</f>
        <v/>
      </c>
      <c r="E1270" s="388"/>
      <c r="F1270" s="389"/>
      <c r="G1270" s="387"/>
      <c r="H1270" s="387"/>
      <c r="I1270" s="387"/>
      <c r="J1270" s="387"/>
      <c r="K1270" s="387"/>
      <c r="L1270" s="387"/>
      <c r="M1270" s="388"/>
      <c r="N1270" s="388"/>
      <c r="O1270" s="390"/>
      <c r="P1270" s="391"/>
      <c r="Q1270" s="389"/>
      <c r="R1270" s="390"/>
      <c r="S1270" s="390"/>
      <c r="T1270" s="391"/>
      <c r="U1270" s="392"/>
      <c r="V1270" s="391"/>
      <c r="W1270" s="391"/>
      <c r="X1270" s="388"/>
      <c r="Y1270" s="391"/>
      <c r="Z1270" s="393"/>
      <c r="AA1270" s="355" t="str">
        <f t="shared" si="1"/>
        <v/>
      </c>
      <c r="AB1270" s="391"/>
      <c r="AC1270" s="394" t="str">
        <f t="shared" si="2"/>
        <v/>
      </c>
      <c r="AD1270" s="389"/>
      <c r="AE1270" s="399"/>
      <c r="AF1270" s="395"/>
      <c r="AG1270" s="396" t="str">
        <f t="shared" si="3"/>
        <v/>
      </c>
      <c r="AH1270" s="396" t="str">
        <f t="shared" si="4"/>
        <v/>
      </c>
      <c r="AI1270" s="388"/>
      <c r="AJ1270" s="388"/>
      <c r="AK1270" s="397"/>
    </row>
    <row r="1271">
      <c r="A1271" s="398"/>
      <c r="B1271" s="386"/>
      <c r="C1271" s="387" t="str">
        <f>IF(A1271="","",IFERROR(IF(VLOOKUP(A1271,'1. Inbound Leads'!A:G,7,FALSE)=0,"",VLOOKUP(A1271,'1. Inbound Leads'!A:G,7,FALSE)),""))</f>
        <v/>
      </c>
      <c r="D1271" s="387" t="str">
        <f>IF(A1271="","",IFERROR(IF(VLOOKUP(A1271,'1. Inbound Leads'!A:L,12,FALSE)=0,"",VLOOKUP(A1271,'1. Inbound Leads'!A:L,12,FALSE)),""))</f>
        <v/>
      </c>
      <c r="E1271" s="388"/>
      <c r="F1271" s="389"/>
      <c r="G1271" s="387"/>
      <c r="H1271" s="387"/>
      <c r="I1271" s="387"/>
      <c r="J1271" s="387"/>
      <c r="K1271" s="387"/>
      <c r="L1271" s="387"/>
      <c r="M1271" s="388"/>
      <c r="N1271" s="388"/>
      <c r="O1271" s="390"/>
      <c r="P1271" s="391"/>
      <c r="Q1271" s="389"/>
      <c r="R1271" s="390"/>
      <c r="S1271" s="390"/>
      <c r="T1271" s="391"/>
      <c r="U1271" s="392"/>
      <c r="V1271" s="391"/>
      <c r="W1271" s="391"/>
      <c r="X1271" s="388"/>
      <c r="Y1271" s="391"/>
      <c r="Z1271" s="393"/>
      <c r="AA1271" s="355" t="str">
        <f t="shared" si="1"/>
        <v/>
      </c>
      <c r="AB1271" s="391"/>
      <c r="AC1271" s="394" t="str">
        <f t="shared" si="2"/>
        <v/>
      </c>
      <c r="AD1271" s="389"/>
      <c r="AE1271" s="399"/>
      <c r="AF1271" s="395"/>
      <c r="AG1271" s="396" t="str">
        <f t="shared" si="3"/>
        <v/>
      </c>
      <c r="AH1271" s="396" t="str">
        <f t="shared" si="4"/>
        <v/>
      </c>
      <c r="AI1271" s="388"/>
      <c r="AJ1271" s="388"/>
      <c r="AK1271" s="397"/>
    </row>
    <row r="1272">
      <c r="A1272" s="398"/>
      <c r="B1272" s="386"/>
      <c r="C1272" s="387" t="str">
        <f>IF(A1272="","",IFERROR(IF(VLOOKUP(A1272,'1. Inbound Leads'!A:G,7,FALSE)=0,"",VLOOKUP(A1272,'1. Inbound Leads'!A:G,7,FALSE)),""))</f>
        <v/>
      </c>
      <c r="D1272" s="387" t="str">
        <f>IF(A1272="","",IFERROR(IF(VLOOKUP(A1272,'1. Inbound Leads'!A:L,12,FALSE)=0,"",VLOOKUP(A1272,'1. Inbound Leads'!A:L,12,FALSE)),""))</f>
        <v/>
      </c>
      <c r="E1272" s="388"/>
      <c r="F1272" s="389"/>
      <c r="G1272" s="387"/>
      <c r="H1272" s="387"/>
      <c r="I1272" s="387"/>
      <c r="J1272" s="387"/>
      <c r="K1272" s="387"/>
      <c r="L1272" s="387"/>
      <c r="M1272" s="388"/>
      <c r="N1272" s="388"/>
      <c r="O1272" s="390"/>
      <c r="P1272" s="391"/>
      <c r="Q1272" s="389"/>
      <c r="R1272" s="390"/>
      <c r="S1272" s="390"/>
      <c r="T1272" s="391"/>
      <c r="U1272" s="392"/>
      <c r="V1272" s="391"/>
      <c r="W1272" s="391"/>
      <c r="X1272" s="388"/>
      <c r="Y1272" s="391"/>
      <c r="Z1272" s="393"/>
      <c r="AA1272" s="355" t="str">
        <f t="shared" si="1"/>
        <v/>
      </c>
      <c r="AB1272" s="391"/>
      <c r="AC1272" s="394" t="str">
        <f t="shared" si="2"/>
        <v/>
      </c>
      <c r="AD1272" s="389"/>
      <c r="AE1272" s="399"/>
      <c r="AF1272" s="395"/>
      <c r="AG1272" s="396" t="str">
        <f t="shared" si="3"/>
        <v/>
      </c>
      <c r="AH1272" s="396" t="str">
        <f t="shared" si="4"/>
        <v/>
      </c>
      <c r="AI1272" s="388"/>
      <c r="AJ1272" s="388"/>
      <c r="AK1272" s="397"/>
    </row>
    <row r="1273">
      <c r="A1273" s="398"/>
      <c r="B1273" s="386"/>
      <c r="C1273" s="387" t="str">
        <f>IF(A1273="","",IFERROR(IF(VLOOKUP(A1273,'1. Inbound Leads'!A:G,7,FALSE)=0,"",VLOOKUP(A1273,'1. Inbound Leads'!A:G,7,FALSE)),""))</f>
        <v/>
      </c>
      <c r="D1273" s="387" t="str">
        <f>IF(A1273="","",IFERROR(IF(VLOOKUP(A1273,'1. Inbound Leads'!A:L,12,FALSE)=0,"",VLOOKUP(A1273,'1. Inbound Leads'!A:L,12,FALSE)),""))</f>
        <v/>
      </c>
      <c r="E1273" s="388"/>
      <c r="F1273" s="389"/>
      <c r="G1273" s="387"/>
      <c r="H1273" s="387"/>
      <c r="I1273" s="387"/>
      <c r="J1273" s="387"/>
      <c r="K1273" s="387"/>
      <c r="L1273" s="387"/>
      <c r="M1273" s="388"/>
      <c r="N1273" s="388"/>
      <c r="O1273" s="390"/>
      <c r="P1273" s="391"/>
      <c r="Q1273" s="389"/>
      <c r="R1273" s="390"/>
      <c r="S1273" s="390"/>
      <c r="T1273" s="391"/>
      <c r="U1273" s="392"/>
      <c r="V1273" s="391"/>
      <c r="W1273" s="391"/>
      <c r="X1273" s="388"/>
      <c r="Y1273" s="391"/>
      <c r="Z1273" s="393"/>
      <c r="AA1273" s="355" t="str">
        <f t="shared" si="1"/>
        <v/>
      </c>
      <c r="AB1273" s="391"/>
      <c r="AC1273" s="394" t="str">
        <f t="shared" si="2"/>
        <v/>
      </c>
      <c r="AD1273" s="389"/>
      <c r="AE1273" s="399"/>
      <c r="AF1273" s="395"/>
      <c r="AG1273" s="396" t="str">
        <f t="shared" si="3"/>
        <v/>
      </c>
      <c r="AH1273" s="396" t="str">
        <f t="shared" si="4"/>
        <v/>
      </c>
      <c r="AI1273" s="388"/>
      <c r="AJ1273" s="388"/>
      <c r="AK1273" s="397"/>
    </row>
    <row r="1274">
      <c r="A1274" s="398"/>
      <c r="B1274" s="386"/>
      <c r="C1274" s="387" t="str">
        <f>IF(A1274="","",IFERROR(IF(VLOOKUP(A1274,'1. Inbound Leads'!A:G,7,FALSE)=0,"",VLOOKUP(A1274,'1. Inbound Leads'!A:G,7,FALSE)),""))</f>
        <v/>
      </c>
      <c r="D1274" s="387" t="str">
        <f>IF(A1274="","",IFERROR(IF(VLOOKUP(A1274,'1. Inbound Leads'!A:L,12,FALSE)=0,"",VLOOKUP(A1274,'1. Inbound Leads'!A:L,12,FALSE)),""))</f>
        <v/>
      </c>
      <c r="E1274" s="388"/>
      <c r="F1274" s="389"/>
      <c r="G1274" s="387"/>
      <c r="H1274" s="387"/>
      <c r="I1274" s="387"/>
      <c r="J1274" s="387"/>
      <c r="K1274" s="387"/>
      <c r="L1274" s="387"/>
      <c r="M1274" s="388"/>
      <c r="N1274" s="388"/>
      <c r="O1274" s="390"/>
      <c r="P1274" s="391"/>
      <c r="Q1274" s="389"/>
      <c r="R1274" s="390"/>
      <c r="S1274" s="390"/>
      <c r="T1274" s="391"/>
      <c r="U1274" s="392"/>
      <c r="V1274" s="391"/>
      <c r="W1274" s="391"/>
      <c r="X1274" s="388"/>
      <c r="Y1274" s="391"/>
      <c r="Z1274" s="393"/>
      <c r="AA1274" s="355" t="str">
        <f t="shared" si="1"/>
        <v/>
      </c>
      <c r="AB1274" s="391"/>
      <c r="AC1274" s="394" t="str">
        <f t="shared" si="2"/>
        <v/>
      </c>
      <c r="AD1274" s="389"/>
      <c r="AE1274" s="399"/>
      <c r="AF1274" s="395"/>
      <c r="AG1274" s="396" t="str">
        <f t="shared" si="3"/>
        <v/>
      </c>
      <c r="AH1274" s="396" t="str">
        <f t="shared" si="4"/>
        <v/>
      </c>
      <c r="AI1274" s="388"/>
      <c r="AJ1274" s="388"/>
      <c r="AK1274" s="397"/>
    </row>
    <row r="1275">
      <c r="A1275" s="398"/>
      <c r="B1275" s="386"/>
      <c r="C1275" s="387" t="str">
        <f>IF(A1275="","",IFERROR(IF(VLOOKUP(A1275,'1. Inbound Leads'!A:G,7,FALSE)=0,"",VLOOKUP(A1275,'1. Inbound Leads'!A:G,7,FALSE)),""))</f>
        <v/>
      </c>
      <c r="D1275" s="387" t="str">
        <f>IF(A1275="","",IFERROR(IF(VLOOKUP(A1275,'1. Inbound Leads'!A:L,12,FALSE)=0,"",VLOOKUP(A1275,'1. Inbound Leads'!A:L,12,FALSE)),""))</f>
        <v/>
      </c>
      <c r="E1275" s="388"/>
      <c r="F1275" s="389"/>
      <c r="G1275" s="387"/>
      <c r="H1275" s="387"/>
      <c r="I1275" s="387"/>
      <c r="J1275" s="387"/>
      <c r="K1275" s="387"/>
      <c r="L1275" s="387"/>
      <c r="M1275" s="388"/>
      <c r="N1275" s="388"/>
      <c r="O1275" s="390"/>
      <c r="P1275" s="391"/>
      <c r="Q1275" s="389"/>
      <c r="R1275" s="390"/>
      <c r="S1275" s="390"/>
      <c r="T1275" s="391"/>
      <c r="U1275" s="392"/>
      <c r="V1275" s="391"/>
      <c r="W1275" s="391"/>
      <c r="X1275" s="388"/>
      <c r="Y1275" s="391"/>
      <c r="Z1275" s="393"/>
      <c r="AA1275" s="355" t="str">
        <f t="shared" si="1"/>
        <v/>
      </c>
      <c r="AB1275" s="391"/>
      <c r="AC1275" s="394" t="str">
        <f t="shared" si="2"/>
        <v/>
      </c>
      <c r="AD1275" s="389"/>
      <c r="AE1275" s="399"/>
      <c r="AF1275" s="395"/>
      <c r="AG1275" s="396" t="str">
        <f t="shared" si="3"/>
        <v/>
      </c>
      <c r="AH1275" s="396" t="str">
        <f t="shared" si="4"/>
        <v/>
      </c>
      <c r="AI1275" s="388"/>
      <c r="AJ1275" s="388"/>
      <c r="AK1275" s="397"/>
    </row>
    <row r="1276">
      <c r="A1276" s="398"/>
      <c r="B1276" s="386"/>
      <c r="C1276" s="387" t="str">
        <f>IF(A1276="","",IFERROR(IF(VLOOKUP(A1276,'1. Inbound Leads'!A:G,7,FALSE)=0,"",VLOOKUP(A1276,'1. Inbound Leads'!A:G,7,FALSE)),""))</f>
        <v/>
      </c>
      <c r="D1276" s="387" t="str">
        <f>IF(A1276="","",IFERROR(IF(VLOOKUP(A1276,'1. Inbound Leads'!A:L,12,FALSE)=0,"",VLOOKUP(A1276,'1. Inbound Leads'!A:L,12,FALSE)),""))</f>
        <v/>
      </c>
      <c r="E1276" s="388"/>
      <c r="F1276" s="389"/>
      <c r="G1276" s="387"/>
      <c r="H1276" s="387"/>
      <c r="I1276" s="387"/>
      <c r="J1276" s="387"/>
      <c r="K1276" s="387"/>
      <c r="L1276" s="387"/>
      <c r="M1276" s="388"/>
      <c r="N1276" s="388"/>
      <c r="O1276" s="390"/>
      <c r="P1276" s="391"/>
      <c r="Q1276" s="389"/>
      <c r="R1276" s="390"/>
      <c r="S1276" s="390"/>
      <c r="T1276" s="391"/>
      <c r="U1276" s="392"/>
      <c r="V1276" s="391"/>
      <c r="W1276" s="391"/>
      <c r="X1276" s="388"/>
      <c r="Y1276" s="391"/>
      <c r="Z1276" s="393"/>
      <c r="AA1276" s="355" t="str">
        <f t="shared" si="1"/>
        <v/>
      </c>
      <c r="AB1276" s="391"/>
      <c r="AC1276" s="394" t="str">
        <f t="shared" si="2"/>
        <v/>
      </c>
      <c r="AD1276" s="389"/>
      <c r="AE1276" s="399"/>
      <c r="AF1276" s="395"/>
      <c r="AG1276" s="396" t="str">
        <f t="shared" si="3"/>
        <v/>
      </c>
      <c r="AH1276" s="396" t="str">
        <f t="shared" si="4"/>
        <v/>
      </c>
      <c r="AI1276" s="388"/>
      <c r="AJ1276" s="388"/>
      <c r="AK1276" s="397"/>
    </row>
    <row r="1277">
      <c r="A1277" s="398"/>
      <c r="B1277" s="386"/>
      <c r="C1277" s="387" t="str">
        <f>IF(A1277="","",IFERROR(IF(VLOOKUP(A1277,'1. Inbound Leads'!A:G,7,FALSE)=0,"",VLOOKUP(A1277,'1. Inbound Leads'!A:G,7,FALSE)),""))</f>
        <v/>
      </c>
      <c r="D1277" s="387" t="str">
        <f>IF(A1277="","",IFERROR(IF(VLOOKUP(A1277,'1. Inbound Leads'!A:L,12,FALSE)=0,"",VLOOKUP(A1277,'1. Inbound Leads'!A:L,12,FALSE)),""))</f>
        <v/>
      </c>
      <c r="E1277" s="388"/>
      <c r="F1277" s="389"/>
      <c r="G1277" s="387"/>
      <c r="H1277" s="387"/>
      <c r="I1277" s="387"/>
      <c r="J1277" s="387"/>
      <c r="K1277" s="387"/>
      <c r="L1277" s="387"/>
      <c r="M1277" s="388"/>
      <c r="N1277" s="388"/>
      <c r="O1277" s="390"/>
      <c r="P1277" s="391"/>
      <c r="Q1277" s="389"/>
      <c r="R1277" s="390"/>
      <c r="S1277" s="390"/>
      <c r="T1277" s="391"/>
      <c r="U1277" s="392"/>
      <c r="V1277" s="391"/>
      <c r="W1277" s="391"/>
      <c r="X1277" s="388"/>
      <c r="Y1277" s="391"/>
      <c r="Z1277" s="393"/>
      <c r="AA1277" s="355" t="str">
        <f t="shared" si="1"/>
        <v/>
      </c>
      <c r="AB1277" s="391"/>
      <c r="AC1277" s="394" t="str">
        <f t="shared" si="2"/>
        <v/>
      </c>
      <c r="AD1277" s="389"/>
      <c r="AE1277" s="399"/>
      <c r="AF1277" s="395"/>
      <c r="AG1277" s="396" t="str">
        <f t="shared" si="3"/>
        <v/>
      </c>
      <c r="AH1277" s="396" t="str">
        <f t="shared" si="4"/>
        <v/>
      </c>
      <c r="AI1277" s="388"/>
      <c r="AJ1277" s="388"/>
      <c r="AK1277" s="397"/>
    </row>
    <row r="1278">
      <c r="A1278" s="398"/>
      <c r="B1278" s="386"/>
      <c r="C1278" s="387" t="str">
        <f>IF(A1278="","",IFERROR(IF(VLOOKUP(A1278,'1. Inbound Leads'!A:G,7,FALSE)=0,"",VLOOKUP(A1278,'1. Inbound Leads'!A:G,7,FALSE)),""))</f>
        <v/>
      </c>
      <c r="D1278" s="387" t="str">
        <f>IF(A1278="","",IFERROR(IF(VLOOKUP(A1278,'1. Inbound Leads'!A:L,12,FALSE)=0,"",VLOOKUP(A1278,'1. Inbound Leads'!A:L,12,FALSE)),""))</f>
        <v/>
      </c>
      <c r="E1278" s="388"/>
      <c r="F1278" s="389"/>
      <c r="G1278" s="387"/>
      <c r="H1278" s="387"/>
      <c r="I1278" s="387"/>
      <c r="J1278" s="387"/>
      <c r="K1278" s="387"/>
      <c r="L1278" s="387"/>
      <c r="M1278" s="388"/>
      <c r="N1278" s="388"/>
      <c r="O1278" s="390"/>
      <c r="P1278" s="391"/>
      <c r="Q1278" s="389"/>
      <c r="R1278" s="390"/>
      <c r="S1278" s="390"/>
      <c r="T1278" s="391"/>
      <c r="U1278" s="392"/>
      <c r="V1278" s="391"/>
      <c r="W1278" s="391"/>
      <c r="X1278" s="388"/>
      <c r="Y1278" s="391"/>
      <c r="Z1278" s="393"/>
      <c r="AA1278" s="355" t="str">
        <f t="shared" si="1"/>
        <v/>
      </c>
      <c r="AB1278" s="391"/>
      <c r="AC1278" s="394" t="str">
        <f t="shared" si="2"/>
        <v/>
      </c>
      <c r="AD1278" s="389"/>
      <c r="AE1278" s="399"/>
      <c r="AF1278" s="395"/>
      <c r="AG1278" s="396" t="str">
        <f t="shared" si="3"/>
        <v/>
      </c>
      <c r="AH1278" s="396" t="str">
        <f t="shared" si="4"/>
        <v/>
      </c>
      <c r="AI1278" s="388"/>
      <c r="AJ1278" s="388"/>
      <c r="AK1278" s="397"/>
    </row>
    <row r="1279">
      <c r="A1279" s="398"/>
      <c r="B1279" s="386"/>
      <c r="C1279" s="387" t="str">
        <f>IF(A1279="","",IFERROR(IF(VLOOKUP(A1279,'1. Inbound Leads'!A:G,7,FALSE)=0,"",VLOOKUP(A1279,'1. Inbound Leads'!A:G,7,FALSE)),""))</f>
        <v/>
      </c>
      <c r="D1279" s="387" t="str">
        <f>IF(A1279="","",IFERROR(IF(VLOOKUP(A1279,'1. Inbound Leads'!A:L,12,FALSE)=0,"",VLOOKUP(A1279,'1. Inbound Leads'!A:L,12,FALSE)),""))</f>
        <v/>
      </c>
      <c r="E1279" s="388"/>
      <c r="F1279" s="389"/>
      <c r="G1279" s="387"/>
      <c r="H1279" s="387"/>
      <c r="I1279" s="387"/>
      <c r="J1279" s="387"/>
      <c r="K1279" s="387"/>
      <c r="L1279" s="387"/>
      <c r="M1279" s="388"/>
      <c r="N1279" s="388"/>
      <c r="O1279" s="390"/>
      <c r="P1279" s="391"/>
      <c r="Q1279" s="389"/>
      <c r="R1279" s="390"/>
      <c r="S1279" s="390"/>
      <c r="T1279" s="391"/>
      <c r="U1279" s="392"/>
      <c r="V1279" s="391"/>
      <c r="W1279" s="391"/>
      <c r="X1279" s="388"/>
      <c r="Y1279" s="391"/>
      <c r="Z1279" s="393"/>
      <c r="AA1279" s="355" t="str">
        <f t="shared" si="1"/>
        <v/>
      </c>
      <c r="AB1279" s="391"/>
      <c r="AC1279" s="394" t="str">
        <f t="shared" si="2"/>
        <v/>
      </c>
      <c r="AD1279" s="389"/>
      <c r="AE1279" s="399"/>
      <c r="AF1279" s="395"/>
      <c r="AG1279" s="396" t="str">
        <f t="shared" si="3"/>
        <v/>
      </c>
      <c r="AH1279" s="396" t="str">
        <f t="shared" si="4"/>
        <v/>
      </c>
      <c r="AI1279" s="388"/>
      <c r="AJ1279" s="388"/>
      <c r="AK1279" s="397"/>
    </row>
    <row r="1280">
      <c r="A1280" s="398"/>
      <c r="B1280" s="386"/>
      <c r="C1280" s="387" t="str">
        <f>IF(A1280="","",IFERROR(IF(VLOOKUP(A1280,'1. Inbound Leads'!A:G,7,FALSE)=0,"",VLOOKUP(A1280,'1. Inbound Leads'!A:G,7,FALSE)),""))</f>
        <v/>
      </c>
      <c r="D1280" s="387" t="str">
        <f>IF(A1280="","",IFERROR(IF(VLOOKUP(A1280,'1. Inbound Leads'!A:L,12,FALSE)=0,"",VLOOKUP(A1280,'1. Inbound Leads'!A:L,12,FALSE)),""))</f>
        <v/>
      </c>
      <c r="E1280" s="388"/>
      <c r="F1280" s="389"/>
      <c r="G1280" s="387"/>
      <c r="H1280" s="387"/>
      <c r="I1280" s="387"/>
      <c r="J1280" s="387"/>
      <c r="K1280" s="387"/>
      <c r="L1280" s="387"/>
      <c r="M1280" s="388"/>
      <c r="N1280" s="388"/>
      <c r="O1280" s="390"/>
      <c r="P1280" s="391"/>
      <c r="Q1280" s="389"/>
      <c r="R1280" s="390"/>
      <c r="S1280" s="390"/>
      <c r="T1280" s="391"/>
      <c r="U1280" s="392"/>
      <c r="V1280" s="391"/>
      <c r="W1280" s="391"/>
      <c r="X1280" s="388"/>
      <c r="Y1280" s="391"/>
      <c r="Z1280" s="393"/>
      <c r="AA1280" s="355" t="str">
        <f t="shared" si="1"/>
        <v/>
      </c>
      <c r="AB1280" s="391"/>
      <c r="AC1280" s="394" t="str">
        <f t="shared" si="2"/>
        <v/>
      </c>
      <c r="AD1280" s="389"/>
      <c r="AE1280" s="399"/>
      <c r="AF1280" s="395"/>
      <c r="AG1280" s="396" t="str">
        <f t="shared" si="3"/>
        <v/>
      </c>
      <c r="AH1280" s="396" t="str">
        <f t="shared" si="4"/>
        <v/>
      </c>
      <c r="AI1280" s="388"/>
      <c r="AJ1280" s="388"/>
      <c r="AK1280" s="397"/>
    </row>
    <row r="1281">
      <c r="A1281" s="398"/>
      <c r="B1281" s="386"/>
      <c r="C1281" s="387" t="str">
        <f>IF(A1281="","",IFERROR(IF(VLOOKUP(A1281,'1. Inbound Leads'!A:G,7,FALSE)=0,"",VLOOKUP(A1281,'1. Inbound Leads'!A:G,7,FALSE)),""))</f>
        <v/>
      </c>
      <c r="D1281" s="387" t="str">
        <f>IF(A1281="","",IFERROR(IF(VLOOKUP(A1281,'1. Inbound Leads'!A:L,12,FALSE)=0,"",VLOOKUP(A1281,'1. Inbound Leads'!A:L,12,FALSE)),""))</f>
        <v/>
      </c>
      <c r="E1281" s="388"/>
      <c r="F1281" s="389"/>
      <c r="G1281" s="387"/>
      <c r="H1281" s="387"/>
      <c r="I1281" s="387"/>
      <c r="J1281" s="387"/>
      <c r="K1281" s="387"/>
      <c r="L1281" s="387"/>
      <c r="M1281" s="388"/>
      <c r="N1281" s="388"/>
      <c r="O1281" s="390"/>
      <c r="P1281" s="391"/>
      <c r="Q1281" s="389"/>
      <c r="R1281" s="390"/>
      <c r="S1281" s="390"/>
      <c r="T1281" s="391"/>
      <c r="U1281" s="392"/>
      <c r="V1281" s="391"/>
      <c r="W1281" s="391"/>
      <c r="X1281" s="388"/>
      <c r="Y1281" s="391"/>
      <c r="Z1281" s="393"/>
      <c r="AA1281" s="355" t="str">
        <f t="shared" si="1"/>
        <v/>
      </c>
      <c r="AB1281" s="391"/>
      <c r="AC1281" s="394" t="str">
        <f t="shared" si="2"/>
        <v/>
      </c>
      <c r="AD1281" s="389"/>
      <c r="AE1281" s="399"/>
      <c r="AF1281" s="395"/>
      <c r="AG1281" s="396" t="str">
        <f t="shared" si="3"/>
        <v/>
      </c>
      <c r="AH1281" s="396" t="str">
        <f t="shared" si="4"/>
        <v/>
      </c>
      <c r="AI1281" s="388"/>
      <c r="AJ1281" s="388"/>
      <c r="AK1281" s="397"/>
    </row>
    <row r="1282">
      <c r="A1282" s="398"/>
      <c r="B1282" s="386"/>
      <c r="C1282" s="387" t="str">
        <f>IF(A1282="","",IFERROR(IF(VLOOKUP(A1282,'1. Inbound Leads'!A:G,7,FALSE)=0,"",VLOOKUP(A1282,'1. Inbound Leads'!A:G,7,FALSE)),""))</f>
        <v/>
      </c>
      <c r="D1282" s="387" t="str">
        <f>IF(A1282="","",IFERROR(IF(VLOOKUP(A1282,'1. Inbound Leads'!A:L,12,FALSE)=0,"",VLOOKUP(A1282,'1. Inbound Leads'!A:L,12,FALSE)),""))</f>
        <v/>
      </c>
      <c r="E1282" s="388"/>
      <c r="F1282" s="389"/>
      <c r="G1282" s="387"/>
      <c r="H1282" s="387"/>
      <c r="I1282" s="387"/>
      <c r="J1282" s="387"/>
      <c r="K1282" s="387"/>
      <c r="L1282" s="387"/>
      <c r="M1282" s="388"/>
      <c r="N1282" s="388"/>
      <c r="O1282" s="390"/>
      <c r="P1282" s="391"/>
      <c r="Q1282" s="389"/>
      <c r="R1282" s="390"/>
      <c r="S1282" s="390"/>
      <c r="T1282" s="391"/>
      <c r="U1282" s="392"/>
      <c r="V1282" s="391"/>
      <c r="W1282" s="391"/>
      <c r="X1282" s="388"/>
      <c r="Y1282" s="391"/>
      <c r="Z1282" s="393"/>
      <c r="AA1282" s="355" t="str">
        <f t="shared" si="1"/>
        <v/>
      </c>
      <c r="AB1282" s="391"/>
      <c r="AC1282" s="394" t="str">
        <f t="shared" si="2"/>
        <v/>
      </c>
      <c r="AD1282" s="389"/>
      <c r="AE1282" s="399"/>
      <c r="AF1282" s="395"/>
      <c r="AG1282" s="396" t="str">
        <f t="shared" si="3"/>
        <v/>
      </c>
      <c r="AH1282" s="396" t="str">
        <f t="shared" si="4"/>
        <v/>
      </c>
      <c r="AI1282" s="388"/>
      <c r="AJ1282" s="388"/>
      <c r="AK1282" s="397"/>
    </row>
    <row r="1283">
      <c r="A1283" s="398"/>
      <c r="B1283" s="386"/>
      <c r="C1283" s="387" t="str">
        <f>IF(A1283="","",IFERROR(IF(VLOOKUP(A1283,'1. Inbound Leads'!A:G,7,FALSE)=0,"",VLOOKUP(A1283,'1. Inbound Leads'!A:G,7,FALSE)),""))</f>
        <v/>
      </c>
      <c r="D1283" s="387" t="str">
        <f>IF(A1283="","",IFERROR(IF(VLOOKUP(A1283,'1. Inbound Leads'!A:L,12,FALSE)=0,"",VLOOKUP(A1283,'1. Inbound Leads'!A:L,12,FALSE)),""))</f>
        <v/>
      </c>
      <c r="E1283" s="388"/>
      <c r="F1283" s="389"/>
      <c r="G1283" s="387"/>
      <c r="H1283" s="387"/>
      <c r="I1283" s="387"/>
      <c r="J1283" s="387"/>
      <c r="K1283" s="387"/>
      <c r="L1283" s="387"/>
      <c r="M1283" s="388"/>
      <c r="N1283" s="388"/>
      <c r="O1283" s="390"/>
      <c r="P1283" s="391"/>
      <c r="Q1283" s="389"/>
      <c r="R1283" s="390"/>
      <c r="S1283" s="390"/>
      <c r="T1283" s="391"/>
      <c r="U1283" s="392"/>
      <c r="V1283" s="391"/>
      <c r="W1283" s="391"/>
      <c r="X1283" s="388"/>
      <c r="Y1283" s="391"/>
      <c r="Z1283" s="393"/>
      <c r="AA1283" s="355" t="str">
        <f t="shared" si="1"/>
        <v/>
      </c>
      <c r="AB1283" s="391"/>
      <c r="AC1283" s="394" t="str">
        <f t="shared" si="2"/>
        <v/>
      </c>
      <c r="AD1283" s="389"/>
      <c r="AE1283" s="399"/>
      <c r="AF1283" s="395"/>
      <c r="AG1283" s="396" t="str">
        <f t="shared" si="3"/>
        <v/>
      </c>
      <c r="AH1283" s="396" t="str">
        <f t="shared" si="4"/>
        <v/>
      </c>
      <c r="AI1283" s="388"/>
      <c r="AJ1283" s="388"/>
      <c r="AK1283" s="397"/>
    </row>
    <row r="1284">
      <c r="A1284" s="398"/>
      <c r="B1284" s="386"/>
      <c r="C1284" s="387" t="str">
        <f>IF(A1284="","",IFERROR(IF(VLOOKUP(A1284,'1. Inbound Leads'!A:G,7,FALSE)=0,"",VLOOKUP(A1284,'1. Inbound Leads'!A:G,7,FALSE)),""))</f>
        <v/>
      </c>
      <c r="D1284" s="387" t="str">
        <f>IF(A1284="","",IFERROR(IF(VLOOKUP(A1284,'1. Inbound Leads'!A:L,12,FALSE)=0,"",VLOOKUP(A1284,'1. Inbound Leads'!A:L,12,FALSE)),""))</f>
        <v/>
      </c>
      <c r="E1284" s="388"/>
      <c r="F1284" s="389"/>
      <c r="G1284" s="387"/>
      <c r="H1284" s="387"/>
      <c r="I1284" s="387"/>
      <c r="J1284" s="387"/>
      <c r="K1284" s="387"/>
      <c r="L1284" s="387"/>
      <c r="M1284" s="388"/>
      <c r="N1284" s="388"/>
      <c r="O1284" s="390"/>
      <c r="P1284" s="391"/>
      <c r="Q1284" s="389"/>
      <c r="R1284" s="390"/>
      <c r="S1284" s="390"/>
      <c r="T1284" s="391"/>
      <c r="U1284" s="392"/>
      <c r="V1284" s="391"/>
      <c r="W1284" s="391"/>
      <c r="X1284" s="388"/>
      <c r="Y1284" s="391"/>
      <c r="Z1284" s="393"/>
      <c r="AA1284" s="355" t="str">
        <f t="shared" si="1"/>
        <v/>
      </c>
      <c r="AB1284" s="391"/>
      <c r="AC1284" s="394" t="str">
        <f t="shared" si="2"/>
        <v/>
      </c>
      <c r="AD1284" s="389"/>
      <c r="AE1284" s="399"/>
      <c r="AF1284" s="395"/>
      <c r="AG1284" s="396" t="str">
        <f t="shared" si="3"/>
        <v/>
      </c>
      <c r="AH1284" s="396" t="str">
        <f t="shared" si="4"/>
        <v/>
      </c>
      <c r="AI1284" s="388"/>
      <c r="AJ1284" s="388"/>
      <c r="AK1284" s="397"/>
    </row>
    <row r="1285">
      <c r="A1285" s="398"/>
      <c r="B1285" s="386"/>
      <c r="C1285" s="387" t="str">
        <f>IF(A1285="","",IFERROR(IF(VLOOKUP(A1285,'1. Inbound Leads'!A:G,7,FALSE)=0,"",VLOOKUP(A1285,'1. Inbound Leads'!A:G,7,FALSE)),""))</f>
        <v/>
      </c>
      <c r="D1285" s="387" t="str">
        <f>IF(A1285="","",IFERROR(IF(VLOOKUP(A1285,'1. Inbound Leads'!A:L,12,FALSE)=0,"",VLOOKUP(A1285,'1. Inbound Leads'!A:L,12,FALSE)),""))</f>
        <v/>
      </c>
      <c r="E1285" s="388"/>
      <c r="F1285" s="389"/>
      <c r="G1285" s="387"/>
      <c r="H1285" s="387"/>
      <c r="I1285" s="387"/>
      <c r="J1285" s="387"/>
      <c r="K1285" s="387"/>
      <c r="L1285" s="387"/>
      <c r="M1285" s="388"/>
      <c r="N1285" s="388"/>
      <c r="O1285" s="390"/>
      <c r="P1285" s="391"/>
      <c r="Q1285" s="389"/>
      <c r="R1285" s="390"/>
      <c r="S1285" s="390"/>
      <c r="T1285" s="391"/>
      <c r="U1285" s="392"/>
      <c r="V1285" s="391"/>
      <c r="W1285" s="391"/>
      <c r="X1285" s="388"/>
      <c r="Y1285" s="391"/>
      <c r="Z1285" s="393"/>
      <c r="AA1285" s="355" t="str">
        <f t="shared" si="1"/>
        <v/>
      </c>
      <c r="AB1285" s="391"/>
      <c r="AC1285" s="394" t="str">
        <f t="shared" si="2"/>
        <v/>
      </c>
      <c r="AD1285" s="389"/>
      <c r="AE1285" s="399"/>
      <c r="AF1285" s="395"/>
      <c r="AG1285" s="396" t="str">
        <f t="shared" si="3"/>
        <v/>
      </c>
      <c r="AH1285" s="396" t="str">
        <f t="shared" si="4"/>
        <v/>
      </c>
      <c r="AI1285" s="388"/>
      <c r="AJ1285" s="388"/>
      <c r="AK1285" s="397"/>
    </row>
    <row r="1286">
      <c r="A1286" s="398"/>
      <c r="B1286" s="386"/>
      <c r="C1286" s="387" t="str">
        <f>IF(A1286="","",IFERROR(IF(VLOOKUP(A1286,'1. Inbound Leads'!A:G,7,FALSE)=0,"",VLOOKUP(A1286,'1. Inbound Leads'!A:G,7,FALSE)),""))</f>
        <v/>
      </c>
      <c r="D1286" s="387" t="str">
        <f>IF(A1286="","",IFERROR(IF(VLOOKUP(A1286,'1. Inbound Leads'!A:L,12,FALSE)=0,"",VLOOKUP(A1286,'1. Inbound Leads'!A:L,12,FALSE)),""))</f>
        <v/>
      </c>
      <c r="E1286" s="388"/>
      <c r="F1286" s="389"/>
      <c r="G1286" s="387"/>
      <c r="H1286" s="387"/>
      <c r="I1286" s="387"/>
      <c r="J1286" s="387"/>
      <c r="K1286" s="387"/>
      <c r="L1286" s="387"/>
      <c r="M1286" s="388"/>
      <c r="N1286" s="388"/>
      <c r="O1286" s="390"/>
      <c r="P1286" s="391"/>
      <c r="Q1286" s="389"/>
      <c r="R1286" s="390"/>
      <c r="S1286" s="390"/>
      <c r="T1286" s="391"/>
      <c r="U1286" s="392"/>
      <c r="V1286" s="391"/>
      <c r="W1286" s="391"/>
      <c r="X1286" s="388"/>
      <c r="Y1286" s="391"/>
      <c r="Z1286" s="393"/>
      <c r="AA1286" s="355" t="str">
        <f t="shared" si="1"/>
        <v/>
      </c>
      <c r="AB1286" s="391"/>
      <c r="AC1286" s="394" t="str">
        <f t="shared" si="2"/>
        <v/>
      </c>
      <c r="AD1286" s="389"/>
      <c r="AE1286" s="399"/>
      <c r="AF1286" s="395"/>
      <c r="AG1286" s="396" t="str">
        <f t="shared" si="3"/>
        <v/>
      </c>
      <c r="AH1286" s="396" t="str">
        <f t="shared" si="4"/>
        <v/>
      </c>
      <c r="AI1286" s="388"/>
      <c r="AJ1286" s="388"/>
      <c r="AK1286" s="397"/>
    </row>
    <row r="1287">
      <c r="A1287" s="398"/>
      <c r="B1287" s="386"/>
      <c r="C1287" s="387" t="str">
        <f>IF(A1287="","",IFERROR(IF(VLOOKUP(A1287,'1. Inbound Leads'!A:G,7,FALSE)=0,"",VLOOKUP(A1287,'1. Inbound Leads'!A:G,7,FALSE)),""))</f>
        <v/>
      </c>
      <c r="D1287" s="387" t="str">
        <f>IF(A1287="","",IFERROR(IF(VLOOKUP(A1287,'1. Inbound Leads'!A:L,12,FALSE)=0,"",VLOOKUP(A1287,'1. Inbound Leads'!A:L,12,FALSE)),""))</f>
        <v/>
      </c>
      <c r="E1287" s="388"/>
      <c r="F1287" s="389"/>
      <c r="G1287" s="387"/>
      <c r="H1287" s="387"/>
      <c r="I1287" s="387"/>
      <c r="J1287" s="387"/>
      <c r="K1287" s="387"/>
      <c r="L1287" s="387"/>
      <c r="M1287" s="388"/>
      <c r="N1287" s="388"/>
      <c r="O1287" s="390"/>
      <c r="P1287" s="391"/>
      <c r="Q1287" s="389"/>
      <c r="R1287" s="390"/>
      <c r="S1287" s="390"/>
      <c r="T1287" s="391"/>
      <c r="U1287" s="392"/>
      <c r="V1287" s="391"/>
      <c r="W1287" s="391"/>
      <c r="X1287" s="388"/>
      <c r="Y1287" s="391"/>
      <c r="Z1287" s="393"/>
      <c r="AA1287" s="355" t="str">
        <f t="shared" si="1"/>
        <v/>
      </c>
      <c r="AB1287" s="391"/>
      <c r="AC1287" s="394" t="str">
        <f t="shared" si="2"/>
        <v/>
      </c>
      <c r="AD1287" s="389"/>
      <c r="AE1287" s="399"/>
      <c r="AF1287" s="395"/>
      <c r="AG1287" s="396" t="str">
        <f t="shared" si="3"/>
        <v/>
      </c>
      <c r="AH1287" s="396" t="str">
        <f t="shared" si="4"/>
        <v/>
      </c>
      <c r="AI1287" s="388"/>
      <c r="AJ1287" s="388"/>
      <c r="AK1287" s="397"/>
    </row>
    <row r="1288">
      <c r="A1288" s="398"/>
      <c r="B1288" s="386"/>
      <c r="C1288" s="387" t="str">
        <f>IF(A1288="","",IFERROR(IF(VLOOKUP(A1288,'1. Inbound Leads'!A:G,7,FALSE)=0,"",VLOOKUP(A1288,'1. Inbound Leads'!A:G,7,FALSE)),""))</f>
        <v/>
      </c>
      <c r="D1288" s="387" t="str">
        <f>IF(A1288="","",IFERROR(IF(VLOOKUP(A1288,'1. Inbound Leads'!A:L,12,FALSE)=0,"",VLOOKUP(A1288,'1. Inbound Leads'!A:L,12,FALSE)),""))</f>
        <v/>
      </c>
      <c r="E1288" s="388"/>
      <c r="F1288" s="389"/>
      <c r="G1288" s="387"/>
      <c r="H1288" s="387"/>
      <c r="I1288" s="387"/>
      <c r="J1288" s="387"/>
      <c r="K1288" s="387"/>
      <c r="L1288" s="387"/>
      <c r="M1288" s="388"/>
      <c r="N1288" s="388"/>
      <c r="O1288" s="390"/>
      <c r="P1288" s="391"/>
      <c r="Q1288" s="389"/>
      <c r="R1288" s="390"/>
      <c r="S1288" s="390"/>
      <c r="T1288" s="391"/>
      <c r="U1288" s="392"/>
      <c r="V1288" s="391"/>
      <c r="W1288" s="391"/>
      <c r="X1288" s="388"/>
      <c r="Y1288" s="391"/>
      <c r="Z1288" s="393"/>
      <c r="AA1288" s="355" t="str">
        <f t="shared" si="1"/>
        <v/>
      </c>
      <c r="AB1288" s="391"/>
      <c r="AC1288" s="394" t="str">
        <f t="shared" si="2"/>
        <v/>
      </c>
      <c r="AD1288" s="389"/>
      <c r="AE1288" s="399"/>
      <c r="AF1288" s="395"/>
      <c r="AG1288" s="396" t="str">
        <f t="shared" si="3"/>
        <v/>
      </c>
      <c r="AH1288" s="396" t="str">
        <f t="shared" si="4"/>
        <v/>
      </c>
      <c r="AI1288" s="388"/>
      <c r="AJ1288" s="388"/>
      <c r="AK1288" s="397"/>
    </row>
    <row r="1289">
      <c r="A1289" s="398"/>
      <c r="B1289" s="386"/>
      <c r="C1289" s="387" t="str">
        <f>IF(A1289="","",IFERROR(IF(VLOOKUP(A1289,'1. Inbound Leads'!A:G,7,FALSE)=0,"",VLOOKUP(A1289,'1. Inbound Leads'!A:G,7,FALSE)),""))</f>
        <v/>
      </c>
      <c r="D1289" s="387" t="str">
        <f>IF(A1289="","",IFERROR(IF(VLOOKUP(A1289,'1. Inbound Leads'!A:L,12,FALSE)=0,"",VLOOKUP(A1289,'1. Inbound Leads'!A:L,12,FALSE)),""))</f>
        <v/>
      </c>
      <c r="E1289" s="388"/>
      <c r="F1289" s="389"/>
      <c r="G1289" s="387"/>
      <c r="H1289" s="387"/>
      <c r="I1289" s="387"/>
      <c r="J1289" s="387"/>
      <c r="K1289" s="387"/>
      <c r="L1289" s="387"/>
      <c r="M1289" s="388"/>
      <c r="N1289" s="388"/>
      <c r="O1289" s="390"/>
      <c r="P1289" s="391"/>
      <c r="Q1289" s="389"/>
      <c r="R1289" s="390"/>
      <c r="S1289" s="390"/>
      <c r="T1289" s="391"/>
      <c r="U1289" s="392"/>
      <c r="V1289" s="391"/>
      <c r="W1289" s="391"/>
      <c r="X1289" s="388"/>
      <c r="Y1289" s="391"/>
      <c r="Z1289" s="393"/>
      <c r="AA1289" s="355" t="str">
        <f t="shared" si="1"/>
        <v/>
      </c>
      <c r="AB1289" s="391"/>
      <c r="AC1289" s="394" t="str">
        <f t="shared" si="2"/>
        <v/>
      </c>
      <c r="AD1289" s="389"/>
      <c r="AE1289" s="399"/>
      <c r="AF1289" s="395"/>
      <c r="AG1289" s="396" t="str">
        <f t="shared" si="3"/>
        <v/>
      </c>
      <c r="AH1289" s="396" t="str">
        <f t="shared" si="4"/>
        <v/>
      </c>
      <c r="AI1289" s="388"/>
      <c r="AJ1289" s="388"/>
      <c r="AK1289" s="397"/>
    </row>
    <row r="1290">
      <c r="A1290" s="398"/>
      <c r="B1290" s="386"/>
      <c r="C1290" s="387" t="str">
        <f>IF(A1290="","",IFERROR(IF(VLOOKUP(A1290,'1. Inbound Leads'!A:G,7,FALSE)=0,"",VLOOKUP(A1290,'1. Inbound Leads'!A:G,7,FALSE)),""))</f>
        <v/>
      </c>
      <c r="D1290" s="387" t="str">
        <f>IF(A1290="","",IFERROR(IF(VLOOKUP(A1290,'1. Inbound Leads'!A:L,12,FALSE)=0,"",VLOOKUP(A1290,'1. Inbound Leads'!A:L,12,FALSE)),""))</f>
        <v/>
      </c>
      <c r="E1290" s="388"/>
      <c r="F1290" s="389"/>
      <c r="G1290" s="387"/>
      <c r="H1290" s="387"/>
      <c r="I1290" s="387"/>
      <c r="J1290" s="387"/>
      <c r="K1290" s="387"/>
      <c r="L1290" s="387"/>
      <c r="M1290" s="388"/>
      <c r="N1290" s="388"/>
      <c r="O1290" s="390"/>
      <c r="P1290" s="391"/>
      <c r="Q1290" s="389"/>
      <c r="R1290" s="390"/>
      <c r="S1290" s="390"/>
      <c r="T1290" s="391"/>
      <c r="U1290" s="392"/>
      <c r="V1290" s="391"/>
      <c r="W1290" s="391"/>
      <c r="X1290" s="388"/>
      <c r="Y1290" s="391"/>
      <c r="Z1290" s="393"/>
      <c r="AA1290" s="355" t="str">
        <f t="shared" si="1"/>
        <v/>
      </c>
      <c r="AB1290" s="391"/>
      <c r="AC1290" s="394" t="str">
        <f t="shared" si="2"/>
        <v/>
      </c>
      <c r="AD1290" s="389"/>
      <c r="AE1290" s="399"/>
      <c r="AF1290" s="395"/>
      <c r="AG1290" s="396" t="str">
        <f t="shared" si="3"/>
        <v/>
      </c>
      <c r="AH1290" s="396" t="str">
        <f t="shared" si="4"/>
        <v/>
      </c>
      <c r="AI1290" s="388"/>
      <c r="AJ1290" s="388"/>
      <c r="AK1290" s="397"/>
    </row>
    <row r="1291">
      <c r="A1291" s="398"/>
      <c r="B1291" s="386"/>
      <c r="C1291" s="387" t="str">
        <f>IF(A1291="","",IFERROR(IF(VLOOKUP(A1291,'1. Inbound Leads'!A:G,7,FALSE)=0,"",VLOOKUP(A1291,'1. Inbound Leads'!A:G,7,FALSE)),""))</f>
        <v/>
      </c>
      <c r="D1291" s="387" t="str">
        <f>IF(A1291="","",IFERROR(IF(VLOOKUP(A1291,'1. Inbound Leads'!A:L,12,FALSE)=0,"",VLOOKUP(A1291,'1. Inbound Leads'!A:L,12,FALSE)),""))</f>
        <v/>
      </c>
      <c r="E1291" s="388"/>
      <c r="F1291" s="389"/>
      <c r="G1291" s="387"/>
      <c r="H1291" s="387"/>
      <c r="I1291" s="387"/>
      <c r="J1291" s="387"/>
      <c r="K1291" s="387"/>
      <c r="L1291" s="387"/>
      <c r="M1291" s="388"/>
      <c r="N1291" s="388"/>
      <c r="O1291" s="390"/>
      <c r="P1291" s="391"/>
      <c r="Q1291" s="389"/>
      <c r="R1291" s="390"/>
      <c r="S1291" s="390"/>
      <c r="T1291" s="391"/>
      <c r="U1291" s="392"/>
      <c r="V1291" s="391"/>
      <c r="W1291" s="391"/>
      <c r="X1291" s="388"/>
      <c r="Y1291" s="391"/>
      <c r="Z1291" s="393"/>
      <c r="AA1291" s="355" t="str">
        <f t="shared" si="1"/>
        <v/>
      </c>
      <c r="AB1291" s="391"/>
      <c r="AC1291" s="394" t="str">
        <f t="shared" si="2"/>
        <v/>
      </c>
      <c r="AD1291" s="389"/>
      <c r="AE1291" s="399"/>
      <c r="AF1291" s="395"/>
      <c r="AG1291" s="396" t="str">
        <f t="shared" si="3"/>
        <v/>
      </c>
      <c r="AH1291" s="396" t="str">
        <f t="shared" si="4"/>
        <v/>
      </c>
      <c r="AI1291" s="388"/>
      <c r="AJ1291" s="388"/>
      <c r="AK1291" s="397"/>
    </row>
    <row r="1292">
      <c r="A1292" s="398"/>
      <c r="B1292" s="386"/>
      <c r="C1292" s="387" t="str">
        <f>IF(A1292="","",IFERROR(IF(VLOOKUP(A1292,'1. Inbound Leads'!A:G,7,FALSE)=0,"",VLOOKUP(A1292,'1. Inbound Leads'!A:G,7,FALSE)),""))</f>
        <v/>
      </c>
      <c r="D1292" s="387" t="str">
        <f>IF(A1292="","",IFERROR(IF(VLOOKUP(A1292,'1. Inbound Leads'!A:L,12,FALSE)=0,"",VLOOKUP(A1292,'1. Inbound Leads'!A:L,12,FALSE)),""))</f>
        <v/>
      </c>
      <c r="E1292" s="388"/>
      <c r="F1292" s="389"/>
      <c r="G1292" s="387"/>
      <c r="H1292" s="387"/>
      <c r="I1292" s="387"/>
      <c r="J1292" s="387"/>
      <c r="K1292" s="387"/>
      <c r="L1292" s="387"/>
      <c r="M1292" s="388"/>
      <c r="N1292" s="388"/>
      <c r="O1292" s="390"/>
      <c r="P1292" s="391"/>
      <c r="Q1292" s="389"/>
      <c r="R1292" s="390"/>
      <c r="S1292" s="390"/>
      <c r="T1292" s="391"/>
      <c r="U1292" s="392"/>
      <c r="V1292" s="391"/>
      <c r="W1292" s="391"/>
      <c r="X1292" s="388"/>
      <c r="Y1292" s="391"/>
      <c r="Z1292" s="393"/>
      <c r="AA1292" s="355" t="str">
        <f t="shared" si="1"/>
        <v/>
      </c>
      <c r="AB1292" s="391"/>
      <c r="AC1292" s="394" t="str">
        <f t="shared" si="2"/>
        <v/>
      </c>
      <c r="AD1292" s="389"/>
      <c r="AE1292" s="399"/>
      <c r="AF1292" s="395"/>
      <c r="AG1292" s="396" t="str">
        <f t="shared" si="3"/>
        <v/>
      </c>
      <c r="AH1292" s="396" t="str">
        <f t="shared" si="4"/>
        <v/>
      </c>
      <c r="AI1292" s="388"/>
      <c r="AJ1292" s="388"/>
      <c r="AK1292" s="397"/>
    </row>
    <row r="1293">
      <c r="A1293" s="398"/>
      <c r="B1293" s="386"/>
      <c r="C1293" s="387" t="str">
        <f>IF(A1293="","",IFERROR(IF(VLOOKUP(A1293,'1. Inbound Leads'!A:G,7,FALSE)=0,"",VLOOKUP(A1293,'1. Inbound Leads'!A:G,7,FALSE)),""))</f>
        <v/>
      </c>
      <c r="D1293" s="387" t="str">
        <f>IF(A1293="","",IFERROR(IF(VLOOKUP(A1293,'1. Inbound Leads'!A:L,12,FALSE)=0,"",VLOOKUP(A1293,'1. Inbound Leads'!A:L,12,FALSE)),""))</f>
        <v/>
      </c>
      <c r="E1293" s="388"/>
      <c r="F1293" s="389"/>
      <c r="G1293" s="387"/>
      <c r="H1293" s="387"/>
      <c r="I1293" s="387"/>
      <c r="J1293" s="387"/>
      <c r="K1293" s="387"/>
      <c r="L1293" s="387"/>
      <c r="M1293" s="388"/>
      <c r="N1293" s="388"/>
      <c r="O1293" s="390"/>
      <c r="P1293" s="391"/>
      <c r="Q1293" s="389"/>
      <c r="R1293" s="390"/>
      <c r="S1293" s="390"/>
      <c r="T1293" s="391"/>
      <c r="U1293" s="392"/>
      <c r="V1293" s="391"/>
      <c r="W1293" s="391"/>
      <c r="X1293" s="388"/>
      <c r="Y1293" s="391"/>
      <c r="Z1293" s="393"/>
      <c r="AA1293" s="355" t="str">
        <f t="shared" si="1"/>
        <v/>
      </c>
      <c r="AB1293" s="391"/>
      <c r="AC1293" s="394" t="str">
        <f t="shared" si="2"/>
        <v/>
      </c>
      <c r="AD1293" s="389"/>
      <c r="AE1293" s="399"/>
      <c r="AF1293" s="395"/>
      <c r="AG1293" s="396" t="str">
        <f t="shared" si="3"/>
        <v/>
      </c>
      <c r="AH1293" s="396" t="str">
        <f t="shared" si="4"/>
        <v/>
      </c>
      <c r="AI1293" s="388"/>
      <c r="AJ1293" s="388"/>
      <c r="AK1293" s="397"/>
    </row>
    <row r="1294">
      <c r="A1294" s="398"/>
      <c r="B1294" s="386"/>
      <c r="C1294" s="387" t="str">
        <f>IF(A1294="","",IFERROR(IF(VLOOKUP(A1294,'1. Inbound Leads'!A:G,7,FALSE)=0,"",VLOOKUP(A1294,'1. Inbound Leads'!A:G,7,FALSE)),""))</f>
        <v/>
      </c>
      <c r="D1294" s="387" t="str">
        <f>IF(A1294="","",IFERROR(IF(VLOOKUP(A1294,'1. Inbound Leads'!A:L,12,FALSE)=0,"",VLOOKUP(A1294,'1. Inbound Leads'!A:L,12,FALSE)),""))</f>
        <v/>
      </c>
      <c r="E1294" s="388"/>
      <c r="F1294" s="389"/>
      <c r="G1294" s="387"/>
      <c r="H1294" s="387"/>
      <c r="I1294" s="387"/>
      <c r="J1294" s="387"/>
      <c r="K1294" s="387"/>
      <c r="L1294" s="387"/>
      <c r="M1294" s="388"/>
      <c r="N1294" s="388"/>
      <c r="O1294" s="390"/>
      <c r="P1294" s="391"/>
      <c r="Q1294" s="389"/>
      <c r="R1294" s="390"/>
      <c r="S1294" s="390"/>
      <c r="T1294" s="391"/>
      <c r="U1294" s="392"/>
      <c r="V1294" s="391"/>
      <c r="W1294" s="391"/>
      <c r="X1294" s="388"/>
      <c r="Y1294" s="391"/>
      <c r="Z1294" s="393"/>
      <c r="AA1294" s="355" t="str">
        <f t="shared" si="1"/>
        <v/>
      </c>
      <c r="AB1294" s="391"/>
      <c r="AC1294" s="394" t="str">
        <f t="shared" si="2"/>
        <v/>
      </c>
      <c r="AD1294" s="389"/>
      <c r="AE1294" s="399"/>
      <c r="AF1294" s="395"/>
      <c r="AG1294" s="396" t="str">
        <f t="shared" si="3"/>
        <v/>
      </c>
      <c r="AH1294" s="396" t="str">
        <f t="shared" si="4"/>
        <v/>
      </c>
      <c r="AI1294" s="388"/>
      <c r="AJ1294" s="388"/>
      <c r="AK1294" s="397"/>
    </row>
    <row r="1295">
      <c r="A1295" s="398"/>
      <c r="B1295" s="386"/>
      <c r="C1295" s="387" t="str">
        <f>IF(A1295="","",IFERROR(IF(VLOOKUP(A1295,'1. Inbound Leads'!A:G,7,FALSE)=0,"",VLOOKUP(A1295,'1. Inbound Leads'!A:G,7,FALSE)),""))</f>
        <v/>
      </c>
      <c r="D1295" s="387" t="str">
        <f>IF(A1295="","",IFERROR(IF(VLOOKUP(A1295,'1. Inbound Leads'!A:L,12,FALSE)=0,"",VLOOKUP(A1295,'1. Inbound Leads'!A:L,12,FALSE)),""))</f>
        <v/>
      </c>
      <c r="E1295" s="388"/>
      <c r="F1295" s="389"/>
      <c r="G1295" s="387"/>
      <c r="H1295" s="387"/>
      <c r="I1295" s="387"/>
      <c r="J1295" s="387"/>
      <c r="K1295" s="387"/>
      <c r="L1295" s="387"/>
      <c r="M1295" s="388"/>
      <c r="N1295" s="388"/>
      <c r="O1295" s="390"/>
      <c r="P1295" s="391"/>
      <c r="Q1295" s="389"/>
      <c r="R1295" s="390"/>
      <c r="S1295" s="390"/>
      <c r="T1295" s="391"/>
      <c r="U1295" s="392"/>
      <c r="V1295" s="391"/>
      <c r="W1295" s="391"/>
      <c r="X1295" s="388"/>
      <c r="Y1295" s="391"/>
      <c r="Z1295" s="393"/>
      <c r="AA1295" s="355" t="str">
        <f t="shared" si="1"/>
        <v/>
      </c>
      <c r="AB1295" s="391"/>
      <c r="AC1295" s="394" t="str">
        <f t="shared" si="2"/>
        <v/>
      </c>
      <c r="AD1295" s="389"/>
      <c r="AE1295" s="399"/>
      <c r="AF1295" s="395"/>
      <c r="AG1295" s="396" t="str">
        <f t="shared" si="3"/>
        <v/>
      </c>
      <c r="AH1295" s="396" t="str">
        <f t="shared" si="4"/>
        <v/>
      </c>
      <c r="AI1295" s="388"/>
      <c r="AJ1295" s="388"/>
      <c r="AK1295" s="397"/>
    </row>
    <row r="1296">
      <c r="A1296" s="398"/>
      <c r="B1296" s="386"/>
      <c r="C1296" s="387" t="str">
        <f>IF(A1296="","",IFERROR(IF(VLOOKUP(A1296,'1. Inbound Leads'!A:G,7,FALSE)=0,"",VLOOKUP(A1296,'1. Inbound Leads'!A:G,7,FALSE)),""))</f>
        <v/>
      </c>
      <c r="D1296" s="387" t="str">
        <f>IF(A1296="","",IFERROR(IF(VLOOKUP(A1296,'1. Inbound Leads'!A:L,12,FALSE)=0,"",VLOOKUP(A1296,'1. Inbound Leads'!A:L,12,FALSE)),""))</f>
        <v/>
      </c>
      <c r="E1296" s="388"/>
      <c r="F1296" s="389"/>
      <c r="G1296" s="387"/>
      <c r="H1296" s="387"/>
      <c r="I1296" s="387"/>
      <c r="J1296" s="387"/>
      <c r="K1296" s="387"/>
      <c r="L1296" s="387"/>
      <c r="M1296" s="388"/>
      <c r="N1296" s="388"/>
      <c r="O1296" s="390"/>
      <c r="P1296" s="391"/>
      <c r="Q1296" s="389"/>
      <c r="R1296" s="390"/>
      <c r="S1296" s="390"/>
      <c r="T1296" s="391"/>
      <c r="U1296" s="392"/>
      <c r="V1296" s="391"/>
      <c r="W1296" s="391"/>
      <c r="X1296" s="388"/>
      <c r="Y1296" s="391"/>
      <c r="Z1296" s="393"/>
      <c r="AA1296" s="355" t="str">
        <f t="shared" si="1"/>
        <v/>
      </c>
      <c r="AB1296" s="391"/>
      <c r="AC1296" s="394" t="str">
        <f t="shared" si="2"/>
        <v/>
      </c>
      <c r="AD1296" s="389"/>
      <c r="AE1296" s="399"/>
      <c r="AF1296" s="395"/>
      <c r="AG1296" s="396" t="str">
        <f t="shared" si="3"/>
        <v/>
      </c>
      <c r="AH1296" s="396" t="str">
        <f t="shared" si="4"/>
        <v/>
      </c>
      <c r="AI1296" s="388"/>
      <c r="AJ1296" s="388"/>
      <c r="AK1296" s="397"/>
    </row>
    <row r="1297">
      <c r="A1297" s="398"/>
      <c r="B1297" s="386"/>
      <c r="C1297" s="387" t="str">
        <f>IF(A1297="","",IFERROR(IF(VLOOKUP(A1297,'1. Inbound Leads'!A:G,7,FALSE)=0,"",VLOOKUP(A1297,'1. Inbound Leads'!A:G,7,FALSE)),""))</f>
        <v/>
      </c>
      <c r="D1297" s="387" t="str">
        <f>IF(A1297="","",IFERROR(IF(VLOOKUP(A1297,'1. Inbound Leads'!A:L,12,FALSE)=0,"",VLOOKUP(A1297,'1. Inbound Leads'!A:L,12,FALSE)),""))</f>
        <v/>
      </c>
      <c r="E1297" s="388"/>
      <c r="F1297" s="389"/>
      <c r="G1297" s="387"/>
      <c r="H1297" s="387"/>
      <c r="I1297" s="387"/>
      <c r="J1297" s="387"/>
      <c r="K1297" s="387"/>
      <c r="L1297" s="387"/>
      <c r="M1297" s="388"/>
      <c r="N1297" s="388"/>
      <c r="O1297" s="390"/>
      <c r="P1297" s="391"/>
      <c r="Q1297" s="389"/>
      <c r="R1297" s="390"/>
      <c r="S1297" s="390"/>
      <c r="T1297" s="391"/>
      <c r="U1297" s="392"/>
      <c r="V1297" s="391"/>
      <c r="W1297" s="391"/>
      <c r="X1297" s="388"/>
      <c r="Y1297" s="391"/>
      <c r="Z1297" s="393"/>
      <c r="AA1297" s="355" t="str">
        <f t="shared" si="1"/>
        <v/>
      </c>
      <c r="AB1297" s="391"/>
      <c r="AC1297" s="394" t="str">
        <f t="shared" si="2"/>
        <v/>
      </c>
      <c r="AD1297" s="389"/>
      <c r="AE1297" s="399"/>
      <c r="AF1297" s="395"/>
      <c r="AG1297" s="396" t="str">
        <f t="shared" si="3"/>
        <v/>
      </c>
      <c r="AH1297" s="396" t="str">
        <f t="shared" si="4"/>
        <v/>
      </c>
      <c r="AI1297" s="388"/>
      <c r="AJ1297" s="388"/>
      <c r="AK1297" s="397"/>
    </row>
    <row r="1298">
      <c r="A1298" s="398"/>
      <c r="B1298" s="386"/>
      <c r="C1298" s="387" t="str">
        <f>IF(A1298="","",IFERROR(IF(VLOOKUP(A1298,'1. Inbound Leads'!A:G,7,FALSE)=0,"",VLOOKUP(A1298,'1. Inbound Leads'!A:G,7,FALSE)),""))</f>
        <v/>
      </c>
      <c r="D1298" s="387" t="str">
        <f>IF(A1298="","",IFERROR(IF(VLOOKUP(A1298,'1. Inbound Leads'!A:L,12,FALSE)=0,"",VLOOKUP(A1298,'1. Inbound Leads'!A:L,12,FALSE)),""))</f>
        <v/>
      </c>
      <c r="E1298" s="388"/>
      <c r="F1298" s="389"/>
      <c r="G1298" s="387"/>
      <c r="H1298" s="387"/>
      <c r="I1298" s="387"/>
      <c r="J1298" s="387"/>
      <c r="K1298" s="387"/>
      <c r="L1298" s="387"/>
      <c r="M1298" s="388"/>
      <c r="N1298" s="388"/>
      <c r="O1298" s="390"/>
      <c r="P1298" s="391"/>
      <c r="Q1298" s="389"/>
      <c r="R1298" s="390"/>
      <c r="S1298" s="390"/>
      <c r="T1298" s="391"/>
      <c r="U1298" s="392"/>
      <c r="V1298" s="391"/>
      <c r="W1298" s="391"/>
      <c r="X1298" s="388"/>
      <c r="Y1298" s="391"/>
      <c r="Z1298" s="393"/>
      <c r="AA1298" s="355" t="str">
        <f t="shared" si="1"/>
        <v/>
      </c>
      <c r="AB1298" s="391"/>
      <c r="AC1298" s="394" t="str">
        <f t="shared" si="2"/>
        <v/>
      </c>
      <c r="AD1298" s="389"/>
      <c r="AE1298" s="399"/>
      <c r="AF1298" s="395"/>
      <c r="AG1298" s="396" t="str">
        <f t="shared" si="3"/>
        <v/>
      </c>
      <c r="AH1298" s="396" t="str">
        <f t="shared" si="4"/>
        <v/>
      </c>
      <c r="AI1298" s="388"/>
      <c r="AJ1298" s="388"/>
      <c r="AK1298" s="397"/>
    </row>
    <row r="1299">
      <c r="A1299" s="398"/>
      <c r="B1299" s="386"/>
      <c r="C1299" s="387" t="str">
        <f>IF(A1299="","",IFERROR(IF(VLOOKUP(A1299,'1. Inbound Leads'!A:G,7,FALSE)=0,"",VLOOKUP(A1299,'1. Inbound Leads'!A:G,7,FALSE)),""))</f>
        <v/>
      </c>
      <c r="D1299" s="387" t="str">
        <f>IF(A1299="","",IFERROR(IF(VLOOKUP(A1299,'1. Inbound Leads'!A:L,12,FALSE)=0,"",VLOOKUP(A1299,'1. Inbound Leads'!A:L,12,FALSE)),""))</f>
        <v/>
      </c>
      <c r="E1299" s="388"/>
      <c r="F1299" s="389"/>
      <c r="G1299" s="387"/>
      <c r="H1299" s="387"/>
      <c r="I1299" s="387"/>
      <c r="J1299" s="387"/>
      <c r="K1299" s="387"/>
      <c r="L1299" s="387"/>
      <c r="M1299" s="388"/>
      <c r="N1299" s="388"/>
      <c r="O1299" s="390"/>
      <c r="P1299" s="391"/>
      <c r="Q1299" s="389"/>
      <c r="R1299" s="390"/>
      <c r="S1299" s="390"/>
      <c r="T1299" s="391"/>
      <c r="U1299" s="392"/>
      <c r="V1299" s="391"/>
      <c r="W1299" s="391"/>
      <c r="X1299" s="388"/>
      <c r="Y1299" s="391"/>
      <c r="Z1299" s="393"/>
      <c r="AA1299" s="355" t="str">
        <f t="shared" si="1"/>
        <v/>
      </c>
      <c r="AB1299" s="391"/>
      <c r="AC1299" s="394" t="str">
        <f t="shared" si="2"/>
        <v/>
      </c>
      <c r="AD1299" s="389"/>
      <c r="AE1299" s="399"/>
      <c r="AF1299" s="395"/>
      <c r="AG1299" s="396" t="str">
        <f t="shared" si="3"/>
        <v/>
      </c>
      <c r="AH1299" s="396" t="str">
        <f t="shared" si="4"/>
        <v/>
      </c>
      <c r="AI1299" s="388"/>
      <c r="AJ1299" s="388"/>
      <c r="AK1299" s="397"/>
    </row>
    <row r="1300">
      <c r="A1300" s="398"/>
      <c r="B1300" s="386"/>
      <c r="C1300" s="387" t="str">
        <f>IF(A1300="","",IFERROR(IF(VLOOKUP(A1300,'1. Inbound Leads'!A:G,7,FALSE)=0,"",VLOOKUP(A1300,'1. Inbound Leads'!A:G,7,FALSE)),""))</f>
        <v/>
      </c>
      <c r="D1300" s="387" t="str">
        <f>IF(A1300="","",IFERROR(IF(VLOOKUP(A1300,'1. Inbound Leads'!A:L,12,FALSE)=0,"",VLOOKUP(A1300,'1. Inbound Leads'!A:L,12,FALSE)),""))</f>
        <v/>
      </c>
      <c r="E1300" s="388"/>
      <c r="F1300" s="389"/>
      <c r="G1300" s="387"/>
      <c r="H1300" s="387"/>
      <c r="I1300" s="387"/>
      <c r="J1300" s="387"/>
      <c r="K1300" s="387"/>
      <c r="L1300" s="387"/>
      <c r="M1300" s="388"/>
      <c r="N1300" s="388"/>
      <c r="O1300" s="390"/>
      <c r="P1300" s="391"/>
      <c r="Q1300" s="389"/>
      <c r="R1300" s="390"/>
      <c r="S1300" s="390"/>
      <c r="T1300" s="391"/>
      <c r="U1300" s="392"/>
      <c r="V1300" s="391"/>
      <c r="W1300" s="391"/>
      <c r="X1300" s="388"/>
      <c r="Y1300" s="391"/>
      <c r="Z1300" s="393"/>
      <c r="AA1300" s="355" t="str">
        <f t="shared" si="1"/>
        <v/>
      </c>
      <c r="AB1300" s="391"/>
      <c r="AC1300" s="394" t="str">
        <f t="shared" si="2"/>
        <v/>
      </c>
      <c r="AD1300" s="389"/>
      <c r="AE1300" s="399"/>
      <c r="AF1300" s="395"/>
      <c r="AG1300" s="396" t="str">
        <f t="shared" si="3"/>
        <v/>
      </c>
      <c r="AH1300" s="396" t="str">
        <f t="shared" si="4"/>
        <v/>
      </c>
      <c r="AI1300" s="388"/>
      <c r="AJ1300" s="388"/>
      <c r="AK1300" s="397"/>
    </row>
    <row r="1301">
      <c r="A1301" s="398"/>
      <c r="B1301" s="386"/>
      <c r="C1301" s="387" t="str">
        <f>IF(A1301="","",IFERROR(IF(VLOOKUP(A1301,'1. Inbound Leads'!A:G,7,FALSE)=0,"",VLOOKUP(A1301,'1. Inbound Leads'!A:G,7,FALSE)),""))</f>
        <v/>
      </c>
      <c r="D1301" s="387" t="str">
        <f>IF(A1301="","",IFERROR(IF(VLOOKUP(A1301,'1. Inbound Leads'!A:L,12,FALSE)=0,"",VLOOKUP(A1301,'1. Inbound Leads'!A:L,12,FALSE)),""))</f>
        <v/>
      </c>
      <c r="E1301" s="388"/>
      <c r="F1301" s="389"/>
      <c r="G1301" s="387"/>
      <c r="H1301" s="387"/>
      <c r="I1301" s="387"/>
      <c r="J1301" s="387"/>
      <c r="K1301" s="387"/>
      <c r="L1301" s="387"/>
      <c r="M1301" s="388"/>
      <c r="N1301" s="388"/>
      <c r="O1301" s="390"/>
      <c r="P1301" s="391"/>
      <c r="Q1301" s="389"/>
      <c r="R1301" s="390"/>
      <c r="S1301" s="390"/>
      <c r="T1301" s="391"/>
      <c r="U1301" s="392"/>
      <c r="V1301" s="391"/>
      <c r="W1301" s="391"/>
      <c r="X1301" s="388"/>
      <c r="Y1301" s="391"/>
      <c r="Z1301" s="393"/>
      <c r="AA1301" s="355" t="str">
        <f t="shared" si="1"/>
        <v/>
      </c>
      <c r="AB1301" s="391"/>
      <c r="AC1301" s="394" t="str">
        <f t="shared" si="2"/>
        <v/>
      </c>
      <c r="AD1301" s="389"/>
      <c r="AE1301" s="399"/>
      <c r="AF1301" s="395"/>
      <c r="AG1301" s="396" t="str">
        <f t="shared" si="3"/>
        <v/>
      </c>
      <c r="AH1301" s="396" t="str">
        <f t="shared" si="4"/>
        <v/>
      </c>
      <c r="AI1301" s="388"/>
      <c r="AJ1301" s="388"/>
      <c r="AK1301" s="397"/>
    </row>
    <row r="1302">
      <c r="A1302" s="398"/>
      <c r="B1302" s="386"/>
      <c r="C1302" s="387" t="str">
        <f>IF(A1302="","",IFERROR(IF(VLOOKUP(A1302,'1. Inbound Leads'!A:G,7,FALSE)=0,"",VLOOKUP(A1302,'1. Inbound Leads'!A:G,7,FALSE)),""))</f>
        <v/>
      </c>
      <c r="D1302" s="387" t="str">
        <f>IF(A1302="","",IFERROR(IF(VLOOKUP(A1302,'1. Inbound Leads'!A:L,12,FALSE)=0,"",VLOOKUP(A1302,'1. Inbound Leads'!A:L,12,FALSE)),""))</f>
        <v/>
      </c>
      <c r="E1302" s="388"/>
      <c r="F1302" s="389"/>
      <c r="G1302" s="387"/>
      <c r="H1302" s="387"/>
      <c r="I1302" s="387"/>
      <c r="J1302" s="387"/>
      <c r="K1302" s="387"/>
      <c r="L1302" s="387"/>
      <c r="M1302" s="388"/>
      <c r="N1302" s="388"/>
      <c r="O1302" s="390"/>
      <c r="P1302" s="391"/>
      <c r="Q1302" s="389"/>
      <c r="R1302" s="390"/>
      <c r="S1302" s="390"/>
      <c r="T1302" s="391"/>
      <c r="U1302" s="392"/>
      <c r="V1302" s="391"/>
      <c r="W1302" s="391"/>
      <c r="X1302" s="388"/>
      <c r="Y1302" s="391"/>
      <c r="Z1302" s="393"/>
      <c r="AA1302" s="355" t="str">
        <f t="shared" si="1"/>
        <v/>
      </c>
      <c r="AB1302" s="391"/>
      <c r="AC1302" s="394" t="str">
        <f t="shared" si="2"/>
        <v/>
      </c>
      <c r="AD1302" s="389"/>
      <c r="AE1302" s="399"/>
      <c r="AF1302" s="395"/>
      <c r="AG1302" s="396" t="str">
        <f t="shared" si="3"/>
        <v/>
      </c>
      <c r="AH1302" s="396" t="str">
        <f t="shared" si="4"/>
        <v/>
      </c>
      <c r="AI1302" s="388"/>
      <c r="AJ1302" s="388"/>
      <c r="AK1302" s="397"/>
    </row>
    <row r="1303">
      <c r="A1303" s="398"/>
      <c r="B1303" s="386"/>
      <c r="C1303" s="387" t="str">
        <f>IF(A1303="","",IFERROR(IF(VLOOKUP(A1303,'1. Inbound Leads'!A:G,7,FALSE)=0,"",VLOOKUP(A1303,'1. Inbound Leads'!A:G,7,FALSE)),""))</f>
        <v/>
      </c>
      <c r="D1303" s="387" t="str">
        <f>IF(A1303="","",IFERROR(IF(VLOOKUP(A1303,'1. Inbound Leads'!A:L,12,FALSE)=0,"",VLOOKUP(A1303,'1. Inbound Leads'!A:L,12,FALSE)),""))</f>
        <v/>
      </c>
      <c r="E1303" s="388"/>
      <c r="F1303" s="389"/>
      <c r="G1303" s="387"/>
      <c r="H1303" s="387"/>
      <c r="I1303" s="387"/>
      <c r="J1303" s="387"/>
      <c r="K1303" s="387"/>
      <c r="L1303" s="387"/>
      <c r="M1303" s="388"/>
      <c r="N1303" s="388"/>
      <c r="O1303" s="390"/>
      <c r="P1303" s="391"/>
      <c r="Q1303" s="389"/>
      <c r="R1303" s="390"/>
      <c r="S1303" s="390"/>
      <c r="T1303" s="391"/>
      <c r="U1303" s="392"/>
      <c r="V1303" s="391"/>
      <c r="W1303" s="391"/>
      <c r="X1303" s="388"/>
      <c r="Y1303" s="391"/>
      <c r="Z1303" s="393"/>
      <c r="AA1303" s="355" t="str">
        <f t="shared" si="1"/>
        <v/>
      </c>
      <c r="AB1303" s="391"/>
      <c r="AC1303" s="394" t="str">
        <f t="shared" si="2"/>
        <v/>
      </c>
      <c r="AD1303" s="389"/>
      <c r="AE1303" s="399"/>
      <c r="AF1303" s="395"/>
      <c r="AG1303" s="396" t="str">
        <f t="shared" si="3"/>
        <v/>
      </c>
      <c r="AH1303" s="396" t="str">
        <f t="shared" si="4"/>
        <v/>
      </c>
      <c r="AI1303" s="388"/>
      <c r="AJ1303" s="388"/>
      <c r="AK1303" s="397"/>
    </row>
    <row r="1304">
      <c r="A1304" s="398"/>
      <c r="B1304" s="386"/>
      <c r="C1304" s="387" t="str">
        <f>IF(A1304="","",IFERROR(IF(VLOOKUP(A1304,'1. Inbound Leads'!A:G,7,FALSE)=0,"",VLOOKUP(A1304,'1. Inbound Leads'!A:G,7,FALSE)),""))</f>
        <v/>
      </c>
      <c r="D1304" s="387" t="str">
        <f>IF(A1304="","",IFERROR(IF(VLOOKUP(A1304,'1. Inbound Leads'!A:L,12,FALSE)=0,"",VLOOKUP(A1304,'1. Inbound Leads'!A:L,12,FALSE)),""))</f>
        <v/>
      </c>
      <c r="E1304" s="388"/>
      <c r="F1304" s="389"/>
      <c r="G1304" s="387"/>
      <c r="H1304" s="387"/>
      <c r="I1304" s="387"/>
      <c r="J1304" s="387"/>
      <c r="K1304" s="387"/>
      <c r="L1304" s="387"/>
      <c r="M1304" s="388"/>
      <c r="N1304" s="388"/>
      <c r="O1304" s="390"/>
      <c r="P1304" s="391"/>
      <c r="Q1304" s="389"/>
      <c r="R1304" s="390"/>
      <c r="S1304" s="390"/>
      <c r="T1304" s="391"/>
      <c r="U1304" s="392"/>
      <c r="V1304" s="391"/>
      <c r="W1304" s="391"/>
      <c r="X1304" s="388"/>
      <c r="Y1304" s="391"/>
      <c r="Z1304" s="393"/>
      <c r="AA1304" s="355" t="str">
        <f t="shared" si="1"/>
        <v/>
      </c>
      <c r="AB1304" s="391"/>
      <c r="AC1304" s="394" t="str">
        <f t="shared" si="2"/>
        <v/>
      </c>
      <c r="AD1304" s="389"/>
      <c r="AE1304" s="399"/>
      <c r="AF1304" s="395"/>
      <c r="AG1304" s="396" t="str">
        <f t="shared" si="3"/>
        <v/>
      </c>
      <c r="AH1304" s="396" t="str">
        <f t="shared" si="4"/>
        <v/>
      </c>
      <c r="AI1304" s="388"/>
      <c r="AJ1304" s="388"/>
      <c r="AK1304" s="397"/>
    </row>
    <row r="1305">
      <c r="A1305" s="398"/>
      <c r="B1305" s="386"/>
      <c r="C1305" s="387" t="str">
        <f>IF(A1305="","",IFERROR(IF(VLOOKUP(A1305,'1. Inbound Leads'!A:G,7,FALSE)=0,"",VLOOKUP(A1305,'1. Inbound Leads'!A:G,7,FALSE)),""))</f>
        <v/>
      </c>
      <c r="D1305" s="387" t="str">
        <f>IF(A1305="","",IFERROR(IF(VLOOKUP(A1305,'1. Inbound Leads'!A:L,12,FALSE)=0,"",VLOOKUP(A1305,'1. Inbound Leads'!A:L,12,FALSE)),""))</f>
        <v/>
      </c>
      <c r="E1305" s="388"/>
      <c r="F1305" s="389"/>
      <c r="G1305" s="387"/>
      <c r="H1305" s="387"/>
      <c r="I1305" s="387"/>
      <c r="J1305" s="387"/>
      <c r="K1305" s="387"/>
      <c r="L1305" s="387"/>
      <c r="M1305" s="388"/>
      <c r="N1305" s="388"/>
      <c r="O1305" s="390"/>
      <c r="P1305" s="391"/>
      <c r="Q1305" s="389"/>
      <c r="R1305" s="390"/>
      <c r="S1305" s="390"/>
      <c r="T1305" s="391"/>
      <c r="U1305" s="392"/>
      <c r="V1305" s="391"/>
      <c r="W1305" s="391"/>
      <c r="X1305" s="388"/>
      <c r="Y1305" s="391"/>
      <c r="Z1305" s="393"/>
      <c r="AA1305" s="355" t="str">
        <f t="shared" si="1"/>
        <v/>
      </c>
      <c r="AB1305" s="391"/>
      <c r="AC1305" s="394" t="str">
        <f t="shared" si="2"/>
        <v/>
      </c>
      <c r="AD1305" s="389"/>
      <c r="AE1305" s="399"/>
      <c r="AF1305" s="395"/>
      <c r="AG1305" s="396" t="str">
        <f t="shared" si="3"/>
        <v/>
      </c>
      <c r="AH1305" s="396" t="str">
        <f t="shared" si="4"/>
        <v/>
      </c>
      <c r="AI1305" s="388"/>
      <c r="AJ1305" s="388"/>
      <c r="AK1305" s="397"/>
    </row>
    <row r="1306">
      <c r="A1306" s="398"/>
      <c r="B1306" s="386"/>
      <c r="C1306" s="387" t="str">
        <f>IF(A1306="","",IFERROR(IF(VLOOKUP(A1306,'1. Inbound Leads'!A:G,7,FALSE)=0,"",VLOOKUP(A1306,'1. Inbound Leads'!A:G,7,FALSE)),""))</f>
        <v/>
      </c>
      <c r="D1306" s="387" t="str">
        <f>IF(A1306="","",IFERROR(IF(VLOOKUP(A1306,'1. Inbound Leads'!A:L,12,FALSE)=0,"",VLOOKUP(A1306,'1. Inbound Leads'!A:L,12,FALSE)),""))</f>
        <v/>
      </c>
      <c r="E1306" s="388"/>
      <c r="F1306" s="389"/>
      <c r="G1306" s="387"/>
      <c r="H1306" s="387"/>
      <c r="I1306" s="387"/>
      <c r="J1306" s="387"/>
      <c r="K1306" s="387"/>
      <c r="L1306" s="387"/>
      <c r="M1306" s="388"/>
      <c r="N1306" s="388"/>
      <c r="O1306" s="390"/>
      <c r="P1306" s="391"/>
      <c r="Q1306" s="389"/>
      <c r="R1306" s="390"/>
      <c r="S1306" s="390"/>
      <c r="T1306" s="391"/>
      <c r="U1306" s="392"/>
      <c r="V1306" s="391"/>
      <c r="W1306" s="391"/>
      <c r="X1306" s="388"/>
      <c r="Y1306" s="391"/>
      <c r="Z1306" s="393"/>
      <c r="AA1306" s="355" t="str">
        <f t="shared" si="1"/>
        <v/>
      </c>
      <c r="AB1306" s="391"/>
      <c r="AC1306" s="394" t="str">
        <f t="shared" si="2"/>
        <v/>
      </c>
      <c r="AD1306" s="389"/>
      <c r="AE1306" s="399"/>
      <c r="AF1306" s="395"/>
      <c r="AG1306" s="396" t="str">
        <f t="shared" si="3"/>
        <v/>
      </c>
      <c r="AH1306" s="396" t="str">
        <f t="shared" si="4"/>
        <v/>
      </c>
      <c r="AI1306" s="388"/>
      <c r="AJ1306" s="388"/>
      <c r="AK1306" s="397"/>
    </row>
    <row r="1307">
      <c r="A1307" s="398"/>
      <c r="B1307" s="386"/>
      <c r="C1307" s="387" t="str">
        <f>IF(A1307="","",IFERROR(IF(VLOOKUP(A1307,'1. Inbound Leads'!A:G,7,FALSE)=0,"",VLOOKUP(A1307,'1. Inbound Leads'!A:G,7,FALSE)),""))</f>
        <v/>
      </c>
      <c r="D1307" s="387" t="str">
        <f>IF(A1307="","",IFERROR(IF(VLOOKUP(A1307,'1. Inbound Leads'!A:L,12,FALSE)=0,"",VLOOKUP(A1307,'1. Inbound Leads'!A:L,12,FALSE)),""))</f>
        <v/>
      </c>
      <c r="E1307" s="388"/>
      <c r="F1307" s="389"/>
      <c r="G1307" s="387"/>
      <c r="H1307" s="387"/>
      <c r="I1307" s="387"/>
      <c r="J1307" s="387"/>
      <c r="K1307" s="387"/>
      <c r="L1307" s="387"/>
      <c r="M1307" s="388"/>
      <c r="N1307" s="388"/>
      <c r="O1307" s="390"/>
      <c r="P1307" s="391"/>
      <c r="Q1307" s="389"/>
      <c r="R1307" s="390"/>
      <c r="S1307" s="390"/>
      <c r="T1307" s="391"/>
      <c r="U1307" s="392"/>
      <c r="V1307" s="391"/>
      <c r="W1307" s="391"/>
      <c r="X1307" s="388"/>
      <c r="Y1307" s="391"/>
      <c r="Z1307" s="393"/>
      <c r="AA1307" s="355" t="str">
        <f t="shared" si="1"/>
        <v/>
      </c>
      <c r="AB1307" s="391"/>
      <c r="AC1307" s="394" t="str">
        <f t="shared" si="2"/>
        <v/>
      </c>
      <c r="AD1307" s="389"/>
      <c r="AE1307" s="399"/>
      <c r="AF1307" s="395"/>
      <c r="AG1307" s="396" t="str">
        <f t="shared" si="3"/>
        <v/>
      </c>
      <c r="AH1307" s="396" t="str">
        <f t="shared" si="4"/>
        <v/>
      </c>
      <c r="AI1307" s="388"/>
      <c r="AJ1307" s="388"/>
      <c r="AK1307" s="397"/>
    </row>
    <row r="1308">
      <c r="A1308" s="398"/>
      <c r="B1308" s="386"/>
      <c r="C1308" s="387" t="str">
        <f>IF(A1308="","",IFERROR(IF(VLOOKUP(A1308,'1. Inbound Leads'!A:G,7,FALSE)=0,"",VLOOKUP(A1308,'1. Inbound Leads'!A:G,7,FALSE)),""))</f>
        <v/>
      </c>
      <c r="D1308" s="387" t="str">
        <f>IF(A1308="","",IFERROR(IF(VLOOKUP(A1308,'1. Inbound Leads'!A:L,12,FALSE)=0,"",VLOOKUP(A1308,'1. Inbound Leads'!A:L,12,FALSE)),""))</f>
        <v/>
      </c>
      <c r="E1308" s="388"/>
      <c r="F1308" s="389"/>
      <c r="G1308" s="387"/>
      <c r="H1308" s="387"/>
      <c r="I1308" s="387"/>
      <c r="J1308" s="387"/>
      <c r="K1308" s="387"/>
      <c r="L1308" s="387"/>
      <c r="M1308" s="388"/>
      <c r="N1308" s="388"/>
      <c r="O1308" s="390"/>
      <c r="P1308" s="391"/>
      <c r="Q1308" s="389"/>
      <c r="R1308" s="390"/>
      <c r="S1308" s="390"/>
      <c r="T1308" s="391"/>
      <c r="U1308" s="392"/>
      <c r="V1308" s="391"/>
      <c r="W1308" s="391"/>
      <c r="X1308" s="388"/>
      <c r="Y1308" s="391"/>
      <c r="Z1308" s="393"/>
      <c r="AA1308" s="355" t="str">
        <f t="shared" si="1"/>
        <v/>
      </c>
      <c r="AB1308" s="391"/>
      <c r="AC1308" s="394" t="str">
        <f t="shared" si="2"/>
        <v/>
      </c>
      <c r="AD1308" s="389"/>
      <c r="AE1308" s="399"/>
      <c r="AF1308" s="395"/>
      <c r="AG1308" s="396" t="str">
        <f t="shared" si="3"/>
        <v/>
      </c>
      <c r="AH1308" s="396" t="str">
        <f t="shared" si="4"/>
        <v/>
      </c>
      <c r="AI1308" s="388"/>
      <c r="AJ1308" s="388"/>
      <c r="AK1308" s="397"/>
    </row>
    <row r="1309">
      <c r="A1309" s="398"/>
      <c r="B1309" s="386"/>
      <c r="C1309" s="387" t="str">
        <f>IF(A1309="","",IFERROR(IF(VLOOKUP(A1309,'1. Inbound Leads'!A:G,7,FALSE)=0,"",VLOOKUP(A1309,'1. Inbound Leads'!A:G,7,FALSE)),""))</f>
        <v/>
      </c>
      <c r="D1309" s="387" t="str">
        <f>IF(A1309="","",IFERROR(IF(VLOOKUP(A1309,'1. Inbound Leads'!A:L,12,FALSE)=0,"",VLOOKUP(A1309,'1. Inbound Leads'!A:L,12,FALSE)),""))</f>
        <v/>
      </c>
      <c r="E1309" s="388"/>
      <c r="F1309" s="389"/>
      <c r="G1309" s="387"/>
      <c r="H1309" s="387"/>
      <c r="I1309" s="387"/>
      <c r="J1309" s="387"/>
      <c r="K1309" s="387"/>
      <c r="L1309" s="387"/>
      <c r="M1309" s="388"/>
      <c r="N1309" s="388"/>
      <c r="O1309" s="390"/>
      <c r="P1309" s="391"/>
      <c r="Q1309" s="389"/>
      <c r="R1309" s="390"/>
      <c r="S1309" s="390"/>
      <c r="T1309" s="391"/>
      <c r="U1309" s="392"/>
      <c r="V1309" s="391"/>
      <c r="W1309" s="391"/>
      <c r="X1309" s="388"/>
      <c r="Y1309" s="391"/>
      <c r="Z1309" s="393"/>
      <c r="AA1309" s="355" t="str">
        <f t="shared" si="1"/>
        <v/>
      </c>
      <c r="AB1309" s="391"/>
      <c r="AC1309" s="394" t="str">
        <f t="shared" si="2"/>
        <v/>
      </c>
      <c r="AD1309" s="389"/>
      <c r="AE1309" s="399"/>
      <c r="AF1309" s="395"/>
      <c r="AG1309" s="396" t="str">
        <f t="shared" si="3"/>
        <v/>
      </c>
      <c r="AH1309" s="396" t="str">
        <f t="shared" si="4"/>
        <v/>
      </c>
      <c r="AI1309" s="388"/>
      <c r="AJ1309" s="388"/>
      <c r="AK1309" s="397"/>
    </row>
    <row r="1310">
      <c r="A1310" s="398"/>
      <c r="B1310" s="386"/>
      <c r="C1310" s="387" t="str">
        <f>IF(A1310="","",IFERROR(IF(VLOOKUP(A1310,'1. Inbound Leads'!A:G,7,FALSE)=0,"",VLOOKUP(A1310,'1. Inbound Leads'!A:G,7,FALSE)),""))</f>
        <v/>
      </c>
      <c r="D1310" s="387" t="str">
        <f>IF(A1310="","",IFERROR(IF(VLOOKUP(A1310,'1. Inbound Leads'!A:L,12,FALSE)=0,"",VLOOKUP(A1310,'1. Inbound Leads'!A:L,12,FALSE)),""))</f>
        <v/>
      </c>
      <c r="E1310" s="388"/>
      <c r="F1310" s="389"/>
      <c r="G1310" s="387"/>
      <c r="H1310" s="387"/>
      <c r="I1310" s="387"/>
      <c r="J1310" s="387"/>
      <c r="K1310" s="387"/>
      <c r="L1310" s="387"/>
      <c r="M1310" s="388"/>
      <c r="N1310" s="388"/>
      <c r="O1310" s="390"/>
      <c r="P1310" s="391"/>
      <c r="Q1310" s="389"/>
      <c r="R1310" s="390"/>
      <c r="S1310" s="390"/>
      <c r="T1310" s="391"/>
      <c r="U1310" s="392"/>
      <c r="V1310" s="391"/>
      <c r="W1310" s="391"/>
      <c r="X1310" s="388"/>
      <c r="Y1310" s="391"/>
      <c r="Z1310" s="393"/>
      <c r="AA1310" s="355" t="str">
        <f t="shared" si="1"/>
        <v/>
      </c>
      <c r="AB1310" s="391"/>
      <c r="AC1310" s="394" t="str">
        <f t="shared" si="2"/>
        <v/>
      </c>
      <c r="AD1310" s="389"/>
      <c r="AE1310" s="399"/>
      <c r="AF1310" s="395"/>
      <c r="AG1310" s="396" t="str">
        <f t="shared" si="3"/>
        <v/>
      </c>
      <c r="AH1310" s="396" t="str">
        <f t="shared" si="4"/>
        <v/>
      </c>
      <c r="AI1310" s="388"/>
      <c r="AJ1310" s="388"/>
      <c r="AK1310" s="397"/>
    </row>
    <row r="1311">
      <c r="A1311" s="398"/>
      <c r="B1311" s="386"/>
      <c r="C1311" s="387" t="str">
        <f>IF(A1311="","",IFERROR(IF(VLOOKUP(A1311,'1. Inbound Leads'!A:G,7,FALSE)=0,"",VLOOKUP(A1311,'1. Inbound Leads'!A:G,7,FALSE)),""))</f>
        <v/>
      </c>
      <c r="D1311" s="387" t="str">
        <f>IF(A1311="","",IFERROR(IF(VLOOKUP(A1311,'1. Inbound Leads'!A:L,12,FALSE)=0,"",VLOOKUP(A1311,'1. Inbound Leads'!A:L,12,FALSE)),""))</f>
        <v/>
      </c>
      <c r="E1311" s="388"/>
      <c r="F1311" s="389"/>
      <c r="G1311" s="387"/>
      <c r="H1311" s="387"/>
      <c r="I1311" s="387"/>
      <c r="J1311" s="387"/>
      <c r="K1311" s="387"/>
      <c r="L1311" s="387"/>
      <c r="M1311" s="388"/>
      <c r="N1311" s="388"/>
      <c r="O1311" s="390"/>
      <c r="P1311" s="391"/>
      <c r="Q1311" s="389"/>
      <c r="R1311" s="390"/>
      <c r="S1311" s="390"/>
      <c r="T1311" s="391"/>
      <c r="U1311" s="392"/>
      <c r="V1311" s="391"/>
      <c r="W1311" s="391"/>
      <c r="X1311" s="388"/>
      <c r="Y1311" s="391"/>
      <c r="Z1311" s="393"/>
      <c r="AA1311" s="355" t="str">
        <f t="shared" si="1"/>
        <v/>
      </c>
      <c r="AB1311" s="391"/>
      <c r="AC1311" s="394" t="str">
        <f t="shared" si="2"/>
        <v/>
      </c>
      <c r="AD1311" s="389"/>
      <c r="AE1311" s="399"/>
      <c r="AF1311" s="395"/>
      <c r="AG1311" s="396" t="str">
        <f t="shared" si="3"/>
        <v/>
      </c>
      <c r="AH1311" s="396" t="str">
        <f t="shared" si="4"/>
        <v/>
      </c>
      <c r="AI1311" s="388"/>
      <c r="AJ1311" s="388"/>
      <c r="AK1311" s="397"/>
    </row>
    <row r="1312">
      <c r="A1312" s="398"/>
      <c r="B1312" s="386"/>
      <c r="C1312" s="387" t="str">
        <f>IF(A1312="","",IFERROR(IF(VLOOKUP(A1312,'1. Inbound Leads'!A:G,7,FALSE)=0,"",VLOOKUP(A1312,'1. Inbound Leads'!A:G,7,FALSE)),""))</f>
        <v/>
      </c>
      <c r="D1312" s="387" t="str">
        <f>IF(A1312="","",IFERROR(IF(VLOOKUP(A1312,'1. Inbound Leads'!A:L,12,FALSE)=0,"",VLOOKUP(A1312,'1. Inbound Leads'!A:L,12,FALSE)),""))</f>
        <v/>
      </c>
      <c r="E1312" s="388"/>
      <c r="F1312" s="389"/>
      <c r="G1312" s="387"/>
      <c r="H1312" s="387"/>
      <c r="I1312" s="387"/>
      <c r="J1312" s="387"/>
      <c r="K1312" s="387"/>
      <c r="L1312" s="387"/>
      <c r="M1312" s="388"/>
      <c r="N1312" s="388"/>
      <c r="O1312" s="390"/>
      <c r="P1312" s="391"/>
      <c r="Q1312" s="389"/>
      <c r="R1312" s="390"/>
      <c r="S1312" s="390"/>
      <c r="T1312" s="391"/>
      <c r="U1312" s="392"/>
      <c r="V1312" s="391"/>
      <c r="W1312" s="391"/>
      <c r="X1312" s="388"/>
      <c r="Y1312" s="391"/>
      <c r="Z1312" s="393"/>
      <c r="AA1312" s="355" t="str">
        <f t="shared" si="1"/>
        <v/>
      </c>
      <c r="AB1312" s="391"/>
      <c r="AC1312" s="394" t="str">
        <f t="shared" si="2"/>
        <v/>
      </c>
      <c r="AD1312" s="389"/>
      <c r="AE1312" s="399"/>
      <c r="AF1312" s="395"/>
      <c r="AG1312" s="396" t="str">
        <f t="shared" si="3"/>
        <v/>
      </c>
      <c r="AH1312" s="396" t="str">
        <f t="shared" si="4"/>
        <v/>
      </c>
      <c r="AI1312" s="388"/>
      <c r="AJ1312" s="388"/>
      <c r="AK1312" s="397"/>
    </row>
    <row r="1313">
      <c r="A1313" s="398"/>
      <c r="B1313" s="386"/>
      <c r="C1313" s="387" t="str">
        <f>IF(A1313="","",IFERROR(IF(VLOOKUP(A1313,'1. Inbound Leads'!A:G,7,FALSE)=0,"",VLOOKUP(A1313,'1. Inbound Leads'!A:G,7,FALSE)),""))</f>
        <v/>
      </c>
      <c r="D1313" s="387" t="str">
        <f>IF(A1313="","",IFERROR(IF(VLOOKUP(A1313,'1. Inbound Leads'!A:L,12,FALSE)=0,"",VLOOKUP(A1313,'1. Inbound Leads'!A:L,12,FALSE)),""))</f>
        <v/>
      </c>
      <c r="E1313" s="388"/>
      <c r="F1313" s="389"/>
      <c r="G1313" s="387"/>
      <c r="H1313" s="387"/>
      <c r="I1313" s="387"/>
      <c r="J1313" s="387"/>
      <c r="K1313" s="387"/>
      <c r="L1313" s="387"/>
      <c r="M1313" s="388"/>
      <c r="N1313" s="388"/>
      <c r="O1313" s="390"/>
      <c r="P1313" s="391"/>
      <c r="Q1313" s="389"/>
      <c r="R1313" s="390"/>
      <c r="S1313" s="390"/>
      <c r="T1313" s="391"/>
      <c r="U1313" s="392"/>
      <c r="V1313" s="391"/>
      <c r="W1313" s="391"/>
      <c r="X1313" s="388"/>
      <c r="Y1313" s="391"/>
      <c r="Z1313" s="393"/>
      <c r="AA1313" s="355" t="str">
        <f t="shared" si="1"/>
        <v/>
      </c>
      <c r="AB1313" s="391"/>
      <c r="AC1313" s="394" t="str">
        <f t="shared" si="2"/>
        <v/>
      </c>
      <c r="AD1313" s="389"/>
      <c r="AE1313" s="399"/>
      <c r="AF1313" s="395"/>
      <c r="AG1313" s="396" t="str">
        <f t="shared" si="3"/>
        <v/>
      </c>
      <c r="AH1313" s="396" t="str">
        <f t="shared" si="4"/>
        <v/>
      </c>
      <c r="AI1313" s="388"/>
      <c r="AJ1313" s="388"/>
      <c r="AK1313" s="397"/>
    </row>
    <row r="1314">
      <c r="A1314" s="398"/>
      <c r="B1314" s="386"/>
      <c r="C1314" s="387" t="str">
        <f>IF(A1314="","",IFERROR(IF(VLOOKUP(A1314,'1. Inbound Leads'!A:G,7,FALSE)=0,"",VLOOKUP(A1314,'1. Inbound Leads'!A:G,7,FALSE)),""))</f>
        <v/>
      </c>
      <c r="D1314" s="387" t="str">
        <f>IF(A1314="","",IFERROR(IF(VLOOKUP(A1314,'1. Inbound Leads'!A:L,12,FALSE)=0,"",VLOOKUP(A1314,'1. Inbound Leads'!A:L,12,FALSE)),""))</f>
        <v/>
      </c>
      <c r="E1314" s="388"/>
      <c r="F1314" s="389"/>
      <c r="G1314" s="387"/>
      <c r="H1314" s="387"/>
      <c r="I1314" s="387"/>
      <c r="J1314" s="387"/>
      <c r="K1314" s="387"/>
      <c r="L1314" s="387"/>
      <c r="M1314" s="388"/>
      <c r="N1314" s="388"/>
      <c r="O1314" s="390"/>
      <c r="P1314" s="391"/>
      <c r="Q1314" s="389"/>
      <c r="R1314" s="390"/>
      <c r="S1314" s="390"/>
      <c r="T1314" s="391"/>
      <c r="U1314" s="392"/>
      <c r="V1314" s="391"/>
      <c r="W1314" s="391"/>
      <c r="X1314" s="388"/>
      <c r="Y1314" s="391"/>
      <c r="Z1314" s="393"/>
      <c r="AA1314" s="355" t="str">
        <f t="shared" si="1"/>
        <v/>
      </c>
      <c r="AB1314" s="391"/>
      <c r="AC1314" s="394" t="str">
        <f t="shared" si="2"/>
        <v/>
      </c>
      <c r="AD1314" s="389"/>
      <c r="AE1314" s="399"/>
      <c r="AF1314" s="395"/>
      <c r="AG1314" s="396" t="str">
        <f t="shared" si="3"/>
        <v/>
      </c>
      <c r="AH1314" s="396" t="str">
        <f t="shared" si="4"/>
        <v/>
      </c>
      <c r="AI1314" s="388"/>
      <c r="AJ1314" s="388"/>
      <c r="AK1314" s="397"/>
    </row>
    <row r="1315">
      <c r="A1315" s="398"/>
      <c r="B1315" s="386"/>
      <c r="C1315" s="387" t="str">
        <f>IF(A1315="","",IFERROR(IF(VLOOKUP(A1315,'1. Inbound Leads'!A:G,7,FALSE)=0,"",VLOOKUP(A1315,'1. Inbound Leads'!A:G,7,FALSE)),""))</f>
        <v/>
      </c>
      <c r="D1315" s="387" t="str">
        <f>IF(A1315="","",IFERROR(IF(VLOOKUP(A1315,'1. Inbound Leads'!A:L,12,FALSE)=0,"",VLOOKUP(A1315,'1. Inbound Leads'!A:L,12,FALSE)),""))</f>
        <v/>
      </c>
      <c r="E1315" s="388"/>
      <c r="F1315" s="389"/>
      <c r="G1315" s="387"/>
      <c r="H1315" s="387"/>
      <c r="I1315" s="387"/>
      <c r="J1315" s="387"/>
      <c r="K1315" s="387"/>
      <c r="L1315" s="387"/>
      <c r="M1315" s="388"/>
      <c r="N1315" s="388"/>
      <c r="O1315" s="390"/>
      <c r="P1315" s="391"/>
      <c r="Q1315" s="389"/>
      <c r="R1315" s="390"/>
      <c r="S1315" s="390"/>
      <c r="T1315" s="391"/>
      <c r="U1315" s="392"/>
      <c r="V1315" s="391"/>
      <c r="W1315" s="391"/>
      <c r="X1315" s="388"/>
      <c r="Y1315" s="391"/>
      <c r="Z1315" s="393"/>
      <c r="AA1315" s="355" t="str">
        <f t="shared" si="1"/>
        <v/>
      </c>
      <c r="AB1315" s="391"/>
      <c r="AC1315" s="394" t="str">
        <f t="shared" si="2"/>
        <v/>
      </c>
      <c r="AD1315" s="389"/>
      <c r="AE1315" s="399"/>
      <c r="AF1315" s="395"/>
      <c r="AG1315" s="396" t="str">
        <f t="shared" si="3"/>
        <v/>
      </c>
      <c r="AH1315" s="396" t="str">
        <f t="shared" si="4"/>
        <v/>
      </c>
      <c r="AI1315" s="388"/>
      <c r="AJ1315" s="388"/>
      <c r="AK1315" s="397"/>
    </row>
    <row r="1316">
      <c r="A1316" s="398"/>
      <c r="B1316" s="386"/>
      <c r="C1316" s="387" t="str">
        <f>IF(A1316="","",IFERROR(IF(VLOOKUP(A1316,'1. Inbound Leads'!A:G,7,FALSE)=0,"",VLOOKUP(A1316,'1. Inbound Leads'!A:G,7,FALSE)),""))</f>
        <v/>
      </c>
      <c r="D1316" s="387" t="str">
        <f>IF(A1316="","",IFERROR(IF(VLOOKUP(A1316,'1. Inbound Leads'!A:L,12,FALSE)=0,"",VLOOKUP(A1316,'1. Inbound Leads'!A:L,12,FALSE)),""))</f>
        <v/>
      </c>
      <c r="E1316" s="388"/>
      <c r="F1316" s="389"/>
      <c r="G1316" s="387"/>
      <c r="H1316" s="387"/>
      <c r="I1316" s="387"/>
      <c r="J1316" s="387"/>
      <c r="K1316" s="387"/>
      <c r="L1316" s="387"/>
      <c r="M1316" s="388"/>
      <c r="N1316" s="388"/>
      <c r="O1316" s="390"/>
      <c r="P1316" s="391"/>
      <c r="Q1316" s="389"/>
      <c r="R1316" s="390"/>
      <c r="S1316" s="390"/>
      <c r="T1316" s="391"/>
      <c r="U1316" s="392"/>
      <c r="V1316" s="391"/>
      <c r="W1316" s="391"/>
      <c r="X1316" s="388"/>
      <c r="Y1316" s="391"/>
      <c r="Z1316" s="393"/>
      <c r="AA1316" s="355" t="str">
        <f t="shared" si="1"/>
        <v/>
      </c>
      <c r="AB1316" s="391"/>
      <c r="AC1316" s="394" t="str">
        <f t="shared" si="2"/>
        <v/>
      </c>
      <c r="AD1316" s="389"/>
      <c r="AE1316" s="399"/>
      <c r="AF1316" s="395"/>
      <c r="AG1316" s="396" t="str">
        <f t="shared" si="3"/>
        <v/>
      </c>
      <c r="AH1316" s="396" t="str">
        <f t="shared" si="4"/>
        <v/>
      </c>
      <c r="AI1316" s="388"/>
      <c r="AJ1316" s="388"/>
      <c r="AK1316" s="397"/>
    </row>
    <row r="1317">
      <c r="A1317" s="398"/>
      <c r="B1317" s="386"/>
      <c r="C1317" s="387" t="str">
        <f>IF(A1317="","",IFERROR(IF(VLOOKUP(A1317,'1. Inbound Leads'!A:G,7,FALSE)=0,"",VLOOKUP(A1317,'1. Inbound Leads'!A:G,7,FALSE)),""))</f>
        <v/>
      </c>
      <c r="D1317" s="387" t="str">
        <f>IF(A1317="","",IFERROR(IF(VLOOKUP(A1317,'1. Inbound Leads'!A:L,12,FALSE)=0,"",VLOOKUP(A1317,'1. Inbound Leads'!A:L,12,FALSE)),""))</f>
        <v/>
      </c>
      <c r="E1317" s="388"/>
      <c r="F1317" s="389"/>
      <c r="G1317" s="387"/>
      <c r="H1317" s="387"/>
      <c r="I1317" s="387"/>
      <c r="J1317" s="387"/>
      <c r="K1317" s="387"/>
      <c r="L1317" s="387"/>
      <c r="M1317" s="388"/>
      <c r="N1317" s="388"/>
      <c r="O1317" s="390"/>
      <c r="P1317" s="391"/>
      <c r="Q1317" s="389"/>
      <c r="R1317" s="390"/>
      <c r="S1317" s="390"/>
      <c r="T1317" s="391"/>
      <c r="U1317" s="392"/>
      <c r="V1317" s="391"/>
      <c r="W1317" s="391"/>
      <c r="X1317" s="388"/>
      <c r="Y1317" s="391"/>
      <c r="Z1317" s="393"/>
      <c r="AA1317" s="355" t="str">
        <f t="shared" si="1"/>
        <v/>
      </c>
      <c r="AB1317" s="391"/>
      <c r="AC1317" s="394" t="str">
        <f t="shared" si="2"/>
        <v/>
      </c>
      <c r="AD1317" s="389"/>
      <c r="AE1317" s="399"/>
      <c r="AF1317" s="395"/>
      <c r="AG1317" s="396" t="str">
        <f t="shared" si="3"/>
        <v/>
      </c>
      <c r="AH1317" s="396" t="str">
        <f t="shared" si="4"/>
        <v/>
      </c>
      <c r="AI1317" s="388"/>
      <c r="AJ1317" s="388"/>
      <c r="AK1317" s="397"/>
    </row>
    <row r="1318">
      <c r="A1318" s="398"/>
      <c r="B1318" s="386"/>
      <c r="C1318" s="387" t="str">
        <f>IF(A1318="","",IFERROR(IF(VLOOKUP(A1318,'1. Inbound Leads'!A:G,7,FALSE)=0,"",VLOOKUP(A1318,'1. Inbound Leads'!A:G,7,FALSE)),""))</f>
        <v/>
      </c>
      <c r="D1318" s="387" t="str">
        <f>IF(A1318="","",IFERROR(IF(VLOOKUP(A1318,'1. Inbound Leads'!A:L,12,FALSE)=0,"",VLOOKUP(A1318,'1. Inbound Leads'!A:L,12,FALSE)),""))</f>
        <v/>
      </c>
      <c r="E1318" s="388"/>
      <c r="F1318" s="389"/>
      <c r="G1318" s="387"/>
      <c r="H1318" s="387"/>
      <c r="I1318" s="387"/>
      <c r="J1318" s="387"/>
      <c r="K1318" s="387"/>
      <c r="L1318" s="387"/>
      <c r="M1318" s="388"/>
      <c r="N1318" s="388"/>
      <c r="O1318" s="390"/>
      <c r="P1318" s="391"/>
      <c r="Q1318" s="389"/>
      <c r="R1318" s="390"/>
      <c r="S1318" s="390"/>
      <c r="T1318" s="391"/>
      <c r="U1318" s="392"/>
      <c r="V1318" s="391"/>
      <c r="W1318" s="391"/>
      <c r="X1318" s="388"/>
      <c r="Y1318" s="391"/>
      <c r="Z1318" s="393"/>
      <c r="AA1318" s="355" t="str">
        <f t="shared" si="1"/>
        <v/>
      </c>
      <c r="AB1318" s="391"/>
      <c r="AC1318" s="394" t="str">
        <f t="shared" si="2"/>
        <v/>
      </c>
      <c r="AD1318" s="389"/>
      <c r="AE1318" s="399"/>
      <c r="AF1318" s="395"/>
      <c r="AG1318" s="396" t="str">
        <f t="shared" si="3"/>
        <v/>
      </c>
      <c r="AH1318" s="396" t="str">
        <f t="shared" si="4"/>
        <v/>
      </c>
      <c r="AI1318" s="388"/>
      <c r="AJ1318" s="388"/>
      <c r="AK1318" s="397"/>
    </row>
    <row r="1319">
      <c r="A1319" s="398"/>
      <c r="B1319" s="386"/>
      <c r="C1319" s="387" t="str">
        <f>IF(A1319="","",IFERROR(IF(VLOOKUP(A1319,'1. Inbound Leads'!A:G,7,FALSE)=0,"",VLOOKUP(A1319,'1. Inbound Leads'!A:G,7,FALSE)),""))</f>
        <v/>
      </c>
      <c r="D1319" s="387" t="str">
        <f>IF(A1319="","",IFERROR(IF(VLOOKUP(A1319,'1. Inbound Leads'!A:L,12,FALSE)=0,"",VLOOKUP(A1319,'1. Inbound Leads'!A:L,12,FALSE)),""))</f>
        <v/>
      </c>
      <c r="E1319" s="388"/>
      <c r="F1319" s="389"/>
      <c r="G1319" s="387"/>
      <c r="H1319" s="387"/>
      <c r="I1319" s="387"/>
      <c r="J1319" s="387"/>
      <c r="K1319" s="387"/>
      <c r="L1319" s="387"/>
      <c r="M1319" s="388"/>
      <c r="N1319" s="388"/>
      <c r="O1319" s="390"/>
      <c r="P1319" s="391"/>
      <c r="Q1319" s="389"/>
      <c r="R1319" s="390"/>
      <c r="S1319" s="390"/>
      <c r="T1319" s="391"/>
      <c r="U1319" s="392"/>
      <c r="V1319" s="391"/>
      <c r="W1319" s="391"/>
      <c r="X1319" s="388"/>
      <c r="Y1319" s="391"/>
      <c r="Z1319" s="393"/>
      <c r="AA1319" s="355" t="str">
        <f t="shared" si="1"/>
        <v/>
      </c>
      <c r="AB1319" s="391"/>
      <c r="AC1319" s="394" t="str">
        <f t="shared" si="2"/>
        <v/>
      </c>
      <c r="AD1319" s="389"/>
      <c r="AE1319" s="399"/>
      <c r="AF1319" s="395"/>
      <c r="AG1319" s="396" t="str">
        <f t="shared" si="3"/>
        <v/>
      </c>
      <c r="AH1319" s="396" t="str">
        <f t="shared" si="4"/>
        <v/>
      </c>
      <c r="AI1319" s="388"/>
      <c r="AJ1319" s="388"/>
      <c r="AK1319" s="397"/>
    </row>
    <row r="1320">
      <c r="A1320" s="398"/>
      <c r="B1320" s="386"/>
      <c r="C1320" s="387" t="str">
        <f>IF(A1320="","",IFERROR(IF(VLOOKUP(A1320,'1. Inbound Leads'!A:G,7,FALSE)=0,"",VLOOKUP(A1320,'1. Inbound Leads'!A:G,7,FALSE)),""))</f>
        <v/>
      </c>
      <c r="D1320" s="387" t="str">
        <f>IF(A1320="","",IFERROR(IF(VLOOKUP(A1320,'1. Inbound Leads'!A:L,12,FALSE)=0,"",VLOOKUP(A1320,'1. Inbound Leads'!A:L,12,FALSE)),""))</f>
        <v/>
      </c>
      <c r="E1320" s="388"/>
      <c r="F1320" s="389"/>
      <c r="G1320" s="387"/>
      <c r="H1320" s="387"/>
      <c r="I1320" s="387"/>
      <c r="J1320" s="387"/>
      <c r="K1320" s="387"/>
      <c r="L1320" s="387"/>
      <c r="M1320" s="388"/>
      <c r="N1320" s="388"/>
      <c r="O1320" s="390"/>
      <c r="P1320" s="391"/>
      <c r="Q1320" s="389"/>
      <c r="R1320" s="390"/>
      <c r="S1320" s="390"/>
      <c r="T1320" s="391"/>
      <c r="U1320" s="392"/>
      <c r="V1320" s="391"/>
      <c r="W1320" s="391"/>
      <c r="X1320" s="388"/>
      <c r="Y1320" s="391"/>
      <c r="Z1320" s="393"/>
      <c r="AA1320" s="355" t="str">
        <f t="shared" si="1"/>
        <v/>
      </c>
      <c r="AB1320" s="391"/>
      <c r="AC1320" s="394" t="str">
        <f t="shared" si="2"/>
        <v/>
      </c>
      <c r="AD1320" s="389"/>
      <c r="AE1320" s="399"/>
      <c r="AF1320" s="395"/>
      <c r="AG1320" s="396" t="str">
        <f t="shared" si="3"/>
        <v/>
      </c>
      <c r="AH1320" s="396" t="str">
        <f t="shared" si="4"/>
        <v/>
      </c>
      <c r="AI1320" s="388"/>
      <c r="AJ1320" s="388"/>
      <c r="AK1320" s="397"/>
    </row>
    <row r="1321">
      <c r="A1321" s="398"/>
      <c r="B1321" s="386"/>
      <c r="C1321" s="387" t="str">
        <f>IF(A1321="","",IFERROR(IF(VLOOKUP(A1321,'1. Inbound Leads'!A:G,7,FALSE)=0,"",VLOOKUP(A1321,'1. Inbound Leads'!A:G,7,FALSE)),""))</f>
        <v/>
      </c>
      <c r="D1321" s="387" t="str">
        <f>IF(A1321="","",IFERROR(IF(VLOOKUP(A1321,'1. Inbound Leads'!A:L,12,FALSE)=0,"",VLOOKUP(A1321,'1. Inbound Leads'!A:L,12,FALSE)),""))</f>
        <v/>
      </c>
      <c r="E1321" s="388"/>
      <c r="F1321" s="389"/>
      <c r="G1321" s="387"/>
      <c r="H1321" s="387"/>
      <c r="I1321" s="387"/>
      <c r="J1321" s="387"/>
      <c r="K1321" s="387"/>
      <c r="L1321" s="387"/>
      <c r="M1321" s="388"/>
      <c r="N1321" s="388"/>
      <c r="O1321" s="390"/>
      <c r="P1321" s="391"/>
      <c r="Q1321" s="389"/>
      <c r="R1321" s="390"/>
      <c r="S1321" s="390"/>
      <c r="T1321" s="391"/>
      <c r="U1321" s="392"/>
      <c r="V1321" s="391"/>
      <c r="W1321" s="391"/>
      <c r="X1321" s="388"/>
      <c r="Y1321" s="391"/>
      <c r="Z1321" s="393"/>
      <c r="AA1321" s="355" t="str">
        <f t="shared" si="1"/>
        <v/>
      </c>
      <c r="AB1321" s="391"/>
      <c r="AC1321" s="394" t="str">
        <f t="shared" si="2"/>
        <v/>
      </c>
      <c r="AD1321" s="389"/>
      <c r="AE1321" s="399"/>
      <c r="AF1321" s="395"/>
      <c r="AG1321" s="396" t="str">
        <f t="shared" si="3"/>
        <v/>
      </c>
      <c r="AH1321" s="396" t="str">
        <f t="shared" si="4"/>
        <v/>
      </c>
      <c r="AI1321" s="388"/>
      <c r="AJ1321" s="388"/>
      <c r="AK1321" s="397"/>
    </row>
    <row r="1322">
      <c r="A1322" s="398"/>
      <c r="B1322" s="386"/>
      <c r="C1322" s="387" t="str">
        <f>IF(A1322="","",IFERROR(IF(VLOOKUP(A1322,'1. Inbound Leads'!A:G,7,FALSE)=0,"",VLOOKUP(A1322,'1. Inbound Leads'!A:G,7,FALSE)),""))</f>
        <v/>
      </c>
      <c r="D1322" s="387" t="str">
        <f>IF(A1322="","",IFERROR(IF(VLOOKUP(A1322,'1. Inbound Leads'!A:L,12,FALSE)=0,"",VLOOKUP(A1322,'1. Inbound Leads'!A:L,12,FALSE)),""))</f>
        <v/>
      </c>
      <c r="E1322" s="388"/>
      <c r="F1322" s="389"/>
      <c r="G1322" s="387"/>
      <c r="H1322" s="387"/>
      <c r="I1322" s="387"/>
      <c r="J1322" s="387"/>
      <c r="K1322" s="387"/>
      <c r="L1322" s="387"/>
      <c r="M1322" s="388"/>
      <c r="N1322" s="388"/>
      <c r="O1322" s="390"/>
      <c r="P1322" s="391"/>
      <c r="Q1322" s="389"/>
      <c r="R1322" s="390"/>
      <c r="S1322" s="390"/>
      <c r="T1322" s="391"/>
      <c r="U1322" s="392"/>
      <c r="V1322" s="391"/>
      <c r="W1322" s="391"/>
      <c r="X1322" s="388"/>
      <c r="Y1322" s="391"/>
      <c r="Z1322" s="393"/>
      <c r="AA1322" s="355" t="str">
        <f t="shared" si="1"/>
        <v/>
      </c>
      <c r="AB1322" s="391"/>
      <c r="AC1322" s="394" t="str">
        <f t="shared" si="2"/>
        <v/>
      </c>
      <c r="AD1322" s="389"/>
      <c r="AE1322" s="399"/>
      <c r="AF1322" s="395"/>
      <c r="AG1322" s="396" t="str">
        <f t="shared" si="3"/>
        <v/>
      </c>
      <c r="AH1322" s="396" t="str">
        <f t="shared" si="4"/>
        <v/>
      </c>
      <c r="AI1322" s="388"/>
      <c r="AJ1322" s="388"/>
      <c r="AK1322" s="397"/>
    </row>
    <row r="1323">
      <c r="A1323" s="398"/>
      <c r="B1323" s="386"/>
      <c r="C1323" s="387" t="str">
        <f>IF(A1323="","",IFERROR(IF(VLOOKUP(A1323,'1. Inbound Leads'!A:G,7,FALSE)=0,"",VLOOKUP(A1323,'1. Inbound Leads'!A:G,7,FALSE)),""))</f>
        <v/>
      </c>
      <c r="D1323" s="387" t="str">
        <f>IF(A1323="","",IFERROR(IF(VLOOKUP(A1323,'1. Inbound Leads'!A:L,12,FALSE)=0,"",VLOOKUP(A1323,'1. Inbound Leads'!A:L,12,FALSE)),""))</f>
        <v/>
      </c>
      <c r="E1323" s="388"/>
      <c r="F1323" s="389"/>
      <c r="G1323" s="387"/>
      <c r="H1323" s="387"/>
      <c r="I1323" s="387"/>
      <c r="J1323" s="387"/>
      <c r="K1323" s="387"/>
      <c r="L1323" s="387"/>
      <c r="M1323" s="388"/>
      <c r="N1323" s="388"/>
      <c r="O1323" s="390"/>
      <c r="P1323" s="391"/>
      <c r="Q1323" s="389"/>
      <c r="R1323" s="390"/>
      <c r="S1323" s="390"/>
      <c r="T1323" s="391"/>
      <c r="U1323" s="392"/>
      <c r="V1323" s="391"/>
      <c r="W1323" s="391"/>
      <c r="X1323" s="388"/>
      <c r="Y1323" s="391"/>
      <c r="Z1323" s="393"/>
      <c r="AA1323" s="355" t="str">
        <f t="shared" si="1"/>
        <v/>
      </c>
      <c r="AB1323" s="391"/>
      <c r="AC1323" s="394" t="str">
        <f t="shared" si="2"/>
        <v/>
      </c>
      <c r="AD1323" s="389"/>
      <c r="AE1323" s="399"/>
      <c r="AF1323" s="395"/>
      <c r="AG1323" s="396" t="str">
        <f t="shared" si="3"/>
        <v/>
      </c>
      <c r="AH1323" s="396" t="str">
        <f t="shared" si="4"/>
        <v/>
      </c>
      <c r="AI1323" s="388"/>
      <c r="AJ1323" s="388"/>
      <c r="AK1323" s="397"/>
    </row>
    <row r="1324">
      <c r="A1324" s="398"/>
      <c r="B1324" s="386"/>
      <c r="C1324" s="387" t="str">
        <f>IF(A1324="","",IFERROR(IF(VLOOKUP(A1324,'1. Inbound Leads'!A:G,7,FALSE)=0,"",VLOOKUP(A1324,'1. Inbound Leads'!A:G,7,FALSE)),""))</f>
        <v/>
      </c>
      <c r="D1324" s="387" t="str">
        <f>IF(A1324="","",IFERROR(IF(VLOOKUP(A1324,'1. Inbound Leads'!A:L,12,FALSE)=0,"",VLOOKUP(A1324,'1. Inbound Leads'!A:L,12,FALSE)),""))</f>
        <v/>
      </c>
      <c r="E1324" s="388"/>
      <c r="F1324" s="389"/>
      <c r="G1324" s="387"/>
      <c r="H1324" s="387"/>
      <c r="I1324" s="387"/>
      <c r="J1324" s="387"/>
      <c r="K1324" s="387"/>
      <c r="L1324" s="387"/>
      <c r="M1324" s="388"/>
      <c r="N1324" s="388"/>
      <c r="O1324" s="390"/>
      <c r="P1324" s="391"/>
      <c r="Q1324" s="389"/>
      <c r="R1324" s="390"/>
      <c r="S1324" s="390"/>
      <c r="T1324" s="391"/>
      <c r="U1324" s="392"/>
      <c r="V1324" s="391"/>
      <c r="W1324" s="391"/>
      <c r="X1324" s="388"/>
      <c r="Y1324" s="391"/>
      <c r="Z1324" s="393"/>
      <c r="AA1324" s="355" t="str">
        <f t="shared" si="1"/>
        <v/>
      </c>
      <c r="AB1324" s="391"/>
      <c r="AC1324" s="394" t="str">
        <f t="shared" si="2"/>
        <v/>
      </c>
      <c r="AD1324" s="389"/>
      <c r="AE1324" s="399"/>
      <c r="AF1324" s="395"/>
      <c r="AG1324" s="396" t="str">
        <f t="shared" si="3"/>
        <v/>
      </c>
      <c r="AH1324" s="396" t="str">
        <f t="shared" si="4"/>
        <v/>
      </c>
      <c r="AI1324" s="388"/>
      <c r="AJ1324" s="388"/>
      <c r="AK1324" s="397"/>
    </row>
    <row r="1325">
      <c r="A1325" s="398"/>
      <c r="B1325" s="386"/>
      <c r="C1325" s="387" t="str">
        <f>IF(A1325="","",IFERROR(IF(VLOOKUP(A1325,'1. Inbound Leads'!A:G,7,FALSE)=0,"",VLOOKUP(A1325,'1. Inbound Leads'!A:G,7,FALSE)),""))</f>
        <v/>
      </c>
      <c r="D1325" s="387" t="str">
        <f>IF(A1325="","",IFERROR(IF(VLOOKUP(A1325,'1. Inbound Leads'!A:L,12,FALSE)=0,"",VLOOKUP(A1325,'1. Inbound Leads'!A:L,12,FALSE)),""))</f>
        <v/>
      </c>
      <c r="E1325" s="388"/>
      <c r="F1325" s="389"/>
      <c r="G1325" s="387"/>
      <c r="H1325" s="387"/>
      <c r="I1325" s="387"/>
      <c r="J1325" s="387"/>
      <c r="K1325" s="387"/>
      <c r="L1325" s="387"/>
      <c r="M1325" s="388"/>
      <c r="N1325" s="388"/>
      <c r="O1325" s="390"/>
      <c r="P1325" s="391"/>
      <c r="Q1325" s="389"/>
      <c r="R1325" s="390"/>
      <c r="S1325" s="390"/>
      <c r="T1325" s="391"/>
      <c r="U1325" s="392"/>
      <c r="V1325" s="391"/>
      <c r="W1325" s="391"/>
      <c r="X1325" s="388"/>
      <c r="Y1325" s="391"/>
      <c r="Z1325" s="393"/>
      <c r="AA1325" s="355" t="str">
        <f t="shared" si="1"/>
        <v/>
      </c>
      <c r="AB1325" s="391"/>
      <c r="AC1325" s="394" t="str">
        <f t="shared" si="2"/>
        <v/>
      </c>
      <c r="AD1325" s="389"/>
      <c r="AE1325" s="399"/>
      <c r="AF1325" s="395"/>
      <c r="AG1325" s="396" t="str">
        <f t="shared" si="3"/>
        <v/>
      </c>
      <c r="AH1325" s="396" t="str">
        <f t="shared" si="4"/>
        <v/>
      </c>
      <c r="AI1325" s="388"/>
      <c r="AJ1325" s="388"/>
      <c r="AK1325" s="397"/>
    </row>
    <row r="1326">
      <c r="A1326" s="398"/>
      <c r="B1326" s="386"/>
      <c r="C1326" s="387" t="str">
        <f>IF(A1326="","",IFERROR(IF(VLOOKUP(A1326,'1. Inbound Leads'!A:G,7,FALSE)=0,"",VLOOKUP(A1326,'1. Inbound Leads'!A:G,7,FALSE)),""))</f>
        <v/>
      </c>
      <c r="D1326" s="387" t="str">
        <f>IF(A1326="","",IFERROR(IF(VLOOKUP(A1326,'1. Inbound Leads'!A:L,12,FALSE)=0,"",VLOOKUP(A1326,'1. Inbound Leads'!A:L,12,FALSE)),""))</f>
        <v/>
      </c>
      <c r="E1326" s="388"/>
      <c r="F1326" s="389"/>
      <c r="G1326" s="387"/>
      <c r="H1326" s="387"/>
      <c r="I1326" s="387"/>
      <c r="J1326" s="387"/>
      <c r="K1326" s="387"/>
      <c r="L1326" s="387"/>
      <c r="M1326" s="388"/>
      <c r="N1326" s="388"/>
      <c r="O1326" s="390"/>
      <c r="P1326" s="391"/>
      <c r="Q1326" s="389"/>
      <c r="R1326" s="390"/>
      <c r="S1326" s="390"/>
      <c r="T1326" s="391"/>
      <c r="U1326" s="392"/>
      <c r="V1326" s="391"/>
      <c r="W1326" s="391"/>
      <c r="X1326" s="388"/>
      <c r="Y1326" s="391"/>
      <c r="Z1326" s="393"/>
      <c r="AA1326" s="355" t="str">
        <f t="shared" si="1"/>
        <v/>
      </c>
      <c r="AB1326" s="391"/>
      <c r="AC1326" s="394" t="str">
        <f t="shared" si="2"/>
        <v/>
      </c>
      <c r="AD1326" s="389"/>
      <c r="AE1326" s="399"/>
      <c r="AF1326" s="395"/>
      <c r="AG1326" s="396" t="str">
        <f t="shared" si="3"/>
        <v/>
      </c>
      <c r="AH1326" s="396" t="str">
        <f t="shared" si="4"/>
        <v/>
      </c>
      <c r="AI1326" s="388"/>
      <c r="AJ1326" s="388"/>
      <c r="AK1326" s="397"/>
    </row>
    <row r="1327">
      <c r="A1327" s="398"/>
      <c r="B1327" s="386"/>
      <c r="C1327" s="387" t="str">
        <f>IF(A1327="","",IFERROR(IF(VLOOKUP(A1327,'1. Inbound Leads'!A:G,7,FALSE)=0,"",VLOOKUP(A1327,'1. Inbound Leads'!A:G,7,FALSE)),""))</f>
        <v/>
      </c>
      <c r="D1327" s="387" t="str">
        <f>IF(A1327="","",IFERROR(IF(VLOOKUP(A1327,'1. Inbound Leads'!A:L,12,FALSE)=0,"",VLOOKUP(A1327,'1. Inbound Leads'!A:L,12,FALSE)),""))</f>
        <v/>
      </c>
      <c r="E1327" s="388"/>
      <c r="F1327" s="389"/>
      <c r="G1327" s="387"/>
      <c r="H1327" s="387"/>
      <c r="I1327" s="387"/>
      <c r="J1327" s="387"/>
      <c r="K1327" s="387"/>
      <c r="L1327" s="387"/>
      <c r="M1327" s="388"/>
      <c r="N1327" s="388"/>
      <c r="O1327" s="390"/>
      <c r="P1327" s="391"/>
      <c r="Q1327" s="389"/>
      <c r="R1327" s="390"/>
      <c r="S1327" s="390"/>
      <c r="T1327" s="391"/>
      <c r="U1327" s="392"/>
      <c r="V1327" s="391"/>
      <c r="W1327" s="391"/>
      <c r="X1327" s="388"/>
      <c r="Y1327" s="391"/>
      <c r="Z1327" s="393"/>
      <c r="AA1327" s="355" t="str">
        <f t="shared" si="1"/>
        <v/>
      </c>
      <c r="AB1327" s="391"/>
      <c r="AC1327" s="394" t="str">
        <f t="shared" si="2"/>
        <v/>
      </c>
      <c r="AD1327" s="389"/>
      <c r="AE1327" s="399"/>
      <c r="AF1327" s="395"/>
      <c r="AG1327" s="396" t="str">
        <f t="shared" si="3"/>
        <v/>
      </c>
      <c r="AH1327" s="396" t="str">
        <f t="shared" si="4"/>
        <v/>
      </c>
      <c r="AI1327" s="388"/>
      <c r="AJ1327" s="388"/>
      <c r="AK1327" s="397"/>
    </row>
    <row r="1328">
      <c r="A1328" s="398"/>
      <c r="B1328" s="386"/>
      <c r="C1328" s="387" t="str">
        <f>IF(A1328="","",IFERROR(IF(VLOOKUP(A1328,'1. Inbound Leads'!A:G,7,FALSE)=0,"",VLOOKUP(A1328,'1. Inbound Leads'!A:G,7,FALSE)),""))</f>
        <v/>
      </c>
      <c r="D1328" s="387" t="str">
        <f>IF(A1328="","",IFERROR(IF(VLOOKUP(A1328,'1. Inbound Leads'!A:L,12,FALSE)=0,"",VLOOKUP(A1328,'1. Inbound Leads'!A:L,12,FALSE)),""))</f>
        <v/>
      </c>
      <c r="E1328" s="388"/>
      <c r="F1328" s="389"/>
      <c r="G1328" s="387"/>
      <c r="H1328" s="387"/>
      <c r="I1328" s="387"/>
      <c r="J1328" s="387"/>
      <c r="K1328" s="387"/>
      <c r="L1328" s="387"/>
      <c r="M1328" s="388"/>
      <c r="N1328" s="388"/>
      <c r="O1328" s="390"/>
      <c r="P1328" s="391"/>
      <c r="Q1328" s="389"/>
      <c r="R1328" s="390"/>
      <c r="S1328" s="390"/>
      <c r="T1328" s="391"/>
      <c r="U1328" s="392"/>
      <c r="V1328" s="391"/>
      <c r="W1328" s="391"/>
      <c r="X1328" s="388"/>
      <c r="Y1328" s="391"/>
      <c r="Z1328" s="393"/>
      <c r="AA1328" s="355" t="str">
        <f t="shared" si="1"/>
        <v/>
      </c>
      <c r="AB1328" s="391"/>
      <c r="AC1328" s="394" t="str">
        <f t="shared" si="2"/>
        <v/>
      </c>
      <c r="AD1328" s="389"/>
      <c r="AE1328" s="399"/>
      <c r="AF1328" s="395"/>
      <c r="AG1328" s="396" t="str">
        <f t="shared" si="3"/>
        <v/>
      </c>
      <c r="AH1328" s="396" t="str">
        <f t="shared" si="4"/>
        <v/>
      </c>
      <c r="AI1328" s="388"/>
      <c r="AJ1328" s="388"/>
      <c r="AK1328" s="397"/>
    </row>
    <row r="1329">
      <c r="A1329" s="398"/>
      <c r="B1329" s="386"/>
      <c r="C1329" s="387" t="str">
        <f>IF(A1329="","",IFERROR(IF(VLOOKUP(A1329,'1. Inbound Leads'!A:G,7,FALSE)=0,"",VLOOKUP(A1329,'1. Inbound Leads'!A:G,7,FALSE)),""))</f>
        <v/>
      </c>
      <c r="D1329" s="387" t="str">
        <f>IF(A1329="","",IFERROR(IF(VLOOKUP(A1329,'1. Inbound Leads'!A:L,12,FALSE)=0,"",VLOOKUP(A1329,'1. Inbound Leads'!A:L,12,FALSE)),""))</f>
        <v/>
      </c>
      <c r="E1329" s="388"/>
      <c r="F1329" s="389"/>
      <c r="G1329" s="387"/>
      <c r="H1329" s="387"/>
      <c r="I1329" s="387"/>
      <c r="J1329" s="387"/>
      <c r="K1329" s="387"/>
      <c r="L1329" s="387"/>
      <c r="M1329" s="388"/>
      <c r="N1329" s="388"/>
      <c r="O1329" s="390"/>
      <c r="P1329" s="391"/>
      <c r="Q1329" s="389"/>
      <c r="R1329" s="390"/>
      <c r="S1329" s="390"/>
      <c r="T1329" s="391"/>
      <c r="U1329" s="392"/>
      <c r="V1329" s="391"/>
      <c r="W1329" s="391"/>
      <c r="X1329" s="388"/>
      <c r="Y1329" s="391"/>
      <c r="Z1329" s="393"/>
      <c r="AA1329" s="355" t="str">
        <f t="shared" si="1"/>
        <v/>
      </c>
      <c r="AB1329" s="391"/>
      <c r="AC1329" s="394" t="str">
        <f t="shared" si="2"/>
        <v/>
      </c>
      <c r="AD1329" s="389"/>
      <c r="AE1329" s="399"/>
      <c r="AF1329" s="395"/>
      <c r="AG1329" s="396" t="str">
        <f t="shared" si="3"/>
        <v/>
      </c>
      <c r="AH1329" s="396" t="str">
        <f t="shared" si="4"/>
        <v/>
      </c>
      <c r="AI1329" s="388"/>
      <c r="AJ1329" s="388"/>
      <c r="AK1329" s="397"/>
    </row>
    <row r="1330">
      <c r="A1330" s="398"/>
      <c r="B1330" s="386"/>
      <c r="C1330" s="387" t="str">
        <f>IF(A1330="","",IFERROR(IF(VLOOKUP(A1330,'1. Inbound Leads'!A:G,7,FALSE)=0,"",VLOOKUP(A1330,'1. Inbound Leads'!A:G,7,FALSE)),""))</f>
        <v/>
      </c>
      <c r="D1330" s="387" t="str">
        <f>IF(A1330="","",IFERROR(IF(VLOOKUP(A1330,'1. Inbound Leads'!A:L,12,FALSE)=0,"",VLOOKUP(A1330,'1. Inbound Leads'!A:L,12,FALSE)),""))</f>
        <v/>
      </c>
      <c r="E1330" s="388"/>
      <c r="F1330" s="389"/>
      <c r="G1330" s="387"/>
      <c r="H1330" s="387"/>
      <c r="I1330" s="387"/>
      <c r="J1330" s="387"/>
      <c r="K1330" s="387"/>
      <c r="L1330" s="387"/>
      <c r="M1330" s="388"/>
      <c r="N1330" s="388"/>
      <c r="O1330" s="390"/>
      <c r="P1330" s="391"/>
      <c r="Q1330" s="389"/>
      <c r="R1330" s="390"/>
      <c r="S1330" s="390"/>
      <c r="T1330" s="391"/>
      <c r="U1330" s="392"/>
      <c r="V1330" s="391"/>
      <c r="W1330" s="391"/>
      <c r="X1330" s="388"/>
      <c r="Y1330" s="391"/>
      <c r="Z1330" s="393"/>
      <c r="AA1330" s="355" t="str">
        <f t="shared" si="1"/>
        <v/>
      </c>
      <c r="AB1330" s="391"/>
      <c r="AC1330" s="394" t="str">
        <f t="shared" si="2"/>
        <v/>
      </c>
      <c r="AD1330" s="389"/>
      <c r="AE1330" s="399"/>
      <c r="AF1330" s="395"/>
      <c r="AG1330" s="396" t="str">
        <f t="shared" si="3"/>
        <v/>
      </c>
      <c r="AH1330" s="396" t="str">
        <f t="shared" si="4"/>
        <v/>
      </c>
      <c r="AI1330" s="388"/>
      <c r="AJ1330" s="388"/>
      <c r="AK1330" s="397"/>
    </row>
    <row r="1331">
      <c r="A1331" s="398"/>
      <c r="B1331" s="386"/>
      <c r="C1331" s="387" t="str">
        <f>IF(A1331="","",IFERROR(IF(VLOOKUP(A1331,'1. Inbound Leads'!A:G,7,FALSE)=0,"",VLOOKUP(A1331,'1. Inbound Leads'!A:G,7,FALSE)),""))</f>
        <v/>
      </c>
      <c r="D1331" s="387" t="str">
        <f>IF(A1331="","",IFERROR(IF(VLOOKUP(A1331,'1. Inbound Leads'!A:L,12,FALSE)=0,"",VLOOKUP(A1331,'1. Inbound Leads'!A:L,12,FALSE)),""))</f>
        <v/>
      </c>
      <c r="E1331" s="388"/>
      <c r="F1331" s="389"/>
      <c r="G1331" s="387"/>
      <c r="H1331" s="387"/>
      <c r="I1331" s="387"/>
      <c r="J1331" s="387"/>
      <c r="K1331" s="387"/>
      <c r="L1331" s="387"/>
      <c r="M1331" s="388"/>
      <c r="N1331" s="388"/>
      <c r="O1331" s="390"/>
      <c r="P1331" s="391"/>
      <c r="Q1331" s="389"/>
      <c r="R1331" s="390"/>
      <c r="S1331" s="390"/>
      <c r="T1331" s="391"/>
      <c r="U1331" s="392"/>
      <c r="V1331" s="391"/>
      <c r="W1331" s="391"/>
      <c r="X1331" s="388"/>
      <c r="Y1331" s="391"/>
      <c r="Z1331" s="393"/>
      <c r="AA1331" s="355" t="str">
        <f t="shared" si="1"/>
        <v/>
      </c>
      <c r="AB1331" s="391"/>
      <c r="AC1331" s="394" t="str">
        <f t="shared" si="2"/>
        <v/>
      </c>
      <c r="AD1331" s="389"/>
      <c r="AE1331" s="399"/>
      <c r="AF1331" s="395"/>
      <c r="AG1331" s="396" t="str">
        <f t="shared" si="3"/>
        <v/>
      </c>
      <c r="AH1331" s="396" t="str">
        <f t="shared" si="4"/>
        <v/>
      </c>
      <c r="AI1331" s="388"/>
      <c r="AJ1331" s="388"/>
      <c r="AK1331" s="397"/>
    </row>
    <row r="1332">
      <c r="A1332" s="398"/>
      <c r="B1332" s="386"/>
      <c r="C1332" s="387" t="str">
        <f>IF(A1332="","",IFERROR(IF(VLOOKUP(A1332,'1. Inbound Leads'!A:G,7,FALSE)=0,"",VLOOKUP(A1332,'1. Inbound Leads'!A:G,7,FALSE)),""))</f>
        <v/>
      </c>
      <c r="D1332" s="387" t="str">
        <f>IF(A1332="","",IFERROR(IF(VLOOKUP(A1332,'1. Inbound Leads'!A:L,12,FALSE)=0,"",VLOOKUP(A1332,'1. Inbound Leads'!A:L,12,FALSE)),""))</f>
        <v/>
      </c>
      <c r="E1332" s="388"/>
      <c r="F1332" s="389"/>
      <c r="G1332" s="387"/>
      <c r="H1332" s="387"/>
      <c r="I1332" s="387"/>
      <c r="J1332" s="387"/>
      <c r="K1332" s="387"/>
      <c r="L1332" s="387"/>
      <c r="M1332" s="388"/>
      <c r="N1332" s="388"/>
      <c r="O1332" s="390"/>
      <c r="P1332" s="391"/>
      <c r="Q1332" s="389"/>
      <c r="R1332" s="390"/>
      <c r="S1332" s="390"/>
      <c r="T1332" s="391"/>
      <c r="U1332" s="392"/>
      <c r="V1332" s="391"/>
      <c r="W1332" s="391"/>
      <c r="X1332" s="388"/>
      <c r="Y1332" s="391"/>
      <c r="Z1332" s="393"/>
      <c r="AA1332" s="355" t="str">
        <f t="shared" si="1"/>
        <v/>
      </c>
      <c r="AB1332" s="391"/>
      <c r="AC1332" s="394" t="str">
        <f t="shared" si="2"/>
        <v/>
      </c>
      <c r="AD1332" s="389"/>
      <c r="AE1332" s="399"/>
      <c r="AF1332" s="395"/>
      <c r="AG1332" s="396" t="str">
        <f t="shared" si="3"/>
        <v/>
      </c>
      <c r="AH1332" s="396" t="str">
        <f t="shared" si="4"/>
        <v/>
      </c>
      <c r="AI1332" s="388"/>
      <c r="AJ1332" s="388"/>
      <c r="AK1332" s="397"/>
    </row>
    <row r="1333">
      <c r="A1333" s="398"/>
      <c r="B1333" s="386"/>
      <c r="C1333" s="387" t="str">
        <f>IF(A1333="","",IFERROR(IF(VLOOKUP(A1333,'1. Inbound Leads'!A:G,7,FALSE)=0,"",VLOOKUP(A1333,'1. Inbound Leads'!A:G,7,FALSE)),""))</f>
        <v/>
      </c>
      <c r="D1333" s="387" t="str">
        <f>IF(A1333="","",IFERROR(IF(VLOOKUP(A1333,'1. Inbound Leads'!A:L,12,FALSE)=0,"",VLOOKUP(A1333,'1. Inbound Leads'!A:L,12,FALSE)),""))</f>
        <v/>
      </c>
      <c r="E1333" s="388"/>
      <c r="F1333" s="389"/>
      <c r="G1333" s="387"/>
      <c r="H1333" s="387"/>
      <c r="I1333" s="387"/>
      <c r="J1333" s="387"/>
      <c r="K1333" s="387"/>
      <c r="L1333" s="387"/>
      <c r="M1333" s="388"/>
      <c r="N1333" s="388"/>
      <c r="O1333" s="390"/>
      <c r="P1333" s="391"/>
      <c r="Q1333" s="389"/>
      <c r="R1333" s="390"/>
      <c r="S1333" s="390"/>
      <c r="T1333" s="391"/>
      <c r="U1333" s="392"/>
      <c r="V1333" s="391"/>
      <c r="W1333" s="391"/>
      <c r="X1333" s="388"/>
      <c r="Y1333" s="391"/>
      <c r="Z1333" s="393"/>
      <c r="AA1333" s="355" t="str">
        <f t="shared" si="1"/>
        <v/>
      </c>
      <c r="AB1333" s="391"/>
      <c r="AC1333" s="394" t="str">
        <f t="shared" si="2"/>
        <v/>
      </c>
      <c r="AD1333" s="389"/>
      <c r="AE1333" s="399"/>
      <c r="AF1333" s="395"/>
      <c r="AG1333" s="396" t="str">
        <f t="shared" si="3"/>
        <v/>
      </c>
      <c r="AH1333" s="396" t="str">
        <f t="shared" si="4"/>
        <v/>
      </c>
      <c r="AI1333" s="388"/>
      <c r="AJ1333" s="388"/>
      <c r="AK1333" s="397"/>
    </row>
    <row r="1334">
      <c r="A1334" s="398"/>
      <c r="B1334" s="386"/>
      <c r="C1334" s="387" t="str">
        <f>IF(A1334="","",IFERROR(IF(VLOOKUP(A1334,'1. Inbound Leads'!A:G,7,FALSE)=0,"",VLOOKUP(A1334,'1. Inbound Leads'!A:G,7,FALSE)),""))</f>
        <v/>
      </c>
      <c r="D1334" s="387" t="str">
        <f>IF(A1334="","",IFERROR(IF(VLOOKUP(A1334,'1. Inbound Leads'!A:L,12,FALSE)=0,"",VLOOKUP(A1334,'1. Inbound Leads'!A:L,12,FALSE)),""))</f>
        <v/>
      </c>
      <c r="E1334" s="388"/>
      <c r="F1334" s="389"/>
      <c r="G1334" s="387"/>
      <c r="H1334" s="387"/>
      <c r="I1334" s="387"/>
      <c r="J1334" s="387"/>
      <c r="K1334" s="387"/>
      <c r="L1334" s="387"/>
      <c r="M1334" s="388"/>
      <c r="N1334" s="388"/>
      <c r="O1334" s="390"/>
      <c r="P1334" s="391"/>
      <c r="Q1334" s="389"/>
      <c r="R1334" s="390"/>
      <c r="S1334" s="390"/>
      <c r="T1334" s="391"/>
      <c r="U1334" s="392"/>
      <c r="V1334" s="391"/>
      <c r="W1334" s="391"/>
      <c r="X1334" s="388"/>
      <c r="Y1334" s="391"/>
      <c r="Z1334" s="393"/>
      <c r="AA1334" s="355" t="str">
        <f t="shared" si="1"/>
        <v/>
      </c>
      <c r="AB1334" s="391"/>
      <c r="AC1334" s="394" t="str">
        <f t="shared" si="2"/>
        <v/>
      </c>
      <c r="AD1334" s="389"/>
      <c r="AE1334" s="399"/>
      <c r="AF1334" s="395"/>
      <c r="AG1334" s="396" t="str">
        <f t="shared" si="3"/>
        <v/>
      </c>
      <c r="AH1334" s="396" t="str">
        <f t="shared" si="4"/>
        <v/>
      </c>
      <c r="AI1334" s="388"/>
      <c r="AJ1334" s="388"/>
      <c r="AK1334" s="397"/>
    </row>
    <row r="1335">
      <c r="A1335" s="398"/>
      <c r="B1335" s="386"/>
      <c r="C1335" s="387" t="str">
        <f>IF(A1335="","",IFERROR(IF(VLOOKUP(A1335,'1. Inbound Leads'!A:G,7,FALSE)=0,"",VLOOKUP(A1335,'1. Inbound Leads'!A:G,7,FALSE)),""))</f>
        <v/>
      </c>
      <c r="D1335" s="387" t="str">
        <f>IF(A1335="","",IFERROR(IF(VLOOKUP(A1335,'1. Inbound Leads'!A:L,12,FALSE)=0,"",VLOOKUP(A1335,'1. Inbound Leads'!A:L,12,FALSE)),""))</f>
        <v/>
      </c>
      <c r="E1335" s="388"/>
      <c r="F1335" s="389"/>
      <c r="G1335" s="387"/>
      <c r="H1335" s="387"/>
      <c r="I1335" s="387"/>
      <c r="J1335" s="387"/>
      <c r="K1335" s="387"/>
      <c r="L1335" s="387"/>
      <c r="M1335" s="388"/>
      <c r="N1335" s="388"/>
      <c r="O1335" s="390"/>
      <c r="P1335" s="391"/>
      <c r="Q1335" s="389"/>
      <c r="R1335" s="390"/>
      <c r="S1335" s="390"/>
      <c r="T1335" s="391"/>
      <c r="U1335" s="392"/>
      <c r="V1335" s="391"/>
      <c r="W1335" s="391"/>
      <c r="X1335" s="388"/>
      <c r="Y1335" s="391"/>
      <c r="Z1335" s="393"/>
      <c r="AA1335" s="355" t="str">
        <f t="shared" si="1"/>
        <v/>
      </c>
      <c r="AB1335" s="391"/>
      <c r="AC1335" s="394" t="str">
        <f t="shared" si="2"/>
        <v/>
      </c>
      <c r="AD1335" s="389"/>
      <c r="AE1335" s="399"/>
      <c r="AF1335" s="395"/>
      <c r="AG1335" s="396" t="str">
        <f t="shared" si="3"/>
        <v/>
      </c>
      <c r="AH1335" s="396" t="str">
        <f t="shared" si="4"/>
        <v/>
      </c>
      <c r="AI1335" s="388"/>
      <c r="AJ1335" s="388"/>
      <c r="AK1335" s="397"/>
    </row>
    <row r="1336">
      <c r="A1336" s="398"/>
      <c r="B1336" s="386"/>
      <c r="C1336" s="387" t="str">
        <f>IF(A1336="","",IFERROR(IF(VLOOKUP(A1336,'1. Inbound Leads'!A:G,7,FALSE)=0,"",VLOOKUP(A1336,'1. Inbound Leads'!A:G,7,FALSE)),""))</f>
        <v/>
      </c>
      <c r="D1336" s="387" t="str">
        <f>IF(A1336="","",IFERROR(IF(VLOOKUP(A1336,'1. Inbound Leads'!A:L,12,FALSE)=0,"",VLOOKUP(A1336,'1. Inbound Leads'!A:L,12,FALSE)),""))</f>
        <v/>
      </c>
      <c r="E1336" s="388"/>
      <c r="F1336" s="389"/>
      <c r="G1336" s="387"/>
      <c r="H1336" s="387"/>
      <c r="I1336" s="387"/>
      <c r="J1336" s="387"/>
      <c r="K1336" s="387"/>
      <c r="L1336" s="387"/>
      <c r="M1336" s="388"/>
      <c r="N1336" s="388"/>
      <c r="O1336" s="390"/>
      <c r="P1336" s="391"/>
      <c r="Q1336" s="389"/>
      <c r="R1336" s="390"/>
      <c r="S1336" s="390"/>
      <c r="T1336" s="391"/>
      <c r="U1336" s="392"/>
      <c r="V1336" s="391"/>
      <c r="W1336" s="391"/>
      <c r="X1336" s="388"/>
      <c r="Y1336" s="391"/>
      <c r="Z1336" s="393"/>
      <c r="AA1336" s="355" t="str">
        <f t="shared" si="1"/>
        <v/>
      </c>
      <c r="AB1336" s="391"/>
      <c r="AC1336" s="394" t="str">
        <f t="shared" si="2"/>
        <v/>
      </c>
      <c r="AD1336" s="389"/>
      <c r="AE1336" s="399"/>
      <c r="AF1336" s="395"/>
      <c r="AG1336" s="396" t="str">
        <f t="shared" si="3"/>
        <v/>
      </c>
      <c r="AH1336" s="396" t="str">
        <f t="shared" si="4"/>
        <v/>
      </c>
      <c r="AI1336" s="388"/>
      <c r="AJ1336" s="388"/>
      <c r="AK1336" s="397"/>
    </row>
    <row r="1337">
      <c r="A1337" s="398"/>
      <c r="B1337" s="386"/>
      <c r="C1337" s="387" t="str">
        <f>IF(A1337="","",IFERROR(IF(VLOOKUP(A1337,'1. Inbound Leads'!A:G,7,FALSE)=0,"",VLOOKUP(A1337,'1. Inbound Leads'!A:G,7,FALSE)),""))</f>
        <v/>
      </c>
      <c r="D1337" s="387" t="str">
        <f>IF(A1337="","",IFERROR(IF(VLOOKUP(A1337,'1. Inbound Leads'!A:L,12,FALSE)=0,"",VLOOKUP(A1337,'1. Inbound Leads'!A:L,12,FALSE)),""))</f>
        <v/>
      </c>
      <c r="E1337" s="388"/>
      <c r="F1337" s="389"/>
      <c r="G1337" s="387"/>
      <c r="H1337" s="387"/>
      <c r="I1337" s="387"/>
      <c r="J1337" s="387"/>
      <c r="K1337" s="387"/>
      <c r="L1337" s="387"/>
      <c r="M1337" s="388"/>
      <c r="N1337" s="388"/>
      <c r="O1337" s="390"/>
      <c r="P1337" s="391"/>
      <c r="Q1337" s="389"/>
      <c r="R1337" s="390"/>
      <c r="S1337" s="390"/>
      <c r="T1337" s="391"/>
      <c r="U1337" s="392"/>
      <c r="V1337" s="391"/>
      <c r="W1337" s="391"/>
      <c r="X1337" s="388"/>
      <c r="Y1337" s="391"/>
      <c r="Z1337" s="393"/>
      <c r="AA1337" s="355" t="str">
        <f t="shared" si="1"/>
        <v/>
      </c>
      <c r="AB1337" s="391"/>
      <c r="AC1337" s="394" t="str">
        <f t="shared" si="2"/>
        <v/>
      </c>
      <c r="AD1337" s="389"/>
      <c r="AE1337" s="399"/>
      <c r="AF1337" s="395"/>
      <c r="AG1337" s="396" t="str">
        <f t="shared" si="3"/>
        <v/>
      </c>
      <c r="AH1337" s="396" t="str">
        <f t="shared" si="4"/>
        <v/>
      </c>
      <c r="AI1337" s="388"/>
      <c r="AJ1337" s="388"/>
      <c r="AK1337" s="397"/>
    </row>
    <row r="1338">
      <c r="A1338" s="398"/>
      <c r="B1338" s="386"/>
      <c r="C1338" s="387" t="str">
        <f>IF(A1338="","",IFERROR(IF(VLOOKUP(A1338,'1. Inbound Leads'!A:G,7,FALSE)=0,"",VLOOKUP(A1338,'1. Inbound Leads'!A:G,7,FALSE)),""))</f>
        <v/>
      </c>
      <c r="D1338" s="387" t="str">
        <f>IF(A1338="","",IFERROR(IF(VLOOKUP(A1338,'1. Inbound Leads'!A:L,12,FALSE)=0,"",VLOOKUP(A1338,'1. Inbound Leads'!A:L,12,FALSE)),""))</f>
        <v/>
      </c>
      <c r="E1338" s="388"/>
      <c r="F1338" s="389"/>
      <c r="G1338" s="387"/>
      <c r="H1338" s="387"/>
      <c r="I1338" s="387"/>
      <c r="J1338" s="387"/>
      <c r="K1338" s="387"/>
      <c r="L1338" s="387"/>
      <c r="M1338" s="388"/>
      <c r="N1338" s="388"/>
      <c r="O1338" s="390"/>
      <c r="P1338" s="391"/>
      <c r="Q1338" s="389"/>
      <c r="R1338" s="390"/>
      <c r="S1338" s="390"/>
      <c r="T1338" s="391"/>
      <c r="U1338" s="392"/>
      <c r="V1338" s="391"/>
      <c r="W1338" s="391"/>
      <c r="X1338" s="388"/>
      <c r="Y1338" s="391"/>
      <c r="Z1338" s="393"/>
      <c r="AA1338" s="355" t="str">
        <f t="shared" si="1"/>
        <v/>
      </c>
      <c r="AB1338" s="391"/>
      <c r="AC1338" s="394" t="str">
        <f t="shared" si="2"/>
        <v/>
      </c>
      <c r="AD1338" s="389"/>
      <c r="AE1338" s="399"/>
      <c r="AF1338" s="395"/>
      <c r="AG1338" s="396" t="str">
        <f t="shared" si="3"/>
        <v/>
      </c>
      <c r="AH1338" s="396" t="str">
        <f t="shared" si="4"/>
        <v/>
      </c>
      <c r="AI1338" s="388"/>
      <c r="AJ1338" s="388"/>
      <c r="AK1338" s="397"/>
    </row>
    <row r="1339">
      <c r="A1339" s="398"/>
      <c r="B1339" s="386"/>
      <c r="C1339" s="387" t="str">
        <f>IF(A1339="","",IFERROR(IF(VLOOKUP(A1339,'1. Inbound Leads'!A:G,7,FALSE)=0,"",VLOOKUP(A1339,'1. Inbound Leads'!A:G,7,FALSE)),""))</f>
        <v/>
      </c>
      <c r="D1339" s="387" t="str">
        <f>IF(A1339="","",IFERROR(IF(VLOOKUP(A1339,'1. Inbound Leads'!A:L,12,FALSE)=0,"",VLOOKUP(A1339,'1. Inbound Leads'!A:L,12,FALSE)),""))</f>
        <v/>
      </c>
      <c r="E1339" s="388"/>
      <c r="F1339" s="389"/>
      <c r="G1339" s="387"/>
      <c r="H1339" s="387"/>
      <c r="I1339" s="387"/>
      <c r="J1339" s="387"/>
      <c r="K1339" s="387"/>
      <c r="L1339" s="387"/>
      <c r="M1339" s="388"/>
      <c r="N1339" s="388"/>
      <c r="O1339" s="390"/>
      <c r="P1339" s="391"/>
      <c r="Q1339" s="389"/>
      <c r="R1339" s="390"/>
      <c r="S1339" s="390"/>
      <c r="T1339" s="391"/>
      <c r="U1339" s="392"/>
      <c r="V1339" s="391"/>
      <c r="W1339" s="391"/>
      <c r="X1339" s="388"/>
      <c r="Y1339" s="391"/>
      <c r="Z1339" s="393"/>
      <c r="AA1339" s="355" t="str">
        <f t="shared" si="1"/>
        <v/>
      </c>
      <c r="AB1339" s="391"/>
      <c r="AC1339" s="394" t="str">
        <f t="shared" si="2"/>
        <v/>
      </c>
      <c r="AD1339" s="389"/>
      <c r="AE1339" s="399"/>
      <c r="AF1339" s="395"/>
      <c r="AG1339" s="396" t="str">
        <f t="shared" si="3"/>
        <v/>
      </c>
      <c r="AH1339" s="396" t="str">
        <f t="shared" si="4"/>
        <v/>
      </c>
      <c r="AI1339" s="388"/>
      <c r="AJ1339" s="388"/>
      <c r="AK1339" s="397"/>
    </row>
    <row r="1340">
      <c r="A1340" s="398"/>
      <c r="B1340" s="386"/>
      <c r="C1340" s="387" t="str">
        <f>IF(A1340="","",IFERROR(IF(VLOOKUP(A1340,'1. Inbound Leads'!A:G,7,FALSE)=0,"",VLOOKUP(A1340,'1. Inbound Leads'!A:G,7,FALSE)),""))</f>
        <v/>
      </c>
      <c r="D1340" s="387" t="str">
        <f>IF(A1340="","",IFERROR(IF(VLOOKUP(A1340,'1. Inbound Leads'!A:L,12,FALSE)=0,"",VLOOKUP(A1340,'1. Inbound Leads'!A:L,12,FALSE)),""))</f>
        <v/>
      </c>
      <c r="E1340" s="388"/>
      <c r="F1340" s="389"/>
      <c r="G1340" s="387"/>
      <c r="H1340" s="387"/>
      <c r="I1340" s="387"/>
      <c r="J1340" s="387"/>
      <c r="K1340" s="387"/>
      <c r="L1340" s="387"/>
      <c r="M1340" s="388"/>
      <c r="N1340" s="388"/>
      <c r="O1340" s="390"/>
      <c r="P1340" s="391"/>
      <c r="Q1340" s="389"/>
      <c r="R1340" s="390"/>
      <c r="S1340" s="390"/>
      <c r="T1340" s="391"/>
      <c r="U1340" s="392"/>
      <c r="V1340" s="391"/>
      <c r="W1340" s="391"/>
      <c r="X1340" s="388"/>
      <c r="Y1340" s="391"/>
      <c r="Z1340" s="393"/>
      <c r="AA1340" s="355" t="str">
        <f t="shared" si="1"/>
        <v/>
      </c>
      <c r="AB1340" s="391"/>
      <c r="AC1340" s="394" t="str">
        <f t="shared" si="2"/>
        <v/>
      </c>
      <c r="AD1340" s="389"/>
      <c r="AE1340" s="399"/>
      <c r="AF1340" s="395"/>
      <c r="AG1340" s="396" t="str">
        <f t="shared" si="3"/>
        <v/>
      </c>
      <c r="AH1340" s="396" t="str">
        <f t="shared" si="4"/>
        <v/>
      </c>
      <c r="AI1340" s="388"/>
      <c r="AJ1340" s="388"/>
      <c r="AK1340" s="397"/>
    </row>
    <row r="1341">
      <c r="A1341" s="398"/>
      <c r="B1341" s="386"/>
      <c r="C1341" s="387" t="str">
        <f>IF(A1341="","",IFERROR(IF(VLOOKUP(A1341,'1. Inbound Leads'!A:G,7,FALSE)=0,"",VLOOKUP(A1341,'1. Inbound Leads'!A:G,7,FALSE)),""))</f>
        <v/>
      </c>
      <c r="D1341" s="387" t="str">
        <f>IF(A1341="","",IFERROR(IF(VLOOKUP(A1341,'1. Inbound Leads'!A:L,12,FALSE)=0,"",VLOOKUP(A1341,'1. Inbound Leads'!A:L,12,FALSE)),""))</f>
        <v/>
      </c>
      <c r="E1341" s="388"/>
      <c r="F1341" s="389"/>
      <c r="G1341" s="387"/>
      <c r="H1341" s="387"/>
      <c r="I1341" s="387"/>
      <c r="J1341" s="387"/>
      <c r="K1341" s="387"/>
      <c r="L1341" s="387"/>
      <c r="M1341" s="388"/>
      <c r="N1341" s="388"/>
      <c r="O1341" s="390"/>
      <c r="P1341" s="391"/>
      <c r="Q1341" s="389"/>
      <c r="R1341" s="390"/>
      <c r="S1341" s="390"/>
      <c r="T1341" s="391"/>
      <c r="U1341" s="392"/>
      <c r="V1341" s="391"/>
      <c r="W1341" s="391"/>
      <c r="X1341" s="388"/>
      <c r="Y1341" s="391"/>
      <c r="Z1341" s="393"/>
      <c r="AA1341" s="355" t="str">
        <f t="shared" si="1"/>
        <v/>
      </c>
      <c r="AB1341" s="391"/>
      <c r="AC1341" s="394" t="str">
        <f t="shared" si="2"/>
        <v/>
      </c>
      <c r="AD1341" s="389"/>
      <c r="AE1341" s="399"/>
      <c r="AF1341" s="395"/>
      <c r="AG1341" s="396" t="str">
        <f t="shared" si="3"/>
        <v/>
      </c>
      <c r="AH1341" s="396" t="str">
        <f t="shared" si="4"/>
        <v/>
      </c>
      <c r="AI1341" s="388"/>
      <c r="AJ1341" s="388"/>
      <c r="AK1341" s="397"/>
    </row>
    <row r="1342">
      <c r="A1342" s="398"/>
      <c r="B1342" s="386"/>
      <c r="C1342" s="387" t="str">
        <f>IF(A1342="","",IFERROR(IF(VLOOKUP(A1342,'1. Inbound Leads'!A:G,7,FALSE)=0,"",VLOOKUP(A1342,'1. Inbound Leads'!A:G,7,FALSE)),""))</f>
        <v/>
      </c>
      <c r="D1342" s="387" t="str">
        <f>IF(A1342="","",IFERROR(IF(VLOOKUP(A1342,'1. Inbound Leads'!A:L,12,FALSE)=0,"",VLOOKUP(A1342,'1. Inbound Leads'!A:L,12,FALSE)),""))</f>
        <v/>
      </c>
      <c r="E1342" s="388"/>
      <c r="F1342" s="389"/>
      <c r="G1342" s="387"/>
      <c r="H1342" s="387"/>
      <c r="I1342" s="387"/>
      <c r="J1342" s="387"/>
      <c r="K1342" s="387"/>
      <c r="L1342" s="387"/>
      <c r="M1342" s="388"/>
      <c r="N1342" s="388"/>
      <c r="O1342" s="390"/>
      <c r="P1342" s="391"/>
      <c r="Q1342" s="389"/>
      <c r="R1342" s="390"/>
      <c r="S1342" s="390"/>
      <c r="T1342" s="391"/>
      <c r="U1342" s="392"/>
      <c r="V1342" s="391"/>
      <c r="W1342" s="391"/>
      <c r="X1342" s="388"/>
      <c r="Y1342" s="391"/>
      <c r="Z1342" s="393"/>
      <c r="AA1342" s="355" t="str">
        <f t="shared" si="1"/>
        <v/>
      </c>
      <c r="AB1342" s="391"/>
      <c r="AC1342" s="394" t="str">
        <f t="shared" si="2"/>
        <v/>
      </c>
      <c r="AD1342" s="389"/>
      <c r="AE1342" s="399"/>
      <c r="AF1342" s="395"/>
      <c r="AG1342" s="396" t="str">
        <f t="shared" si="3"/>
        <v/>
      </c>
      <c r="AH1342" s="396" t="str">
        <f t="shared" si="4"/>
        <v/>
      </c>
      <c r="AI1342" s="388"/>
      <c r="AJ1342" s="388"/>
      <c r="AK1342" s="397"/>
    </row>
    <row r="1343">
      <c r="A1343" s="398"/>
      <c r="B1343" s="386"/>
      <c r="C1343" s="387" t="str">
        <f>IF(A1343="","",IFERROR(IF(VLOOKUP(A1343,'1. Inbound Leads'!A:G,7,FALSE)=0,"",VLOOKUP(A1343,'1. Inbound Leads'!A:G,7,FALSE)),""))</f>
        <v/>
      </c>
      <c r="D1343" s="387" t="str">
        <f>IF(A1343="","",IFERROR(IF(VLOOKUP(A1343,'1. Inbound Leads'!A:L,12,FALSE)=0,"",VLOOKUP(A1343,'1. Inbound Leads'!A:L,12,FALSE)),""))</f>
        <v/>
      </c>
      <c r="E1343" s="388"/>
      <c r="F1343" s="389"/>
      <c r="G1343" s="387"/>
      <c r="H1343" s="387"/>
      <c r="I1343" s="387"/>
      <c r="J1343" s="387"/>
      <c r="K1343" s="387"/>
      <c r="L1343" s="387"/>
      <c r="M1343" s="388"/>
      <c r="N1343" s="388"/>
      <c r="O1343" s="390"/>
      <c r="P1343" s="391"/>
      <c r="Q1343" s="389"/>
      <c r="R1343" s="390"/>
      <c r="S1343" s="390"/>
      <c r="T1343" s="391"/>
      <c r="U1343" s="392"/>
      <c r="V1343" s="391"/>
      <c r="W1343" s="391"/>
      <c r="X1343" s="388"/>
      <c r="Y1343" s="391"/>
      <c r="Z1343" s="393"/>
      <c r="AA1343" s="355" t="str">
        <f t="shared" si="1"/>
        <v/>
      </c>
      <c r="AB1343" s="391"/>
      <c r="AC1343" s="394" t="str">
        <f t="shared" si="2"/>
        <v/>
      </c>
      <c r="AD1343" s="389"/>
      <c r="AE1343" s="399"/>
      <c r="AF1343" s="395"/>
      <c r="AG1343" s="396" t="str">
        <f t="shared" si="3"/>
        <v/>
      </c>
      <c r="AH1343" s="396" t="str">
        <f t="shared" si="4"/>
        <v/>
      </c>
      <c r="AI1343" s="388"/>
      <c r="AJ1343" s="388"/>
      <c r="AK1343" s="397"/>
    </row>
    <row r="1344">
      <c r="A1344" s="398"/>
      <c r="B1344" s="386"/>
      <c r="C1344" s="387" t="str">
        <f>IF(A1344="","",IFERROR(IF(VLOOKUP(A1344,'1. Inbound Leads'!A:G,7,FALSE)=0,"",VLOOKUP(A1344,'1. Inbound Leads'!A:G,7,FALSE)),""))</f>
        <v/>
      </c>
      <c r="D1344" s="387" t="str">
        <f>IF(A1344="","",IFERROR(IF(VLOOKUP(A1344,'1. Inbound Leads'!A:L,12,FALSE)=0,"",VLOOKUP(A1344,'1. Inbound Leads'!A:L,12,FALSE)),""))</f>
        <v/>
      </c>
      <c r="E1344" s="388"/>
      <c r="F1344" s="389"/>
      <c r="G1344" s="387"/>
      <c r="H1344" s="387"/>
      <c r="I1344" s="387"/>
      <c r="J1344" s="387"/>
      <c r="K1344" s="387"/>
      <c r="L1344" s="387"/>
      <c r="M1344" s="388"/>
      <c r="N1344" s="388"/>
      <c r="O1344" s="390"/>
      <c r="P1344" s="391"/>
      <c r="Q1344" s="389"/>
      <c r="R1344" s="390"/>
      <c r="S1344" s="390"/>
      <c r="T1344" s="391"/>
      <c r="U1344" s="392"/>
      <c r="V1344" s="391"/>
      <c r="W1344" s="391"/>
      <c r="X1344" s="388"/>
      <c r="Y1344" s="391"/>
      <c r="Z1344" s="393"/>
      <c r="AA1344" s="355" t="str">
        <f t="shared" si="1"/>
        <v/>
      </c>
      <c r="AB1344" s="391"/>
      <c r="AC1344" s="394" t="str">
        <f t="shared" si="2"/>
        <v/>
      </c>
      <c r="AD1344" s="389"/>
      <c r="AE1344" s="399"/>
      <c r="AF1344" s="395"/>
      <c r="AG1344" s="396" t="str">
        <f t="shared" si="3"/>
        <v/>
      </c>
      <c r="AH1344" s="396" t="str">
        <f t="shared" si="4"/>
        <v/>
      </c>
      <c r="AI1344" s="388"/>
      <c r="AJ1344" s="388"/>
      <c r="AK1344" s="397"/>
    </row>
    <row r="1345">
      <c r="A1345" s="398"/>
      <c r="B1345" s="386"/>
      <c r="C1345" s="387" t="str">
        <f>IF(A1345="","",IFERROR(IF(VLOOKUP(A1345,'1. Inbound Leads'!A:G,7,FALSE)=0,"",VLOOKUP(A1345,'1. Inbound Leads'!A:G,7,FALSE)),""))</f>
        <v/>
      </c>
      <c r="D1345" s="387" t="str">
        <f>IF(A1345="","",IFERROR(IF(VLOOKUP(A1345,'1. Inbound Leads'!A:L,12,FALSE)=0,"",VLOOKUP(A1345,'1. Inbound Leads'!A:L,12,FALSE)),""))</f>
        <v/>
      </c>
      <c r="E1345" s="388"/>
      <c r="F1345" s="389"/>
      <c r="G1345" s="387"/>
      <c r="H1345" s="387"/>
      <c r="I1345" s="387"/>
      <c r="J1345" s="387"/>
      <c r="K1345" s="387"/>
      <c r="L1345" s="387"/>
      <c r="M1345" s="388"/>
      <c r="N1345" s="388"/>
      <c r="O1345" s="390"/>
      <c r="P1345" s="391"/>
      <c r="Q1345" s="389"/>
      <c r="R1345" s="390"/>
      <c r="S1345" s="390"/>
      <c r="T1345" s="391"/>
      <c r="U1345" s="392"/>
      <c r="V1345" s="391"/>
      <c r="W1345" s="391"/>
      <c r="X1345" s="388"/>
      <c r="Y1345" s="391"/>
      <c r="Z1345" s="393"/>
      <c r="AA1345" s="355" t="str">
        <f t="shared" si="1"/>
        <v/>
      </c>
      <c r="AB1345" s="391"/>
      <c r="AC1345" s="394" t="str">
        <f t="shared" si="2"/>
        <v/>
      </c>
      <c r="AD1345" s="389"/>
      <c r="AE1345" s="399"/>
      <c r="AF1345" s="395"/>
      <c r="AG1345" s="396" t="str">
        <f t="shared" si="3"/>
        <v/>
      </c>
      <c r="AH1345" s="396" t="str">
        <f t="shared" si="4"/>
        <v/>
      </c>
      <c r="AI1345" s="388"/>
      <c r="AJ1345" s="388"/>
      <c r="AK1345" s="397"/>
    </row>
    <row r="1346">
      <c r="A1346" s="398"/>
      <c r="B1346" s="386"/>
      <c r="C1346" s="387" t="str">
        <f>IF(A1346="","",IFERROR(IF(VLOOKUP(A1346,'1. Inbound Leads'!A:G,7,FALSE)=0,"",VLOOKUP(A1346,'1. Inbound Leads'!A:G,7,FALSE)),""))</f>
        <v/>
      </c>
      <c r="D1346" s="387" t="str">
        <f>IF(A1346="","",IFERROR(IF(VLOOKUP(A1346,'1. Inbound Leads'!A:L,12,FALSE)=0,"",VLOOKUP(A1346,'1. Inbound Leads'!A:L,12,FALSE)),""))</f>
        <v/>
      </c>
      <c r="E1346" s="388"/>
      <c r="F1346" s="389"/>
      <c r="G1346" s="387"/>
      <c r="H1346" s="387"/>
      <c r="I1346" s="387"/>
      <c r="J1346" s="387"/>
      <c r="K1346" s="387"/>
      <c r="L1346" s="387"/>
      <c r="M1346" s="388"/>
      <c r="N1346" s="388"/>
      <c r="O1346" s="390"/>
      <c r="P1346" s="391"/>
      <c r="Q1346" s="389"/>
      <c r="R1346" s="390"/>
      <c r="S1346" s="390"/>
      <c r="T1346" s="391"/>
      <c r="U1346" s="392"/>
      <c r="V1346" s="391"/>
      <c r="W1346" s="391"/>
      <c r="X1346" s="388"/>
      <c r="Y1346" s="391"/>
      <c r="Z1346" s="393"/>
      <c r="AA1346" s="355" t="str">
        <f t="shared" si="1"/>
        <v/>
      </c>
      <c r="AB1346" s="391"/>
      <c r="AC1346" s="394" t="str">
        <f t="shared" si="2"/>
        <v/>
      </c>
      <c r="AD1346" s="389"/>
      <c r="AE1346" s="399"/>
      <c r="AF1346" s="395"/>
      <c r="AG1346" s="396" t="str">
        <f t="shared" si="3"/>
        <v/>
      </c>
      <c r="AH1346" s="396" t="str">
        <f t="shared" si="4"/>
        <v/>
      </c>
      <c r="AI1346" s="388"/>
      <c r="AJ1346" s="388"/>
      <c r="AK1346" s="397"/>
    </row>
    <row r="1347">
      <c r="A1347" s="398"/>
      <c r="B1347" s="386"/>
      <c r="C1347" s="387" t="str">
        <f>IF(A1347="","",IFERROR(IF(VLOOKUP(A1347,'1. Inbound Leads'!A:G,7,FALSE)=0,"",VLOOKUP(A1347,'1. Inbound Leads'!A:G,7,FALSE)),""))</f>
        <v/>
      </c>
      <c r="D1347" s="387" t="str">
        <f>IF(A1347="","",IFERROR(IF(VLOOKUP(A1347,'1. Inbound Leads'!A:L,12,FALSE)=0,"",VLOOKUP(A1347,'1. Inbound Leads'!A:L,12,FALSE)),""))</f>
        <v/>
      </c>
      <c r="E1347" s="388"/>
      <c r="F1347" s="389"/>
      <c r="G1347" s="387"/>
      <c r="H1347" s="387"/>
      <c r="I1347" s="387"/>
      <c r="J1347" s="387"/>
      <c r="K1347" s="387"/>
      <c r="L1347" s="387"/>
      <c r="M1347" s="388"/>
      <c r="N1347" s="388"/>
      <c r="O1347" s="390"/>
      <c r="P1347" s="391"/>
      <c r="Q1347" s="389"/>
      <c r="R1347" s="390"/>
      <c r="S1347" s="390"/>
      <c r="T1347" s="391"/>
      <c r="U1347" s="392"/>
      <c r="V1347" s="391"/>
      <c r="W1347" s="391"/>
      <c r="X1347" s="388"/>
      <c r="Y1347" s="391"/>
      <c r="Z1347" s="393"/>
      <c r="AA1347" s="355" t="str">
        <f t="shared" si="1"/>
        <v/>
      </c>
      <c r="AB1347" s="391"/>
      <c r="AC1347" s="394" t="str">
        <f t="shared" si="2"/>
        <v/>
      </c>
      <c r="AD1347" s="389"/>
      <c r="AE1347" s="399"/>
      <c r="AF1347" s="395"/>
      <c r="AG1347" s="396" t="str">
        <f t="shared" si="3"/>
        <v/>
      </c>
      <c r="AH1347" s="396" t="str">
        <f t="shared" si="4"/>
        <v/>
      </c>
      <c r="AI1347" s="388"/>
      <c r="AJ1347" s="388"/>
      <c r="AK1347" s="397"/>
    </row>
    <row r="1348">
      <c r="A1348" s="398"/>
      <c r="B1348" s="386"/>
      <c r="C1348" s="387" t="str">
        <f>IF(A1348="","",IFERROR(IF(VLOOKUP(A1348,'1. Inbound Leads'!A:G,7,FALSE)=0,"",VLOOKUP(A1348,'1. Inbound Leads'!A:G,7,FALSE)),""))</f>
        <v/>
      </c>
      <c r="D1348" s="387" t="str">
        <f>IF(A1348="","",IFERROR(IF(VLOOKUP(A1348,'1. Inbound Leads'!A:L,12,FALSE)=0,"",VLOOKUP(A1348,'1. Inbound Leads'!A:L,12,FALSE)),""))</f>
        <v/>
      </c>
      <c r="E1348" s="388"/>
      <c r="F1348" s="389"/>
      <c r="G1348" s="387"/>
      <c r="H1348" s="387"/>
      <c r="I1348" s="387"/>
      <c r="J1348" s="387"/>
      <c r="K1348" s="387"/>
      <c r="L1348" s="387"/>
      <c r="M1348" s="388"/>
      <c r="N1348" s="388"/>
      <c r="O1348" s="390"/>
      <c r="P1348" s="391"/>
      <c r="Q1348" s="389"/>
      <c r="R1348" s="390"/>
      <c r="S1348" s="390"/>
      <c r="T1348" s="391"/>
      <c r="U1348" s="392"/>
      <c r="V1348" s="391"/>
      <c r="W1348" s="391"/>
      <c r="X1348" s="388"/>
      <c r="Y1348" s="391"/>
      <c r="Z1348" s="393"/>
      <c r="AA1348" s="355" t="str">
        <f t="shared" si="1"/>
        <v/>
      </c>
      <c r="AB1348" s="391"/>
      <c r="AC1348" s="394" t="str">
        <f t="shared" si="2"/>
        <v/>
      </c>
      <c r="AD1348" s="389"/>
      <c r="AE1348" s="399"/>
      <c r="AF1348" s="395"/>
      <c r="AG1348" s="396" t="str">
        <f t="shared" si="3"/>
        <v/>
      </c>
      <c r="AH1348" s="396" t="str">
        <f t="shared" si="4"/>
        <v/>
      </c>
      <c r="AI1348" s="388"/>
      <c r="AJ1348" s="388"/>
      <c r="AK1348" s="397"/>
    </row>
    <row r="1349">
      <c r="A1349" s="398"/>
      <c r="B1349" s="386"/>
      <c r="C1349" s="387" t="str">
        <f>IF(A1349="","",IFERROR(IF(VLOOKUP(A1349,'1. Inbound Leads'!A:G,7,FALSE)=0,"",VLOOKUP(A1349,'1. Inbound Leads'!A:G,7,FALSE)),""))</f>
        <v/>
      </c>
      <c r="D1349" s="387" t="str">
        <f>IF(A1349="","",IFERROR(IF(VLOOKUP(A1349,'1. Inbound Leads'!A:L,12,FALSE)=0,"",VLOOKUP(A1349,'1. Inbound Leads'!A:L,12,FALSE)),""))</f>
        <v/>
      </c>
      <c r="E1349" s="388"/>
      <c r="F1349" s="389"/>
      <c r="G1349" s="387"/>
      <c r="H1349" s="387"/>
      <c r="I1349" s="387"/>
      <c r="J1349" s="387"/>
      <c r="K1349" s="387"/>
      <c r="L1349" s="387"/>
      <c r="M1349" s="388"/>
      <c r="N1349" s="388"/>
      <c r="O1349" s="390"/>
      <c r="P1349" s="391"/>
      <c r="Q1349" s="389"/>
      <c r="R1349" s="390"/>
      <c r="S1349" s="390"/>
      <c r="T1349" s="391"/>
      <c r="U1349" s="392"/>
      <c r="V1349" s="391"/>
      <c r="W1349" s="391"/>
      <c r="X1349" s="388"/>
      <c r="Y1349" s="391"/>
      <c r="Z1349" s="393"/>
      <c r="AA1349" s="355" t="str">
        <f t="shared" si="1"/>
        <v/>
      </c>
      <c r="AB1349" s="391"/>
      <c r="AC1349" s="394" t="str">
        <f t="shared" si="2"/>
        <v/>
      </c>
      <c r="AD1349" s="389"/>
      <c r="AE1349" s="399"/>
      <c r="AF1349" s="395"/>
      <c r="AG1349" s="396" t="str">
        <f t="shared" si="3"/>
        <v/>
      </c>
      <c r="AH1349" s="396" t="str">
        <f t="shared" si="4"/>
        <v/>
      </c>
      <c r="AI1349" s="388"/>
      <c r="AJ1349" s="388"/>
      <c r="AK1349" s="397"/>
    </row>
    <row r="1350">
      <c r="A1350" s="398"/>
      <c r="B1350" s="386"/>
      <c r="C1350" s="387" t="str">
        <f>IF(A1350="","",IFERROR(IF(VLOOKUP(A1350,'1. Inbound Leads'!A:G,7,FALSE)=0,"",VLOOKUP(A1350,'1. Inbound Leads'!A:G,7,FALSE)),""))</f>
        <v/>
      </c>
      <c r="D1350" s="387" t="str">
        <f>IF(A1350="","",IFERROR(IF(VLOOKUP(A1350,'1. Inbound Leads'!A:L,12,FALSE)=0,"",VLOOKUP(A1350,'1. Inbound Leads'!A:L,12,FALSE)),""))</f>
        <v/>
      </c>
      <c r="E1350" s="388"/>
      <c r="F1350" s="389"/>
      <c r="G1350" s="387"/>
      <c r="H1350" s="387"/>
      <c r="I1350" s="387"/>
      <c r="J1350" s="387"/>
      <c r="K1350" s="387"/>
      <c r="L1350" s="387"/>
      <c r="M1350" s="388"/>
      <c r="N1350" s="388"/>
      <c r="O1350" s="390"/>
      <c r="P1350" s="391"/>
      <c r="Q1350" s="389"/>
      <c r="R1350" s="390"/>
      <c r="S1350" s="390"/>
      <c r="T1350" s="391"/>
      <c r="U1350" s="392"/>
      <c r="V1350" s="391"/>
      <c r="W1350" s="391"/>
      <c r="X1350" s="388"/>
      <c r="Y1350" s="391"/>
      <c r="Z1350" s="393"/>
      <c r="AA1350" s="355" t="str">
        <f t="shared" si="1"/>
        <v/>
      </c>
      <c r="AB1350" s="391"/>
      <c r="AC1350" s="394" t="str">
        <f t="shared" si="2"/>
        <v/>
      </c>
      <c r="AD1350" s="389"/>
      <c r="AE1350" s="399"/>
      <c r="AF1350" s="395"/>
      <c r="AG1350" s="396" t="str">
        <f t="shared" si="3"/>
        <v/>
      </c>
      <c r="AH1350" s="396" t="str">
        <f t="shared" si="4"/>
        <v/>
      </c>
      <c r="AI1350" s="388"/>
      <c r="AJ1350" s="388"/>
      <c r="AK1350" s="397"/>
    </row>
    <row r="1351">
      <c r="A1351" s="398"/>
      <c r="B1351" s="386"/>
      <c r="C1351" s="387" t="str">
        <f>IF(A1351="","",IFERROR(IF(VLOOKUP(A1351,'1. Inbound Leads'!A:G,7,FALSE)=0,"",VLOOKUP(A1351,'1. Inbound Leads'!A:G,7,FALSE)),""))</f>
        <v/>
      </c>
      <c r="D1351" s="387" t="str">
        <f>IF(A1351="","",IFERROR(IF(VLOOKUP(A1351,'1. Inbound Leads'!A:L,12,FALSE)=0,"",VLOOKUP(A1351,'1. Inbound Leads'!A:L,12,FALSE)),""))</f>
        <v/>
      </c>
      <c r="E1351" s="388"/>
      <c r="F1351" s="389"/>
      <c r="G1351" s="387"/>
      <c r="H1351" s="387"/>
      <c r="I1351" s="387"/>
      <c r="J1351" s="387"/>
      <c r="K1351" s="387"/>
      <c r="L1351" s="387"/>
      <c r="M1351" s="388"/>
      <c r="N1351" s="388"/>
      <c r="O1351" s="390"/>
      <c r="P1351" s="391"/>
      <c r="Q1351" s="389"/>
      <c r="R1351" s="390"/>
      <c r="S1351" s="390"/>
      <c r="T1351" s="391"/>
      <c r="U1351" s="392"/>
      <c r="V1351" s="391"/>
      <c r="W1351" s="391"/>
      <c r="X1351" s="388"/>
      <c r="Y1351" s="391"/>
      <c r="Z1351" s="393"/>
      <c r="AA1351" s="355" t="str">
        <f t="shared" si="1"/>
        <v/>
      </c>
      <c r="AB1351" s="391"/>
      <c r="AC1351" s="394" t="str">
        <f t="shared" si="2"/>
        <v/>
      </c>
      <c r="AD1351" s="389"/>
      <c r="AE1351" s="399"/>
      <c r="AF1351" s="395"/>
      <c r="AG1351" s="396" t="str">
        <f t="shared" si="3"/>
        <v/>
      </c>
      <c r="AH1351" s="396" t="str">
        <f t="shared" si="4"/>
        <v/>
      </c>
      <c r="AI1351" s="388"/>
      <c r="AJ1351" s="388"/>
      <c r="AK1351" s="397"/>
    </row>
    <row r="1352">
      <c r="A1352" s="398"/>
      <c r="B1352" s="386"/>
      <c r="C1352" s="387" t="str">
        <f>IF(A1352="","",IFERROR(IF(VLOOKUP(A1352,'1. Inbound Leads'!A:G,7,FALSE)=0,"",VLOOKUP(A1352,'1. Inbound Leads'!A:G,7,FALSE)),""))</f>
        <v/>
      </c>
      <c r="D1352" s="387" t="str">
        <f>IF(A1352="","",IFERROR(IF(VLOOKUP(A1352,'1. Inbound Leads'!A:L,12,FALSE)=0,"",VLOOKUP(A1352,'1. Inbound Leads'!A:L,12,FALSE)),""))</f>
        <v/>
      </c>
      <c r="E1352" s="388"/>
      <c r="F1352" s="389"/>
      <c r="G1352" s="387"/>
      <c r="H1352" s="387"/>
      <c r="I1352" s="387"/>
      <c r="J1352" s="387"/>
      <c r="K1352" s="387"/>
      <c r="L1352" s="387"/>
      <c r="M1352" s="388"/>
      <c r="N1352" s="388"/>
      <c r="O1352" s="390"/>
      <c r="P1352" s="391"/>
      <c r="Q1352" s="389"/>
      <c r="R1352" s="390"/>
      <c r="S1352" s="390"/>
      <c r="T1352" s="391"/>
      <c r="U1352" s="392"/>
      <c r="V1352" s="391"/>
      <c r="W1352" s="391"/>
      <c r="X1352" s="388"/>
      <c r="Y1352" s="391"/>
      <c r="Z1352" s="393"/>
      <c r="AA1352" s="355" t="str">
        <f t="shared" si="1"/>
        <v/>
      </c>
      <c r="AB1352" s="391"/>
      <c r="AC1352" s="394" t="str">
        <f t="shared" si="2"/>
        <v/>
      </c>
      <c r="AD1352" s="389"/>
      <c r="AE1352" s="399"/>
      <c r="AF1352" s="395"/>
      <c r="AG1352" s="396" t="str">
        <f t="shared" si="3"/>
        <v/>
      </c>
      <c r="AH1352" s="396" t="str">
        <f t="shared" si="4"/>
        <v/>
      </c>
      <c r="AI1352" s="388"/>
      <c r="AJ1352" s="388"/>
      <c r="AK1352" s="397"/>
    </row>
    <row r="1353">
      <c r="A1353" s="398"/>
      <c r="B1353" s="386"/>
      <c r="C1353" s="387" t="str">
        <f>IF(A1353="","",IFERROR(IF(VLOOKUP(A1353,'1. Inbound Leads'!A:G,7,FALSE)=0,"",VLOOKUP(A1353,'1. Inbound Leads'!A:G,7,FALSE)),""))</f>
        <v/>
      </c>
      <c r="D1353" s="387" t="str">
        <f>IF(A1353="","",IFERROR(IF(VLOOKUP(A1353,'1. Inbound Leads'!A:L,12,FALSE)=0,"",VLOOKUP(A1353,'1. Inbound Leads'!A:L,12,FALSE)),""))</f>
        <v/>
      </c>
      <c r="E1353" s="388"/>
      <c r="F1353" s="389"/>
      <c r="G1353" s="387"/>
      <c r="H1353" s="387"/>
      <c r="I1353" s="387"/>
      <c r="J1353" s="387"/>
      <c r="K1353" s="387"/>
      <c r="L1353" s="387"/>
      <c r="M1353" s="388"/>
      <c r="N1353" s="388"/>
      <c r="O1353" s="390"/>
      <c r="P1353" s="391"/>
      <c r="Q1353" s="389"/>
      <c r="R1353" s="390"/>
      <c r="S1353" s="390"/>
      <c r="T1353" s="391"/>
      <c r="U1353" s="392"/>
      <c r="V1353" s="391"/>
      <c r="W1353" s="391"/>
      <c r="X1353" s="388"/>
      <c r="Y1353" s="391"/>
      <c r="Z1353" s="393"/>
      <c r="AA1353" s="355" t="str">
        <f t="shared" si="1"/>
        <v/>
      </c>
      <c r="AB1353" s="391"/>
      <c r="AC1353" s="394" t="str">
        <f t="shared" si="2"/>
        <v/>
      </c>
      <c r="AD1353" s="389"/>
      <c r="AE1353" s="399"/>
      <c r="AF1353" s="395"/>
      <c r="AG1353" s="396" t="str">
        <f t="shared" si="3"/>
        <v/>
      </c>
      <c r="AH1353" s="396" t="str">
        <f t="shared" si="4"/>
        <v/>
      </c>
      <c r="AI1353" s="388"/>
      <c r="AJ1353" s="388"/>
      <c r="AK1353" s="397"/>
    </row>
    <row r="1354">
      <c r="A1354" s="398"/>
      <c r="B1354" s="386"/>
      <c r="C1354" s="387" t="str">
        <f>IF(A1354="","",IFERROR(IF(VLOOKUP(A1354,'1. Inbound Leads'!A:G,7,FALSE)=0,"",VLOOKUP(A1354,'1. Inbound Leads'!A:G,7,FALSE)),""))</f>
        <v/>
      </c>
      <c r="D1354" s="387" t="str">
        <f>IF(A1354="","",IFERROR(IF(VLOOKUP(A1354,'1. Inbound Leads'!A:L,12,FALSE)=0,"",VLOOKUP(A1354,'1. Inbound Leads'!A:L,12,FALSE)),""))</f>
        <v/>
      </c>
      <c r="E1354" s="388"/>
      <c r="F1354" s="389"/>
      <c r="G1354" s="387"/>
      <c r="H1354" s="387"/>
      <c r="I1354" s="387"/>
      <c r="J1354" s="387"/>
      <c r="K1354" s="387"/>
      <c r="L1354" s="387"/>
      <c r="M1354" s="388"/>
      <c r="N1354" s="388"/>
      <c r="O1354" s="390"/>
      <c r="P1354" s="391"/>
      <c r="Q1354" s="389"/>
      <c r="R1354" s="390"/>
      <c r="S1354" s="390"/>
      <c r="T1354" s="391"/>
      <c r="U1354" s="392"/>
      <c r="V1354" s="391"/>
      <c r="W1354" s="391"/>
      <c r="X1354" s="388"/>
      <c r="Y1354" s="391"/>
      <c r="Z1354" s="393"/>
      <c r="AA1354" s="355" t="str">
        <f t="shared" si="1"/>
        <v/>
      </c>
      <c r="AB1354" s="391"/>
      <c r="AC1354" s="394" t="str">
        <f t="shared" si="2"/>
        <v/>
      </c>
      <c r="AD1354" s="389"/>
      <c r="AE1354" s="399"/>
      <c r="AF1354" s="395"/>
      <c r="AG1354" s="396" t="str">
        <f t="shared" si="3"/>
        <v/>
      </c>
      <c r="AH1354" s="396" t="str">
        <f t="shared" si="4"/>
        <v/>
      </c>
      <c r="AI1354" s="388"/>
      <c r="AJ1354" s="388"/>
      <c r="AK1354" s="397"/>
    </row>
    <row r="1355">
      <c r="A1355" s="398"/>
      <c r="B1355" s="386"/>
      <c r="C1355" s="387" t="str">
        <f>IF(A1355="","",IFERROR(IF(VLOOKUP(A1355,'1. Inbound Leads'!A:G,7,FALSE)=0,"",VLOOKUP(A1355,'1. Inbound Leads'!A:G,7,FALSE)),""))</f>
        <v/>
      </c>
      <c r="D1355" s="387" t="str">
        <f>IF(A1355="","",IFERROR(IF(VLOOKUP(A1355,'1. Inbound Leads'!A:L,12,FALSE)=0,"",VLOOKUP(A1355,'1. Inbound Leads'!A:L,12,FALSE)),""))</f>
        <v/>
      </c>
      <c r="E1355" s="388"/>
      <c r="F1355" s="389"/>
      <c r="G1355" s="387"/>
      <c r="H1355" s="387"/>
      <c r="I1355" s="387"/>
      <c r="J1355" s="387"/>
      <c r="K1355" s="387"/>
      <c r="L1355" s="387"/>
      <c r="M1355" s="388"/>
      <c r="N1355" s="388"/>
      <c r="O1355" s="390"/>
      <c r="P1355" s="391"/>
      <c r="Q1355" s="389"/>
      <c r="R1355" s="390"/>
      <c r="S1355" s="390"/>
      <c r="T1355" s="391"/>
      <c r="U1355" s="392"/>
      <c r="V1355" s="391"/>
      <c r="W1355" s="391"/>
      <c r="X1355" s="388"/>
      <c r="Y1355" s="391"/>
      <c r="Z1355" s="393"/>
      <c r="AA1355" s="355" t="str">
        <f t="shared" si="1"/>
        <v/>
      </c>
      <c r="AB1355" s="391"/>
      <c r="AC1355" s="394" t="str">
        <f t="shared" si="2"/>
        <v/>
      </c>
      <c r="AD1355" s="389"/>
      <c r="AE1355" s="399"/>
      <c r="AF1355" s="395"/>
      <c r="AG1355" s="396" t="str">
        <f t="shared" si="3"/>
        <v/>
      </c>
      <c r="AH1355" s="396" t="str">
        <f t="shared" si="4"/>
        <v/>
      </c>
      <c r="AI1355" s="388"/>
      <c r="AJ1355" s="388"/>
      <c r="AK1355" s="397"/>
    </row>
    <row r="1356">
      <c r="A1356" s="398"/>
      <c r="B1356" s="386"/>
      <c r="C1356" s="387" t="str">
        <f>IF(A1356="","",IFERROR(IF(VLOOKUP(A1356,'1. Inbound Leads'!A:G,7,FALSE)=0,"",VLOOKUP(A1356,'1. Inbound Leads'!A:G,7,FALSE)),""))</f>
        <v/>
      </c>
      <c r="D1356" s="387" t="str">
        <f>IF(A1356="","",IFERROR(IF(VLOOKUP(A1356,'1. Inbound Leads'!A:L,12,FALSE)=0,"",VLOOKUP(A1356,'1. Inbound Leads'!A:L,12,FALSE)),""))</f>
        <v/>
      </c>
      <c r="E1356" s="388"/>
      <c r="F1356" s="389"/>
      <c r="G1356" s="387"/>
      <c r="H1356" s="387"/>
      <c r="I1356" s="387"/>
      <c r="J1356" s="387"/>
      <c r="K1356" s="387"/>
      <c r="L1356" s="387"/>
      <c r="M1356" s="388"/>
      <c r="N1356" s="388"/>
      <c r="O1356" s="390"/>
      <c r="P1356" s="391"/>
      <c r="Q1356" s="389"/>
      <c r="R1356" s="390"/>
      <c r="S1356" s="390"/>
      <c r="T1356" s="391"/>
      <c r="U1356" s="392"/>
      <c r="V1356" s="391"/>
      <c r="W1356" s="391"/>
      <c r="X1356" s="388"/>
      <c r="Y1356" s="391"/>
      <c r="Z1356" s="393"/>
      <c r="AA1356" s="355" t="str">
        <f t="shared" si="1"/>
        <v/>
      </c>
      <c r="AB1356" s="391"/>
      <c r="AC1356" s="394" t="str">
        <f t="shared" si="2"/>
        <v/>
      </c>
      <c r="AD1356" s="389"/>
      <c r="AE1356" s="399"/>
      <c r="AF1356" s="395"/>
      <c r="AG1356" s="396" t="str">
        <f t="shared" si="3"/>
        <v/>
      </c>
      <c r="AH1356" s="396" t="str">
        <f t="shared" si="4"/>
        <v/>
      </c>
      <c r="AI1356" s="388"/>
      <c r="AJ1356" s="388"/>
      <c r="AK1356" s="397"/>
    </row>
    <row r="1357">
      <c r="A1357" s="398"/>
      <c r="B1357" s="386"/>
      <c r="C1357" s="387" t="str">
        <f>IF(A1357="","",IFERROR(IF(VLOOKUP(A1357,'1. Inbound Leads'!A:G,7,FALSE)=0,"",VLOOKUP(A1357,'1. Inbound Leads'!A:G,7,FALSE)),""))</f>
        <v/>
      </c>
      <c r="D1357" s="387" t="str">
        <f>IF(A1357="","",IFERROR(IF(VLOOKUP(A1357,'1. Inbound Leads'!A:L,12,FALSE)=0,"",VLOOKUP(A1357,'1. Inbound Leads'!A:L,12,FALSE)),""))</f>
        <v/>
      </c>
      <c r="E1357" s="388"/>
      <c r="F1357" s="389"/>
      <c r="G1357" s="387"/>
      <c r="H1357" s="387"/>
      <c r="I1357" s="387"/>
      <c r="J1357" s="387"/>
      <c r="K1357" s="387"/>
      <c r="L1357" s="387"/>
      <c r="M1357" s="388"/>
      <c r="N1357" s="388"/>
      <c r="O1357" s="390"/>
      <c r="P1357" s="391"/>
      <c r="Q1357" s="389"/>
      <c r="R1357" s="390"/>
      <c r="S1357" s="390"/>
      <c r="T1357" s="391"/>
      <c r="U1357" s="392"/>
      <c r="V1357" s="391"/>
      <c r="W1357" s="391"/>
      <c r="X1357" s="388"/>
      <c r="Y1357" s="391"/>
      <c r="Z1357" s="393"/>
      <c r="AA1357" s="355" t="str">
        <f t="shared" si="1"/>
        <v/>
      </c>
      <c r="AB1357" s="391"/>
      <c r="AC1357" s="394" t="str">
        <f t="shared" si="2"/>
        <v/>
      </c>
      <c r="AD1357" s="389"/>
      <c r="AE1357" s="399"/>
      <c r="AF1357" s="395"/>
      <c r="AG1357" s="396" t="str">
        <f t="shared" si="3"/>
        <v/>
      </c>
      <c r="AH1357" s="396" t="str">
        <f t="shared" si="4"/>
        <v/>
      </c>
      <c r="AI1357" s="388"/>
      <c r="AJ1357" s="388"/>
      <c r="AK1357" s="397"/>
    </row>
    <row r="1358">
      <c r="A1358" s="398"/>
      <c r="B1358" s="386"/>
      <c r="C1358" s="387" t="str">
        <f>IF(A1358="","",IFERROR(IF(VLOOKUP(A1358,'1. Inbound Leads'!A:G,7,FALSE)=0,"",VLOOKUP(A1358,'1. Inbound Leads'!A:G,7,FALSE)),""))</f>
        <v/>
      </c>
      <c r="D1358" s="387" t="str">
        <f>IF(A1358="","",IFERROR(IF(VLOOKUP(A1358,'1. Inbound Leads'!A:L,12,FALSE)=0,"",VLOOKUP(A1358,'1. Inbound Leads'!A:L,12,FALSE)),""))</f>
        <v/>
      </c>
      <c r="E1358" s="388"/>
      <c r="F1358" s="389"/>
      <c r="G1358" s="387"/>
      <c r="H1358" s="387"/>
      <c r="I1358" s="387"/>
      <c r="J1358" s="387"/>
      <c r="K1358" s="387"/>
      <c r="L1358" s="387"/>
      <c r="M1358" s="388"/>
      <c r="N1358" s="388"/>
      <c r="O1358" s="390"/>
      <c r="P1358" s="391"/>
      <c r="Q1358" s="389"/>
      <c r="R1358" s="390"/>
      <c r="S1358" s="390"/>
      <c r="T1358" s="391"/>
      <c r="U1358" s="392"/>
      <c r="V1358" s="391"/>
      <c r="W1358" s="391"/>
      <c r="X1358" s="388"/>
      <c r="Y1358" s="391"/>
      <c r="Z1358" s="393"/>
      <c r="AA1358" s="355" t="str">
        <f t="shared" si="1"/>
        <v/>
      </c>
      <c r="AB1358" s="391"/>
      <c r="AC1358" s="394" t="str">
        <f t="shared" si="2"/>
        <v/>
      </c>
      <c r="AD1358" s="389"/>
      <c r="AE1358" s="399"/>
      <c r="AF1358" s="395"/>
      <c r="AG1358" s="396" t="str">
        <f t="shared" si="3"/>
        <v/>
      </c>
      <c r="AH1358" s="396" t="str">
        <f t="shared" si="4"/>
        <v/>
      </c>
      <c r="AI1358" s="388"/>
      <c r="AJ1358" s="388"/>
      <c r="AK1358" s="397"/>
    </row>
    <row r="1359">
      <c r="A1359" s="398"/>
      <c r="B1359" s="386"/>
      <c r="C1359" s="387" t="str">
        <f>IF(A1359="","",IFERROR(IF(VLOOKUP(A1359,'1. Inbound Leads'!A:G,7,FALSE)=0,"",VLOOKUP(A1359,'1. Inbound Leads'!A:G,7,FALSE)),""))</f>
        <v/>
      </c>
      <c r="D1359" s="387" t="str">
        <f>IF(A1359="","",IFERROR(IF(VLOOKUP(A1359,'1. Inbound Leads'!A:L,12,FALSE)=0,"",VLOOKUP(A1359,'1. Inbound Leads'!A:L,12,FALSE)),""))</f>
        <v/>
      </c>
      <c r="E1359" s="388"/>
      <c r="F1359" s="389"/>
      <c r="G1359" s="387"/>
      <c r="H1359" s="387"/>
      <c r="I1359" s="387"/>
      <c r="J1359" s="387"/>
      <c r="K1359" s="387"/>
      <c r="L1359" s="387"/>
      <c r="M1359" s="388"/>
      <c r="N1359" s="388"/>
      <c r="O1359" s="390"/>
      <c r="P1359" s="391"/>
      <c r="Q1359" s="389"/>
      <c r="R1359" s="390"/>
      <c r="S1359" s="390"/>
      <c r="T1359" s="391"/>
      <c r="U1359" s="392"/>
      <c r="V1359" s="391"/>
      <c r="W1359" s="391"/>
      <c r="X1359" s="388"/>
      <c r="Y1359" s="391"/>
      <c r="Z1359" s="393"/>
      <c r="AA1359" s="355" t="str">
        <f t="shared" si="1"/>
        <v/>
      </c>
      <c r="AB1359" s="391"/>
      <c r="AC1359" s="394" t="str">
        <f t="shared" si="2"/>
        <v/>
      </c>
      <c r="AD1359" s="389"/>
      <c r="AE1359" s="399"/>
      <c r="AF1359" s="395"/>
      <c r="AG1359" s="396" t="str">
        <f t="shared" si="3"/>
        <v/>
      </c>
      <c r="AH1359" s="396" t="str">
        <f t="shared" si="4"/>
        <v/>
      </c>
      <c r="AI1359" s="388"/>
      <c r="AJ1359" s="388"/>
      <c r="AK1359" s="397"/>
    </row>
    <row r="1360">
      <c r="A1360" s="398"/>
      <c r="B1360" s="386"/>
      <c r="C1360" s="387" t="str">
        <f>IF(A1360="","",IFERROR(IF(VLOOKUP(A1360,'1. Inbound Leads'!A:G,7,FALSE)=0,"",VLOOKUP(A1360,'1. Inbound Leads'!A:G,7,FALSE)),""))</f>
        <v/>
      </c>
      <c r="D1360" s="387" t="str">
        <f>IF(A1360="","",IFERROR(IF(VLOOKUP(A1360,'1. Inbound Leads'!A:L,12,FALSE)=0,"",VLOOKUP(A1360,'1. Inbound Leads'!A:L,12,FALSE)),""))</f>
        <v/>
      </c>
      <c r="E1360" s="388"/>
      <c r="F1360" s="389"/>
      <c r="G1360" s="387"/>
      <c r="H1360" s="387"/>
      <c r="I1360" s="387"/>
      <c r="J1360" s="387"/>
      <c r="K1360" s="387"/>
      <c r="L1360" s="387"/>
      <c r="M1360" s="388"/>
      <c r="N1360" s="388"/>
      <c r="O1360" s="390"/>
      <c r="P1360" s="391"/>
      <c r="Q1360" s="389"/>
      <c r="R1360" s="390"/>
      <c r="S1360" s="390"/>
      <c r="T1360" s="391"/>
      <c r="U1360" s="392"/>
      <c r="V1360" s="391"/>
      <c r="W1360" s="391"/>
      <c r="X1360" s="388"/>
      <c r="Y1360" s="391"/>
      <c r="Z1360" s="393"/>
      <c r="AA1360" s="355" t="str">
        <f t="shared" si="1"/>
        <v/>
      </c>
      <c r="AB1360" s="391"/>
      <c r="AC1360" s="394" t="str">
        <f t="shared" si="2"/>
        <v/>
      </c>
      <c r="AD1360" s="389"/>
      <c r="AE1360" s="399"/>
      <c r="AF1360" s="395"/>
      <c r="AG1360" s="396" t="str">
        <f t="shared" si="3"/>
        <v/>
      </c>
      <c r="AH1360" s="396" t="str">
        <f t="shared" si="4"/>
        <v/>
      </c>
      <c r="AI1360" s="388"/>
      <c r="AJ1360" s="388"/>
      <c r="AK1360" s="397"/>
    </row>
    <row r="1361">
      <c r="A1361" s="398"/>
      <c r="B1361" s="386"/>
      <c r="C1361" s="387" t="str">
        <f>IF(A1361="","",IFERROR(IF(VLOOKUP(A1361,'1. Inbound Leads'!A:G,7,FALSE)=0,"",VLOOKUP(A1361,'1. Inbound Leads'!A:G,7,FALSE)),""))</f>
        <v/>
      </c>
      <c r="D1361" s="387" t="str">
        <f>IF(A1361="","",IFERROR(IF(VLOOKUP(A1361,'1. Inbound Leads'!A:L,12,FALSE)=0,"",VLOOKUP(A1361,'1. Inbound Leads'!A:L,12,FALSE)),""))</f>
        <v/>
      </c>
      <c r="E1361" s="388"/>
      <c r="F1361" s="389"/>
      <c r="G1361" s="387"/>
      <c r="H1361" s="387"/>
      <c r="I1361" s="387"/>
      <c r="J1361" s="387"/>
      <c r="K1361" s="387"/>
      <c r="L1361" s="387"/>
      <c r="M1361" s="388"/>
      <c r="N1361" s="388"/>
      <c r="O1361" s="390"/>
      <c r="P1361" s="391"/>
      <c r="Q1361" s="389"/>
      <c r="R1361" s="390"/>
      <c r="S1361" s="390"/>
      <c r="T1361" s="391"/>
      <c r="U1361" s="392"/>
      <c r="V1361" s="391"/>
      <c r="W1361" s="391"/>
      <c r="X1361" s="388"/>
      <c r="Y1361" s="391"/>
      <c r="Z1361" s="393"/>
      <c r="AA1361" s="355" t="str">
        <f t="shared" si="1"/>
        <v/>
      </c>
      <c r="AB1361" s="391"/>
      <c r="AC1361" s="394" t="str">
        <f t="shared" si="2"/>
        <v/>
      </c>
      <c r="AD1361" s="389"/>
      <c r="AE1361" s="399"/>
      <c r="AF1361" s="395"/>
      <c r="AG1361" s="396" t="str">
        <f t="shared" si="3"/>
        <v/>
      </c>
      <c r="AH1361" s="396" t="str">
        <f t="shared" si="4"/>
        <v/>
      </c>
      <c r="AI1361" s="388"/>
      <c r="AJ1361" s="388"/>
      <c r="AK1361" s="397"/>
    </row>
    <row r="1362">
      <c r="A1362" s="398"/>
      <c r="B1362" s="386"/>
      <c r="C1362" s="387" t="str">
        <f>IF(A1362="","",IFERROR(IF(VLOOKUP(A1362,'1. Inbound Leads'!A:G,7,FALSE)=0,"",VLOOKUP(A1362,'1. Inbound Leads'!A:G,7,FALSE)),""))</f>
        <v/>
      </c>
      <c r="D1362" s="387" t="str">
        <f>IF(A1362="","",IFERROR(IF(VLOOKUP(A1362,'1. Inbound Leads'!A:L,12,FALSE)=0,"",VLOOKUP(A1362,'1. Inbound Leads'!A:L,12,FALSE)),""))</f>
        <v/>
      </c>
      <c r="E1362" s="388"/>
      <c r="F1362" s="389"/>
      <c r="G1362" s="387"/>
      <c r="H1362" s="387"/>
      <c r="I1362" s="387"/>
      <c r="J1362" s="387"/>
      <c r="K1362" s="387"/>
      <c r="L1362" s="387"/>
      <c r="M1362" s="388"/>
      <c r="N1362" s="388"/>
      <c r="O1362" s="390"/>
      <c r="P1362" s="391"/>
      <c r="Q1362" s="389"/>
      <c r="R1362" s="390"/>
      <c r="S1362" s="390"/>
      <c r="T1362" s="391"/>
      <c r="U1362" s="392"/>
      <c r="V1362" s="391"/>
      <c r="W1362" s="391"/>
      <c r="X1362" s="388"/>
      <c r="Y1362" s="391"/>
      <c r="Z1362" s="393"/>
      <c r="AA1362" s="355" t="str">
        <f t="shared" si="1"/>
        <v/>
      </c>
      <c r="AB1362" s="391"/>
      <c r="AC1362" s="394" t="str">
        <f t="shared" si="2"/>
        <v/>
      </c>
      <c r="AD1362" s="389"/>
      <c r="AE1362" s="399"/>
      <c r="AF1362" s="395"/>
      <c r="AG1362" s="396" t="str">
        <f t="shared" si="3"/>
        <v/>
      </c>
      <c r="AH1362" s="396" t="str">
        <f t="shared" si="4"/>
        <v/>
      </c>
      <c r="AI1362" s="388"/>
      <c r="AJ1362" s="388"/>
      <c r="AK1362" s="397"/>
    </row>
    <row r="1363">
      <c r="A1363" s="398"/>
      <c r="B1363" s="386"/>
      <c r="C1363" s="387" t="str">
        <f>IF(A1363="","",IFERROR(IF(VLOOKUP(A1363,'1. Inbound Leads'!A:G,7,FALSE)=0,"",VLOOKUP(A1363,'1. Inbound Leads'!A:G,7,FALSE)),""))</f>
        <v/>
      </c>
      <c r="D1363" s="387" t="str">
        <f>IF(A1363="","",IFERROR(IF(VLOOKUP(A1363,'1. Inbound Leads'!A:L,12,FALSE)=0,"",VLOOKUP(A1363,'1. Inbound Leads'!A:L,12,FALSE)),""))</f>
        <v/>
      </c>
      <c r="E1363" s="388"/>
      <c r="F1363" s="389"/>
      <c r="G1363" s="387"/>
      <c r="H1363" s="387"/>
      <c r="I1363" s="387"/>
      <c r="J1363" s="387"/>
      <c r="K1363" s="387"/>
      <c r="L1363" s="387"/>
      <c r="M1363" s="388"/>
      <c r="N1363" s="388"/>
      <c r="O1363" s="390"/>
      <c r="P1363" s="391"/>
      <c r="Q1363" s="389"/>
      <c r="R1363" s="390"/>
      <c r="S1363" s="390"/>
      <c r="T1363" s="391"/>
      <c r="U1363" s="392"/>
      <c r="V1363" s="391"/>
      <c r="W1363" s="391"/>
      <c r="X1363" s="388"/>
      <c r="Y1363" s="391"/>
      <c r="Z1363" s="393"/>
      <c r="AA1363" s="355" t="str">
        <f t="shared" si="1"/>
        <v/>
      </c>
      <c r="AB1363" s="391"/>
      <c r="AC1363" s="394" t="str">
        <f t="shared" si="2"/>
        <v/>
      </c>
      <c r="AD1363" s="389"/>
      <c r="AE1363" s="399"/>
      <c r="AF1363" s="395"/>
      <c r="AG1363" s="396" t="str">
        <f t="shared" si="3"/>
        <v/>
      </c>
      <c r="AH1363" s="396" t="str">
        <f t="shared" si="4"/>
        <v/>
      </c>
      <c r="AI1363" s="388"/>
      <c r="AJ1363" s="388"/>
      <c r="AK1363" s="397"/>
    </row>
    <row r="1364">
      <c r="A1364" s="398"/>
      <c r="B1364" s="386"/>
      <c r="C1364" s="387" t="str">
        <f>IF(A1364="","",IFERROR(IF(VLOOKUP(A1364,'1. Inbound Leads'!A:G,7,FALSE)=0,"",VLOOKUP(A1364,'1. Inbound Leads'!A:G,7,FALSE)),""))</f>
        <v/>
      </c>
      <c r="D1364" s="387" t="str">
        <f>IF(A1364="","",IFERROR(IF(VLOOKUP(A1364,'1. Inbound Leads'!A:L,12,FALSE)=0,"",VLOOKUP(A1364,'1. Inbound Leads'!A:L,12,FALSE)),""))</f>
        <v/>
      </c>
      <c r="E1364" s="388"/>
      <c r="F1364" s="389"/>
      <c r="G1364" s="387"/>
      <c r="H1364" s="387"/>
      <c r="I1364" s="387"/>
      <c r="J1364" s="387"/>
      <c r="K1364" s="387"/>
      <c r="L1364" s="387"/>
      <c r="M1364" s="388"/>
      <c r="N1364" s="388"/>
      <c r="O1364" s="390"/>
      <c r="P1364" s="391"/>
      <c r="Q1364" s="389"/>
      <c r="R1364" s="390"/>
      <c r="S1364" s="390"/>
      <c r="T1364" s="391"/>
      <c r="U1364" s="392"/>
      <c r="V1364" s="391"/>
      <c r="W1364" s="391"/>
      <c r="X1364" s="388"/>
      <c r="Y1364" s="391"/>
      <c r="Z1364" s="393"/>
      <c r="AA1364" s="355" t="str">
        <f t="shared" si="1"/>
        <v/>
      </c>
      <c r="AB1364" s="391"/>
      <c r="AC1364" s="394" t="str">
        <f t="shared" si="2"/>
        <v/>
      </c>
      <c r="AD1364" s="389"/>
      <c r="AE1364" s="399"/>
      <c r="AF1364" s="395"/>
      <c r="AG1364" s="396" t="str">
        <f t="shared" si="3"/>
        <v/>
      </c>
      <c r="AH1364" s="396" t="str">
        <f t="shared" si="4"/>
        <v/>
      </c>
      <c r="AI1364" s="388"/>
      <c r="AJ1364" s="388"/>
      <c r="AK1364" s="397"/>
    </row>
    <row r="1365">
      <c r="A1365" s="398"/>
      <c r="B1365" s="386"/>
      <c r="C1365" s="387" t="str">
        <f>IF(A1365="","",IFERROR(IF(VLOOKUP(A1365,'1. Inbound Leads'!A:G,7,FALSE)=0,"",VLOOKUP(A1365,'1. Inbound Leads'!A:G,7,FALSE)),""))</f>
        <v/>
      </c>
      <c r="D1365" s="387" t="str">
        <f>IF(A1365="","",IFERROR(IF(VLOOKUP(A1365,'1. Inbound Leads'!A:L,12,FALSE)=0,"",VLOOKUP(A1365,'1. Inbound Leads'!A:L,12,FALSE)),""))</f>
        <v/>
      </c>
      <c r="E1365" s="388"/>
      <c r="F1365" s="389"/>
      <c r="G1365" s="387"/>
      <c r="H1365" s="387"/>
      <c r="I1365" s="387"/>
      <c r="J1365" s="387"/>
      <c r="K1365" s="387"/>
      <c r="L1365" s="387"/>
      <c r="M1365" s="388"/>
      <c r="N1365" s="388"/>
      <c r="O1365" s="390"/>
      <c r="P1365" s="391"/>
      <c r="Q1365" s="389"/>
      <c r="R1365" s="390"/>
      <c r="S1365" s="390"/>
      <c r="T1365" s="391"/>
      <c r="U1365" s="392"/>
      <c r="V1365" s="391"/>
      <c r="W1365" s="391"/>
      <c r="X1365" s="388"/>
      <c r="Y1365" s="391"/>
      <c r="Z1365" s="393"/>
      <c r="AA1365" s="355" t="str">
        <f t="shared" si="1"/>
        <v/>
      </c>
      <c r="AB1365" s="391"/>
      <c r="AC1365" s="394" t="str">
        <f t="shared" si="2"/>
        <v/>
      </c>
      <c r="AD1365" s="389"/>
      <c r="AE1365" s="399"/>
      <c r="AF1365" s="395"/>
      <c r="AG1365" s="396" t="str">
        <f t="shared" si="3"/>
        <v/>
      </c>
      <c r="AH1365" s="396" t="str">
        <f t="shared" si="4"/>
        <v/>
      </c>
      <c r="AI1365" s="388"/>
      <c r="AJ1365" s="388"/>
      <c r="AK1365" s="397"/>
    </row>
    <row r="1366">
      <c r="A1366" s="398"/>
      <c r="B1366" s="386"/>
      <c r="C1366" s="387" t="str">
        <f>IF(A1366="","",IFERROR(IF(VLOOKUP(A1366,'1. Inbound Leads'!A:G,7,FALSE)=0,"",VLOOKUP(A1366,'1. Inbound Leads'!A:G,7,FALSE)),""))</f>
        <v/>
      </c>
      <c r="D1366" s="387" t="str">
        <f>IF(A1366="","",IFERROR(IF(VLOOKUP(A1366,'1. Inbound Leads'!A:L,12,FALSE)=0,"",VLOOKUP(A1366,'1. Inbound Leads'!A:L,12,FALSE)),""))</f>
        <v/>
      </c>
      <c r="E1366" s="388"/>
      <c r="F1366" s="389"/>
      <c r="G1366" s="387"/>
      <c r="H1366" s="387"/>
      <c r="I1366" s="387"/>
      <c r="J1366" s="387"/>
      <c r="K1366" s="387"/>
      <c r="L1366" s="387"/>
      <c r="M1366" s="388"/>
      <c r="N1366" s="388"/>
      <c r="O1366" s="390"/>
      <c r="P1366" s="391"/>
      <c r="Q1366" s="389"/>
      <c r="R1366" s="390"/>
      <c r="S1366" s="390"/>
      <c r="T1366" s="391"/>
      <c r="U1366" s="392"/>
      <c r="V1366" s="391"/>
      <c r="W1366" s="391"/>
      <c r="X1366" s="388"/>
      <c r="Y1366" s="391"/>
      <c r="Z1366" s="393"/>
      <c r="AA1366" s="355" t="str">
        <f t="shared" si="1"/>
        <v/>
      </c>
      <c r="AB1366" s="391"/>
      <c r="AC1366" s="394" t="str">
        <f t="shared" si="2"/>
        <v/>
      </c>
      <c r="AD1366" s="389"/>
      <c r="AE1366" s="399"/>
      <c r="AF1366" s="395"/>
      <c r="AG1366" s="396" t="str">
        <f t="shared" si="3"/>
        <v/>
      </c>
      <c r="AH1366" s="396" t="str">
        <f t="shared" si="4"/>
        <v/>
      </c>
      <c r="AI1366" s="388"/>
      <c r="AJ1366" s="388"/>
      <c r="AK1366" s="397"/>
    </row>
    <row r="1367">
      <c r="A1367" s="398"/>
      <c r="B1367" s="386"/>
      <c r="C1367" s="387" t="str">
        <f>IF(A1367="","",IFERROR(IF(VLOOKUP(A1367,'1. Inbound Leads'!A:G,7,FALSE)=0,"",VLOOKUP(A1367,'1. Inbound Leads'!A:G,7,FALSE)),""))</f>
        <v/>
      </c>
      <c r="D1367" s="387" t="str">
        <f>IF(A1367="","",IFERROR(IF(VLOOKUP(A1367,'1. Inbound Leads'!A:L,12,FALSE)=0,"",VLOOKUP(A1367,'1. Inbound Leads'!A:L,12,FALSE)),""))</f>
        <v/>
      </c>
      <c r="E1367" s="388"/>
      <c r="F1367" s="389"/>
      <c r="G1367" s="387"/>
      <c r="H1367" s="387"/>
      <c r="I1367" s="387"/>
      <c r="J1367" s="387"/>
      <c r="K1367" s="387"/>
      <c r="L1367" s="387"/>
      <c r="M1367" s="388"/>
      <c r="N1367" s="388"/>
      <c r="O1367" s="390"/>
      <c r="P1367" s="391"/>
      <c r="Q1367" s="389"/>
      <c r="R1367" s="390"/>
      <c r="S1367" s="390"/>
      <c r="T1367" s="391"/>
      <c r="U1367" s="392"/>
      <c r="V1367" s="391"/>
      <c r="W1367" s="391"/>
      <c r="X1367" s="388"/>
      <c r="Y1367" s="391"/>
      <c r="Z1367" s="393"/>
      <c r="AA1367" s="355" t="str">
        <f t="shared" si="1"/>
        <v/>
      </c>
      <c r="AB1367" s="391"/>
      <c r="AC1367" s="394" t="str">
        <f t="shared" si="2"/>
        <v/>
      </c>
      <c r="AD1367" s="389"/>
      <c r="AE1367" s="399"/>
      <c r="AF1367" s="395"/>
      <c r="AG1367" s="396" t="str">
        <f t="shared" si="3"/>
        <v/>
      </c>
      <c r="AH1367" s="396" t="str">
        <f t="shared" si="4"/>
        <v/>
      </c>
      <c r="AI1367" s="388"/>
      <c r="AJ1367" s="388"/>
      <c r="AK1367" s="397"/>
    </row>
    <row r="1368">
      <c r="A1368" s="398"/>
      <c r="B1368" s="386"/>
      <c r="C1368" s="387" t="str">
        <f>IF(A1368="","",IFERROR(IF(VLOOKUP(A1368,'1. Inbound Leads'!A:G,7,FALSE)=0,"",VLOOKUP(A1368,'1. Inbound Leads'!A:G,7,FALSE)),""))</f>
        <v/>
      </c>
      <c r="D1368" s="387" t="str">
        <f>IF(A1368="","",IFERROR(IF(VLOOKUP(A1368,'1. Inbound Leads'!A:L,12,FALSE)=0,"",VLOOKUP(A1368,'1. Inbound Leads'!A:L,12,FALSE)),""))</f>
        <v/>
      </c>
      <c r="E1368" s="388"/>
      <c r="F1368" s="389"/>
      <c r="G1368" s="387"/>
      <c r="H1368" s="387"/>
      <c r="I1368" s="387"/>
      <c r="J1368" s="387"/>
      <c r="K1368" s="387"/>
      <c r="L1368" s="387"/>
      <c r="M1368" s="388"/>
      <c r="N1368" s="388"/>
      <c r="O1368" s="390"/>
      <c r="P1368" s="391"/>
      <c r="Q1368" s="389"/>
      <c r="R1368" s="390"/>
      <c r="S1368" s="390"/>
      <c r="T1368" s="391"/>
      <c r="U1368" s="392"/>
      <c r="V1368" s="391"/>
      <c r="W1368" s="391"/>
      <c r="X1368" s="388"/>
      <c r="Y1368" s="391"/>
      <c r="Z1368" s="393"/>
      <c r="AA1368" s="355" t="str">
        <f t="shared" si="1"/>
        <v/>
      </c>
      <c r="AB1368" s="391"/>
      <c r="AC1368" s="394" t="str">
        <f t="shared" si="2"/>
        <v/>
      </c>
      <c r="AD1368" s="389"/>
      <c r="AE1368" s="399"/>
      <c r="AF1368" s="395"/>
      <c r="AG1368" s="396" t="str">
        <f t="shared" si="3"/>
        <v/>
      </c>
      <c r="AH1368" s="396" t="str">
        <f t="shared" si="4"/>
        <v/>
      </c>
      <c r="AI1368" s="388"/>
      <c r="AJ1368" s="388"/>
      <c r="AK1368" s="397"/>
    </row>
    <row r="1369">
      <c r="A1369" s="398"/>
      <c r="B1369" s="386"/>
      <c r="C1369" s="387" t="str">
        <f>IF(A1369="","",IFERROR(IF(VLOOKUP(A1369,'1. Inbound Leads'!A:G,7,FALSE)=0,"",VLOOKUP(A1369,'1. Inbound Leads'!A:G,7,FALSE)),""))</f>
        <v/>
      </c>
      <c r="D1369" s="387" t="str">
        <f>IF(A1369="","",IFERROR(IF(VLOOKUP(A1369,'1. Inbound Leads'!A:L,12,FALSE)=0,"",VLOOKUP(A1369,'1. Inbound Leads'!A:L,12,FALSE)),""))</f>
        <v/>
      </c>
      <c r="E1369" s="388"/>
      <c r="F1369" s="389"/>
      <c r="G1369" s="387"/>
      <c r="H1369" s="387"/>
      <c r="I1369" s="387"/>
      <c r="J1369" s="387"/>
      <c r="K1369" s="387"/>
      <c r="L1369" s="387"/>
      <c r="M1369" s="388"/>
      <c r="N1369" s="388"/>
      <c r="O1369" s="390"/>
      <c r="P1369" s="391"/>
      <c r="Q1369" s="389"/>
      <c r="R1369" s="390"/>
      <c r="S1369" s="390"/>
      <c r="T1369" s="391"/>
      <c r="U1369" s="392"/>
      <c r="V1369" s="391"/>
      <c r="W1369" s="391"/>
      <c r="X1369" s="388"/>
      <c r="Y1369" s="391"/>
      <c r="Z1369" s="393"/>
      <c r="AA1369" s="355" t="str">
        <f t="shared" si="1"/>
        <v/>
      </c>
      <c r="AB1369" s="391"/>
      <c r="AC1369" s="394" t="str">
        <f t="shared" si="2"/>
        <v/>
      </c>
      <c r="AD1369" s="389"/>
      <c r="AE1369" s="399"/>
      <c r="AF1369" s="395"/>
      <c r="AG1369" s="396" t="str">
        <f t="shared" si="3"/>
        <v/>
      </c>
      <c r="AH1369" s="396" t="str">
        <f t="shared" si="4"/>
        <v/>
      </c>
      <c r="AI1369" s="388"/>
      <c r="AJ1369" s="388"/>
      <c r="AK1369" s="397"/>
    </row>
    <row r="1370">
      <c r="A1370" s="398"/>
      <c r="B1370" s="386"/>
      <c r="C1370" s="387" t="str">
        <f>IF(A1370="","",IFERROR(IF(VLOOKUP(A1370,'1. Inbound Leads'!A:G,7,FALSE)=0,"",VLOOKUP(A1370,'1. Inbound Leads'!A:G,7,FALSE)),""))</f>
        <v/>
      </c>
      <c r="D1370" s="387" t="str">
        <f>IF(A1370="","",IFERROR(IF(VLOOKUP(A1370,'1. Inbound Leads'!A:L,12,FALSE)=0,"",VLOOKUP(A1370,'1. Inbound Leads'!A:L,12,FALSE)),""))</f>
        <v/>
      </c>
      <c r="E1370" s="388"/>
      <c r="F1370" s="389"/>
      <c r="G1370" s="387"/>
      <c r="H1370" s="387"/>
      <c r="I1370" s="387"/>
      <c r="J1370" s="387"/>
      <c r="K1370" s="387"/>
      <c r="L1370" s="387"/>
      <c r="M1370" s="388"/>
      <c r="N1370" s="388"/>
      <c r="O1370" s="390"/>
      <c r="P1370" s="391"/>
      <c r="Q1370" s="389"/>
      <c r="R1370" s="390"/>
      <c r="S1370" s="390"/>
      <c r="T1370" s="391"/>
      <c r="U1370" s="392"/>
      <c r="V1370" s="391"/>
      <c r="W1370" s="391"/>
      <c r="X1370" s="388"/>
      <c r="Y1370" s="391"/>
      <c r="Z1370" s="393"/>
      <c r="AA1370" s="355" t="str">
        <f t="shared" si="1"/>
        <v/>
      </c>
      <c r="AB1370" s="391"/>
      <c r="AC1370" s="394" t="str">
        <f t="shared" si="2"/>
        <v/>
      </c>
      <c r="AD1370" s="389"/>
      <c r="AE1370" s="399"/>
      <c r="AF1370" s="395"/>
      <c r="AG1370" s="396" t="str">
        <f t="shared" si="3"/>
        <v/>
      </c>
      <c r="AH1370" s="396" t="str">
        <f t="shared" si="4"/>
        <v/>
      </c>
      <c r="AI1370" s="388"/>
      <c r="AJ1370" s="388"/>
      <c r="AK1370" s="397"/>
    </row>
    <row r="1371">
      <c r="A1371" s="398"/>
      <c r="B1371" s="386"/>
      <c r="C1371" s="387" t="str">
        <f>IF(A1371="","",IFERROR(IF(VLOOKUP(A1371,'1. Inbound Leads'!A:G,7,FALSE)=0,"",VLOOKUP(A1371,'1. Inbound Leads'!A:G,7,FALSE)),""))</f>
        <v/>
      </c>
      <c r="D1371" s="387" t="str">
        <f>IF(A1371="","",IFERROR(IF(VLOOKUP(A1371,'1. Inbound Leads'!A:L,12,FALSE)=0,"",VLOOKUP(A1371,'1. Inbound Leads'!A:L,12,FALSE)),""))</f>
        <v/>
      </c>
      <c r="E1371" s="388"/>
      <c r="F1371" s="389"/>
      <c r="G1371" s="387"/>
      <c r="H1371" s="387"/>
      <c r="I1371" s="387"/>
      <c r="J1371" s="387"/>
      <c r="K1371" s="387"/>
      <c r="L1371" s="387"/>
      <c r="M1371" s="388"/>
      <c r="N1371" s="388"/>
      <c r="O1371" s="390"/>
      <c r="P1371" s="391"/>
      <c r="Q1371" s="389"/>
      <c r="R1371" s="390"/>
      <c r="S1371" s="390"/>
      <c r="T1371" s="391"/>
      <c r="U1371" s="392"/>
      <c r="V1371" s="391"/>
      <c r="W1371" s="391"/>
      <c r="X1371" s="388"/>
      <c r="Y1371" s="391"/>
      <c r="Z1371" s="393"/>
      <c r="AA1371" s="355" t="str">
        <f t="shared" si="1"/>
        <v/>
      </c>
      <c r="AB1371" s="391"/>
      <c r="AC1371" s="394" t="str">
        <f t="shared" si="2"/>
        <v/>
      </c>
      <c r="AD1371" s="389"/>
      <c r="AE1371" s="399"/>
      <c r="AF1371" s="395"/>
      <c r="AG1371" s="396" t="str">
        <f t="shared" si="3"/>
        <v/>
      </c>
      <c r="AH1371" s="396" t="str">
        <f t="shared" si="4"/>
        <v/>
      </c>
      <c r="AI1371" s="388"/>
      <c r="AJ1371" s="388"/>
      <c r="AK1371" s="397"/>
    </row>
    <row r="1372">
      <c r="A1372" s="398"/>
      <c r="B1372" s="386"/>
      <c r="C1372" s="387" t="str">
        <f>IF(A1372="","",IFERROR(IF(VLOOKUP(A1372,'1. Inbound Leads'!A:G,7,FALSE)=0,"",VLOOKUP(A1372,'1. Inbound Leads'!A:G,7,FALSE)),""))</f>
        <v/>
      </c>
      <c r="D1372" s="387" t="str">
        <f>IF(A1372="","",IFERROR(IF(VLOOKUP(A1372,'1. Inbound Leads'!A:L,12,FALSE)=0,"",VLOOKUP(A1372,'1. Inbound Leads'!A:L,12,FALSE)),""))</f>
        <v/>
      </c>
      <c r="E1372" s="388"/>
      <c r="F1372" s="389"/>
      <c r="G1372" s="387"/>
      <c r="H1372" s="387"/>
      <c r="I1372" s="387"/>
      <c r="J1372" s="387"/>
      <c r="K1372" s="387"/>
      <c r="L1372" s="387"/>
      <c r="M1372" s="388"/>
      <c r="N1372" s="388"/>
      <c r="O1372" s="390"/>
      <c r="P1372" s="391"/>
      <c r="Q1372" s="389"/>
      <c r="R1372" s="390"/>
      <c r="S1372" s="390"/>
      <c r="T1372" s="391"/>
      <c r="U1372" s="392"/>
      <c r="V1372" s="391"/>
      <c r="W1372" s="391"/>
      <c r="X1372" s="388"/>
      <c r="Y1372" s="391"/>
      <c r="Z1372" s="393"/>
      <c r="AA1372" s="355" t="str">
        <f t="shared" si="1"/>
        <v/>
      </c>
      <c r="AB1372" s="391"/>
      <c r="AC1372" s="394" t="str">
        <f t="shared" si="2"/>
        <v/>
      </c>
      <c r="AD1372" s="389"/>
      <c r="AE1372" s="399"/>
      <c r="AF1372" s="395"/>
      <c r="AG1372" s="396" t="str">
        <f t="shared" si="3"/>
        <v/>
      </c>
      <c r="AH1372" s="396" t="str">
        <f t="shared" si="4"/>
        <v/>
      </c>
      <c r="AI1372" s="388"/>
      <c r="AJ1372" s="388"/>
      <c r="AK1372" s="397"/>
    </row>
    <row r="1373">
      <c r="A1373" s="398"/>
      <c r="B1373" s="386"/>
      <c r="C1373" s="387" t="str">
        <f>IF(A1373="","",IFERROR(IF(VLOOKUP(A1373,'1. Inbound Leads'!A:G,7,FALSE)=0,"",VLOOKUP(A1373,'1. Inbound Leads'!A:G,7,FALSE)),""))</f>
        <v/>
      </c>
      <c r="D1373" s="387" t="str">
        <f>IF(A1373="","",IFERROR(IF(VLOOKUP(A1373,'1. Inbound Leads'!A:L,12,FALSE)=0,"",VLOOKUP(A1373,'1. Inbound Leads'!A:L,12,FALSE)),""))</f>
        <v/>
      </c>
      <c r="E1373" s="388"/>
      <c r="F1373" s="389"/>
      <c r="G1373" s="387"/>
      <c r="H1373" s="387"/>
      <c r="I1373" s="387"/>
      <c r="J1373" s="387"/>
      <c r="K1373" s="387"/>
      <c r="L1373" s="387"/>
      <c r="M1373" s="388"/>
      <c r="N1373" s="388"/>
      <c r="O1373" s="390"/>
      <c r="P1373" s="391"/>
      <c r="Q1373" s="389"/>
      <c r="R1373" s="390"/>
      <c r="S1373" s="390"/>
      <c r="T1373" s="391"/>
      <c r="U1373" s="392"/>
      <c r="V1373" s="391"/>
      <c r="W1373" s="391"/>
      <c r="X1373" s="388"/>
      <c r="Y1373" s="391"/>
      <c r="Z1373" s="393"/>
      <c r="AA1373" s="355" t="str">
        <f t="shared" si="1"/>
        <v/>
      </c>
      <c r="AB1373" s="391"/>
      <c r="AC1373" s="394" t="str">
        <f t="shared" si="2"/>
        <v/>
      </c>
      <c r="AD1373" s="389"/>
      <c r="AE1373" s="399"/>
      <c r="AF1373" s="395"/>
      <c r="AG1373" s="396" t="str">
        <f t="shared" si="3"/>
        <v/>
      </c>
      <c r="AH1373" s="396" t="str">
        <f t="shared" si="4"/>
        <v/>
      </c>
      <c r="AI1373" s="388"/>
      <c r="AJ1373" s="388"/>
      <c r="AK1373" s="397"/>
    </row>
    <row r="1374">
      <c r="A1374" s="398"/>
      <c r="B1374" s="386"/>
      <c r="C1374" s="387" t="str">
        <f>IF(A1374="","",IFERROR(IF(VLOOKUP(A1374,'1. Inbound Leads'!A:G,7,FALSE)=0,"",VLOOKUP(A1374,'1. Inbound Leads'!A:G,7,FALSE)),""))</f>
        <v/>
      </c>
      <c r="D1374" s="387" t="str">
        <f>IF(A1374="","",IFERROR(IF(VLOOKUP(A1374,'1. Inbound Leads'!A:L,12,FALSE)=0,"",VLOOKUP(A1374,'1. Inbound Leads'!A:L,12,FALSE)),""))</f>
        <v/>
      </c>
      <c r="E1374" s="388"/>
      <c r="F1374" s="389"/>
      <c r="G1374" s="387"/>
      <c r="H1374" s="387"/>
      <c r="I1374" s="387"/>
      <c r="J1374" s="387"/>
      <c r="K1374" s="387"/>
      <c r="L1374" s="387"/>
      <c r="M1374" s="388"/>
      <c r="N1374" s="388"/>
      <c r="O1374" s="390"/>
      <c r="P1374" s="391"/>
      <c r="Q1374" s="389"/>
      <c r="R1374" s="390"/>
      <c r="S1374" s="390"/>
      <c r="T1374" s="391"/>
      <c r="U1374" s="392"/>
      <c r="V1374" s="391"/>
      <c r="W1374" s="391"/>
      <c r="X1374" s="388"/>
      <c r="Y1374" s="391"/>
      <c r="Z1374" s="393"/>
      <c r="AA1374" s="355" t="str">
        <f t="shared" si="1"/>
        <v/>
      </c>
      <c r="AB1374" s="391"/>
      <c r="AC1374" s="394" t="str">
        <f t="shared" si="2"/>
        <v/>
      </c>
      <c r="AD1374" s="389"/>
      <c r="AE1374" s="399"/>
      <c r="AF1374" s="395"/>
      <c r="AG1374" s="396" t="str">
        <f t="shared" si="3"/>
        <v/>
      </c>
      <c r="AH1374" s="396" t="str">
        <f t="shared" si="4"/>
        <v/>
      </c>
      <c r="AI1374" s="388"/>
      <c r="AJ1374" s="388"/>
      <c r="AK1374" s="397"/>
    </row>
    <row r="1375">
      <c r="A1375" s="398"/>
      <c r="B1375" s="386"/>
      <c r="C1375" s="387" t="str">
        <f>IF(A1375="","",IFERROR(IF(VLOOKUP(A1375,'1. Inbound Leads'!A:G,7,FALSE)=0,"",VLOOKUP(A1375,'1. Inbound Leads'!A:G,7,FALSE)),""))</f>
        <v/>
      </c>
      <c r="D1375" s="387" t="str">
        <f>IF(A1375="","",IFERROR(IF(VLOOKUP(A1375,'1. Inbound Leads'!A:L,12,FALSE)=0,"",VLOOKUP(A1375,'1. Inbound Leads'!A:L,12,FALSE)),""))</f>
        <v/>
      </c>
      <c r="E1375" s="388"/>
      <c r="F1375" s="389"/>
      <c r="G1375" s="387"/>
      <c r="H1375" s="387"/>
      <c r="I1375" s="387"/>
      <c r="J1375" s="387"/>
      <c r="K1375" s="387"/>
      <c r="L1375" s="387"/>
      <c r="M1375" s="388"/>
      <c r="N1375" s="388"/>
      <c r="O1375" s="390"/>
      <c r="P1375" s="391"/>
      <c r="Q1375" s="389"/>
      <c r="R1375" s="390"/>
      <c r="S1375" s="390"/>
      <c r="T1375" s="391"/>
      <c r="U1375" s="392"/>
      <c r="V1375" s="391"/>
      <c r="W1375" s="391"/>
      <c r="X1375" s="388"/>
      <c r="Y1375" s="391"/>
      <c r="Z1375" s="393"/>
      <c r="AA1375" s="355" t="str">
        <f t="shared" si="1"/>
        <v/>
      </c>
      <c r="AB1375" s="391"/>
      <c r="AC1375" s="394" t="str">
        <f t="shared" si="2"/>
        <v/>
      </c>
      <c r="AD1375" s="389"/>
      <c r="AE1375" s="399"/>
      <c r="AF1375" s="395"/>
      <c r="AG1375" s="396" t="str">
        <f t="shared" si="3"/>
        <v/>
      </c>
      <c r="AH1375" s="396" t="str">
        <f t="shared" si="4"/>
        <v/>
      </c>
      <c r="AI1375" s="388"/>
      <c r="AJ1375" s="388"/>
      <c r="AK1375" s="397"/>
    </row>
    <row r="1376">
      <c r="A1376" s="398"/>
      <c r="B1376" s="386"/>
      <c r="C1376" s="387" t="str">
        <f>IF(A1376="","",IFERROR(IF(VLOOKUP(A1376,'1. Inbound Leads'!A:G,7,FALSE)=0,"",VLOOKUP(A1376,'1. Inbound Leads'!A:G,7,FALSE)),""))</f>
        <v/>
      </c>
      <c r="D1376" s="387" t="str">
        <f>IF(A1376="","",IFERROR(IF(VLOOKUP(A1376,'1. Inbound Leads'!A:L,12,FALSE)=0,"",VLOOKUP(A1376,'1. Inbound Leads'!A:L,12,FALSE)),""))</f>
        <v/>
      </c>
      <c r="E1376" s="388"/>
      <c r="F1376" s="389"/>
      <c r="G1376" s="387"/>
      <c r="H1376" s="387"/>
      <c r="I1376" s="387"/>
      <c r="J1376" s="387"/>
      <c r="K1376" s="387"/>
      <c r="L1376" s="387"/>
      <c r="M1376" s="388"/>
      <c r="N1376" s="388"/>
      <c r="O1376" s="390"/>
      <c r="P1376" s="391"/>
      <c r="Q1376" s="389"/>
      <c r="R1376" s="390"/>
      <c r="S1376" s="390"/>
      <c r="T1376" s="391"/>
      <c r="U1376" s="392"/>
      <c r="V1376" s="391"/>
      <c r="W1376" s="391"/>
      <c r="X1376" s="388"/>
      <c r="Y1376" s="391"/>
      <c r="Z1376" s="393"/>
      <c r="AA1376" s="355" t="str">
        <f t="shared" si="1"/>
        <v/>
      </c>
      <c r="AB1376" s="391"/>
      <c r="AC1376" s="394" t="str">
        <f t="shared" si="2"/>
        <v/>
      </c>
      <c r="AD1376" s="389"/>
      <c r="AE1376" s="399"/>
      <c r="AF1376" s="395"/>
      <c r="AG1376" s="396" t="str">
        <f t="shared" si="3"/>
        <v/>
      </c>
      <c r="AH1376" s="396" t="str">
        <f t="shared" si="4"/>
        <v/>
      </c>
      <c r="AI1376" s="388"/>
      <c r="AJ1376" s="388"/>
      <c r="AK1376" s="397"/>
    </row>
    <row r="1377">
      <c r="A1377" s="398"/>
      <c r="B1377" s="386"/>
      <c r="C1377" s="387" t="str">
        <f>IF(A1377="","",IFERROR(IF(VLOOKUP(A1377,'1. Inbound Leads'!A:G,7,FALSE)=0,"",VLOOKUP(A1377,'1. Inbound Leads'!A:G,7,FALSE)),""))</f>
        <v/>
      </c>
      <c r="D1377" s="387" t="str">
        <f>IF(A1377="","",IFERROR(IF(VLOOKUP(A1377,'1. Inbound Leads'!A:L,12,FALSE)=0,"",VLOOKUP(A1377,'1. Inbound Leads'!A:L,12,FALSE)),""))</f>
        <v/>
      </c>
      <c r="E1377" s="388"/>
      <c r="F1377" s="389"/>
      <c r="G1377" s="387"/>
      <c r="H1377" s="387"/>
      <c r="I1377" s="387"/>
      <c r="J1377" s="387"/>
      <c r="K1377" s="387"/>
      <c r="L1377" s="387"/>
      <c r="M1377" s="388"/>
      <c r="N1377" s="388"/>
      <c r="O1377" s="390"/>
      <c r="P1377" s="391"/>
      <c r="Q1377" s="389"/>
      <c r="R1377" s="390"/>
      <c r="S1377" s="390"/>
      <c r="T1377" s="391"/>
      <c r="U1377" s="392"/>
      <c r="V1377" s="391"/>
      <c r="W1377" s="391"/>
      <c r="X1377" s="388"/>
      <c r="Y1377" s="391"/>
      <c r="Z1377" s="393"/>
      <c r="AA1377" s="355" t="str">
        <f t="shared" si="1"/>
        <v/>
      </c>
      <c r="AB1377" s="391"/>
      <c r="AC1377" s="394" t="str">
        <f t="shared" si="2"/>
        <v/>
      </c>
      <c r="AD1377" s="389"/>
      <c r="AE1377" s="399"/>
      <c r="AF1377" s="395"/>
      <c r="AG1377" s="396" t="str">
        <f t="shared" si="3"/>
        <v/>
      </c>
      <c r="AH1377" s="396" t="str">
        <f t="shared" si="4"/>
        <v/>
      </c>
      <c r="AI1377" s="388"/>
      <c r="AJ1377" s="388"/>
      <c r="AK1377" s="397"/>
    </row>
    <row r="1378">
      <c r="A1378" s="398"/>
      <c r="B1378" s="386"/>
      <c r="C1378" s="387" t="str">
        <f>IF(A1378="","",IFERROR(IF(VLOOKUP(A1378,'1. Inbound Leads'!A:G,7,FALSE)=0,"",VLOOKUP(A1378,'1. Inbound Leads'!A:G,7,FALSE)),""))</f>
        <v/>
      </c>
      <c r="D1378" s="387" t="str">
        <f>IF(A1378="","",IFERROR(IF(VLOOKUP(A1378,'1. Inbound Leads'!A:L,12,FALSE)=0,"",VLOOKUP(A1378,'1. Inbound Leads'!A:L,12,FALSE)),""))</f>
        <v/>
      </c>
      <c r="E1378" s="388"/>
      <c r="F1378" s="389"/>
      <c r="G1378" s="387"/>
      <c r="H1378" s="387"/>
      <c r="I1378" s="387"/>
      <c r="J1378" s="387"/>
      <c r="K1378" s="387"/>
      <c r="L1378" s="387"/>
      <c r="M1378" s="388"/>
      <c r="N1378" s="388"/>
      <c r="O1378" s="390"/>
      <c r="P1378" s="391"/>
      <c r="Q1378" s="389"/>
      <c r="R1378" s="390"/>
      <c r="S1378" s="390"/>
      <c r="T1378" s="391"/>
      <c r="U1378" s="392"/>
      <c r="V1378" s="391"/>
      <c r="W1378" s="391"/>
      <c r="X1378" s="388"/>
      <c r="Y1378" s="391"/>
      <c r="Z1378" s="393"/>
      <c r="AA1378" s="355" t="str">
        <f t="shared" si="1"/>
        <v/>
      </c>
      <c r="AB1378" s="391"/>
      <c r="AC1378" s="394" t="str">
        <f t="shared" si="2"/>
        <v/>
      </c>
      <c r="AD1378" s="389"/>
      <c r="AE1378" s="399"/>
      <c r="AF1378" s="395"/>
      <c r="AG1378" s="396" t="str">
        <f t="shared" si="3"/>
        <v/>
      </c>
      <c r="AH1378" s="396" t="str">
        <f t="shared" si="4"/>
        <v/>
      </c>
      <c r="AI1378" s="388"/>
      <c r="AJ1378" s="388"/>
      <c r="AK1378" s="397"/>
    </row>
    <row r="1379">
      <c r="A1379" s="398"/>
      <c r="B1379" s="386"/>
      <c r="C1379" s="387" t="str">
        <f>IF(A1379="","",IFERROR(IF(VLOOKUP(A1379,'1. Inbound Leads'!A:G,7,FALSE)=0,"",VLOOKUP(A1379,'1. Inbound Leads'!A:G,7,FALSE)),""))</f>
        <v/>
      </c>
      <c r="D1379" s="387" t="str">
        <f>IF(A1379="","",IFERROR(IF(VLOOKUP(A1379,'1. Inbound Leads'!A:L,12,FALSE)=0,"",VLOOKUP(A1379,'1. Inbound Leads'!A:L,12,FALSE)),""))</f>
        <v/>
      </c>
      <c r="E1379" s="388"/>
      <c r="F1379" s="389"/>
      <c r="G1379" s="387"/>
      <c r="H1379" s="387"/>
      <c r="I1379" s="387"/>
      <c r="J1379" s="387"/>
      <c r="K1379" s="387"/>
      <c r="L1379" s="387"/>
      <c r="M1379" s="388"/>
      <c r="N1379" s="388"/>
      <c r="O1379" s="390"/>
      <c r="P1379" s="391"/>
      <c r="Q1379" s="389"/>
      <c r="R1379" s="390"/>
      <c r="S1379" s="390"/>
      <c r="T1379" s="391"/>
      <c r="U1379" s="392"/>
      <c r="V1379" s="391"/>
      <c r="W1379" s="391"/>
      <c r="X1379" s="388"/>
      <c r="Y1379" s="391"/>
      <c r="Z1379" s="393"/>
      <c r="AA1379" s="355" t="str">
        <f t="shared" si="1"/>
        <v/>
      </c>
      <c r="AB1379" s="391"/>
      <c r="AC1379" s="394" t="str">
        <f t="shared" si="2"/>
        <v/>
      </c>
      <c r="AD1379" s="389"/>
      <c r="AE1379" s="399"/>
      <c r="AF1379" s="395"/>
      <c r="AG1379" s="396" t="str">
        <f t="shared" si="3"/>
        <v/>
      </c>
      <c r="AH1379" s="396" t="str">
        <f t="shared" si="4"/>
        <v/>
      </c>
      <c r="AI1379" s="388"/>
      <c r="AJ1379" s="388"/>
      <c r="AK1379" s="397"/>
    </row>
    <row r="1380">
      <c r="A1380" s="398"/>
      <c r="B1380" s="386"/>
      <c r="C1380" s="387" t="str">
        <f>IF(A1380="","",IFERROR(IF(VLOOKUP(A1380,'1. Inbound Leads'!A:G,7,FALSE)=0,"",VLOOKUP(A1380,'1. Inbound Leads'!A:G,7,FALSE)),""))</f>
        <v/>
      </c>
      <c r="D1380" s="387" t="str">
        <f>IF(A1380="","",IFERROR(IF(VLOOKUP(A1380,'1. Inbound Leads'!A:L,12,FALSE)=0,"",VLOOKUP(A1380,'1. Inbound Leads'!A:L,12,FALSE)),""))</f>
        <v/>
      </c>
      <c r="E1380" s="388"/>
      <c r="F1380" s="389"/>
      <c r="G1380" s="387"/>
      <c r="H1380" s="387"/>
      <c r="I1380" s="387"/>
      <c r="J1380" s="387"/>
      <c r="K1380" s="387"/>
      <c r="L1380" s="387"/>
      <c r="M1380" s="388"/>
      <c r="N1380" s="388"/>
      <c r="O1380" s="390"/>
      <c r="P1380" s="391"/>
      <c r="Q1380" s="389"/>
      <c r="R1380" s="390"/>
      <c r="S1380" s="390"/>
      <c r="T1380" s="391"/>
      <c r="U1380" s="392"/>
      <c r="V1380" s="391"/>
      <c r="W1380" s="391"/>
      <c r="X1380" s="388"/>
      <c r="Y1380" s="391"/>
      <c r="Z1380" s="393"/>
      <c r="AA1380" s="355" t="str">
        <f t="shared" si="1"/>
        <v/>
      </c>
      <c r="AB1380" s="391"/>
      <c r="AC1380" s="394" t="str">
        <f t="shared" si="2"/>
        <v/>
      </c>
      <c r="AD1380" s="389"/>
      <c r="AE1380" s="399"/>
      <c r="AF1380" s="395"/>
      <c r="AG1380" s="396" t="str">
        <f t="shared" si="3"/>
        <v/>
      </c>
      <c r="AH1380" s="396" t="str">
        <f t="shared" si="4"/>
        <v/>
      </c>
      <c r="AI1380" s="388"/>
      <c r="AJ1380" s="388"/>
      <c r="AK1380" s="397"/>
    </row>
    <row r="1381">
      <c r="A1381" s="398"/>
      <c r="B1381" s="386"/>
      <c r="C1381" s="387" t="str">
        <f>IF(A1381="","",IFERROR(IF(VLOOKUP(A1381,'1. Inbound Leads'!A:G,7,FALSE)=0,"",VLOOKUP(A1381,'1. Inbound Leads'!A:G,7,FALSE)),""))</f>
        <v/>
      </c>
      <c r="D1381" s="387" t="str">
        <f>IF(A1381="","",IFERROR(IF(VLOOKUP(A1381,'1. Inbound Leads'!A:L,12,FALSE)=0,"",VLOOKUP(A1381,'1. Inbound Leads'!A:L,12,FALSE)),""))</f>
        <v/>
      </c>
      <c r="E1381" s="388"/>
      <c r="F1381" s="389"/>
      <c r="G1381" s="387"/>
      <c r="H1381" s="387"/>
      <c r="I1381" s="387"/>
      <c r="J1381" s="387"/>
      <c r="K1381" s="387"/>
      <c r="L1381" s="387"/>
      <c r="M1381" s="388"/>
      <c r="N1381" s="388"/>
      <c r="O1381" s="390"/>
      <c r="P1381" s="391"/>
      <c r="Q1381" s="389"/>
      <c r="R1381" s="390"/>
      <c r="S1381" s="390"/>
      <c r="T1381" s="391"/>
      <c r="U1381" s="392"/>
      <c r="V1381" s="391"/>
      <c r="W1381" s="391"/>
      <c r="X1381" s="388"/>
      <c r="Y1381" s="391"/>
      <c r="Z1381" s="393"/>
      <c r="AA1381" s="355" t="str">
        <f t="shared" si="1"/>
        <v/>
      </c>
      <c r="AB1381" s="391"/>
      <c r="AC1381" s="394" t="str">
        <f t="shared" si="2"/>
        <v/>
      </c>
      <c r="AD1381" s="389"/>
      <c r="AE1381" s="399"/>
      <c r="AF1381" s="395"/>
      <c r="AG1381" s="396" t="str">
        <f t="shared" si="3"/>
        <v/>
      </c>
      <c r="AH1381" s="396" t="str">
        <f t="shared" si="4"/>
        <v/>
      </c>
      <c r="AI1381" s="388"/>
      <c r="AJ1381" s="388"/>
      <c r="AK1381" s="397"/>
    </row>
    <row r="1382">
      <c r="A1382" s="398"/>
      <c r="B1382" s="386"/>
      <c r="C1382" s="387" t="str">
        <f>IF(A1382="","",IFERROR(IF(VLOOKUP(A1382,'1. Inbound Leads'!A:G,7,FALSE)=0,"",VLOOKUP(A1382,'1. Inbound Leads'!A:G,7,FALSE)),""))</f>
        <v/>
      </c>
      <c r="D1382" s="387" t="str">
        <f>IF(A1382="","",IFERROR(IF(VLOOKUP(A1382,'1. Inbound Leads'!A:L,12,FALSE)=0,"",VLOOKUP(A1382,'1. Inbound Leads'!A:L,12,FALSE)),""))</f>
        <v/>
      </c>
      <c r="E1382" s="388"/>
      <c r="F1382" s="389"/>
      <c r="G1382" s="387"/>
      <c r="H1382" s="387"/>
      <c r="I1382" s="387"/>
      <c r="J1382" s="387"/>
      <c r="K1382" s="387"/>
      <c r="L1382" s="387"/>
      <c r="M1382" s="388"/>
      <c r="N1382" s="388"/>
      <c r="O1382" s="390"/>
      <c r="P1382" s="391"/>
      <c r="Q1382" s="389"/>
      <c r="R1382" s="390"/>
      <c r="S1382" s="390"/>
      <c r="T1382" s="391"/>
      <c r="U1382" s="392"/>
      <c r="V1382" s="391"/>
      <c r="W1382" s="391"/>
      <c r="X1382" s="388"/>
      <c r="Y1382" s="391"/>
      <c r="Z1382" s="393"/>
      <c r="AA1382" s="355" t="str">
        <f t="shared" si="1"/>
        <v/>
      </c>
      <c r="AB1382" s="391"/>
      <c r="AC1382" s="394" t="str">
        <f t="shared" si="2"/>
        <v/>
      </c>
      <c r="AD1382" s="389"/>
      <c r="AE1382" s="399"/>
      <c r="AF1382" s="395"/>
      <c r="AG1382" s="396" t="str">
        <f t="shared" si="3"/>
        <v/>
      </c>
      <c r="AH1382" s="396" t="str">
        <f t="shared" si="4"/>
        <v/>
      </c>
      <c r="AI1382" s="388"/>
      <c r="AJ1382" s="388"/>
      <c r="AK1382" s="397"/>
    </row>
    <row r="1383">
      <c r="A1383" s="398"/>
      <c r="B1383" s="386"/>
      <c r="C1383" s="387" t="str">
        <f>IF(A1383="","",IFERROR(IF(VLOOKUP(A1383,'1. Inbound Leads'!A:G,7,FALSE)=0,"",VLOOKUP(A1383,'1. Inbound Leads'!A:G,7,FALSE)),""))</f>
        <v/>
      </c>
      <c r="D1383" s="387" t="str">
        <f>IF(A1383="","",IFERROR(IF(VLOOKUP(A1383,'1. Inbound Leads'!A:L,12,FALSE)=0,"",VLOOKUP(A1383,'1. Inbound Leads'!A:L,12,FALSE)),""))</f>
        <v/>
      </c>
      <c r="E1383" s="388"/>
      <c r="F1383" s="389"/>
      <c r="G1383" s="387"/>
      <c r="H1383" s="387"/>
      <c r="I1383" s="387"/>
      <c r="J1383" s="387"/>
      <c r="K1383" s="387"/>
      <c r="L1383" s="387"/>
      <c r="M1383" s="388"/>
      <c r="N1383" s="388"/>
      <c r="O1383" s="390"/>
      <c r="P1383" s="391"/>
      <c r="Q1383" s="389"/>
      <c r="R1383" s="390"/>
      <c r="S1383" s="390"/>
      <c r="T1383" s="391"/>
      <c r="U1383" s="392"/>
      <c r="V1383" s="391"/>
      <c r="W1383" s="391"/>
      <c r="X1383" s="388"/>
      <c r="Y1383" s="391"/>
      <c r="Z1383" s="393"/>
      <c r="AA1383" s="355" t="str">
        <f t="shared" si="1"/>
        <v/>
      </c>
      <c r="AB1383" s="391"/>
      <c r="AC1383" s="394" t="str">
        <f t="shared" si="2"/>
        <v/>
      </c>
      <c r="AD1383" s="389"/>
      <c r="AE1383" s="399"/>
      <c r="AF1383" s="395"/>
      <c r="AG1383" s="396" t="str">
        <f t="shared" si="3"/>
        <v/>
      </c>
      <c r="AH1383" s="396" t="str">
        <f t="shared" si="4"/>
        <v/>
      </c>
      <c r="AI1383" s="388"/>
      <c r="AJ1383" s="388"/>
      <c r="AK1383" s="397"/>
    </row>
    <row r="1384">
      <c r="A1384" s="398"/>
      <c r="B1384" s="386"/>
      <c r="C1384" s="387" t="str">
        <f>IF(A1384="","",IFERROR(IF(VLOOKUP(A1384,'1. Inbound Leads'!A:G,7,FALSE)=0,"",VLOOKUP(A1384,'1. Inbound Leads'!A:G,7,FALSE)),""))</f>
        <v/>
      </c>
      <c r="D1384" s="387" t="str">
        <f>IF(A1384="","",IFERROR(IF(VLOOKUP(A1384,'1. Inbound Leads'!A:L,12,FALSE)=0,"",VLOOKUP(A1384,'1. Inbound Leads'!A:L,12,FALSE)),""))</f>
        <v/>
      </c>
      <c r="E1384" s="388"/>
      <c r="F1384" s="389"/>
      <c r="G1384" s="387"/>
      <c r="H1384" s="387"/>
      <c r="I1384" s="387"/>
      <c r="J1384" s="387"/>
      <c r="K1384" s="387"/>
      <c r="L1384" s="387"/>
      <c r="M1384" s="388"/>
      <c r="N1384" s="388"/>
      <c r="O1384" s="390"/>
      <c r="P1384" s="391"/>
      <c r="Q1384" s="389"/>
      <c r="R1384" s="390"/>
      <c r="S1384" s="390"/>
      <c r="T1384" s="391"/>
      <c r="U1384" s="392"/>
      <c r="V1384" s="391"/>
      <c r="W1384" s="391"/>
      <c r="X1384" s="388"/>
      <c r="Y1384" s="391"/>
      <c r="Z1384" s="393"/>
      <c r="AA1384" s="355" t="str">
        <f t="shared" si="1"/>
        <v/>
      </c>
      <c r="AB1384" s="391"/>
      <c r="AC1384" s="394" t="str">
        <f t="shared" si="2"/>
        <v/>
      </c>
      <c r="AD1384" s="389"/>
      <c r="AE1384" s="399"/>
      <c r="AF1384" s="395"/>
      <c r="AG1384" s="396" t="str">
        <f t="shared" si="3"/>
        <v/>
      </c>
      <c r="AH1384" s="396" t="str">
        <f t="shared" si="4"/>
        <v/>
      </c>
      <c r="AI1384" s="388"/>
      <c r="AJ1384" s="388"/>
      <c r="AK1384" s="397"/>
    </row>
    <row r="1385">
      <c r="A1385" s="398"/>
      <c r="B1385" s="386"/>
      <c r="C1385" s="387" t="str">
        <f>IF(A1385="","",IFERROR(IF(VLOOKUP(A1385,'1. Inbound Leads'!A:G,7,FALSE)=0,"",VLOOKUP(A1385,'1. Inbound Leads'!A:G,7,FALSE)),""))</f>
        <v/>
      </c>
      <c r="D1385" s="387" t="str">
        <f>IF(A1385="","",IFERROR(IF(VLOOKUP(A1385,'1. Inbound Leads'!A:L,12,FALSE)=0,"",VLOOKUP(A1385,'1. Inbound Leads'!A:L,12,FALSE)),""))</f>
        <v/>
      </c>
      <c r="E1385" s="388"/>
      <c r="F1385" s="389"/>
      <c r="G1385" s="387"/>
      <c r="H1385" s="387"/>
      <c r="I1385" s="387"/>
      <c r="J1385" s="387"/>
      <c r="K1385" s="387"/>
      <c r="L1385" s="387"/>
      <c r="M1385" s="388"/>
      <c r="N1385" s="388"/>
      <c r="O1385" s="390"/>
      <c r="P1385" s="391"/>
      <c r="Q1385" s="389"/>
      <c r="R1385" s="390"/>
      <c r="S1385" s="390"/>
      <c r="T1385" s="391"/>
      <c r="U1385" s="392"/>
      <c r="V1385" s="391"/>
      <c r="W1385" s="391"/>
      <c r="X1385" s="388"/>
      <c r="Y1385" s="391"/>
      <c r="Z1385" s="393"/>
      <c r="AA1385" s="355" t="str">
        <f t="shared" si="1"/>
        <v/>
      </c>
      <c r="AB1385" s="391"/>
      <c r="AC1385" s="394" t="str">
        <f t="shared" si="2"/>
        <v/>
      </c>
      <c r="AD1385" s="389"/>
      <c r="AE1385" s="399"/>
      <c r="AF1385" s="395"/>
      <c r="AG1385" s="396" t="str">
        <f t="shared" si="3"/>
        <v/>
      </c>
      <c r="AH1385" s="396" t="str">
        <f t="shared" si="4"/>
        <v/>
      </c>
      <c r="AI1385" s="388"/>
      <c r="AJ1385" s="388"/>
      <c r="AK1385" s="397"/>
    </row>
    <row r="1386">
      <c r="A1386" s="398"/>
      <c r="B1386" s="386"/>
      <c r="C1386" s="387" t="str">
        <f>IF(A1386="","",IFERROR(IF(VLOOKUP(A1386,'1. Inbound Leads'!A:G,7,FALSE)=0,"",VLOOKUP(A1386,'1. Inbound Leads'!A:G,7,FALSE)),""))</f>
        <v/>
      </c>
      <c r="D1386" s="387" t="str">
        <f>IF(A1386="","",IFERROR(IF(VLOOKUP(A1386,'1. Inbound Leads'!A:L,12,FALSE)=0,"",VLOOKUP(A1386,'1. Inbound Leads'!A:L,12,FALSE)),""))</f>
        <v/>
      </c>
      <c r="E1386" s="388"/>
      <c r="F1386" s="389"/>
      <c r="G1386" s="387"/>
      <c r="H1386" s="387"/>
      <c r="I1386" s="387"/>
      <c r="J1386" s="387"/>
      <c r="K1386" s="387"/>
      <c r="L1386" s="387"/>
      <c r="M1386" s="388"/>
      <c r="N1386" s="388"/>
      <c r="O1386" s="390"/>
      <c r="P1386" s="391"/>
      <c r="Q1386" s="389"/>
      <c r="R1386" s="390"/>
      <c r="S1386" s="390"/>
      <c r="T1386" s="391"/>
      <c r="U1386" s="392"/>
      <c r="V1386" s="391"/>
      <c r="W1386" s="391"/>
      <c r="X1386" s="388"/>
      <c r="Y1386" s="391"/>
      <c r="Z1386" s="393"/>
      <c r="AA1386" s="355" t="str">
        <f t="shared" si="1"/>
        <v/>
      </c>
      <c r="AB1386" s="391"/>
      <c r="AC1386" s="394" t="str">
        <f t="shared" si="2"/>
        <v/>
      </c>
      <c r="AD1386" s="389"/>
      <c r="AE1386" s="399"/>
      <c r="AF1386" s="395"/>
      <c r="AG1386" s="396" t="str">
        <f t="shared" si="3"/>
        <v/>
      </c>
      <c r="AH1386" s="396" t="str">
        <f t="shared" si="4"/>
        <v/>
      </c>
      <c r="AI1386" s="388"/>
      <c r="AJ1386" s="388"/>
      <c r="AK1386" s="397"/>
    </row>
    <row r="1387">
      <c r="A1387" s="398"/>
      <c r="B1387" s="386"/>
      <c r="C1387" s="387" t="str">
        <f>IF(A1387="","",IFERROR(IF(VLOOKUP(A1387,'1. Inbound Leads'!A:G,7,FALSE)=0,"",VLOOKUP(A1387,'1. Inbound Leads'!A:G,7,FALSE)),""))</f>
        <v/>
      </c>
      <c r="D1387" s="387" t="str">
        <f>IF(A1387="","",IFERROR(IF(VLOOKUP(A1387,'1. Inbound Leads'!A:L,12,FALSE)=0,"",VLOOKUP(A1387,'1. Inbound Leads'!A:L,12,FALSE)),""))</f>
        <v/>
      </c>
      <c r="E1387" s="388"/>
      <c r="F1387" s="389"/>
      <c r="G1387" s="387"/>
      <c r="H1387" s="387"/>
      <c r="I1387" s="387"/>
      <c r="J1387" s="387"/>
      <c r="K1387" s="387"/>
      <c r="L1387" s="387"/>
      <c r="M1387" s="388"/>
      <c r="N1387" s="388"/>
      <c r="O1387" s="390"/>
      <c r="P1387" s="391"/>
      <c r="Q1387" s="389"/>
      <c r="R1387" s="390"/>
      <c r="S1387" s="390"/>
      <c r="T1387" s="391"/>
      <c r="U1387" s="392"/>
      <c r="V1387" s="391"/>
      <c r="W1387" s="391"/>
      <c r="X1387" s="388"/>
      <c r="Y1387" s="391"/>
      <c r="Z1387" s="393"/>
      <c r="AA1387" s="355" t="str">
        <f t="shared" si="1"/>
        <v/>
      </c>
      <c r="AB1387" s="391"/>
      <c r="AC1387" s="394" t="str">
        <f t="shared" si="2"/>
        <v/>
      </c>
      <c r="AD1387" s="389"/>
      <c r="AE1387" s="399"/>
      <c r="AF1387" s="395"/>
      <c r="AG1387" s="396" t="str">
        <f t="shared" si="3"/>
        <v/>
      </c>
      <c r="AH1387" s="396" t="str">
        <f t="shared" si="4"/>
        <v/>
      </c>
      <c r="AI1387" s="388"/>
      <c r="AJ1387" s="388"/>
      <c r="AK1387" s="397"/>
    </row>
    <row r="1388">
      <c r="A1388" s="398"/>
      <c r="B1388" s="386"/>
      <c r="C1388" s="387" t="str">
        <f>IF(A1388="","",IFERROR(IF(VLOOKUP(A1388,'1. Inbound Leads'!A:G,7,FALSE)=0,"",VLOOKUP(A1388,'1. Inbound Leads'!A:G,7,FALSE)),""))</f>
        <v/>
      </c>
      <c r="D1388" s="387" t="str">
        <f>IF(A1388="","",IFERROR(IF(VLOOKUP(A1388,'1. Inbound Leads'!A:L,12,FALSE)=0,"",VLOOKUP(A1388,'1. Inbound Leads'!A:L,12,FALSE)),""))</f>
        <v/>
      </c>
      <c r="E1388" s="388"/>
      <c r="F1388" s="389"/>
      <c r="G1388" s="387"/>
      <c r="H1388" s="387"/>
      <c r="I1388" s="387"/>
      <c r="J1388" s="387"/>
      <c r="K1388" s="387"/>
      <c r="L1388" s="387"/>
      <c r="M1388" s="388"/>
      <c r="N1388" s="388"/>
      <c r="O1388" s="390"/>
      <c r="P1388" s="391"/>
      <c r="Q1388" s="389"/>
      <c r="R1388" s="390"/>
      <c r="S1388" s="390"/>
      <c r="T1388" s="391"/>
      <c r="U1388" s="392"/>
      <c r="V1388" s="391"/>
      <c r="W1388" s="391"/>
      <c r="X1388" s="388"/>
      <c r="Y1388" s="391"/>
      <c r="Z1388" s="393"/>
      <c r="AA1388" s="355" t="str">
        <f t="shared" si="1"/>
        <v/>
      </c>
      <c r="AB1388" s="391"/>
      <c r="AC1388" s="394" t="str">
        <f t="shared" si="2"/>
        <v/>
      </c>
      <c r="AD1388" s="389"/>
      <c r="AE1388" s="399"/>
      <c r="AF1388" s="395"/>
      <c r="AG1388" s="396" t="str">
        <f t="shared" si="3"/>
        <v/>
      </c>
      <c r="AH1388" s="396" t="str">
        <f t="shared" si="4"/>
        <v/>
      </c>
      <c r="AI1388" s="388"/>
      <c r="AJ1388" s="388"/>
      <c r="AK1388" s="397"/>
    </row>
    <row r="1389">
      <c r="A1389" s="398"/>
      <c r="B1389" s="386"/>
      <c r="C1389" s="387" t="str">
        <f>IF(A1389="","",IFERROR(IF(VLOOKUP(A1389,'1. Inbound Leads'!A:G,7,FALSE)=0,"",VLOOKUP(A1389,'1. Inbound Leads'!A:G,7,FALSE)),""))</f>
        <v/>
      </c>
      <c r="D1389" s="387" t="str">
        <f>IF(A1389="","",IFERROR(IF(VLOOKUP(A1389,'1. Inbound Leads'!A:L,12,FALSE)=0,"",VLOOKUP(A1389,'1. Inbound Leads'!A:L,12,FALSE)),""))</f>
        <v/>
      </c>
      <c r="E1389" s="388"/>
      <c r="F1389" s="389"/>
      <c r="G1389" s="387"/>
      <c r="H1389" s="387"/>
      <c r="I1389" s="387"/>
      <c r="J1389" s="387"/>
      <c r="K1389" s="387"/>
      <c r="L1389" s="387"/>
      <c r="M1389" s="388"/>
      <c r="N1389" s="388"/>
      <c r="O1389" s="390"/>
      <c r="P1389" s="391"/>
      <c r="Q1389" s="389"/>
      <c r="R1389" s="390"/>
      <c r="S1389" s="390"/>
      <c r="T1389" s="391"/>
      <c r="U1389" s="392"/>
      <c r="V1389" s="391"/>
      <c r="W1389" s="391"/>
      <c r="X1389" s="388"/>
      <c r="Y1389" s="391"/>
      <c r="Z1389" s="393"/>
      <c r="AA1389" s="355" t="str">
        <f t="shared" si="1"/>
        <v/>
      </c>
      <c r="AB1389" s="391"/>
      <c r="AC1389" s="394" t="str">
        <f t="shared" si="2"/>
        <v/>
      </c>
      <c r="AD1389" s="389"/>
      <c r="AE1389" s="399"/>
      <c r="AF1389" s="395"/>
      <c r="AG1389" s="396" t="str">
        <f t="shared" si="3"/>
        <v/>
      </c>
      <c r="AH1389" s="396" t="str">
        <f t="shared" si="4"/>
        <v/>
      </c>
      <c r="AI1389" s="388"/>
      <c r="AJ1389" s="388"/>
      <c r="AK1389" s="397"/>
    </row>
    <row r="1390">
      <c r="A1390" s="398"/>
      <c r="B1390" s="386"/>
      <c r="C1390" s="387" t="str">
        <f>IF(A1390="","",IFERROR(IF(VLOOKUP(A1390,'1. Inbound Leads'!A:G,7,FALSE)=0,"",VLOOKUP(A1390,'1. Inbound Leads'!A:G,7,FALSE)),""))</f>
        <v/>
      </c>
      <c r="D1390" s="387" t="str">
        <f>IF(A1390="","",IFERROR(IF(VLOOKUP(A1390,'1. Inbound Leads'!A:L,12,FALSE)=0,"",VLOOKUP(A1390,'1. Inbound Leads'!A:L,12,FALSE)),""))</f>
        <v/>
      </c>
      <c r="E1390" s="388"/>
      <c r="F1390" s="389"/>
      <c r="G1390" s="387"/>
      <c r="H1390" s="387"/>
      <c r="I1390" s="387"/>
      <c r="J1390" s="387"/>
      <c r="K1390" s="387"/>
      <c r="L1390" s="387"/>
      <c r="M1390" s="388"/>
      <c r="N1390" s="388"/>
      <c r="O1390" s="390"/>
      <c r="P1390" s="391"/>
      <c r="Q1390" s="389"/>
      <c r="R1390" s="390"/>
      <c r="S1390" s="390"/>
      <c r="T1390" s="391"/>
      <c r="U1390" s="392"/>
      <c r="V1390" s="391"/>
      <c r="W1390" s="391"/>
      <c r="X1390" s="388"/>
      <c r="Y1390" s="391"/>
      <c r="Z1390" s="393"/>
      <c r="AA1390" s="355" t="str">
        <f t="shared" si="1"/>
        <v/>
      </c>
      <c r="AB1390" s="391"/>
      <c r="AC1390" s="394" t="str">
        <f t="shared" si="2"/>
        <v/>
      </c>
      <c r="AD1390" s="389"/>
      <c r="AE1390" s="399"/>
      <c r="AF1390" s="395"/>
      <c r="AG1390" s="396" t="str">
        <f t="shared" si="3"/>
        <v/>
      </c>
      <c r="AH1390" s="396" t="str">
        <f t="shared" si="4"/>
        <v/>
      </c>
      <c r="AI1390" s="388"/>
      <c r="AJ1390" s="388"/>
      <c r="AK1390" s="397"/>
    </row>
    <row r="1391">
      <c r="A1391" s="398"/>
      <c r="B1391" s="386"/>
      <c r="C1391" s="387" t="str">
        <f>IF(A1391="","",IFERROR(IF(VLOOKUP(A1391,'1. Inbound Leads'!A:G,7,FALSE)=0,"",VLOOKUP(A1391,'1. Inbound Leads'!A:G,7,FALSE)),""))</f>
        <v/>
      </c>
      <c r="D1391" s="387" t="str">
        <f>IF(A1391="","",IFERROR(IF(VLOOKUP(A1391,'1. Inbound Leads'!A:L,12,FALSE)=0,"",VLOOKUP(A1391,'1. Inbound Leads'!A:L,12,FALSE)),""))</f>
        <v/>
      </c>
      <c r="E1391" s="388"/>
      <c r="F1391" s="389"/>
      <c r="G1391" s="387"/>
      <c r="H1391" s="387"/>
      <c r="I1391" s="387"/>
      <c r="J1391" s="387"/>
      <c r="K1391" s="387"/>
      <c r="L1391" s="387"/>
      <c r="M1391" s="388"/>
      <c r="N1391" s="388"/>
      <c r="O1391" s="390"/>
      <c r="P1391" s="391"/>
      <c r="Q1391" s="389"/>
      <c r="R1391" s="390"/>
      <c r="S1391" s="390"/>
      <c r="T1391" s="391"/>
      <c r="U1391" s="392"/>
      <c r="V1391" s="391"/>
      <c r="W1391" s="391"/>
      <c r="X1391" s="388"/>
      <c r="Y1391" s="391"/>
      <c r="Z1391" s="393"/>
      <c r="AA1391" s="355" t="str">
        <f t="shared" si="1"/>
        <v/>
      </c>
      <c r="AB1391" s="391"/>
      <c r="AC1391" s="394" t="str">
        <f t="shared" si="2"/>
        <v/>
      </c>
      <c r="AD1391" s="389"/>
      <c r="AE1391" s="399"/>
      <c r="AF1391" s="395"/>
      <c r="AG1391" s="396" t="str">
        <f t="shared" si="3"/>
        <v/>
      </c>
      <c r="AH1391" s="396" t="str">
        <f t="shared" si="4"/>
        <v/>
      </c>
      <c r="AI1391" s="388"/>
      <c r="AJ1391" s="388"/>
      <c r="AK1391" s="397"/>
    </row>
    <row r="1392">
      <c r="A1392" s="398"/>
      <c r="B1392" s="386"/>
      <c r="C1392" s="387" t="str">
        <f>IF(A1392="","",IFERROR(IF(VLOOKUP(A1392,'1. Inbound Leads'!A:G,7,FALSE)=0,"",VLOOKUP(A1392,'1. Inbound Leads'!A:G,7,FALSE)),""))</f>
        <v/>
      </c>
      <c r="D1392" s="387" t="str">
        <f>IF(A1392="","",IFERROR(IF(VLOOKUP(A1392,'1. Inbound Leads'!A:L,12,FALSE)=0,"",VLOOKUP(A1392,'1. Inbound Leads'!A:L,12,FALSE)),""))</f>
        <v/>
      </c>
      <c r="E1392" s="388"/>
      <c r="F1392" s="389"/>
      <c r="G1392" s="387"/>
      <c r="H1392" s="387"/>
      <c r="I1392" s="387"/>
      <c r="J1392" s="387"/>
      <c r="K1392" s="387"/>
      <c r="L1392" s="387"/>
      <c r="M1392" s="388"/>
      <c r="N1392" s="388"/>
      <c r="O1392" s="390"/>
      <c r="P1392" s="391"/>
      <c r="Q1392" s="389"/>
      <c r="R1392" s="390"/>
      <c r="S1392" s="390"/>
      <c r="T1392" s="391"/>
      <c r="U1392" s="392"/>
      <c r="V1392" s="391"/>
      <c r="W1392" s="391"/>
      <c r="X1392" s="388"/>
      <c r="Y1392" s="391"/>
      <c r="Z1392" s="393"/>
      <c r="AA1392" s="355" t="str">
        <f t="shared" si="1"/>
        <v/>
      </c>
      <c r="AB1392" s="391"/>
      <c r="AC1392" s="394" t="str">
        <f t="shared" si="2"/>
        <v/>
      </c>
      <c r="AD1392" s="389"/>
      <c r="AE1392" s="399"/>
      <c r="AF1392" s="395"/>
      <c r="AG1392" s="396" t="str">
        <f t="shared" si="3"/>
        <v/>
      </c>
      <c r="AH1392" s="396" t="str">
        <f t="shared" si="4"/>
        <v/>
      </c>
      <c r="AI1392" s="388"/>
      <c r="AJ1392" s="388"/>
      <c r="AK1392" s="397"/>
    </row>
    <row r="1393">
      <c r="A1393" s="398"/>
      <c r="B1393" s="386"/>
      <c r="C1393" s="387" t="str">
        <f>IF(A1393="","",IFERROR(IF(VLOOKUP(A1393,'1. Inbound Leads'!A:G,7,FALSE)=0,"",VLOOKUP(A1393,'1. Inbound Leads'!A:G,7,FALSE)),""))</f>
        <v/>
      </c>
      <c r="D1393" s="387" t="str">
        <f>IF(A1393="","",IFERROR(IF(VLOOKUP(A1393,'1. Inbound Leads'!A:L,12,FALSE)=0,"",VLOOKUP(A1393,'1. Inbound Leads'!A:L,12,FALSE)),""))</f>
        <v/>
      </c>
      <c r="E1393" s="388"/>
      <c r="F1393" s="389"/>
      <c r="G1393" s="387"/>
      <c r="H1393" s="387"/>
      <c r="I1393" s="387"/>
      <c r="J1393" s="387"/>
      <c r="K1393" s="387"/>
      <c r="L1393" s="387"/>
      <c r="M1393" s="388"/>
      <c r="N1393" s="388"/>
      <c r="O1393" s="390"/>
      <c r="P1393" s="391"/>
      <c r="Q1393" s="389"/>
      <c r="R1393" s="390"/>
      <c r="S1393" s="390"/>
      <c r="T1393" s="391"/>
      <c r="U1393" s="392"/>
      <c r="V1393" s="391"/>
      <c r="W1393" s="391"/>
      <c r="X1393" s="388"/>
      <c r="Y1393" s="391"/>
      <c r="Z1393" s="393"/>
      <c r="AA1393" s="355" t="str">
        <f t="shared" si="1"/>
        <v/>
      </c>
      <c r="AB1393" s="391"/>
      <c r="AC1393" s="394" t="str">
        <f t="shared" si="2"/>
        <v/>
      </c>
      <c r="AD1393" s="389"/>
      <c r="AE1393" s="399"/>
      <c r="AF1393" s="395"/>
      <c r="AG1393" s="396" t="str">
        <f t="shared" si="3"/>
        <v/>
      </c>
      <c r="AH1393" s="396" t="str">
        <f t="shared" si="4"/>
        <v/>
      </c>
      <c r="AI1393" s="388"/>
      <c r="AJ1393" s="388"/>
      <c r="AK1393" s="397"/>
    </row>
    <row r="1394">
      <c r="A1394" s="398"/>
      <c r="B1394" s="386"/>
      <c r="C1394" s="387" t="str">
        <f>IF(A1394="","",IFERROR(IF(VLOOKUP(A1394,'1. Inbound Leads'!A:G,7,FALSE)=0,"",VLOOKUP(A1394,'1. Inbound Leads'!A:G,7,FALSE)),""))</f>
        <v/>
      </c>
      <c r="D1394" s="387" t="str">
        <f>IF(A1394="","",IFERROR(IF(VLOOKUP(A1394,'1. Inbound Leads'!A:L,12,FALSE)=0,"",VLOOKUP(A1394,'1. Inbound Leads'!A:L,12,FALSE)),""))</f>
        <v/>
      </c>
      <c r="E1394" s="388"/>
      <c r="F1394" s="389"/>
      <c r="G1394" s="387"/>
      <c r="H1394" s="387"/>
      <c r="I1394" s="387"/>
      <c r="J1394" s="387"/>
      <c r="K1394" s="387"/>
      <c r="L1394" s="387"/>
      <c r="M1394" s="388"/>
      <c r="N1394" s="388"/>
      <c r="O1394" s="390"/>
      <c r="P1394" s="391"/>
      <c r="Q1394" s="389"/>
      <c r="R1394" s="390"/>
      <c r="S1394" s="390"/>
      <c r="T1394" s="391"/>
      <c r="U1394" s="392"/>
      <c r="V1394" s="391"/>
      <c r="W1394" s="391"/>
      <c r="X1394" s="388"/>
      <c r="Y1394" s="391"/>
      <c r="Z1394" s="393"/>
      <c r="AA1394" s="355" t="str">
        <f t="shared" si="1"/>
        <v/>
      </c>
      <c r="AB1394" s="391"/>
      <c r="AC1394" s="394" t="str">
        <f t="shared" si="2"/>
        <v/>
      </c>
      <c r="AD1394" s="389"/>
      <c r="AE1394" s="399"/>
      <c r="AF1394" s="395"/>
      <c r="AG1394" s="396" t="str">
        <f t="shared" si="3"/>
        <v/>
      </c>
      <c r="AH1394" s="396" t="str">
        <f t="shared" si="4"/>
        <v/>
      </c>
      <c r="AI1394" s="388"/>
      <c r="AJ1394" s="388"/>
      <c r="AK1394" s="397"/>
    </row>
    <row r="1395">
      <c r="A1395" s="398"/>
      <c r="B1395" s="386"/>
      <c r="C1395" s="387" t="str">
        <f>IF(A1395="","",IFERROR(IF(VLOOKUP(A1395,'1. Inbound Leads'!A:G,7,FALSE)=0,"",VLOOKUP(A1395,'1. Inbound Leads'!A:G,7,FALSE)),""))</f>
        <v/>
      </c>
      <c r="D1395" s="387" t="str">
        <f>IF(A1395="","",IFERROR(IF(VLOOKUP(A1395,'1. Inbound Leads'!A:L,12,FALSE)=0,"",VLOOKUP(A1395,'1. Inbound Leads'!A:L,12,FALSE)),""))</f>
        <v/>
      </c>
      <c r="E1395" s="388"/>
      <c r="F1395" s="389"/>
      <c r="G1395" s="387"/>
      <c r="H1395" s="387"/>
      <c r="I1395" s="387"/>
      <c r="J1395" s="387"/>
      <c r="K1395" s="387"/>
      <c r="L1395" s="387"/>
      <c r="M1395" s="388"/>
      <c r="N1395" s="388"/>
      <c r="O1395" s="390"/>
      <c r="P1395" s="391"/>
      <c r="Q1395" s="389"/>
      <c r="R1395" s="390"/>
      <c r="S1395" s="390"/>
      <c r="T1395" s="391"/>
      <c r="U1395" s="392"/>
      <c r="V1395" s="391"/>
      <c r="W1395" s="391"/>
      <c r="X1395" s="388"/>
      <c r="Y1395" s="391"/>
      <c r="Z1395" s="393"/>
      <c r="AA1395" s="355" t="str">
        <f t="shared" si="1"/>
        <v/>
      </c>
      <c r="AB1395" s="391"/>
      <c r="AC1395" s="394" t="str">
        <f t="shared" si="2"/>
        <v/>
      </c>
      <c r="AD1395" s="389"/>
      <c r="AE1395" s="399"/>
      <c r="AF1395" s="395"/>
      <c r="AG1395" s="396" t="str">
        <f t="shared" si="3"/>
        <v/>
      </c>
      <c r="AH1395" s="396" t="str">
        <f t="shared" si="4"/>
        <v/>
      </c>
      <c r="AI1395" s="388"/>
      <c r="AJ1395" s="388"/>
      <c r="AK1395" s="397"/>
    </row>
    <row r="1396">
      <c r="A1396" s="398"/>
      <c r="B1396" s="386"/>
      <c r="C1396" s="387" t="str">
        <f>IF(A1396="","",IFERROR(IF(VLOOKUP(A1396,'1. Inbound Leads'!A:G,7,FALSE)=0,"",VLOOKUP(A1396,'1. Inbound Leads'!A:G,7,FALSE)),""))</f>
        <v/>
      </c>
      <c r="D1396" s="387" t="str">
        <f>IF(A1396="","",IFERROR(IF(VLOOKUP(A1396,'1. Inbound Leads'!A:L,12,FALSE)=0,"",VLOOKUP(A1396,'1. Inbound Leads'!A:L,12,FALSE)),""))</f>
        <v/>
      </c>
      <c r="E1396" s="388"/>
      <c r="F1396" s="389"/>
      <c r="G1396" s="387"/>
      <c r="H1396" s="387"/>
      <c r="I1396" s="387"/>
      <c r="J1396" s="387"/>
      <c r="K1396" s="387"/>
      <c r="L1396" s="387"/>
      <c r="M1396" s="388"/>
      <c r="N1396" s="388"/>
      <c r="O1396" s="390"/>
      <c r="P1396" s="391"/>
      <c r="Q1396" s="389"/>
      <c r="R1396" s="390"/>
      <c r="S1396" s="390"/>
      <c r="T1396" s="391"/>
      <c r="U1396" s="392"/>
      <c r="V1396" s="391"/>
      <c r="W1396" s="391"/>
      <c r="X1396" s="388"/>
      <c r="Y1396" s="391"/>
      <c r="Z1396" s="393"/>
      <c r="AA1396" s="355" t="str">
        <f t="shared" si="1"/>
        <v/>
      </c>
      <c r="AB1396" s="391"/>
      <c r="AC1396" s="394" t="str">
        <f t="shared" si="2"/>
        <v/>
      </c>
      <c r="AD1396" s="389"/>
      <c r="AE1396" s="399"/>
      <c r="AF1396" s="395"/>
      <c r="AG1396" s="396" t="str">
        <f t="shared" si="3"/>
        <v/>
      </c>
      <c r="AH1396" s="396" t="str">
        <f t="shared" si="4"/>
        <v/>
      </c>
      <c r="AI1396" s="388"/>
      <c r="AJ1396" s="388"/>
      <c r="AK1396" s="397"/>
    </row>
    <row r="1397">
      <c r="A1397" s="398"/>
      <c r="B1397" s="386"/>
      <c r="C1397" s="387" t="str">
        <f>IF(A1397="","",IFERROR(IF(VLOOKUP(A1397,'1. Inbound Leads'!A:G,7,FALSE)=0,"",VLOOKUP(A1397,'1. Inbound Leads'!A:G,7,FALSE)),""))</f>
        <v/>
      </c>
      <c r="D1397" s="387" t="str">
        <f>IF(A1397="","",IFERROR(IF(VLOOKUP(A1397,'1. Inbound Leads'!A:L,12,FALSE)=0,"",VLOOKUP(A1397,'1. Inbound Leads'!A:L,12,FALSE)),""))</f>
        <v/>
      </c>
      <c r="E1397" s="388"/>
      <c r="F1397" s="389"/>
      <c r="G1397" s="387"/>
      <c r="H1397" s="387"/>
      <c r="I1397" s="387"/>
      <c r="J1397" s="387"/>
      <c r="K1397" s="387"/>
      <c r="L1397" s="387"/>
      <c r="M1397" s="388"/>
      <c r="N1397" s="388"/>
      <c r="O1397" s="390"/>
      <c r="P1397" s="391"/>
      <c r="Q1397" s="389"/>
      <c r="R1397" s="390"/>
      <c r="S1397" s="390"/>
      <c r="T1397" s="391"/>
      <c r="U1397" s="392"/>
      <c r="V1397" s="391"/>
      <c r="W1397" s="391"/>
      <c r="X1397" s="388"/>
      <c r="Y1397" s="391"/>
      <c r="Z1397" s="393"/>
      <c r="AA1397" s="355" t="str">
        <f t="shared" si="1"/>
        <v/>
      </c>
      <c r="AB1397" s="391"/>
      <c r="AC1397" s="394" t="str">
        <f t="shared" si="2"/>
        <v/>
      </c>
      <c r="AD1397" s="389"/>
      <c r="AE1397" s="399"/>
      <c r="AF1397" s="395"/>
      <c r="AG1397" s="396" t="str">
        <f t="shared" si="3"/>
        <v/>
      </c>
      <c r="AH1397" s="396" t="str">
        <f t="shared" si="4"/>
        <v/>
      </c>
      <c r="AI1397" s="388"/>
      <c r="AJ1397" s="388"/>
      <c r="AK1397" s="397"/>
    </row>
    <row r="1398">
      <c r="A1398" s="398"/>
      <c r="B1398" s="386"/>
      <c r="C1398" s="387" t="str">
        <f>IF(A1398="","",IFERROR(IF(VLOOKUP(A1398,'1. Inbound Leads'!A:G,7,FALSE)=0,"",VLOOKUP(A1398,'1. Inbound Leads'!A:G,7,FALSE)),""))</f>
        <v/>
      </c>
      <c r="D1398" s="387" t="str">
        <f>IF(A1398="","",IFERROR(IF(VLOOKUP(A1398,'1. Inbound Leads'!A:L,12,FALSE)=0,"",VLOOKUP(A1398,'1. Inbound Leads'!A:L,12,FALSE)),""))</f>
        <v/>
      </c>
      <c r="E1398" s="388"/>
      <c r="F1398" s="389"/>
      <c r="G1398" s="387"/>
      <c r="H1398" s="387"/>
      <c r="I1398" s="387"/>
      <c r="J1398" s="387"/>
      <c r="K1398" s="387"/>
      <c r="L1398" s="387"/>
      <c r="M1398" s="388"/>
      <c r="N1398" s="388"/>
      <c r="O1398" s="390"/>
      <c r="P1398" s="391"/>
      <c r="Q1398" s="389"/>
      <c r="R1398" s="390"/>
      <c r="S1398" s="390"/>
      <c r="T1398" s="391"/>
      <c r="U1398" s="392"/>
      <c r="V1398" s="391"/>
      <c r="W1398" s="391"/>
      <c r="X1398" s="388"/>
      <c r="Y1398" s="391"/>
      <c r="Z1398" s="393"/>
      <c r="AA1398" s="355" t="str">
        <f t="shared" si="1"/>
        <v/>
      </c>
      <c r="AB1398" s="391"/>
      <c r="AC1398" s="394" t="str">
        <f t="shared" si="2"/>
        <v/>
      </c>
      <c r="AD1398" s="389"/>
      <c r="AE1398" s="399"/>
      <c r="AF1398" s="395"/>
      <c r="AG1398" s="396" t="str">
        <f t="shared" si="3"/>
        <v/>
      </c>
      <c r="AH1398" s="396" t="str">
        <f t="shared" si="4"/>
        <v/>
      </c>
      <c r="AI1398" s="388"/>
      <c r="AJ1398" s="388"/>
      <c r="AK1398" s="397"/>
    </row>
    <row r="1399">
      <c r="A1399" s="398"/>
      <c r="B1399" s="386"/>
      <c r="C1399" s="387" t="str">
        <f>IF(A1399="","",IFERROR(IF(VLOOKUP(A1399,'1. Inbound Leads'!A:G,7,FALSE)=0,"",VLOOKUP(A1399,'1. Inbound Leads'!A:G,7,FALSE)),""))</f>
        <v/>
      </c>
      <c r="D1399" s="387" t="str">
        <f>IF(A1399="","",IFERROR(IF(VLOOKUP(A1399,'1. Inbound Leads'!A:L,12,FALSE)=0,"",VLOOKUP(A1399,'1. Inbound Leads'!A:L,12,FALSE)),""))</f>
        <v/>
      </c>
      <c r="E1399" s="388"/>
      <c r="F1399" s="389"/>
      <c r="G1399" s="387"/>
      <c r="H1399" s="387"/>
      <c r="I1399" s="387"/>
      <c r="J1399" s="387"/>
      <c r="K1399" s="387"/>
      <c r="L1399" s="387"/>
      <c r="M1399" s="388"/>
      <c r="N1399" s="388"/>
      <c r="O1399" s="390"/>
      <c r="P1399" s="391"/>
      <c r="Q1399" s="389"/>
      <c r="R1399" s="390"/>
      <c r="S1399" s="390"/>
      <c r="T1399" s="391"/>
      <c r="U1399" s="392"/>
      <c r="V1399" s="391"/>
      <c r="W1399" s="391"/>
      <c r="X1399" s="388"/>
      <c r="Y1399" s="391"/>
      <c r="Z1399" s="393"/>
      <c r="AA1399" s="355" t="str">
        <f t="shared" si="1"/>
        <v/>
      </c>
      <c r="AB1399" s="391"/>
      <c r="AC1399" s="394" t="str">
        <f t="shared" si="2"/>
        <v/>
      </c>
      <c r="AD1399" s="389"/>
      <c r="AE1399" s="399"/>
      <c r="AF1399" s="395"/>
      <c r="AG1399" s="396" t="str">
        <f t="shared" si="3"/>
        <v/>
      </c>
      <c r="AH1399" s="396" t="str">
        <f t="shared" si="4"/>
        <v/>
      </c>
      <c r="AI1399" s="388"/>
      <c r="AJ1399" s="388"/>
      <c r="AK1399" s="397"/>
    </row>
    <row r="1400">
      <c r="A1400" s="398"/>
      <c r="B1400" s="386"/>
      <c r="C1400" s="387" t="str">
        <f>IF(A1400="","",IFERROR(IF(VLOOKUP(A1400,'1. Inbound Leads'!A:G,7,FALSE)=0,"",VLOOKUP(A1400,'1. Inbound Leads'!A:G,7,FALSE)),""))</f>
        <v/>
      </c>
      <c r="D1400" s="387" t="str">
        <f>IF(A1400="","",IFERROR(IF(VLOOKUP(A1400,'1. Inbound Leads'!A:L,12,FALSE)=0,"",VLOOKUP(A1400,'1. Inbound Leads'!A:L,12,FALSE)),""))</f>
        <v/>
      </c>
      <c r="E1400" s="388"/>
      <c r="F1400" s="389"/>
      <c r="G1400" s="387"/>
      <c r="H1400" s="387"/>
      <c r="I1400" s="387"/>
      <c r="J1400" s="387"/>
      <c r="K1400" s="387"/>
      <c r="L1400" s="387"/>
      <c r="M1400" s="388"/>
      <c r="N1400" s="388"/>
      <c r="O1400" s="390"/>
      <c r="P1400" s="391"/>
      <c r="Q1400" s="389"/>
      <c r="R1400" s="390"/>
      <c r="S1400" s="390"/>
      <c r="T1400" s="391"/>
      <c r="U1400" s="392"/>
      <c r="V1400" s="391"/>
      <c r="W1400" s="391"/>
      <c r="X1400" s="388"/>
      <c r="Y1400" s="391"/>
      <c r="Z1400" s="393"/>
      <c r="AA1400" s="355" t="str">
        <f t="shared" si="1"/>
        <v/>
      </c>
      <c r="AB1400" s="391"/>
      <c r="AC1400" s="394" t="str">
        <f t="shared" si="2"/>
        <v/>
      </c>
      <c r="AD1400" s="389"/>
      <c r="AE1400" s="399"/>
      <c r="AF1400" s="395"/>
      <c r="AG1400" s="396" t="str">
        <f t="shared" si="3"/>
        <v/>
      </c>
      <c r="AH1400" s="396" t="str">
        <f t="shared" si="4"/>
        <v/>
      </c>
      <c r="AI1400" s="388"/>
      <c r="AJ1400" s="388"/>
      <c r="AK1400" s="397"/>
    </row>
    <row r="1401">
      <c r="A1401" s="398"/>
      <c r="B1401" s="386"/>
      <c r="C1401" s="387" t="str">
        <f>IF(A1401="","",IFERROR(IF(VLOOKUP(A1401,'1. Inbound Leads'!A:G,7,FALSE)=0,"",VLOOKUP(A1401,'1. Inbound Leads'!A:G,7,FALSE)),""))</f>
        <v/>
      </c>
      <c r="D1401" s="387" t="str">
        <f>IF(A1401="","",IFERROR(IF(VLOOKUP(A1401,'1. Inbound Leads'!A:L,12,FALSE)=0,"",VLOOKUP(A1401,'1. Inbound Leads'!A:L,12,FALSE)),""))</f>
        <v/>
      </c>
      <c r="E1401" s="388"/>
      <c r="F1401" s="389"/>
      <c r="G1401" s="387"/>
      <c r="H1401" s="387"/>
      <c r="I1401" s="387"/>
      <c r="J1401" s="387"/>
      <c r="K1401" s="387"/>
      <c r="L1401" s="387"/>
      <c r="M1401" s="388"/>
      <c r="N1401" s="388"/>
      <c r="O1401" s="390"/>
      <c r="P1401" s="391"/>
      <c r="Q1401" s="389"/>
      <c r="R1401" s="390"/>
      <c r="S1401" s="390"/>
      <c r="T1401" s="391"/>
      <c r="U1401" s="392"/>
      <c r="V1401" s="391"/>
      <c r="W1401" s="391"/>
      <c r="X1401" s="388"/>
      <c r="Y1401" s="391"/>
      <c r="Z1401" s="393"/>
      <c r="AA1401" s="355" t="str">
        <f t="shared" si="1"/>
        <v/>
      </c>
      <c r="AB1401" s="391"/>
      <c r="AC1401" s="394" t="str">
        <f t="shared" si="2"/>
        <v/>
      </c>
      <c r="AD1401" s="389"/>
      <c r="AE1401" s="399"/>
      <c r="AF1401" s="395"/>
      <c r="AG1401" s="396" t="str">
        <f t="shared" si="3"/>
        <v/>
      </c>
      <c r="AH1401" s="396" t="str">
        <f t="shared" si="4"/>
        <v/>
      </c>
      <c r="AI1401" s="388"/>
      <c r="AJ1401" s="388"/>
      <c r="AK1401" s="397"/>
    </row>
    <row r="1402">
      <c r="A1402" s="398"/>
      <c r="B1402" s="386"/>
      <c r="C1402" s="387" t="str">
        <f>IF(A1402="","",IFERROR(IF(VLOOKUP(A1402,'1. Inbound Leads'!A:G,7,FALSE)=0,"",VLOOKUP(A1402,'1. Inbound Leads'!A:G,7,FALSE)),""))</f>
        <v/>
      </c>
      <c r="D1402" s="387" t="str">
        <f>IF(A1402="","",IFERROR(IF(VLOOKUP(A1402,'1. Inbound Leads'!A:L,12,FALSE)=0,"",VLOOKUP(A1402,'1. Inbound Leads'!A:L,12,FALSE)),""))</f>
        <v/>
      </c>
      <c r="E1402" s="388"/>
      <c r="F1402" s="389"/>
      <c r="G1402" s="387"/>
      <c r="H1402" s="387"/>
      <c r="I1402" s="387"/>
      <c r="J1402" s="387"/>
      <c r="K1402" s="387"/>
      <c r="L1402" s="387"/>
      <c r="M1402" s="388"/>
      <c r="N1402" s="388"/>
      <c r="O1402" s="390"/>
      <c r="P1402" s="391"/>
      <c r="Q1402" s="389"/>
      <c r="R1402" s="390"/>
      <c r="S1402" s="390"/>
      <c r="T1402" s="391"/>
      <c r="U1402" s="392"/>
      <c r="V1402" s="391"/>
      <c r="W1402" s="391"/>
      <c r="X1402" s="388"/>
      <c r="Y1402" s="391"/>
      <c r="Z1402" s="393"/>
      <c r="AA1402" s="355" t="str">
        <f t="shared" si="1"/>
        <v/>
      </c>
      <c r="AB1402" s="391"/>
      <c r="AC1402" s="394" t="str">
        <f t="shared" si="2"/>
        <v/>
      </c>
      <c r="AD1402" s="389"/>
      <c r="AE1402" s="399"/>
      <c r="AF1402" s="395"/>
      <c r="AG1402" s="396" t="str">
        <f t="shared" si="3"/>
        <v/>
      </c>
      <c r="AH1402" s="396" t="str">
        <f t="shared" si="4"/>
        <v/>
      </c>
      <c r="AI1402" s="388"/>
      <c r="AJ1402" s="388"/>
      <c r="AK1402" s="397"/>
    </row>
    <row r="1403">
      <c r="A1403" s="398"/>
      <c r="B1403" s="386"/>
      <c r="C1403" s="387" t="str">
        <f>IF(A1403="","",IFERROR(IF(VLOOKUP(A1403,'1. Inbound Leads'!A:G,7,FALSE)=0,"",VLOOKUP(A1403,'1. Inbound Leads'!A:G,7,FALSE)),""))</f>
        <v/>
      </c>
      <c r="D1403" s="387" t="str">
        <f>IF(A1403="","",IFERROR(IF(VLOOKUP(A1403,'1. Inbound Leads'!A:L,12,FALSE)=0,"",VLOOKUP(A1403,'1. Inbound Leads'!A:L,12,FALSE)),""))</f>
        <v/>
      </c>
      <c r="E1403" s="388"/>
      <c r="F1403" s="389"/>
      <c r="G1403" s="387"/>
      <c r="H1403" s="387"/>
      <c r="I1403" s="387"/>
      <c r="J1403" s="387"/>
      <c r="K1403" s="387"/>
      <c r="L1403" s="387"/>
      <c r="M1403" s="388"/>
      <c r="N1403" s="388"/>
      <c r="O1403" s="390"/>
      <c r="P1403" s="391"/>
      <c r="Q1403" s="389"/>
      <c r="R1403" s="390"/>
      <c r="S1403" s="390"/>
      <c r="T1403" s="391"/>
      <c r="U1403" s="392"/>
      <c r="V1403" s="391"/>
      <c r="W1403" s="391"/>
      <c r="X1403" s="388"/>
      <c r="Y1403" s="391"/>
      <c r="Z1403" s="393"/>
      <c r="AA1403" s="355" t="str">
        <f t="shared" si="1"/>
        <v/>
      </c>
      <c r="AB1403" s="391"/>
      <c r="AC1403" s="394" t="str">
        <f t="shared" si="2"/>
        <v/>
      </c>
      <c r="AD1403" s="389"/>
      <c r="AE1403" s="399"/>
      <c r="AF1403" s="395"/>
      <c r="AG1403" s="396" t="str">
        <f t="shared" si="3"/>
        <v/>
      </c>
      <c r="AH1403" s="396" t="str">
        <f t="shared" si="4"/>
        <v/>
      </c>
      <c r="AI1403" s="388"/>
      <c r="AJ1403" s="388"/>
      <c r="AK1403" s="397"/>
    </row>
    <row r="1404">
      <c r="A1404" s="398"/>
      <c r="B1404" s="386"/>
      <c r="C1404" s="387" t="str">
        <f>IF(A1404="","",IFERROR(IF(VLOOKUP(A1404,'1. Inbound Leads'!A:G,7,FALSE)=0,"",VLOOKUP(A1404,'1. Inbound Leads'!A:G,7,FALSE)),""))</f>
        <v/>
      </c>
      <c r="D1404" s="387" t="str">
        <f>IF(A1404="","",IFERROR(IF(VLOOKUP(A1404,'1. Inbound Leads'!A:L,12,FALSE)=0,"",VLOOKUP(A1404,'1. Inbound Leads'!A:L,12,FALSE)),""))</f>
        <v/>
      </c>
      <c r="E1404" s="388"/>
      <c r="F1404" s="389"/>
      <c r="G1404" s="387"/>
      <c r="H1404" s="387"/>
      <c r="I1404" s="387"/>
      <c r="J1404" s="387"/>
      <c r="K1404" s="387"/>
      <c r="L1404" s="387"/>
      <c r="M1404" s="388"/>
      <c r="N1404" s="388"/>
      <c r="O1404" s="390"/>
      <c r="P1404" s="391"/>
      <c r="Q1404" s="389"/>
      <c r="R1404" s="390"/>
      <c r="S1404" s="390"/>
      <c r="T1404" s="391"/>
      <c r="U1404" s="392"/>
      <c r="V1404" s="391"/>
      <c r="W1404" s="391"/>
      <c r="X1404" s="388"/>
      <c r="Y1404" s="391"/>
      <c r="Z1404" s="393"/>
      <c r="AA1404" s="355" t="str">
        <f t="shared" si="1"/>
        <v/>
      </c>
      <c r="AB1404" s="391"/>
      <c r="AC1404" s="394" t="str">
        <f t="shared" si="2"/>
        <v/>
      </c>
      <c r="AD1404" s="389"/>
      <c r="AE1404" s="399"/>
      <c r="AF1404" s="395"/>
      <c r="AG1404" s="396" t="str">
        <f t="shared" si="3"/>
        <v/>
      </c>
      <c r="AH1404" s="396" t="str">
        <f t="shared" si="4"/>
        <v/>
      </c>
      <c r="AI1404" s="388"/>
      <c r="AJ1404" s="388"/>
      <c r="AK1404" s="397"/>
    </row>
    <row r="1405">
      <c r="A1405" s="398"/>
      <c r="B1405" s="386"/>
      <c r="C1405" s="387" t="str">
        <f>IF(A1405="","",IFERROR(IF(VLOOKUP(A1405,'1. Inbound Leads'!A:G,7,FALSE)=0,"",VLOOKUP(A1405,'1. Inbound Leads'!A:G,7,FALSE)),""))</f>
        <v/>
      </c>
      <c r="D1405" s="387" t="str">
        <f>IF(A1405="","",IFERROR(IF(VLOOKUP(A1405,'1. Inbound Leads'!A:L,12,FALSE)=0,"",VLOOKUP(A1405,'1. Inbound Leads'!A:L,12,FALSE)),""))</f>
        <v/>
      </c>
      <c r="E1405" s="388"/>
      <c r="F1405" s="389"/>
      <c r="G1405" s="387"/>
      <c r="H1405" s="387"/>
      <c r="I1405" s="387"/>
      <c r="J1405" s="387"/>
      <c r="K1405" s="387"/>
      <c r="L1405" s="387"/>
      <c r="M1405" s="388"/>
      <c r="N1405" s="388"/>
      <c r="O1405" s="390"/>
      <c r="P1405" s="391"/>
      <c r="Q1405" s="389"/>
      <c r="R1405" s="390"/>
      <c r="S1405" s="390"/>
      <c r="T1405" s="391"/>
      <c r="U1405" s="392"/>
      <c r="V1405" s="391"/>
      <c r="W1405" s="391"/>
      <c r="X1405" s="388"/>
      <c r="Y1405" s="391"/>
      <c r="Z1405" s="393"/>
      <c r="AA1405" s="355" t="str">
        <f t="shared" si="1"/>
        <v/>
      </c>
      <c r="AB1405" s="391"/>
      <c r="AC1405" s="394" t="str">
        <f t="shared" si="2"/>
        <v/>
      </c>
      <c r="AD1405" s="389"/>
      <c r="AE1405" s="399"/>
      <c r="AF1405" s="395"/>
      <c r="AG1405" s="396" t="str">
        <f t="shared" si="3"/>
        <v/>
      </c>
      <c r="AH1405" s="396" t="str">
        <f t="shared" si="4"/>
        <v/>
      </c>
      <c r="AI1405" s="388"/>
      <c r="AJ1405" s="388"/>
      <c r="AK1405" s="397"/>
    </row>
    <row r="1406">
      <c r="A1406" s="398"/>
      <c r="B1406" s="386"/>
      <c r="C1406" s="387" t="str">
        <f>IF(A1406="","",IFERROR(IF(VLOOKUP(A1406,'1. Inbound Leads'!A:G,7,FALSE)=0,"",VLOOKUP(A1406,'1. Inbound Leads'!A:G,7,FALSE)),""))</f>
        <v/>
      </c>
      <c r="D1406" s="387" t="str">
        <f>IF(A1406="","",IFERROR(IF(VLOOKUP(A1406,'1. Inbound Leads'!A:L,12,FALSE)=0,"",VLOOKUP(A1406,'1. Inbound Leads'!A:L,12,FALSE)),""))</f>
        <v/>
      </c>
      <c r="E1406" s="388"/>
      <c r="F1406" s="389"/>
      <c r="G1406" s="387"/>
      <c r="H1406" s="387"/>
      <c r="I1406" s="387"/>
      <c r="J1406" s="387"/>
      <c r="K1406" s="387"/>
      <c r="L1406" s="387"/>
      <c r="M1406" s="388"/>
      <c r="N1406" s="388"/>
      <c r="O1406" s="390"/>
      <c r="P1406" s="391"/>
      <c r="Q1406" s="389"/>
      <c r="R1406" s="390"/>
      <c r="S1406" s="390"/>
      <c r="T1406" s="391"/>
      <c r="U1406" s="392"/>
      <c r="V1406" s="391"/>
      <c r="W1406" s="391"/>
      <c r="X1406" s="388"/>
      <c r="Y1406" s="391"/>
      <c r="Z1406" s="393"/>
      <c r="AA1406" s="355" t="str">
        <f t="shared" si="1"/>
        <v/>
      </c>
      <c r="AB1406" s="391"/>
      <c r="AC1406" s="394" t="str">
        <f t="shared" si="2"/>
        <v/>
      </c>
      <c r="AD1406" s="389"/>
      <c r="AE1406" s="399"/>
      <c r="AF1406" s="395"/>
      <c r="AG1406" s="396" t="str">
        <f t="shared" si="3"/>
        <v/>
      </c>
      <c r="AH1406" s="396" t="str">
        <f t="shared" si="4"/>
        <v/>
      </c>
      <c r="AI1406" s="388"/>
      <c r="AJ1406" s="388"/>
      <c r="AK1406" s="397"/>
    </row>
    <row r="1407">
      <c r="A1407" s="398"/>
      <c r="B1407" s="386"/>
      <c r="C1407" s="387" t="str">
        <f>IF(A1407="","",IFERROR(IF(VLOOKUP(A1407,'1. Inbound Leads'!A:G,7,FALSE)=0,"",VLOOKUP(A1407,'1. Inbound Leads'!A:G,7,FALSE)),""))</f>
        <v/>
      </c>
      <c r="D1407" s="387" t="str">
        <f>IF(A1407="","",IFERROR(IF(VLOOKUP(A1407,'1. Inbound Leads'!A:L,12,FALSE)=0,"",VLOOKUP(A1407,'1. Inbound Leads'!A:L,12,FALSE)),""))</f>
        <v/>
      </c>
      <c r="E1407" s="388"/>
      <c r="F1407" s="389"/>
      <c r="G1407" s="387"/>
      <c r="H1407" s="387"/>
      <c r="I1407" s="387"/>
      <c r="J1407" s="387"/>
      <c r="K1407" s="387"/>
      <c r="L1407" s="387"/>
      <c r="M1407" s="388"/>
      <c r="N1407" s="388"/>
      <c r="O1407" s="390"/>
      <c r="P1407" s="391"/>
      <c r="Q1407" s="389"/>
      <c r="R1407" s="390"/>
      <c r="S1407" s="390"/>
      <c r="T1407" s="391"/>
      <c r="U1407" s="392"/>
      <c r="V1407" s="391"/>
      <c r="W1407" s="391"/>
      <c r="X1407" s="388"/>
      <c r="Y1407" s="391"/>
      <c r="Z1407" s="393"/>
      <c r="AA1407" s="355" t="str">
        <f t="shared" si="1"/>
        <v/>
      </c>
      <c r="AB1407" s="391"/>
      <c r="AC1407" s="394" t="str">
        <f t="shared" si="2"/>
        <v/>
      </c>
      <c r="AD1407" s="389"/>
      <c r="AE1407" s="399"/>
      <c r="AF1407" s="395"/>
      <c r="AG1407" s="396" t="str">
        <f t="shared" si="3"/>
        <v/>
      </c>
      <c r="AH1407" s="396" t="str">
        <f t="shared" si="4"/>
        <v/>
      </c>
      <c r="AI1407" s="388"/>
      <c r="AJ1407" s="388"/>
      <c r="AK1407" s="397"/>
    </row>
    <row r="1408">
      <c r="A1408" s="398"/>
      <c r="B1408" s="386"/>
      <c r="C1408" s="387" t="str">
        <f>IF(A1408="","",IFERROR(IF(VLOOKUP(A1408,'1. Inbound Leads'!A:G,7,FALSE)=0,"",VLOOKUP(A1408,'1. Inbound Leads'!A:G,7,FALSE)),""))</f>
        <v/>
      </c>
      <c r="D1408" s="387" t="str">
        <f>IF(A1408="","",IFERROR(IF(VLOOKUP(A1408,'1. Inbound Leads'!A:L,12,FALSE)=0,"",VLOOKUP(A1408,'1. Inbound Leads'!A:L,12,FALSE)),""))</f>
        <v/>
      </c>
      <c r="E1408" s="388"/>
      <c r="F1408" s="389"/>
      <c r="G1408" s="387"/>
      <c r="H1408" s="387"/>
      <c r="I1408" s="387"/>
      <c r="J1408" s="387"/>
      <c r="K1408" s="387"/>
      <c r="L1408" s="387"/>
      <c r="M1408" s="388"/>
      <c r="N1408" s="388"/>
      <c r="O1408" s="390"/>
      <c r="P1408" s="391"/>
      <c r="Q1408" s="389"/>
      <c r="R1408" s="390"/>
      <c r="S1408" s="390"/>
      <c r="T1408" s="391"/>
      <c r="U1408" s="392"/>
      <c r="V1408" s="391"/>
      <c r="W1408" s="391"/>
      <c r="X1408" s="388"/>
      <c r="Y1408" s="391"/>
      <c r="Z1408" s="393"/>
      <c r="AA1408" s="355" t="str">
        <f t="shared" si="1"/>
        <v/>
      </c>
      <c r="AB1408" s="391"/>
      <c r="AC1408" s="394" t="str">
        <f t="shared" si="2"/>
        <v/>
      </c>
      <c r="AD1408" s="389"/>
      <c r="AE1408" s="399"/>
      <c r="AF1408" s="395"/>
      <c r="AG1408" s="396" t="str">
        <f t="shared" si="3"/>
        <v/>
      </c>
      <c r="AH1408" s="396" t="str">
        <f t="shared" si="4"/>
        <v/>
      </c>
      <c r="AI1408" s="388"/>
      <c r="AJ1408" s="388"/>
      <c r="AK1408" s="397"/>
    </row>
    <row r="1409">
      <c r="A1409" s="398"/>
      <c r="B1409" s="386"/>
      <c r="C1409" s="387" t="str">
        <f>IF(A1409="","",IFERROR(IF(VLOOKUP(A1409,'1. Inbound Leads'!A:G,7,FALSE)=0,"",VLOOKUP(A1409,'1. Inbound Leads'!A:G,7,FALSE)),""))</f>
        <v/>
      </c>
      <c r="D1409" s="387" t="str">
        <f>IF(A1409="","",IFERROR(IF(VLOOKUP(A1409,'1. Inbound Leads'!A:L,12,FALSE)=0,"",VLOOKUP(A1409,'1. Inbound Leads'!A:L,12,FALSE)),""))</f>
        <v/>
      </c>
      <c r="E1409" s="388"/>
      <c r="F1409" s="389"/>
      <c r="G1409" s="387"/>
      <c r="H1409" s="387"/>
      <c r="I1409" s="387"/>
      <c r="J1409" s="387"/>
      <c r="K1409" s="387"/>
      <c r="L1409" s="387"/>
      <c r="M1409" s="388"/>
      <c r="N1409" s="388"/>
      <c r="O1409" s="390"/>
      <c r="P1409" s="391"/>
      <c r="Q1409" s="389"/>
      <c r="R1409" s="390"/>
      <c r="S1409" s="390"/>
      <c r="T1409" s="391"/>
      <c r="U1409" s="392"/>
      <c r="V1409" s="391"/>
      <c r="W1409" s="391"/>
      <c r="X1409" s="388"/>
      <c r="Y1409" s="391"/>
      <c r="Z1409" s="393"/>
      <c r="AA1409" s="355" t="str">
        <f t="shared" si="1"/>
        <v/>
      </c>
      <c r="AB1409" s="391"/>
      <c r="AC1409" s="394" t="str">
        <f t="shared" si="2"/>
        <v/>
      </c>
      <c r="AD1409" s="389"/>
      <c r="AE1409" s="399"/>
      <c r="AF1409" s="395"/>
      <c r="AG1409" s="396" t="str">
        <f t="shared" si="3"/>
        <v/>
      </c>
      <c r="AH1409" s="396" t="str">
        <f t="shared" si="4"/>
        <v/>
      </c>
      <c r="AI1409" s="388"/>
      <c r="AJ1409" s="388"/>
      <c r="AK1409" s="397"/>
    </row>
    <row r="1410">
      <c r="A1410" s="398"/>
      <c r="B1410" s="386"/>
      <c r="C1410" s="387" t="str">
        <f>IF(A1410="","",IFERROR(IF(VLOOKUP(A1410,'1. Inbound Leads'!A:G,7,FALSE)=0,"",VLOOKUP(A1410,'1. Inbound Leads'!A:G,7,FALSE)),""))</f>
        <v/>
      </c>
      <c r="D1410" s="387" t="str">
        <f>IF(A1410="","",IFERROR(IF(VLOOKUP(A1410,'1. Inbound Leads'!A:L,12,FALSE)=0,"",VLOOKUP(A1410,'1. Inbound Leads'!A:L,12,FALSE)),""))</f>
        <v/>
      </c>
      <c r="E1410" s="388"/>
      <c r="F1410" s="389"/>
      <c r="G1410" s="387"/>
      <c r="H1410" s="387"/>
      <c r="I1410" s="387"/>
      <c r="J1410" s="387"/>
      <c r="K1410" s="387"/>
      <c r="L1410" s="387"/>
      <c r="M1410" s="388"/>
      <c r="N1410" s="388"/>
      <c r="O1410" s="390"/>
      <c r="P1410" s="391"/>
      <c r="Q1410" s="389"/>
      <c r="R1410" s="390"/>
      <c r="S1410" s="390"/>
      <c r="T1410" s="391"/>
      <c r="U1410" s="392"/>
      <c r="V1410" s="391"/>
      <c r="W1410" s="391"/>
      <c r="X1410" s="388"/>
      <c r="Y1410" s="391"/>
      <c r="Z1410" s="393"/>
      <c r="AA1410" s="355" t="str">
        <f t="shared" si="1"/>
        <v/>
      </c>
      <c r="AB1410" s="391"/>
      <c r="AC1410" s="394" t="str">
        <f t="shared" si="2"/>
        <v/>
      </c>
      <c r="AD1410" s="389"/>
      <c r="AE1410" s="399"/>
      <c r="AF1410" s="395"/>
      <c r="AG1410" s="396" t="str">
        <f t="shared" si="3"/>
        <v/>
      </c>
      <c r="AH1410" s="396" t="str">
        <f t="shared" si="4"/>
        <v/>
      </c>
      <c r="AI1410" s="388"/>
      <c r="AJ1410" s="388"/>
      <c r="AK1410" s="397"/>
    </row>
    <row r="1411">
      <c r="A1411" s="398"/>
      <c r="B1411" s="386"/>
      <c r="C1411" s="387" t="str">
        <f>IF(A1411="","",IFERROR(IF(VLOOKUP(A1411,'1. Inbound Leads'!A:G,7,FALSE)=0,"",VLOOKUP(A1411,'1. Inbound Leads'!A:G,7,FALSE)),""))</f>
        <v/>
      </c>
      <c r="D1411" s="387" t="str">
        <f>IF(A1411="","",IFERROR(IF(VLOOKUP(A1411,'1. Inbound Leads'!A:L,12,FALSE)=0,"",VLOOKUP(A1411,'1. Inbound Leads'!A:L,12,FALSE)),""))</f>
        <v/>
      </c>
      <c r="E1411" s="388"/>
      <c r="F1411" s="389"/>
      <c r="G1411" s="387"/>
      <c r="H1411" s="387"/>
      <c r="I1411" s="387"/>
      <c r="J1411" s="387"/>
      <c r="K1411" s="387"/>
      <c r="L1411" s="387"/>
      <c r="M1411" s="388"/>
      <c r="N1411" s="388"/>
      <c r="O1411" s="390"/>
      <c r="P1411" s="391"/>
      <c r="Q1411" s="389"/>
      <c r="R1411" s="390"/>
      <c r="S1411" s="390"/>
      <c r="T1411" s="391"/>
      <c r="U1411" s="392"/>
      <c r="V1411" s="391"/>
      <c r="W1411" s="391"/>
      <c r="X1411" s="388"/>
      <c r="Y1411" s="391"/>
      <c r="Z1411" s="393"/>
      <c r="AA1411" s="355" t="str">
        <f t="shared" si="1"/>
        <v/>
      </c>
      <c r="AB1411" s="391"/>
      <c r="AC1411" s="394" t="str">
        <f t="shared" si="2"/>
        <v/>
      </c>
      <c r="AD1411" s="389"/>
      <c r="AE1411" s="399"/>
      <c r="AF1411" s="395"/>
      <c r="AG1411" s="396" t="str">
        <f t="shared" si="3"/>
        <v/>
      </c>
      <c r="AH1411" s="396" t="str">
        <f t="shared" si="4"/>
        <v/>
      </c>
      <c r="AI1411" s="388"/>
      <c r="AJ1411" s="388"/>
      <c r="AK1411" s="397"/>
    </row>
    <row r="1412">
      <c r="A1412" s="398"/>
      <c r="B1412" s="386"/>
      <c r="C1412" s="387" t="str">
        <f>IF(A1412="","",IFERROR(IF(VLOOKUP(A1412,'1. Inbound Leads'!A:G,7,FALSE)=0,"",VLOOKUP(A1412,'1. Inbound Leads'!A:G,7,FALSE)),""))</f>
        <v/>
      </c>
      <c r="D1412" s="387" t="str">
        <f>IF(A1412="","",IFERROR(IF(VLOOKUP(A1412,'1. Inbound Leads'!A:L,12,FALSE)=0,"",VLOOKUP(A1412,'1. Inbound Leads'!A:L,12,FALSE)),""))</f>
        <v/>
      </c>
      <c r="E1412" s="388"/>
      <c r="F1412" s="389"/>
      <c r="G1412" s="387"/>
      <c r="H1412" s="387"/>
      <c r="I1412" s="387"/>
      <c r="J1412" s="387"/>
      <c r="K1412" s="387"/>
      <c r="L1412" s="387"/>
      <c r="M1412" s="388"/>
      <c r="N1412" s="388"/>
      <c r="O1412" s="390"/>
      <c r="P1412" s="391"/>
      <c r="Q1412" s="389"/>
      <c r="R1412" s="390"/>
      <c r="S1412" s="390"/>
      <c r="T1412" s="391"/>
      <c r="U1412" s="392"/>
      <c r="V1412" s="391"/>
      <c r="W1412" s="391"/>
      <c r="X1412" s="388"/>
      <c r="Y1412" s="391"/>
      <c r="Z1412" s="393"/>
      <c r="AA1412" s="355" t="str">
        <f t="shared" si="1"/>
        <v/>
      </c>
      <c r="AB1412" s="391"/>
      <c r="AC1412" s="394" t="str">
        <f t="shared" si="2"/>
        <v/>
      </c>
      <c r="AD1412" s="389"/>
      <c r="AE1412" s="399"/>
      <c r="AF1412" s="395"/>
      <c r="AG1412" s="396" t="str">
        <f t="shared" si="3"/>
        <v/>
      </c>
      <c r="AH1412" s="396" t="str">
        <f t="shared" si="4"/>
        <v/>
      </c>
      <c r="AI1412" s="388"/>
      <c r="AJ1412" s="388"/>
      <c r="AK1412" s="397"/>
    </row>
    <row r="1413">
      <c r="A1413" s="398"/>
      <c r="B1413" s="386"/>
      <c r="C1413" s="387" t="str">
        <f>IF(A1413="","",IFERROR(IF(VLOOKUP(A1413,'1. Inbound Leads'!A:G,7,FALSE)=0,"",VLOOKUP(A1413,'1. Inbound Leads'!A:G,7,FALSE)),""))</f>
        <v/>
      </c>
      <c r="D1413" s="387" t="str">
        <f>IF(A1413="","",IFERROR(IF(VLOOKUP(A1413,'1. Inbound Leads'!A:L,12,FALSE)=0,"",VLOOKUP(A1413,'1. Inbound Leads'!A:L,12,FALSE)),""))</f>
        <v/>
      </c>
      <c r="E1413" s="388"/>
      <c r="F1413" s="389"/>
      <c r="G1413" s="387"/>
      <c r="H1413" s="387"/>
      <c r="I1413" s="387"/>
      <c r="J1413" s="387"/>
      <c r="K1413" s="387"/>
      <c r="L1413" s="387"/>
      <c r="M1413" s="388"/>
      <c r="N1413" s="388"/>
      <c r="O1413" s="390"/>
      <c r="P1413" s="391"/>
      <c r="Q1413" s="389"/>
      <c r="R1413" s="390"/>
      <c r="S1413" s="390"/>
      <c r="T1413" s="391"/>
      <c r="U1413" s="392"/>
      <c r="V1413" s="391"/>
      <c r="W1413" s="391"/>
      <c r="X1413" s="388"/>
      <c r="Y1413" s="391"/>
      <c r="Z1413" s="393"/>
      <c r="AA1413" s="355" t="str">
        <f t="shared" si="1"/>
        <v/>
      </c>
      <c r="AB1413" s="391"/>
      <c r="AC1413" s="394" t="str">
        <f t="shared" si="2"/>
        <v/>
      </c>
      <c r="AD1413" s="389"/>
      <c r="AE1413" s="399"/>
      <c r="AF1413" s="395"/>
      <c r="AG1413" s="396" t="str">
        <f t="shared" si="3"/>
        <v/>
      </c>
      <c r="AH1413" s="396" t="str">
        <f t="shared" si="4"/>
        <v/>
      </c>
      <c r="AI1413" s="388"/>
      <c r="AJ1413" s="388"/>
      <c r="AK1413" s="397"/>
    </row>
    <row r="1414">
      <c r="A1414" s="398"/>
      <c r="B1414" s="386"/>
      <c r="C1414" s="387" t="str">
        <f>IF(A1414="","",IFERROR(IF(VLOOKUP(A1414,'1. Inbound Leads'!A:G,7,FALSE)=0,"",VLOOKUP(A1414,'1. Inbound Leads'!A:G,7,FALSE)),""))</f>
        <v/>
      </c>
      <c r="D1414" s="387" t="str">
        <f>IF(A1414="","",IFERROR(IF(VLOOKUP(A1414,'1. Inbound Leads'!A:L,12,FALSE)=0,"",VLOOKUP(A1414,'1. Inbound Leads'!A:L,12,FALSE)),""))</f>
        <v/>
      </c>
      <c r="E1414" s="388"/>
      <c r="F1414" s="389"/>
      <c r="G1414" s="387"/>
      <c r="H1414" s="387"/>
      <c r="I1414" s="387"/>
      <c r="J1414" s="387"/>
      <c r="K1414" s="387"/>
      <c r="L1414" s="387"/>
      <c r="M1414" s="388"/>
      <c r="N1414" s="388"/>
      <c r="O1414" s="390"/>
      <c r="P1414" s="391"/>
      <c r="Q1414" s="389"/>
      <c r="R1414" s="390"/>
      <c r="S1414" s="390"/>
      <c r="T1414" s="391"/>
      <c r="U1414" s="392"/>
      <c r="V1414" s="391"/>
      <c r="W1414" s="391"/>
      <c r="X1414" s="388"/>
      <c r="Y1414" s="391"/>
      <c r="Z1414" s="393"/>
      <c r="AA1414" s="355" t="str">
        <f t="shared" si="1"/>
        <v/>
      </c>
      <c r="AB1414" s="391"/>
      <c r="AC1414" s="394" t="str">
        <f t="shared" si="2"/>
        <v/>
      </c>
      <c r="AD1414" s="389"/>
      <c r="AE1414" s="399"/>
      <c r="AF1414" s="395"/>
      <c r="AG1414" s="396" t="str">
        <f t="shared" si="3"/>
        <v/>
      </c>
      <c r="AH1414" s="396" t="str">
        <f t="shared" si="4"/>
        <v/>
      </c>
      <c r="AI1414" s="388"/>
      <c r="AJ1414" s="388"/>
      <c r="AK1414" s="397"/>
    </row>
    <row r="1415">
      <c r="A1415" s="398"/>
      <c r="B1415" s="386"/>
      <c r="C1415" s="387" t="str">
        <f>IF(A1415="","",IFERROR(IF(VLOOKUP(A1415,'1. Inbound Leads'!A:G,7,FALSE)=0,"",VLOOKUP(A1415,'1. Inbound Leads'!A:G,7,FALSE)),""))</f>
        <v/>
      </c>
      <c r="D1415" s="387" t="str">
        <f>IF(A1415="","",IFERROR(IF(VLOOKUP(A1415,'1. Inbound Leads'!A:L,12,FALSE)=0,"",VLOOKUP(A1415,'1. Inbound Leads'!A:L,12,FALSE)),""))</f>
        <v/>
      </c>
      <c r="E1415" s="388"/>
      <c r="F1415" s="389"/>
      <c r="G1415" s="387"/>
      <c r="H1415" s="387"/>
      <c r="I1415" s="387"/>
      <c r="J1415" s="387"/>
      <c r="K1415" s="387"/>
      <c r="L1415" s="387"/>
      <c r="M1415" s="388"/>
      <c r="N1415" s="388"/>
      <c r="O1415" s="390"/>
      <c r="P1415" s="391"/>
      <c r="Q1415" s="389"/>
      <c r="R1415" s="390"/>
      <c r="S1415" s="390"/>
      <c r="T1415" s="391"/>
      <c r="U1415" s="392"/>
      <c r="V1415" s="391"/>
      <c r="W1415" s="391"/>
      <c r="X1415" s="388"/>
      <c r="Y1415" s="391"/>
      <c r="Z1415" s="393"/>
      <c r="AA1415" s="355" t="str">
        <f t="shared" si="1"/>
        <v/>
      </c>
      <c r="AB1415" s="391"/>
      <c r="AC1415" s="394" t="str">
        <f t="shared" si="2"/>
        <v/>
      </c>
      <c r="AD1415" s="389"/>
      <c r="AE1415" s="399"/>
      <c r="AF1415" s="395"/>
      <c r="AG1415" s="396" t="str">
        <f t="shared" si="3"/>
        <v/>
      </c>
      <c r="AH1415" s="396" t="str">
        <f t="shared" si="4"/>
        <v/>
      </c>
      <c r="AI1415" s="388"/>
      <c r="AJ1415" s="388"/>
      <c r="AK1415" s="397"/>
    </row>
    <row r="1416">
      <c r="A1416" s="398"/>
      <c r="B1416" s="386"/>
      <c r="C1416" s="387" t="str">
        <f>IF(A1416="","",IFERROR(IF(VLOOKUP(A1416,'1. Inbound Leads'!A:G,7,FALSE)=0,"",VLOOKUP(A1416,'1. Inbound Leads'!A:G,7,FALSE)),""))</f>
        <v/>
      </c>
      <c r="D1416" s="387" t="str">
        <f>IF(A1416="","",IFERROR(IF(VLOOKUP(A1416,'1. Inbound Leads'!A:L,12,FALSE)=0,"",VLOOKUP(A1416,'1. Inbound Leads'!A:L,12,FALSE)),""))</f>
        <v/>
      </c>
      <c r="E1416" s="388"/>
      <c r="F1416" s="389"/>
      <c r="G1416" s="387"/>
      <c r="H1416" s="387"/>
      <c r="I1416" s="387"/>
      <c r="J1416" s="387"/>
      <c r="K1416" s="387"/>
      <c r="L1416" s="387"/>
      <c r="M1416" s="388"/>
      <c r="N1416" s="388"/>
      <c r="O1416" s="390"/>
      <c r="P1416" s="391"/>
      <c r="Q1416" s="389"/>
      <c r="R1416" s="390"/>
      <c r="S1416" s="390"/>
      <c r="T1416" s="391"/>
      <c r="U1416" s="392"/>
      <c r="V1416" s="391"/>
      <c r="W1416" s="391"/>
      <c r="X1416" s="388"/>
      <c r="Y1416" s="391"/>
      <c r="Z1416" s="393"/>
      <c r="AA1416" s="355" t="str">
        <f t="shared" si="1"/>
        <v/>
      </c>
      <c r="AB1416" s="391"/>
      <c r="AC1416" s="394" t="str">
        <f t="shared" si="2"/>
        <v/>
      </c>
      <c r="AD1416" s="389"/>
      <c r="AE1416" s="399"/>
      <c r="AF1416" s="395"/>
      <c r="AG1416" s="396" t="str">
        <f t="shared" si="3"/>
        <v/>
      </c>
      <c r="AH1416" s="396" t="str">
        <f t="shared" si="4"/>
        <v/>
      </c>
      <c r="AI1416" s="388"/>
      <c r="AJ1416" s="388"/>
      <c r="AK1416" s="397"/>
    </row>
    <row r="1417">
      <c r="A1417" s="398"/>
      <c r="B1417" s="386"/>
      <c r="C1417" s="387" t="str">
        <f>IF(A1417="","",IFERROR(IF(VLOOKUP(A1417,'1. Inbound Leads'!A:G,7,FALSE)=0,"",VLOOKUP(A1417,'1. Inbound Leads'!A:G,7,FALSE)),""))</f>
        <v/>
      </c>
      <c r="D1417" s="387" t="str">
        <f>IF(A1417="","",IFERROR(IF(VLOOKUP(A1417,'1. Inbound Leads'!A:L,12,FALSE)=0,"",VLOOKUP(A1417,'1. Inbound Leads'!A:L,12,FALSE)),""))</f>
        <v/>
      </c>
      <c r="E1417" s="388"/>
      <c r="F1417" s="389"/>
      <c r="G1417" s="387"/>
      <c r="H1417" s="387"/>
      <c r="I1417" s="387"/>
      <c r="J1417" s="387"/>
      <c r="K1417" s="387"/>
      <c r="L1417" s="387"/>
      <c r="M1417" s="388"/>
      <c r="N1417" s="388"/>
      <c r="O1417" s="390"/>
      <c r="P1417" s="391"/>
      <c r="Q1417" s="389"/>
      <c r="R1417" s="390"/>
      <c r="S1417" s="390"/>
      <c r="T1417" s="391"/>
      <c r="U1417" s="392"/>
      <c r="V1417" s="391"/>
      <c r="W1417" s="391"/>
      <c r="X1417" s="388"/>
      <c r="Y1417" s="391"/>
      <c r="Z1417" s="393"/>
      <c r="AA1417" s="355" t="str">
        <f t="shared" si="1"/>
        <v/>
      </c>
      <c r="AB1417" s="391"/>
      <c r="AC1417" s="394" t="str">
        <f t="shared" si="2"/>
        <v/>
      </c>
      <c r="AD1417" s="389"/>
      <c r="AE1417" s="399"/>
      <c r="AF1417" s="395"/>
      <c r="AG1417" s="396" t="str">
        <f t="shared" si="3"/>
        <v/>
      </c>
      <c r="AH1417" s="396" t="str">
        <f t="shared" si="4"/>
        <v/>
      </c>
      <c r="AI1417" s="388"/>
      <c r="AJ1417" s="388"/>
      <c r="AK1417" s="397"/>
    </row>
    <row r="1418">
      <c r="A1418" s="398"/>
      <c r="B1418" s="386"/>
      <c r="C1418" s="387" t="str">
        <f>IF(A1418="","",IFERROR(IF(VLOOKUP(A1418,'1. Inbound Leads'!A:G,7,FALSE)=0,"",VLOOKUP(A1418,'1. Inbound Leads'!A:G,7,FALSE)),""))</f>
        <v/>
      </c>
      <c r="D1418" s="387" t="str">
        <f>IF(A1418="","",IFERROR(IF(VLOOKUP(A1418,'1. Inbound Leads'!A:L,12,FALSE)=0,"",VLOOKUP(A1418,'1. Inbound Leads'!A:L,12,FALSE)),""))</f>
        <v/>
      </c>
      <c r="E1418" s="388"/>
      <c r="F1418" s="389"/>
      <c r="G1418" s="387"/>
      <c r="H1418" s="387"/>
      <c r="I1418" s="387"/>
      <c r="J1418" s="387"/>
      <c r="K1418" s="387"/>
      <c r="L1418" s="387"/>
      <c r="M1418" s="388"/>
      <c r="N1418" s="388"/>
      <c r="O1418" s="390"/>
      <c r="P1418" s="391"/>
      <c r="Q1418" s="389"/>
      <c r="R1418" s="390"/>
      <c r="S1418" s="390"/>
      <c r="T1418" s="391"/>
      <c r="U1418" s="392"/>
      <c r="V1418" s="391"/>
      <c r="W1418" s="391"/>
      <c r="X1418" s="388"/>
      <c r="Y1418" s="391"/>
      <c r="Z1418" s="393"/>
      <c r="AA1418" s="355" t="str">
        <f t="shared" si="1"/>
        <v/>
      </c>
      <c r="AB1418" s="391"/>
      <c r="AC1418" s="394" t="str">
        <f t="shared" si="2"/>
        <v/>
      </c>
      <c r="AD1418" s="389"/>
      <c r="AE1418" s="399"/>
      <c r="AF1418" s="395"/>
      <c r="AG1418" s="396" t="str">
        <f t="shared" si="3"/>
        <v/>
      </c>
      <c r="AH1418" s="396" t="str">
        <f t="shared" si="4"/>
        <v/>
      </c>
      <c r="AI1418" s="388"/>
      <c r="AJ1418" s="388"/>
      <c r="AK1418" s="397"/>
    </row>
    <row r="1419">
      <c r="A1419" s="398"/>
      <c r="B1419" s="386"/>
      <c r="C1419" s="387" t="str">
        <f>IF(A1419="","",IFERROR(IF(VLOOKUP(A1419,'1. Inbound Leads'!A:G,7,FALSE)=0,"",VLOOKUP(A1419,'1. Inbound Leads'!A:G,7,FALSE)),""))</f>
        <v/>
      </c>
      <c r="D1419" s="387" t="str">
        <f>IF(A1419="","",IFERROR(IF(VLOOKUP(A1419,'1. Inbound Leads'!A:L,12,FALSE)=0,"",VLOOKUP(A1419,'1. Inbound Leads'!A:L,12,FALSE)),""))</f>
        <v/>
      </c>
      <c r="E1419" s="388"/>
      <c r="F1419" s="389"/>
      <c r="G1419" s="387"/>
      <c r="H1419" s="387"/>
      <c r="I1419" s="387"/>
      <c r="J1419" s="387"/>
      <c r="K1419" s="387"/>
      <c r="L1419" s="387"/>
      <c r="M1419" s="388"/>
      <c r="N1419" s="388"/>
      <c r="O1419" s="390"/>
      <c r="P1419" s="391"/>
      <c r="Q1419" s="389"/>
      <c r="R1419" s="390"/>
      <c r="S1419" s="390"/>
      <c r="T1419" s="391"/>
      <c r="U1419" s="392"/>
      <c r="V1419" s="391"/>
      <c r="W1419" s="391"/>
      <c r="X1419" s="388"/>
      <c r="Y1419" s="391"/>
      <c r="Z1419" s="393"/>
      <c r="AA1419" s="355" t="str">
        <f t="shared" si="1"/>
        <v/>
      </c>
      <c r="AB1419" s="391"/>
      <c r="AC1419" s="394" t="str">
        <f t="shared" si="2"/>
        <v/>
      </c>
      <c r="AD1419" s="389"/>
      <c r="AE1419" s="399"/>
      <c r="AF1419" s="395"/>
      <c r="AG1419" s="396" t="str">
        <f t="shared" si="3"/>
        <v/>
      </c>
      <c r="AH1419" s="396" t="str">
        <f t="shared" si="4"/>
        <v/>
      </c>
      <c r="AI1419" s="388"/>
      <c r="AJ1419" s="388"/>
      <c r="AK1419" s="397"/>
    </row>
    <row r="1420">
      <c r="A1420" s="398"/>
      <c r="B1420" s="386"/>
      <c r="C1420" s="387" t="str">
        <f>IF(A1420="","",IFERROR(IF(VLOOKUP(A1420,'1. Inbound Leads'!A:G,7,FALSE)=0,"",VLOOKUP(A1420,'1. Inbound Leads'!A:G,7,FALSE)),""))</f>
        <v/>
      </c>
      <c r="D1420" s="387" t="str">
        <f>IF(A1420="","",IFERROR(IF(VLOOKUP(A1420,'1. Inbound Leads'!A:L,12,FALSE)=0,"",VLOOKUP(A1420,'1. Inbound Leads'!A:L,12,FALSE)),""))</f>
        <v/>
      </c>
      <c r="E1420" s="388"/>
      <c r="F1420" s="389"/>
      <c r="G1420" s="387"/>
      <c r="H1420" s="387"/>
      <c r="I1420" s="387"/>
      <c r="J1420" s="387"/>
      <c r="K1420" s="387"/>
      <c r="L1420" s="387"/>
      <c r="M1420" s="388"/>
      <c r="N1420" s="388"/>
      <c r="O1420" s="390"/>
      <c r="P1420" s="391"/>
      <c r="Q1420" s="389"/>
      <c r="R1420" s="390"/>
      <c r="S1420" s="390"/>
      <c r="T1420" s="391"/>
      <c r="U1420" s="392"/>
      <c r="V1420" s="391"/>
      <c r="W1420" s="391"/>
      <c r="X1420" s="388"/>
      <c r="Y1420" s="391"/>
      <c r="Z1420" s="393"/>
      <c r="AA1420" s="355" t="str">
        <f t="shared" si="1"/>
        <v/>
      </c>
      <c r="AB1420" s="391"/>
      <c r="AC1420" s="394" t="str">
        <f t="shared" si="2"/>
        <v/>
      </c>
      <c r="AD1420" s="389"/>
      <c r="AE1420" s="399"/>
      <c r="AF1420" s="395"/>
      <c r="AG1420" s="396" t="str">
        <f t="shared" si="3"/>
        <v/>
      </c>
      <c r="AH1420" s="396" t="str">
        <f t="shared" si="4"/>
        <v/>
      </c>
      <c r="AI1420" s="388"/>
      <c r="AJ1420" s="388"/>
      <c r="AK1420" s="397"/>
    </row>
    <row r="1421">
      <c r="A1421" s="398"/>
      <c r="B1421" s="386"/>
      <c r="C1421" s="387" t="str">
        <f>IF(A1421="","",IFERROR(IF(VLOOKUP(A1421,'1. Inbound Leads'!A:G,7,FALSE)=0,"",VLOOKUP(A1421,'1. Inbound Leads'!A:G,7,FALSE)),""))</f>
        <v/>
      </c>
      <c r="D1421" s="387" t="str">
        <f>IF(A1421="","",IFERROR(IF(VLOOKUP(A1421,'1. Inbound Leads'!A:L,12,FALSE)=0,"",VLOOKUP(A1421,'1. Inbound Leads'!A:L,12,FALSE)),""))</f>
        <v/>
      </c>
      <c r="E1421" s="388"/>
      <c r="F1421" s="389"/>
      <c r="G1421" s="387"/>
      <c r="H1421" s="387"/>
      <c r="I1421" s="387"/>
      <c r="J1421" s="387"/>
      <c r="K1421" s="387"/>
      <c r="L1421" s="387"/>
      <c r="M1421" s="388"/>
      <c r="N1421" s="388"/>
      <c r="O1421" s="390"/>
      <c r="P1421" s="391"/>
      <c r="Q1421" s="389"/>
      <c r="R1421" s="390"/>
      <c r="S1421" s="390"/>
      <c r="T1421" s="391"/>
      <c r="U1421" s="392"/>
      <c r="V1421" s="391"/>
      <c r="W1421" s="391"/>
      <c r="X1421" s="388"/>
      <c r="Y1421" s="391"/>
      <c r="Z1421" s="393"/>
      <c r="AA1421" s="355" t="str">
        <f t="shared" si="1"/>
        <v/>
      </c>
      <c r="AB1421" s="391"/>
      <c r="AC1421" s="394" t="str">
        <f t="shared" si="2"/>
        <v/>
      </c>
      <c r="AD1421" s="389"/>
      <c r="AE1421" s="399"/>
      <c r="AF1421" s="395"/>
      <c r="AG1421" s="396" t="str">
        <f t="shared" si="3"/>
        <v/>
      </c>
      <c r="AH1421" s="396" t="str">
        <f t="shared" si="4"/>
        <v/>
      </c>
      <c r="AI1421" s="388"/>
      <c r="AJ1421" s="388"/>
      <c r="AK1421" s="397"/>
    </row>
    <row r="1422">
      <c r="A1422" s="398"/>
      <c r="B1422" s="386"/>
      <c r="C1422" s="387" t="str">
        <f>IF(A1422="","",IFERROR(IF(VLOOKUP(A1422,'1. Inbound Leads'!A:G,7,FALSE)=0,"",VLOOKUP(A1422,'1. Inbound Leads'!A:G,7,FALSE)),""))</f>
        <v/>
      </c>
      <c r="D1422" s="387" t="str">
        <f>IF(A1422="","",IFERROR(IF(VLOOKUP(A1422,'1. Inbound Leads'!A:L,12,FALSE)=0,"",VLOOKUP(A1422,'1. Inbound Leads'!A:L,12,FALSE)),""))</f>
        <v/>
      </c>
      <c r="E1422" s="388"/>
      <c r="F1422" s="389"/>
      <c r="G1422" s="387"/>
      <c r="H1422" s="387"/>
      <c r="I1422" s="387"/>
      <c r="J1422" s="387"/>
      <c r="K1422" s="387"/>
      <c r="L1422" s="387"/>
      <c r="M1422" s="388"/>
      <c r="N1422" s="388"/>
      <c r="O1422" s="390"/>
      <c r="P1422" s="391"/>
      <c r="Q1422" s="389"/>
      <c r="R1422" s="390"/>
      <c r="S1422" s="390"/>
      <c r="T1422" s="391"/>
      <c r="U1422" s="392"/>
      <c r="V1422" s="391"/>
      <c r="W1422" s="391"/>
      <c r="X1422" s="388"/>
      <c r="Y1422" s="391"/>
      <c r="Z1422" s="393"/>
      <c r="AA1422" s="355" t="str">
        <f t="shared" si="1"/>
        <v/>
      </c>
      <c r="AB1422" s="391"/>
      <c r="AC1422" s="394" t="str">
        <f t="shared" si="2"/>
        <v/>
      </c>
      <c r="AD1422" s="389"/>
      <c r="AE1422" s="399"/>
      <c r="AF1422" s="395"/>
      <c r="AG1422" s="396" t="str">
        <f t="shared" si="3"/>
        <v/>
      </c>
      <c r="AH1422" s="396" t="str">
        <f t="shared" si="4"/>
        <v/>
      </c>
      <c r="AI1422" s="388"/>
      <c r="AJ1422" s="388"/>
      <c r="AK1422" s="397"/>
    </row>
    <row r="1423">
      <c r="A1423" s="398"/>
      <c r="B1423" s="386"/>
      <c r="C1423" s="387" t="str">
        <f>IF(A1423="","",IFERROR(IF(VLOOKUP(A1423,'1. Inbound Leads'!A:G,7,FALSE)=0,"",VLOOKUP(A1423,'1. Inbound Leads'!A:G,7,FALSE)),""))</f>
        <v/>
      </c>
      <c r="D1423" s="387" t="str">
        <f>IF(A1423="","",IFERROR(IF(VLOOKUP(A1423,'1. Inbound Leads'!A:L,12,FALSE)=0,"",VLOOKUP(A1423,'1. Inbound Leads'!A:L,12,FALSE)),""))</f>
        <v/>
      </c>
      <c r="E1423" s="388"/>
      <c r="F1423" s="389"/>
      <c r="G1423" s="387"/>
      <c r="H1423" s="387"/>
      <c r="I1423" s="387"/>
      <c r="J1423" s="387"/>
      <c r="K1423" s="387"/>
      <c r="L1423" s="387"/>
      <c r="M1423" s="388"/>
      <c r="N1423" s="388"/>
      <c r="O1423" s="390"/>
      <c r="P1423" s="391"/>
      <c r="Q1423" s="389"/>
      <c r="R1423" s="390"/>
      <c r="S1423" s="390"/>
      <c r="T1423" s="391"/>
      <c r="U1423" s="392"/>
      <c r="V1423" s="391"/>
      <c r="W1423" s="391"/>
      <c r="X1423" s="388"/>
      <c r="Y1423" s="391"/>
      <c r="Z1423" s="393"/>
      <c r="AA1423" s="355" t="str">
        <f t="shared" si="1"/>
        <v/>
      </c>
      <c r="AB1423" s="391"/>
      <c r="AC1423" s="394" t="str">
        <f t="shared" si="2"/>
        <v/>
      </c>
      <c r="AD1423" s="389"/>
      <c r="AE1423" s="399"/>
      <c r="AF1423" s="395"/>
      <c r="AG1423" s="396" t="str">
        <f t="shared" si="3"/>
        <v/>
      </c>
      <c r="AH1423" s="396" t="str">
        <f t="shared" si="4"/>
        <v/>
      </c>
      <c r="AI1423" s="388"/>
      <c r="AJ1423" s="388"/>
      <c r="AK1423" s="397"/>
    </row>
    <row r="1424">
      <c r="A1424" s="398"/>
      <c r="B1424" s="386"/>
      <c r="C1424" s="387" t="str">
        <f>IF(A1424="","",IFERROR(IF(VLOOKUP(A1424,'1. Inbound Leads'!A:G,7,FALSE)=0,"",VLOOKUP(A1424,'1. Inbound Leads'!A:G,7,FALSE)),""))</f>
        <v/>
      </c>
      <c r="D1424" s="387" t="str">
        <f>IF(A1424="","",IFERROR(IF(VLOOKUP(A1424,'1. Inbound Leads'!A:L,12,FALSE)=0,"",VLOOKUP(A1424,'1. Inbound Leads'!A:L,12,FALSE)),""))</f>
        <v/>
      </c>
      <c r="E1424" s="388"/>
      <c r="F1424" s="389"/>
      <c r="G1424" s="387"/>
      <c r="H1424" s="387"/>
      <c r="I1424" s="387"/>
      <c r="J1424" s="387"/>
      <c r="K1424" s="387"/>
      <c r="L1424" s="387"/>
      <c r="M1424" s="388"/>
      <c r="N1424" s="388"/>
      <c r="O1424" s="390"/>
      <c r="P1424" s="391"/>
      <c r="Q1424" s="389"/>
      <c r="R1424" s="390"/>
      <c r="S1424" s="390"/>
      <c r="T1424" s="391"/>
      <c r="U1424" s="392"/>
      <c r="V1424" s="391"/>
      <c r="W1424" s="391"/>
      <c r="X1424" s="388"/>
      <c r="Y1424" s="391"/>
      <c r="Z1424" s="393"/>
      <c r="AA1424" s="355" t="str">
        <f t="shared" si="1"/>
        <v/>
      </c>
      <c r="AB1424" s="391"/>
      <c r="AC1424" s="394" t="str">
        <f t="shared" si="2"/>
        <v/>
      </c>
      <c r="AD1424" s="389"/>
      <c r="AE1424" s="399"/>
      <c r="AF1424" s="395"/>
      <c r="AG1424" s="396" t="str">
        <f t="shared" si="3"/>
        <v/>
      </c>
      <c r="AH1424" s="396" t="str">
        <f t="shared" si="4"/>
        <v/>
      </c>
      <c r="AI1424" s="388"/>
      <c r="AJ1424" s="388"/>
      <c r="AK1424" s="397"/>
    </row>
    <row r="1425">
      <c r="A1425" s="398"/>
      <c r="B1425" s="386"/>
      <c r="C1425" s="387" t="str">
        <f>IF(A1425="","",IFERROR(IF(VLOOKUP(A1425,'1. Inbound Leads'!A:G,7,FALSE)=0,"",VLOOKUP(A1425,'1. Inbound Leads'!A:G,7,FALSE)),""))</f>
        <v/>
      </c>
      <c r="D1425" s="387" t="str">
        <f>IF(A1425="","",IFERROR(IF(VLOOKUP(A1425,'1. Inbound Leads'!A:L,12,FALSE)=0,"",VLOOKUP(A1425,'1. Inbound Leads'!A:L,12,FALSE)),""))</f>
        <v/>
      </c>
      <c r="E1425" s="388"/>
      <c r="F1425" s="389"/>
      <c r="G1425" s="387"/>
      <c r="H1425" s="387"/>
      <c r="I1425" s="387"/>
      <c r="J1425" s="387"/>
      <c r="K1425" s="387"/>
      <c r="L1425" s="387"/>
      <c r="M1425" s="388"/>
      <c r="N1425" s="388"/>
      <c r="O1425" s="390"/>
      <c r="P1425" s="391"/>
      <c r="Q1425" s="389"/>
      <c r="R1425" s="390"/>
      <c r="S1425" s="390"/>
      <c r="T1425" s="391"/>
      <c r="U1425" s="392"/>
      <c r="V1425" s="391"/>
      <c r="W1425" s="391"/>
      <c r="X1425" s="388"/>
      <c r="Y1425" s="391"/>
      <c r="Z1425" s="393"/>
      <c r="AA1425" s="355" t="str">
        <f t="shared" si="1"/>
        <v/>
      </c>
      <c r="AB1425" s="391"/>
      <c r="AC1425" s="394" t="str">
        <f t="shared" si="2"/>
        <v/>
      </c>
      <c r="AD1425" s="389"/>
      <c r="AE1425" s="399"/>
      <c r="AF1425" s="395"/>
      <c r="AG1425" s="396" t="str">
        <f t="shared" si="3"/>
        <v/>
      </c>
      <c r="AH1425" s="396" t="str">
        <f t="shared" si="4"/>
        <v/>
      </c>
      <c r="AI1425" s="388"/>
      <c r="AJ1425" s="388"/>
      <c r="AK1425" s="397"/>
    </row>
    <row r="1426">
      <c r="A1426" s="398"/>
      <c r="B1426" s="386"/>
      <c r="C1426" s="387" t="str">
        <f>IF(A1426="","",IFERROR(IF(VLOOKUP(A1426,'1. Inbound Leads'!A:G,7,FALSE)=0,"",VLOOKUP(A1426,'1. Inbound Leads'!A:G,7,FALSE)),""))</f>
        <v/>
      </c>
      <c r="D1426" s="387" t="str">
        <f>IF(A1426="","",IFERROR(IF(VLOOKUP(A1426,'1. Inbound Leads'!A:L,12,FALSE)=0,"",VLOOKUP(A1426,'1. Inbound Leads'!A:L,12,FALSE)),""))</f>
        <v/>
      </c>
      <c r="E1426" s="388"/>
      <c r="F1426" s="389"/>
      <c r="G1426" s="387"/>
      <c r="H1426" s="387"/>
      <c r="I1426" s="387"/>
      <c r="J1426" s="387"/>
      <c r="K1426" s="387"/>
      <c r="L1426" s="387"/>
      <c r="M1426" s="388"/>
      <c r="N1426" s="388"/>
      <c r="O1426" s="390"/>
      <c r="P1426" s="391"/>
      <c r="Q1426" s="389"/>
      <c r="R1426" s="390"/>
      <c r="S1426" s="390"/>
      <c r="T1426" s="391"/>
      <c r="U1426" s="392"/>
      <c r="V1426" s="391"/>
      <c r="W1426" s="391"/>
      <c r="X1426" s="388"/>
      <c r="Y1426" s="391"/>
      <c r="Z1426" s="393"/>
      <c r="AA1426" s="355" t="str">
        <f t="shared" si="1"/>
        <v/>
      </c>
      <c r="AB1426" s="391"/>
      <c r="AC1426" s="394" t="str">
        <f t="shared" si="2"/>
        <v/>
      </c>
      <c r="AD1426" s="389"/>
      <c r="AE1426" s="399"/>
      <c r="AF1426" s="395"/>
      <c r="AG1426" s="396" t="str">
        <f t="shared" si="3"/>
        <v/>
      </c>
      <c r="AH1426" s="396" t="str">
        <f t="shared" si="4"/>
        <v/>
      </c>
      <c r="AI1426" s="388"/>
      <c r="AJ1426" s="388"/>
      <c r="AK1426" s="397"/>
    </row>
    <row r="1427">
      <c r="A1427" s="398"/>
      <c r="B1427" s="386"/>
      <c r="C1427" s="387" t="str">
        <f>IF(A1427="","",IFERROR(IF(VLOOKUP(A1427,'1. Inbound Leads'!A:G,7,FALSE)=0,"",VLOOKUP(A1427,'1. Inbound Leads'!A:G,7,FALSE)),""))</f>
        <v/>
      </c>
      <c r="D1427" s="387" t="str">
        <f>IF(A1427="","",IFERROR(IF(VLOOKUP(A1427,'1. Inbound Leads'!A:L,12,FALSE)=0,"",VLOOKUP(A1427,'1. Inbound Leads'!A:L,12,FALSE)),""))</f>
        <v/>
      </c>
      <c r="E1427" s="388"/>
      <c r="F1427" s="389"/>
      <c r="G1427" s="387"/>
      <c r="H1427" s="387"/>
      <c r="I1427" s="387"/>
      <c r="J1427" s="387"/>
      <c r="K1427" s="387"/>
      <c r="L1427" s="387"/>
      <c r="M1427" s="388"/>
      <c r="N1427" s="388"/>
      <c r="O1427" s="390"/>
      <c r="P1427" s="391"/>
      <c r="Q1427" s="389"/>
      <c r="R1427" s="390"/>
      <c r="S1427" s="390"/>
      <c r="T1427" s="391"/>
      <c r="U1427" s="392"/>
      <c r="V1427" s="391"/>
      <c r="W1427" s="391"/>
      <c r="X1427" s="388"/>
      <c r="Y1427" s="391"/>
      <c r="Z1427" s="393"/>
      <c r="AA1427" s="355" t="str">
        <f t="shared" si="1"/>
        <v/>
      </c>
      <c r="AB1427" s="391"/>
      <c r="AC1427" s="394" t="str">
        <f t="shared" si="2"/>
        <v/>
      </c>
      <c r="AD1427" s="389"/>
      <c r="AE1427" s="399"/>
      <c r="AF1427" s="395"/>
      <c r="AG1427" s="396" t="str">
        <f t="shared" si="3"/>
        <v/>
      </c>
      <c r="AH1427" s="396" t="str">
        <f t="shared" si="4"/>
        <v/>
      </c>
      <c r="AI1427" s="388"/>
      <c r="AJ1427" s="388"/>
      <c r="AK1427" s="397"/>
    </row>
    <row r="1428">
      <c r="A1428" s="398"/>
      <c r="B1428" s="386"/>
      <c r="C1428" s="387" t="str">
        <f>IF(A1428="","",IFERROR(IF(VLOOKUP(A1428,'1. Inbound Leads'!A:G,7,FALSE)=0,"",VLOOKUP(A1428,'1. Inbound Leads'!A:G,7,FALSE)),""))</f>
        <v/>
      </c>
      <c r="D1428" s="387" t="str">
        <f>IF(A1428="","",IFERROR(IF(VLOOKUP(A1428,'1. Inbound Leads'!A:L,12,FALSE)=0,"",VLOOKUP(A1428,'1. Inbound Leads'!A:L,12,FALSE)),""))</f>
        <v/>
      </c>
      <c r="E1428" s="388"/>
      <c r="F1428" s="389"/>
      <c r="G1428" s="387"/>
      <c r="H1428" s="387"/>
      <c r="I1428" s="387"/>
      <c r="J1428" s="387"/>
      <c r="K1428" s="387"/>
      <c r="L1428" s="387"/>
      <c r="M1428" s="388"/>
      <c r="N1428" s="388"/>
      <c r="O1428" s="390"/>
      <c r="P1428" s="391"/>
      <c r="Q1428" s="389"/>
      <c r="R1428" s="390"/>
      <c r="S1428" s="390"/>
      <c r="T1428" s="391"/>
      <c r="U1428" s="392"/>
      <c r="V1428" s="391"/>
      <c r="W1428" s="391"/>
      <c r="X1428" s="388"/>
      <c r="Y1428" s="391"/>
      <c r="Z1428" s="393"/>
      <c r="AA1428" s="355" t="str">
        <f t="shared" si="1"/>
        <v/>
      </c>
      <c r="AB1428" s="391"/>
      <c r="AC1428" s="394" t="str">
        <f t="shared" si="2"/>
        <v/>
      </c>
      <c r="AD1428" s="389"/>
      <c r="AE1428" s="399"/>
      <c r="AF1428" s="395"/>
      <c r="AG1428" s="396" t="str">
        <f t="shared" si="3"/>
        <v/>
      </c>
      <c r="AH1428" s="396" t="str">
        <f t="shared" si="4"/>
        <v/>
      </c>
      <c r="AI1428" s="388"/>
      <c r="AJ1428" s="388"/>
      <c r="AK1428" s="397"/>
    </row>
    <row r="1429">
      <c r="A1429" s="398"/>
      <c r="B1429" s="386"/>
      <c r="C1429" s="387" t="str">
        <f>IF(A1429="","",IFERROR(IF(VLOOKUP(A1429,'1. Inbound Leads'!A:G,7,FALSE)=0,"",VLOOKUP(A1429,'1. Inbound Leads'!A:G,7,FALSE)),""))</f>
        <v/>
      </c>
      <c r="D1429" s="387" t="str">
        <f>IF(A1429="","",IFERROR(IF(VLOOKUP(A1429,'1. Inbound Leads'!A:L,12,FALSE)=0,"",VLOOKUP(A1429,'1. Inbound Leads'!A:L,12,FALSE)),""))</f>
        <v/>
      </c>
      <c r="E1429" s="388"/>
      <c r="F1429" s="389"/>
      <c r="G1429" s="387"/>
      <c r="H1429" s="387"/>
      <c r="I1429" s="387"/>
      <c r="J1429" s="387"/>
      <c r="K1429" s="387"/>
      <c r="L1429" s="387"/>
      <c r="M1429" s="388"/>
      <c r="N1429" s="388"/>
      <c r="O1429" s="390"/>
      <c r="P1429" s="391"/>
      <c r="Q1429" s="389"/>
      <c r="R1429" s="390"/>
      <c r="S1429" s="390"/>
      <c r="T1429" s="391"/>
      <c r="U1429" s="392"/>
      <c r="V1429" s="391"/>
      <c r="W1429" s="391"/>
      <c r="X1429" s="388"/>
      <c r="Y1429" s="391"/>
      <c r="Z1429" s="393"/>
      <c r="AA1429" s="355" t="str">
        <f t="shared" si="1"/>
        <v/>
      </c>
      <c r="AB1429" s="391"/>
      <c r="AC1429" s="394" t="str">
        <f t="shared" si="2"/>
        <v/>
      </c>
      <c r="AD1429" s="389"/>
      <c r="AE1429" s="399"/>
      <c r="AF1429" s="395"/>
      <c r="AG1429" s="396" t="str">
        <f t="shared" si="3"/>
        <v/>
      </c>
      <c r="AH1429" s="396" t="str">
        <f t="shared" si="4"/>
        <v/>
      </c>
      <c r="AI1429" s="388"/>
      <c r="AJ1429" s="388"/>
      <c r="AK1429" s="397"/>
    </row>
    <row r="1430">
      <c r="A1430" s="398"/>
      <c r="B1430" s="386"/>
      <c r="C1430" s="387" t="str">
        <f>IF(A1430="","",IFERROR(IF(VLOOKUP(A1430,'1. Inbound Leads'!A:G,7,FALSE)=0,"",VLOOKUP(A1430,'1. Inbound Leads'!A:G,7,FALSE)),""))</f>
        <v/>
      </c>
      <c r="D1430" s="387" t="str">
        <f>IF(A1430="","",IFERROR(IF(VLOOKUP(A1430,'1. Inbound Leads'!A:L,12,FALSE)=0,"",VLOOKUP(A1430,'1. Inbound Leads'!A:L,12,FALSE)),""))</f>
        <v/>
      </c>
      <c r="E1430" s="388"/>
      <c r="F1430" s="389"/>
      <c r="G1430" s="387"/>
      <c r="H1430" s="387"/>
      <c r="I1430" s="387"/>
      <c r="J1430" s="387"/>
      <c r="K1430" s="387"/>
      <c r="L1430" s="387"/>
      <c r="M1430" s="388"/>
      <c r="N1430" s="388"/>
      <c r="O1430" s="390"/>
      <c r="P1430" s="391"/>
      <c r="Q1430" s="389"/>
      <c r="R1430" s="390"/>
      <c r="S1430" s="390"/>
      <c r="T1430" s="391"/>
      <c r="U1430" s="392"/>
      <c r="V1430" s="391"/>
      <c r="W1430" s="391"/>
      <c r="X1430" s="388"/>
      <c r="Y1430" s="391"/>
      <c r="Z1430" s="393"/>
      <c r="AA1430" s="355" t="str">
        <f t="shared" si="1"/>
        <v/>
      </c>
      <c r="AB1430" s="391"/>
      <c r="AC1430" s="394" t="str">
        <f t="shared" si="2"/>
        <v/>
      </c>
      <c r="AD1430" s="389"/>
      <c r="AE1430" s="399"/>
      <c r="AF1430" s="395"/>
      <c r="AG1430" s="396" t="str">
        <f t="shared" si="3"/>
        <v/>
      </c>
      <c r="AH1430" s="396" t="str">
        <f t="shared" si="4"/>
        <v/>
      </c>
      <c r="AI1430" s="388"/>
      <c r="AJ1430" s="388"/>
      <c r="AK1430" s="397"/>
    </row>
    <row r="1431">
      <c r="A1431" s="398"/>
      <c r="B1431" s="386"/>
      <c r="C1431" s="387" t="str">
        <f>IF(A1431="","",IFERROR(IF(VLOOKUP(A1431,'1. Inbound Leads'!A:G,7,FALSE)=0,"",VLOOKUP(A1431,'1. Inbound Leads'!A:G,7,FALSE)),""))</f>
        <v/>
      </c>
      <c r="D1431" s="387" t="str">
        <f>IF(A1431="","",IFERROR(IF(VLOOKUP(A1431,'1. Inbound Leads'!A:L,12,FALSE)=0,"",VLOOKUP(A1431,'1. Inbound Leads'!A:L,12,FALSE)),""))</f>
        <v/>
      </c>
      <c r="E1431" s="388"/>
      <c r="F1431" s="389"/>
      <c r="G1431" s="387"/>
      <c r="H1431" s="387"/>
      <c r="I1431" s="387"/>
      <c r="J1431" s="387"/>
      <c r="K1431" s="387"/>
      <c r="L1431" s="387"/>
      <c r="M1431" s="388"/>
      <c r="N1431" s="388"/>
      <c r="O1431" s="390"/>
      <c r="P1431" s="391"/>
      <c r="Q1431" s="389"/>
      <c r="R1431" s="390"/>
      <c r="S1431" s="390"/>
      <c r="T1431" s="391"/>
      <c r="U1431" s="392"/>
      <c r="V1431" s="391"/>
      <c r="W1431" s="391"/>
      <c r="X1431" s="388"/>
      <c r="Y1431" s="391"/>
      <c r="Z1431" s="393"/>
      <c r="AA1431" s="355" t="str">
        <f t="shared" si="1"/>
        <v/>
      </c>
      <c r="AB1431" s="391"/>
      <c r="AC1431" s="394" t="str">
        <f t="shared" si="2"/>
        <v/>
      </c>
      <c r="AD1431" s="389"/>
      <c r="AE1431" s="399"/>
      <c r="AF1431" s="395"/>
      <c r="AG1431" s="396" t="str">
        <f t="shared" si="3"/>
        <v/>
      </c>
      <c r="AH1431" s="396" t="str">
        <f t="shared" si="4"/>
        <v/>
      </c>
      <c r="AI1431" s="388"/>
      <c r="AJ1431" s="388"/>
      <c r="AK1431" s="397"/>
    </row>
    <row r="1432">
      <c r="A1432" s="398"/>
      <c r="B1432" s="386"/>
      <c r="C1432" s="387" t="str">
        <f>IF(A1432="","",IFERROR(IF(VLOOKUP(A1432,'1. Inbound Leads'!A:G,7,FALSE)=0,"",VLOOKUP(A1432,'1. Inbound Leads'!A:G,7,FALSE)),""))</f>
        <v/>
      </c>
      <c r="D1432" s="387" t="str">
        <f>IF(A1432="","",IFERROR(IF(VLOOKUP(A1432,'1. Inbound Leads'!A:L,12,FALSE)=0,"",VLOOKUP(A1432,'1. Inbound Leads'!A:L,12,FALSE)),""))</f>
        <v/>
      </c>
      <c r="E1432" s="388"/>
      <c r="F1432" s="389"/>
      <c r="G1432" s="387"/>
      <c r="H1432" s="387"/>
      <c r="I1432" s="387"/>
      <c r="J1432" s="387"/>
      <c r="K1432" s="387"/>
      <c r="L1432" s="387"/>
      <c r="M1432" s="388"/>
      <c r="N1432" s="388"/>
      <c r="O1432" s="390"/>
      <c r="P1432" s="391"/>
      <c r="Q1432" s="389"/>
      <c r="R1432" s="390"/>
      <c r="S1432" s="390"/>
      <c r="T1432" s="391"/>
      <c r="U1432" s="392"/>
      <c r="V1432" s="391"/>
      <c r="W1432" s="391"/>
      <c r="X1432" s="388"/>
      <c r="Y1432" s="391"/>
      <c r="Z1432" s="393"/>
      <c r="AA1432" s="355" t="str">
        <f t="shared" si="1"/>
        <v/>
      </c>
      <c r="AB1432" s="391"/>
      <c r="AC1432" s="394" t="str">
        <f t="shared" si="2"/>
        <v/>
      </c>
      <c r="AD1432" s="389"/>
      <c r="AE1432" s="399"/>
      <c r="AF1432" s="395"/>
      <c r="AG1432" s="396" t="str">
        <f t="shared" si="3"/>
        <v/>
      </c>
      <c r="AH1432" s="396" t="str">
        <f t="shared" si="4"/>
        <v/>
      </c>
      <c r="AI1432" s="388"/>
      <c r="AJ1432" s="388"/>
      <c r="AK1432" s="397"/>
    </row>
    <row r="1433">
      <c r="A1433" s="398"/>
      <c r="B1433" s="386"/>
      <c r="C1433" s="387" t="str">
        <f>IF(A1433="","",IFERROR(IF(VLOOKUP(A1433,'1. Inbound Leads'!A:G,7,FALSE)=0,"",VLOOKUP(A1433,'1. Inbound Leads'!A:G,7,FALSE)),""))</f>
        <v/>
      </c>
      <c r="D1433" s="387" t="str">
        <f>IF(A1433="","",IFERROR(IF(VLOOKUP(A1433,'1. Inbound Leads'!A:L,12,FALSE)=0,"",VLOOKUP(A1433,'1. Inbound Leads'!A:L,12,FALSE)),""))</f>
        <v/>
      </c>
      <c r="E1433" s="388"/>
      <c r="F1433" s="389"/>
      <c r="G1433" s="387"/>
      <c r="H1433" s="387"/>
      <c r="I1433" s="387"/>
      <c r="J1433" s="387"/>
      <c r="K1433" s="387"/>
      <c r="L1433" s="387"/>
      <c r="M1433" s="388"/>
      <c r="N1433" s="388"/>
      <c r="O1433" s="390"/>
      <c r="P1433" s="391"/>
      <c r="Q1433" s="389"/>
      <c r="R1433" s="390"/>
      <c r="S1433" s="390"/>
      <c r="T1433" s="391"/>
      <c r="U1433" s="392"/>
      <c r="V1433" s="391"/>
      <c r="W1433" s="391"/>
      <c r="X1433" s="388"/>
      <c r="Y1433" s="391"/>
      <c r="Z1433" s="393"/>
      <c r="AA1433" s="355" t="str">
        <f t="shared" si="1"/>
        <v/>
      </c>
      <c r="AB1433" s="391"/>
      <c r="AC1433" s="394" t="str">
        <f t="shared" si="2"/>
        <v/>
      </c>
      <c r="AD1433" s="389"/>
      <c r="AE1433" s="399"/>
      <c r="AF1433" s="395"/>
      <c r="AG1433" s="396" t="str">
        <f t="shared" si="3"/>
        <v/>
      </c>
      <c r="AH1433" s="396" t="str">
        <f t="shared" si="4"/>
        <v/>
      </c>
      <c r="AI1433" s="388"/>
      <c r="AJ1433" s="388"/>
      <c r="AK1433" s="397"/>
    </row>
    <row r="1434">
      <c r="A1434" s="398"/>
      <c r="B1434" s="386"/>
      <c r="C1434" s="387" t="str">
        <f>IF(A1434="","",IFERROR(IF(VLOOKUP(A1434,'1. Inbound Leads'!A:G,7,FALSE)=0,"",VLOOKUP(A1434,'1. Inbound Leads'!A:G,7,FALSE)),""))</f>
        <v/>
      </c>
      <c r="D1434" s="387" t="str">
        <f>IF(A1434="","",IFERROR(IF(VLOOKUP(A1434,'1. Inbound Leads'!A:L,12,FALSE)=0,"",VLOOKUP(A1434,'1. Inbound Leads'!A:L,12,FALSE)),""))</f>
        <v/>
      </c>
      <c r="E1434" s="388"/>
      <c r="F1434" s="389"/>
      <c r="G1434" s="387"/>
      <c r="H1434" s="387"/>
      <c r="I1434" s="387"/>
      <c r="J1434" s="387"/>
      <c r="K1434" s="387"/>
      <c r="L1434" s="387"/>
      <c r="M1434" s="388"/>
      <c r="N1434" s="388"/>
      <c r="O1434" s="390"/>
      <c r="P1434" s="391"/>
      <c r="Q1434" s="389"/>
      <c r="R1434" s="390"/>
      <c r="S1434" s="390"/>
      <c r="T1434" s="391"/>
      <c r="U1434" s="392"/>
      <c r="V1434" s="391"/>
      <c r="W1434" s="391"/>
      <c r="X1434" s="388"/>
      <c r="Y1434" s="391"/>
      <c r="Z1434" s="393"/>
      <c r="AA1434" s="355" t="str">
        <f t="shared" si="1"/>
        <v/>
      </c>
      <c r="AB1434" s="391"/>
      <c r="AC1434" s="394" t="str">
        <f t="shared" si="2"/>
        <v/>
      </c>
      <c r="AD1434" s="389"/>
      <c r="AE1434" s="399"/>
      <c r="AF1434" s="395"/>
      <c r="AG1434" s="396" t="str">
        <f t="shared" si="3"/>
        <v/>
      </c>
      <c r="AH1434" s="396" t="str">
        <f t="shared" si="4"/>
        <v/>
      </c>
      <c r="AI1434" s="388"/>
      <c r="AJ1434" s="388"/>
      <c r="AK1434" s="397"/>
    </row>
    <row r="1435">
      <c r="A1435" s="398"/>
      <c r="B1435" s="386"/>
      <c r="C1435" s="387" t="str">
        <f>IF(A1435="","",IFERROR(IF(VLOOKUP(A1435,'1. Inbound Leads'!A:G,7,FALSE)=0,"",VLOOKUP(A1435,'1. Inbound Leads'!A:G,7,FALSE)),""))</f>
        <v/>
      </c>
      <c r="D1435" s="387" t="str">
        <f>IF(A1435="","",IFERROR(IF(VLOOKUP(A1435,'1. Inbound Leads'!A:L,12,FALSE)=0,"",VLOOKUP(A1435,'1. Inbound Leads'!A:L,12,FALSE)),""))</f>
        <v/>
      </c>
      <c r="E1435" s="388"/>
      <c r="F1435" s="389"/>
      <c r="G1435" s="387"/>
      <c r="H1435" s="387"/>
      <c r="I1435" s="387"/>
      <c r="J1435" s="387"/>
      <c r="K1435" s="387"/>
      <c r="L1435" s="387"/>
      <c r="M1435" s="388"/>
      <c r="N1435" s="388"/>
      <c r="O1435" s="390"/>
      <c r="P1435" s="391"/>
      <c r="Q1435" s="389"/>
      <c r="R1435" s="390"/>
      <c r="S1435" s="390"/>
      <c r="T1435" s="391"/>
      <c r="U1435" s="392"/>
      <c r="V1435" s="391"/>
      <c r="W1435" s="391"/>
      <c r="X1435" s="388"/>
      <c r="Y1435" s="391"/>
      <c r="Z1435" s="393"/>
      <c r="AA1435" s="355" t="str">
        <f t="shared" si="1"/>
        <v/>
      </c>
      <c r="AB1435" s="391"/>
      <c r="AC1435" s="394" t="str">
        <f t="shared" si="2"/>
        <v/>
      </c>
      <c r="AD1435" s="389"/>
      <c r="AE1435" s="399"/>
      <c r="AF1435" s="395"/>
      <c r="AG1435" s="396" t="str">
        <f t="shared" si="3"/>
        <v/>
      </c>
      <c r="AH1435" s="396" t="str">
        <f t="shared" si="4"/>
        <v/>
      </c>
      <c r="AI1435" s="388"/>
      <c r="AJ1435" s="388"/>
      <c r="AK1435" s="397"/>
    </row>
    <row r="1436">
      <c r="A1436" s="398"/>
      <c r="B1436" s="386"/>
      <c r="C1436" s="387" t="str">
        <f>IF(A1436="","",IFERROR(IF(VLOOKUP(A1436,'1. Inbound Leads'!A:G,7,FALSE)=0,"",VLOOKUP(A1436,'1. Inbound Leads'!A:G,7,FALSE)),""))</f>
        <v/>
      </c>
      <c r="D1436" s="387" t="str">
        <f>IF(A1436="","",IFERROR(IF(VLOOKUP(A1436,'1. Inbound Leads'!A:L,12,FALSE)=0,"",VLOOKUP(A1436,'1. Inbound Leads'!A:L,12,FALSE)),""))</f>
        <v/>
      </c>
      <c r="E1436" s="388"/>
      <c r="F1436" s="389"/>
      <c r="G1436" s="387"/>
      <c r="H1436" s="387"/>
      <c r="I1436" s="387"/>
      <c r="J1436" s="387"/>
      <c r="K1436" s="387"/>
      <c r="L1436" s="387"/>
      <c r="M1436" s="388"/>
      <c r="N1436" s="388"/>
      <c r="O1436" s="390"/>
      <c r="P1436" s="391"/>
      <c r="Q1436" s="389"/>
      <c r="R1436" s="390"/>
      <c r="S1436" s="390"/>
      <c r="T1436" s="391"/>
      <c r="U1436" s="392"/>
      <c r="V1436" s="391"/>
      <c r="W1436" s="391"/>
      <c r="X1436" s="388"/>
      <c r="Y1436" s="391"/>
      <c r="Z1436" s="393"/>
      <c r="AA1436" s="355" t="str">
        <f t="shared" si="1"/>
        <v/>
      </c>
      <c r="AB1436" s="391"/>
      <c r="AC1436" s="394" t="str">
        <f t="shared" si="2"/>
        <v/>
      </c>
      <c r="AD1436" s="389"/>
      <c r="AE1436" s="399"/>
      <c r="AF1436" s="395"/>
      <c r="AG1436" s="396" t="str">
        <f t="shared" si="3"/>
        <v/>
      </c>
      <c r="AH1436" s="396" t="str">
        <f t="shared" si="4"/>
        <v/>
      </c>
      <c r="AI1436" s="388"/>
      <c r="AJ1436" s="388"/>
      <c r="AK1436" s="397"/>
    </row>
    <row r="1437">
      <c r="A1437" s="398"/>
      <c r="B1437" s="386"/>
      <c r="C1437" s="387" t="str">
        <f>IF(A1437="","",IFERROR(IF(VLOOKUP(A1437,'1. Inbound Leads'!A:G,7,FALSE)=0,"",VLOOKUP(A1437,'1. Inbound Leads'!A:G,7,FALSE)),""))</f>
        <v/>
      </c>
      <c r="D1437" s="387" t="str">
        <f>IF(A1437="","",IFERROR(IF(VLOOKUP(A1437,'1. Inbound Leads'!A:L,12,FALSE)=0,"",VLOOKUP(A1437,'1. Inbound Leads'!A:L,12,FALSE)),""))</f>
        <v/>
      </c>
      <c r="E1437" s="388"/>
      <c r="F1437" s="389"/>
      <c r="G1437" s="387"/>
      <c r="H1437" s="387"/>
      <c r="I1437" s="387"/>
      <c r="J1437" s="387"/>
      <c r="K1437" s="387"/>
      <c r="L1437" s="387"/>
      <c r="M1437" s="388"/>
      <c r="N1437" s="388"/>
      <c r="O1437" s="390"/>
      <c r="P1437" s="391"/>
      <c r="Q1437" s="389"/>
      <c r="R1437" s="390"/>
      <c r="S1437" s="390"/>
      <c r="T1437" s="391"/>
      <c r="U1437" s="392"/>
      <c r="V1437" s="391"/>
      <c r="W1437" s="391"/>
      <c r="X1437" s="388"/>
      <c r="Y1437" s="391"/>
      <c r="Z1437" s="393"/>
      <c r="AA1437" s="355" t="str">
        <f t="shared" si="1"/>
        <v/>
      </c>
      <c r="AB1437" s="391"/>
      <c r="AC1437" s="394" t="str">
        <f t="shared" si="2"/>
        <v/>
      </c>
      <c r="AD1437" s="389"/>
      <c r="AE1437" s="399"/>
      <c r="AF1437" s="395"/>
      <c r="AG1437" s="396" t="str">
        <f t="shared" si="3"/>
        <v/>
      </c>
      <c r="AH1437" s="396" t="str">
        <f t="shared" si="4"/>
        <v/>
      </c>
      <c r="AI1437" s="388"/>
      <c r="AJ1437" s="388"/>
      <c r="AK1437" s="397"/>
    </row>
    <row r="1438">
      <c r="A1438" s="398"/>
      <c r="B1438" s="386"/>
      <c r="C1438" s="387" t="str">
        <f>IF(A1438="","",IFERROR(IF(VLOOKUP(A1438,'1. Inbound Leads'!A:G,7,FALSE)=0,"",VLOOKUP(A1438,'1. Inbound Leads'!A:G,7,FALSE)),""))</f>
        <v/>
      </c>
      <c r="D1438" s="387" t="str">
        <f>IF(A1438="","",IFERROR(IF(VLOOKUP(A1438,'1. Inbound Leads'!A:L,12,FALSE)=0,"",VLOOKUP(A1438,'1. Inbound Leads'!A:L,12,FALSE)),""))</f>
        <v/>
      </c>
      <c r="E1438" s="388"/>
      <c r="F1438" s="389"/>
      <c r="G1438" s="387"/>
      <c r="H1438" s="387"/>
      <c r="I1438" s="387"/>
      <c r="J1438" s="387"/>
      <c r="K1438" s="387"/>
      <c r="L1438" s="387"/>
      <c r="M1438" s="388"/>
      <c r="N1438" s="388"/>
      <c r="O1438" s="390"/>
      <c r="P1438" s="391"/>
      <c r="Q1438" s="389"/>
      <c r="R1438" s="390"/>
      <c r="S1438" s="390"/>
      <c r="T1438" s="391"/>
      <c r="U1438" s="392"/>
      <c r="V1438" s="391"/>
      <c r="W1438" s="391"/>
      <c r="X1438" s="388"/>
      <c r="Y1438" s="391"/>
      <c r="Z1438" s="393"/>
      <c r="AA1438" s="355" t="str">
        <f t="shared" si="1"/>
        <v/>
      </c>
      <c r="AB1438" s="391"/>
      <c r="AC1438" s="394" t="str">
        <f t="shared" si="2"/>
        <v/>
      </c>
      <c r="AD1438" s="389"/>
      <c r="AE1438" s="399"/>
      <c r="AF1438" s="395"/>
      <c r="AG1438" s="396" t="str">
        <f t="shared" si="3"/>
        <v/>
      </c>
      <c r="AH1438" s="396" t="str">
        <f t="shared" si="4"/>
        <v/>
      </c>
      <c r="AI1438" s="388"/>
      <c r="AJ1438" s="388"/>
      <c r="AK1438" s="397"/>
    </row>
    <row r="1439">
      <c r="A1439" s="398"/>
      <c r="B1439" s="386"/>
      <c r="C1439" s="387" t="str">
        <f>IF(A1439="","",IFERROR(IF(VLOOKUP(A1439,'1. Inbound Leads'!A:G,7,FALSE)=0,"",VLOOKUP(A1439,'1. Inbound Leads'!A:G,7,FALSE)),""))</f>
        <v/>
      </c>
      <c r="D1439" s="387" t="str">
        <f>IF(A1439="","",IFERROR(IF(VLOOKUP(A1439,'1. Inbound Leads'!A:L,12,FALSE)=0,"",VLOOKUP(A1439,'1. Inbound Leads'!A:L,12,FALSE)),""))</f>
        <v/>
      </c>
      <c r="E1439" s="388"/>
      <c r="F1439" s="389"/>
      <c r="G1439" s="387"/>
      <c r="H1439" s="387"/>
      <c r="I1439" s="387"/>
      <c r="J1439" s="387"/>
      <c r="K1439" s="387"/>
      <c r="L1439" s="387"/>
      <c r="M1439" s="388"/>
      <c r="N1439" s="388"/>
      <c r="O1439" s="390"/>
      <c r="P1439" s="391"/>
      <c r="Q1439" s="389"/>
      <c r="R1439" s="390"/>
      <c r="S1439" s="390"/>
      <c r="T1439" s="391"/>
      <c r="U1439" s="392"/>
      <c r="V1439" s="391"/>
      <c r="W1439" s="391"/>
      <c r="X1439" s="388"/>
      <c r="Y1439" s="391"/>
      <c r="Z1439" s="393"/>
      <c r="AA1439" s="355" t="str">
        <f t="shared" si="1"/>
        <v/>
      </c>
      <c r="AB1439" s="391"/>
      <c r="AC1439" s="394" t="str">
        <f t="shared" si="2"/>
        <v/>
      </c>
      <c r="AD1439" s="389"/>
      <c r="AE1439" s="399"/>
      <c r="AF1439" s="395"/>
      <c r="AG1439" s="396" t="str">
        <f t="shared" si="3"/>
        <v/>
      </c>
      <c r="AH1439" s="396" t="str">
        <f t="shared" si="4"/>
        <v/>
      </c>
      <c r="AI1439" s="388"/>
      <c r="AJ1439" s="388"/>
      <c r="AK1439" s="397"/>
    </row>
    <row r="1440">
      <c r="A1440" s="398"/>
      <c r="B1440" s="386"/>
      <c r="C1440" s="387" t="str">
        <f>IF(A1440="","",IFERROR(IF(VLOOKUP(A1440,'1. Inbound Leads'!A:G,7,FALSE)=0,"",VLOOKUP(A1440,'1. Inbound Leads'!A:G,7,FALSE)),""))</f>
        <v/>
      </c>
      <c r="D1440" s="387" t="str">
        <f>IF(A1440="","",IFERROR(IF(VLOOKUP(A1440,'1. Inbound Leads'!A:L,12,FALSE)=0,"",VLOOKUP(A1440,'1. Inbound Leads'!A:L,12,FALSE)),""))</f>
        <v/>
      </c>
      <c r="E1440" s="388"/>
      <c r="F1440" s="389"/>
      <c r="G1440" s="387"/>
      <c r="H1440" s="387"/>
      <c r="I1440" s="387"/>
      <c r="J1440" s="387"/>
      <c r="K1440" s="387"/>
      <c r="L1440" s="387"/>
      <c r="M1440" s="388"/>
      <c r="N1440" s="388"/>
      <c r="O1440" s="390"/>
      <c r="P1440" s="391"/>
      <c r="Q1440" s="389"/>
      <c r="R1440" s="390"/>
      <c r="S1440" s="390"/>
      <c r="T1440" s="391"/>
      <c r="U1440" s="392"/>
      <c r="V1440" s="391"/>
      <c r="W1440" s="391"/>
      <c r="X1440" s="388"/>
      <c r="Y1440" s="391"/>
      <c r="Z1440" s="393"/>
      <c r="AA1440" s="355" t="str">
        <f t="shared" si="1"/>
        <v/>
      </c>
      <c r="AB1440" s="391"/>
      <c r="AC1440" s="394" t="str">
        <f t="shared" si="2"/>
        <v/>
      </c>
      <c r="AD1440" s="389"/>
      <c r="AE1440" s="399"/>
      <c r="AF1440" s="395"/>
      <c r="AG1440" s="396" t="str">
        <f t="shared" si="3"/>
        <v/>
      </c>
      <c r="AH1440" s="396" t="str">
        <f t="shared" si="4"/>
        <v/>
      </c>
      <c r="AI1440" s="388"/>
      <c r="AJ1440" s="388"/>
      <c r="AK1440" s="397"/>
    </row>
    <row r="1441">
      <c r="A1441" s="398"/>
      <c r="B1441" s="386"/>
      <c r="C1441" s="387" t="str">
        <f>IF(A1441="","",IFERROR(IF(VLOOKUP(A1441,'1. Inbound Leads'!A:G,7,FALSE)=0,"",VLOOKUP(A1441,'1. Inbound Leads'!A:G,7,FALSE)),""))</f>
        <v/>
      </c>
      <c r="D1441" s="387" t="str">
        <f>IF(A1441="","",IFERROR(IF(VLOOKUP(A1441,'1. Inbound Leads'!A:L,12,FALSE)=0,"",VLOOKUP(A1441,'1. Inbound Leads'!A:L,12,FALSE)),""))</f>
        <v/>
      </c>
      <c r="E1441" s="388"/>
      <c r="F1441" s="389"/>
      <c r="G1441" s="387"/>
      <c r="H1441" s="387"/>
      <c r="I1441" s="387"/>
      <c r="J1441" s="387"/>
      <c r="K1441" s="387"/>
      <c r="L1441" s="387"/>
      <c r="M1441" s="388"/>
      <c r="N1441" s="388"/>
      <c r="O1441" s="390"/>
      <c r="P1441" s="391"/>
      <c r="Q1441" s="389"/>
      <c r="R1441" s="390"/>
      <c r="S1441" s="390"/>
      <c r="T1441" s="391"/>
      <c r="U1441" s="392"/>
      <c r="V1441" s="391"/>
      <c r="W1441" s="391"/>
      <c r="X1441" s="388"/>
      <c r="Y1441" s="391"/>
      <c r="Z1441" s="393"/>
      <c r="AA1441" s="355" t="str">
        <f t="shared" si="1"/>
        <v/>
      </c>
      <c r="AB1441" s="391"/>
      <c r="AC1441" s="394" t="str">
        <f t="shared" si="2"/>
        <v/>
      </c>
      <c r="AD1441" s="389"/>
      <c r="AE1441" s="399"/>
      <c r="AF1441" s="395"/>
      <c r="AG1441" s="396" t="str">
        <f t="shared" si="3"/>
        <v/>
      </c>
      <c r="AH1441" s="396" t="str">
        <f t="shared" si="4"/>
        <v/>
      </c>
      <c r="AI1441" s="388"/>
      <c r="AJ1441" s="388"/>
      <c r="AK1441" s="397"/>
    </row>
    <row r="1442">
      <c r="A1442" s="398"/>
      <c r="B1442" s="386"/>
      <c r="C1442" s="387" t="str">
        <f>IF(A1442="","",IFERROR(IF(VLOOKUP(A1442,'1. Inbound Leads'!A:G,7,FALSE)=0,"",VLOOKUP(A1442,'1. Inbound Leads'!A:G,7,FALSE)),""))</f>
        <v/>
      </c>
      <c r="D1442" s="387" t="str">
        <f>IF(A1442="","",IFERROR(IF(VLOOKUP(A1442,'1. Inbound Leads'!A:L,12,FALSE)=0,"",VLOOKUP(A1442,'1. Inbound Leads'!A:L,12,FALSE)),""))</f>
        <v/>
      </c>
      <c r="E1442" s="388"/>
      <c r="F1442" s="389"/>
      <c r="G1442" s="387"/>
      <c r="H1442" s="387"/>
      <c r="I1442" s="387"/>
      <c r="J1442" s="387"/>
      <c r="K1442" s="387"/>
      <c r="L1442" s="387"/>
      <c r="M1442" s="388"/>
      <c r="N1442" s="388"/>
      <c r="O1442" s="390"/>
      <c r="P1442" s="391"/>
      <c r="Q1442" s="389"/>
      <c r="R1442" s="390"/>
      <c r="S1442" s="390"/>
      <c r="T1442" s="391"/>
      <c r="U1442" s="392"/>
      <c r="V1442" s="391"/>
      <c r="W1442" s="391"/>
      <c r="X1442" s="388"/>
      <c r="Y1442" s="391"/>
      <c r="Z1442" s="393"/>
      <c r="AA1442" s="355" t="str">
        <f t="shared" si="1"/>
        <v/>
      </c>
      <c r="AB1442" s="391"/>
      <c r="AC1442" s="394" t="str">
        <f t="shared" si="2"/>
        <v/>
      </c>
      <c r="AD1442" s="389"/>
      <c r="AE1442" s="399"/>
      <c r="AF1442" s="395"/>
      <c r="AG1442" s="396" t="str">
        <f t="shared" si="3"/>
        <v/>
      </c>
      <c r="AH1442" s="396" t="str">
        <f t="shared" si="4"/>
        <v/>
      </c>
      <c r="AI1442" s="388"/>
      <c r="AJ1442" s="388"/>
      <c r="AK1442" s="397"/>
    </row>
    <row r="1443">
      <c r="A1443" s="398"/>
      <c r="B1443" s="386"/>
      <c r="C1443" s="387" t="str">
        <f>IF(A1443="","",IFERROR(IF(VLOOKUP(A1443,'1. Inbound Leads'!A:G,7,FALSE)=0,"",VLOOKUP(A1443,'1. Inbound Leads'!A:G,7,FALSE)),""))</f>
        <v/>
      </c>
      <c r="D1443" s="387" t="str">
        <f>IF(A1443="","",IFERROR(IF(VLOOKUP(A1443,'1. Inbound Leads'!A:L,12,FALSE)=0,"",VLOOKUP(A1443,'1. Inbound Leads'!A:L,12,FALSE)),""))</f>
        <v/>
      </c>
      <c r="E1443" s="388"/>
      <c r="F1443" s="389"/>
      <c r="G1443" s="387"/>
      <c r="H1443" s="387"/>
      <c r="I1443" s="387"/>
      <c r="J1443" s="387"/>
      <c r="K1443" s="387"/>
      <c r="L1443" s="387"/>
      <c r="M1443" s="388"/>
      <c r="N1443" s="388"/>
      <c r="O1443" s="390"/>
      <c r="P1443" s="391"/>
      <c r="Q1443" s="389"/>
      <c r="R1443" s="390"/>
      <c r="S1443" s="390"/>
      <c r="T1443" s="391"/>
      <c r="U1443" s="392"/>
      <c r="V1443" s="391"/>
      <c r="W1443" s="391"/>
      <c r="X1443" s="388"/>
      <c r="Y1443" s="391"/>
      <c r="Z1443" s="393"/>
      <c r="AA1443" s="355" t="str">
        <f t="shared" si="1"/>
        <v/>
      </c>
      <c r="AB1443" s="391"/>
      <c r="AC1443" s="394" t="str">
        <f t="shared" si="2"/>
        <v/>
      </c>
      <c r="AD1443" s="389"/>
      <c r="AE1443" s="399"/>
      <c r="AF1443" s="395"/>
      <c r="AG1443" s="396" t="str">
        <f t="shared" si="3"/>
        <v/>
      </c>
      <c r="AH1443" s="396" t="str">
        <f t="shared" si="4"/>
        <v/>
      </c>
      <c r="AI1443" s="388"/>
      <c r="AJ1443" s="388"/>
      <c r="AK1443" s="397"/>
    </row>
    <row r="1444">
      <c r="A1444" s="398"/>
      <c r="B1444" s="386"/>
      <c r="C1444" s="387" t="str">
        <f>IF(A1444="","",IFERROR(IF(VLOOKUP(A1444,'1. Inbound Leads'!A:G,7,FALSE)=0,"",VLOOKUP(A1444,'1. Inbound Leads'!A:G,7,FALSE)),""))</f>
        <v/>
      </c>
      <c r="D1444" s="387" t="str">
        <f>IF(A1444="","",IFERROR(IF(VLOOKUP(A1444,'1. Inbound Leads'!A:L,12,FALSE)=0,"",VLOOKUP(A1444,'1. Inbound Leads'!A:L,12,FALSE)),""))</f>
        <v/>
      </c>
      <c r="E1444" s="388"/>
      <c r="F1444" s="389"/>
      <c r="G1444" s="387"/>
      <c r="H1444" s="387"/>
      <c r="I1444" s="387"/>
      <c r="J1444" s="387"/>
      <c r="K1444" s="387"/>
      <c r="L1444" s="387"/>
      <c r="M1444" s="388"/>
      <c r="N1444" s="388"/>
      <c r="O1444" s="390"/>
      <c r="P1444" s="391"/>
      <c r="Q1444" s="389"/>
      <c r="R1444" s="390"/>
      <c r="S1444" s="390"/>
      <c r="T1444" s="391"/>
      <c r="U1444" s="392"/>
      <c r="V1444" s="391"/>
      <c r="W1444" s="391"/>
      <c r="X1444" s="388"/>
      <c r="Y1444" s="391"/>
      <c r="Z1444" s="393"/>
      <c r="AA1444" s="355" t="str">
        <f t="shared" si="1"/>
        <v/>
      </c>
      <c r="AB1444" s="391"/>
      <c r="AC1444" s="394" t="str">
        <f t="shared" si="2"/>
        <v/>
      </c>
      <c r="AD1444" s="389"/>
      <c r="AE1444" s="399"/>
      <c r="AF1444" s="395"/>
      <c r="AG1444" s="396" t="str">
        <f t="shared" si="3"/>
        <v/>
      </c>
      <c r="AH1444" s="396" t="str">
        <f t="shared" si="4"/>
        <v/>
      </c>
      <c r="AI1444" s="388"/>
      <c r="AJ1444" s="388"/>
      <c r="AK1444" s="397"/>
    </row>
    <row r="1445">
      <c r="A1445" s="398"/>
      <c r="B1445" s="386"/>
      <c r="C1445" s="387" t="str">
        <f>IF(A1445="","",IFERROR(IF(VLOOKUP(A1445,'1. Inbound Leads'!A:G,7,FALSE)=0,"",VLOOKUP(A1445,'1. Inbound Leads'!A:G,7,FALSE)),""))</f>
        <v/>
      </c>
      <c r="D1445" s="387" t="str">
        <f>IF(A1445="","",IFERROR(IF(VLOOKUP(A1445,'1. Inbound Leads'!A:L,12,FALSE)=0,"",VLOOKUP(A1445,'1. Inbound Leads'!A:L,12,FALSE)),""))</f>
        <v/>
      </c>
      <c r="E1445" s="388"/>
      <c r="F1445" s="389"/>
      <c r="G1445" s="387"/>
      <c r="H1445" s="387"/>
      <c r="I1445" s="387"/>
      <c r="J1445" s="387"/>
      <c r="K1445" s="387"/>
      <c r="L1445" s="387"/>
      <c r="M1445" s="388"/>
      <c r="N1445" s="388"/>
      <c r="O1445" s="390"/>
      <c r="P1445" s="391"/>
      <c r="Q1445" s="389"/>
      <c r="R1445" s="390"/>
      <c r="S1445" s="390"/>
      <c r="T1445" s="391"/>
      <c r="U1445" s="392"/>
      <c r="V1445" s="391"/>
      <c r="W1445" s="391"/>
      <c r="X1445" s="388"/>
      <c r="Y1445" s="391"/>
      <c r="Z1445" s="393"/>
      <c r="AA1445" s="355" t="str">
        <f t="shared" si="1"/>
        <v/>
      </c>
      <c r="AB1445" s="391"/>
      <c r="AC1445" s="394" t="str">
        <f t="shared" si="2"/>
        <v/>
      </c>
      <c r="AD1445" s="389"/>
      <c r="AE1445" s="399"/>
      <c r="AF1445" s="395"/>
      <c r="AG1445" s="396" t="str">
        <f t="shared" si="3"/>
        <v/>
      </c>
      <c r="AH1445" s="396" t="str">
        <f t="shared" si="4"/>
        <v/>
      </c>
      <c r="AI1445" s="388"/>
      <c r="AJ1445" s="388"/>
      <c r="AK1445" s="397"/>
    </row>
    <row r="1446">
      <c r="A1446" s="398"/>
      <c r="B1446" s="386"/>
      <c r="C1446" s="387" t="str">
        <f>IF(A1446="","",IFERROR(IF(VLOOKUP(A1446,'1. Inbound Leads'!A:G,7,FALSE)=0,"",VLOOKUP(A1446,'1. Inbound Leads'!A:G,7,FALSE)),""))</f>
        <v/>
      </c>
      <c r="D1446" s="387" t="str">
        <f>IF(A1446="","",IFERROR(IF(VLOOKUP(A1446,'1. Inbound Leads'!A:L,12,FALSE)=0,"",VLOOKUP(A1446,'1. Inbound Leads'!A:L,12,FALSE)),""))</f>
        <v/>
      </c>
      <c r="E1446" s="388"/>
      <c r="F1446" s="389"/>
      <c r="G1446" s="387"/>
      <c r="H1446" s="387"/>
      <c r="I1446" s="387"/>
      <c r="J1446" s="387"/>
      <c r="K1446" s="387"/>
      <c r="L1446" s="387"/>
      <c r="M1446" s="388"/>
      <c r="N1446" s="388"/>
      <c r="O1446" s="390"/>
      <c r="P1446" s="391"/>
      <c r="Q1446" s="389"/>
      <c r="R1446" s="390"/>
      <c r="S1446" s="390"/>
      <c r="T1446" s="391"/>
      <c r="U1446" s="392"/>
      <c r="V1446" s="391"/>
      <c r="W1446" s="391"/>
      <c r="X1446" s="388"/>
      <c r="Y1446" s="391"/>
      <c r="Z1446" s="393"/>
      <c r="AA1446" s="355" t="str">
        <f t="shared" si="1"/>
        <v/>
      </c>
      <c r="AB1446" s="391"/>
      <c r="AC1446" s="394" t="str">
        <f t="shared" si="2"/>
        <v/>
      </c>
      <c r="AD1446" s="389"/>
      <c r="AE1446" s="399"/>
      <c r="AF1446" s="395"/>
      <c r="AG1446" s="396" t="str">
        <f t="shared" si="3"/>
        <v/>
      </c>
      <c r="AH1446" s="396" t="str">
        <f t="shared" si="4"/>
        <v/>
      </c>
      <c r="AI1446" s="388"/>
      <c r="AJ1446" s="388"/>
      <c r="AK1446" s="397"/>
    </row>
    <row r="1447">
      <c r="A1447" s="398"/>
      <c r="B1447" s="386"/>
      <c r="C1447" s="387" t="str">
        <f>IF(A1447="","",IFERROR(IF(VLOOKUP(A1447,'1. Inbound Leads'!A:G,7,FALSE)=0,"",VLOOKUP(A1447,'1. Inbound Leads'!A:G,7,FALSE)),""))</f>
        <v/>
      </c>
      <c r="D1447" s="387" t="str">
        <f>IF(A1447="","",IFERROR(IF(VLOOKUP(A1447,'1. Inbound Leads'!A:L,12,FALSE)=0,"",VLOOKUP(A1447,'1. Inbound Leads'!A:L,12,FALSE)),""))</f>
        <v/>
      </c>
      <c r="E1447" s="388"/>
      <c r="F1447" s="389"/>
      <c r="G1447" s="387"/>
      <c r="H1447" s="387"/>
      <c r="I1447" s="387"/>
      <c r="J1447" s="387"/>
      <c r="K1447" s="387"/>
      <c r="L1447" s="387"/>
      <c r="M1447" s="388"/>
      <c r="N1447" s="388"/>
      <c r="O1447" s="390"/>
      <c r="P1447" s="391"/>
      <c r="Q1447" s="389"/>
      <c r="R1447" s="390"/>
      <c r="S1447" s="390"/>
      <c r="T1447" s="391"/>
      <c r="U1447" s="392"/>
      <c r="V1447" s="391"/>
      <c r="W1447" s="391"/>
      <c r="X1447" s="388"/>
      <c r="Y1447" s="391"/>
      <c r="Z1447" s="393"/>
      <c r="AA1447" s="355" t="str">
        <f t="shared" si="1"/>
        <v/>
      </c>
      <c r="AB1447" s="391"/>
      <c r="AC1447" s="394" t="str">
        <f t="shared" si="2"/>
        <v/>
      </c>
      <c r="AD1447" s="389"/>
      <c r="AE1447" s="399"/>
      <c r="AF1447" s="395"/>
      <c r="AG1447" s="396" t="str">
        <f t="shared" si="3"/>
        <v/>
      </c>
      <c r="AH1447" s="396" t="str">
        <f t="shared" si="4"/>
        <v/>
      </c>
      <c r="AI1447" s="388"/>
      <c r="AJ1447" s="388"/>
      <c r="AK1447" s="397"/>
    </row>
    <row r="1448">
      <c r="A1448" s="398"/>
      <c r="B1448" s="386"/>
      <c r="C1448" s="387" t="str">
        <f>IF(A1448="","",IFERROR(IF(VLOOKUP(A1448,'1. Inbound Leads'!A:G,7,FALSE)=0,"",VLOOKUP(A1448,'1. Inbound Leads'!A:G,7,FALSE)),""))</f>
        <v/>
      </c>
      <c r="D1448" s="387" t="str">
        <f>IF(A1448="","",IFERROR(IF(VLOOKUP(A1448,'1. Inbound Leads'!A:L,12,FALSE)=0,"",VLOOKUP(A1448,'1. Inbound Leads'!A:L,12,FALSE)),""))</f>
        <v/>
      </c>
      <c r="E1448" s="388"/>
      <c r="F1448" s="389"/>
      <c r="G1448" s="387"/>
      <c r="H1448" s="387"/>
      <c r="I1448" s="387"/>
      <c r="J1448" s="387"/>
      <c r="K1448" s="387"/>
      <c r="L1448" s="387"/>
      <c r="M1448" s="388"/>
      <c r="N1448" s="388"/>
      <c r="O1448" s="390"/>
      <c r="P1448" s="391"/>
      <c r="Q1448" s="389"/>
      <c r="R1448" s="390"/>
      <c r="S1448" s="390"/>
      <c r="T1448" s="391"/>
      <c r="U1448" s="392"/>
      <c r="V1448" s="391"/>
      <c r="W1448" s="391"/>
      <c r="X1448" s="388"/>
      <c r="Y1448" s="391"/>
      <c r="Z1448" s="393"/>
      <c r="AA1448" s="355" t="str">
        <f t="shared" si="1"/>
        <v/>
      </c>
      <c r="AB1448" s="391"/>
      <c r="AC1448" s="394" t="str">
        <f t="shared" si="2"/>
        <v/>
      </c>
      <c r="AD1448" s="389"/>
      <c r="AE1448" s="399"/>
      <c r="AF1448" s="395"/>
      <c r="AG1448" s="396" t="str">
        <f t="shared" si="3"/>
        <v/>
      </c>
      <c r="AH1448" s="396" t="str">
        <f t="shared" si="4"/>
        <v/>
      </c>
      <c r="AI1448" s="388"/>
      <c r="AJ1448" s="388"/>
      <c r="AK1448" s="397"/>
    </row>
    <row r="1449">
      <c r="A1449" s="398"/>
      <c r="B1449" s="386"/>
      <c r="C1449" s="387" t="str">
        <f>IF(A1449="","",IFERROR(IF(VLOOKUP(A1449,'1. Inbound Leads'!A:G,7,FALSE)=0,"",VLOOKUP(A1449,'1. Inbound Leads'!A:G,7,FALSE)),""))</f>
        <v/>
      </c>
      <c r="D1449" s="387" t="str">
        <f>IF(A1449="","",IFERROR(IF(VLOOKUP(A1449,'1. Inbound Leads'!A:L,12,FALSE)=0,"",VLOOKUP(A1449,'1. Inbound Leads'!A:L,12,FALSE)),""))</f>
        <v/>
      </c>
      <c r="E1449" s="388"/>
      <c r="F1449" s="389"/>
      <c r="G1449" s="387"/>
      <c r="H1449" s="387"/>
      <c r="I1449" s="387"/>
      <c r="J1449" s="387"/>
      <c r="K1449" s="387"/>
      <c r="L1449" s="387"/>
      <c r="M1449" s="388"/>
      <c r="N1449" s="388"/>
      <c r="O1449" s="390"/>
      <c r="P1449" s="391"/>
      <c r="Q1449" s="389"/>
      <c r="R1449" s="390"/>
      <c r="S1449" s="390"/>
      <c r="T1449" s="391"/>
      <c r="U1449" s="392"/>
      <c r="V1449" s="391"/>
      <c r="W1449" s="391"/>
      <c r="X1449" s="388"/>
      <c r="Y1449" s="391"/>
      <c r="Z1449" s="393"/>
      <c r="AA1449" s="355" t="str">
        <f t="shared" si="1"/>
        <v/>
      </c>
      <c r="AB1449" s="391"/>
      <c r="AC1449" s="394" t="str">
        <f t="shared" si="2"/>
        <v/>
      </c>
      <c r="AD1449" s="389"/>
      <c r="AE1449" s="399"/>
      <c r="AF1449" s="395"/>
      <c r="AG1449" s="396" t="str">
        <f t="shared" si="3"/>
        <v/>
      </c>
      <c r="AH1449" s="396" t="str">
        <f t="shared" si="4"/>
        <v/>
      </c>
      <c r="AI1449" s="388"/>
      <c r="AJ1449" s="388"/>
      <c r="AK1449" s="397"/>
    </row>
    <row r="1450">
      <c r="A1450" s="398"/>
      <c r="B1450" s="386"/>
      <c r="C1450" s="387" t="str">
        <f>IF(A1450="","",IFERROR(IF(VLOOKUP(A1450,'1. Inbound Leads'!A:G,7,FALSE)=0,"",VLOOKUP(A1450,'1. Inbound Leads'!A:G,7,FALSE)),""))</f>
        <v/>
      </c>
      <c r="D1450" s="387" t="str">
        <f>IF(A1450="","",IFERROR(IF(VLOOKUP(A1450,'1. Inbound Leads'!A:L,12,FALSE)=0,"",VLOOKUP(A1450,'1. Inbound Leads'!A:L,12,FALSE)),""))</f>
        <v/>
      </c>
      <c r="E1450" s="388"/>
      <c r="F1450" s="389"/>
      <c r="G1450" s="387"/>
      <c r="H1450" s="387"/>
      <c r="I1450" s="387"/>
      <c r="J1450" s="387"/>
      <c r="K1450" s="387"/>
      <c r="L1450" s="387"/>
      <c r="M1450" s="388"/>
      <c r="N1450" s="388"/>
      <c r="O1450" s="390"/>
      <c r="P1450" s="391"/>
      <c r="Q1450" s="389"/>
      <c r="R1450" s="390"/>
      <c r="S1450" s="390"/>
      <c r="T1450" s="391"/>
      <c r="U1450" s="392"/>
      <c r="V1450" s="391"/>
      <c r="W1450" s="391"/>
      <c r="X1450" s="388"/>
      <c r="Y1450" s="391"/>
      <c r="Z1450" s="393"/>
      <c r="AA1450" s="355" t="str">
        <f t="shared" si="1"/>
        <v/>
      </c>
      <c r="AB1450" s="391"/>
      <c r="AC1450" s="394" t="str">
        <f t="shared" si="2"/>
        <v/>
      </c>
      <c r="AD1450" s="389"/>
      <c r="AE1450" s="399"/>
      <c r="AF1450" s="395"/>
      <c r="AG1450" s="396" t="str">
        <f t="shared" si="3"/>
        <v/>
      </c>
      <c r="AH1450" s="396" t="str">
        <f t="shared" si="4"/>
        <v/>
      </c>
      <c r="AI1450" s="388"/>
      <c r="AJ1450" s="388"/>
      <c r="AK1450" s="397"/>
    </row>
    <row r="1451">
      <c r="A1451" s="398"/>
      <c r="B1451" s="386"/>
      <c r="C1451" s="387" t="str">
        <f>IF(A1451="","",IFERROR(IF(VLOOKUP(A1451,'1. Inbound Leads'!A:G,7,FALSE)=0,"",VLOOKUP(A1451,'1. Inbound Leads'!A:G,7,FALSE)),""))</f>
        <v/>
      </c>
      <c r="D1451" s="387" t="str">
        <f>IF(A1451="","",IFERROR(IF(VLOOKUP(A1451,'1. Inbound Leads'!A:L,12,FALSE)=0,"",VLOOKUP(A1451,'1. Inbound Leads'!A:L,12,FALSE)),""))</f>
        <v/>
      </c>
      <c r="E1451" s="388"/>
      <c r="F1451" s="389"/>
      <c r="G1451" s="387"/>
      <c r="H1451" s="387"/>
      <c r="I1451" s="387"/>
      <c r="J1451" s="387"/>
      <c r="K1451" s="387"/>
      <c r="L1451" s="387"/>
      <c r="M1451" s="388"/>
      <c r="N1451" s="388"/>
      <c r="O1451" s="390"/>
      <c r="P1451" s="391"/>
      <c r="Q1451" s="389"/>
      <c r="R1451" s="390"/>
      <c r="S1451" s="390"/>
      <c r="T1451" s="391"/>
      <c r="U1451" s="392"/>
      <c r="V1451" s="391"/>
      <c r="W1451" s="391"/>
      <c r="X1451" s="388"/>
      <c r="Y1451" s="391"/>
      <c r="Z1451" s="393"/>
      <c r="AA1451" s="355" t="str">
        <f t="shared" si="1"/>
        <v/>
      </c>
      <c r="AB1451" s="391"/>
      <c r="AC1451" s="394" t="str">
        <f t="shared" si="2"/>
        <v/>
      </c>
      <c r="AD1451" s="389"/>
      <c r="AE1451" s="399"/>
      <c r="AF1451" s="395"/>
      <c r="AG1451" s="396" t="str">
        <f t="shared" si="3"/>
        <v/>
      </c>
      <c r="AH1451" s="396" t="str">
        <f t="shared" si="4"/>
        <v/>
      </c>
      <c r="AI1451" s="388"/>
      <c r="AJ1451" s="388"/>
      <c r="AK1451" s="397"/>
    </row>
    <row r="1452">
      <c r="A1452" s="398"/>
      <c r="B1452" s="386"/>
      <c r="C1452" s="387" t="str">
        <f>IF(A1452="","",IFERROR(IF(VLOOKUP(A1452,'1. Inbound Leads'!A:G,7,FALSE)=0,"",VLOOKUP(A1452,'1. Inbound Leads'!A:G,7,FALSE)),""))</f>
        <v/>
      </c>
      <c r="D1452" s="387" t="str">
        <f>IF(A1452="","",IFERROR(IF(VLOOKUP(A1452,'1. Inbound Leads'!A:L,12,FALSE)=0,"",VLOOKUP(A1452,'1. Inbound Leads'!A:L,12,FALSE)),""))</f>
        <v/>
      </c>
      <c r="E1452" s="388"/>
      <c r="F1452" s="389"/>
      <c r="G1452" s="387"/>
      <c r="H1452" s="387"/>
      <c r="I1452" s="387"/>
      <c r="J1452" s="387"/>
      <c r="K1452" s="387"/>
      <c r="L1452" s="387"/>
      <c r="M1452" s="388"/>
      <c r="N1452" s="388"/>
      <c r="O1452" s="390"/>
      <c r="P1452" s="391"/>
      <c r="Q1452" s="389"/>
      <c r="R1452" s="390"/>
      <c r="S1452" s="390"/>
      <c r="T1452" s="391"/>
      <c r="U1452" s="392"/>
      <c r="V1452" s="391"/>
      <c r="W1452" s="391"/>
      <c r="X1452" s="388"/>
      <c r="Y1452" s="391"/>
      <c r="Z1452" s="393"/>
      <c r="AA1452" s="355" t="str">
        <f t="shared" si="1"/>
        <v/>
      </c>
      <c r="AB1452" s="391"/>
      <c r="AC1452" s="394" t="str">
        <f t="shared" si="2"/>
        <v/>
      </c>
      <c r="AD1452" s="389"/>
      <c r="AE1452" s="399"/>
      <c r="AF1452" s="395"/>
      <c r="AG1452" s="396" t="str">
        <f t="shared" si="3"/>
        <v/>
      </c>
      <c r="AH1452" s="396" t="str">
        <f t="shared" si="4"/>
        <v/>
      </c>
      <c r="AI1452" s="388"/>
      <c r="AJ1452" s="388"/>
      <c r="AK1452" s="397"/>
    </row>
    <row r="1453">
      <c r="A1453" s="398"/>
      <c r="B1453" s="386"/>
      <c r="C1453" s="387" t="str">
        <f>IF(A1453="","",IFERROR(IF(VLOOKUP(A1453,'1. Inbound Leads'!A:G,7,FALSE)=0,"",VLOOKUP(A1453,'1. Inbound Leads'!A:G,7,FALSE)),""))</f>
        <v/>
      </c>
      <c r="D1453" s="387" t="str">
        <f>IF(A1453="","",IFERROR(IF(VLOOKUP(A1453,'1. Inbound Leads'!A:L,12,FALSE)=0,"",VLOOKUP(A1453,'1. Inbound Leads'!A:L,12,FALSE)),""))</f>
        <v/>
      </c>
      <c r="E1453" s="388"/>
      <c r="F1453" s="389"/>
      <c r="G1453" s="387"/>
      <c r="H1453" s="387"/>
      <c r="I1453" s="387"/>
      <c r="J1453" s="387"/>
      <c r="K1453" s="387"/>
      <c r="L1453" s="387"/>
      <c r="M1453" s="388"/>
      <c r="N1453" s="388"/>
      <c r="O1453" s="390"/>
      <c r="P1453" s="391"/>
      <c r="Q1453" s="389"/>
      <c r="R1453" s="390"/>
      <c r="S1453" s="390"/>
      <c r="T1453" s="391"/>
      <c r="U1453" s="392"/>
      <c r="V1453" s="391"/>
      <c r="W1453" s="391"/>
      <c r="X1453" s="388"/>
      <c r="Y1453" s="391"/>
      <c r="Z1453" s="393"/>
      <c r="AA1453" s="355" t="str">
        <f t="shared" si="1"/>
        <v/>
      </c>
      <c r="AB1453" s="391"/>
      <c r="AC1453" s="394" t="str">
        <f t="shared" si="2"/>
        <v/>
      </c>
      <c r="AD1453" s="389"/>
      <c r="AE1453" s="399"/>
      <c r="AF1453" s="395"/>
      <c r="AG1453" s="396" t="str">
        <f t="shared" si="3"/>
        <v/>
      </c>
      <c r="AH1453" s="396" t="str">
        <f t="shared" si="4"/>
        <v/>
      </c>
      <c r="AI1453" s="388"/>
      <c r="AJ1453" s="388"/>
      <c r="AK1453" s="397"/>
    </row>
    <row r="1454">
      <c r="A1454" s="398"/>
      <c r="B1454" s="386"/>
      <c r="C1454" s="387" t="str">
        <f>IF(A1454="","",IFERROR(IF(VLOOKUP(A1454,'1. Inbound Leads'!A:G,7,FALSE)=0,"",VLOOKUP(A1454,'1. Inbound Leads'!A:G,7,FALSE)),""))</f>
        <v/>
      </c>
      <c r="D1454" s="387" t="str">
        <f>IF(A1454="","",IFERROR(IF(VLOOKUP(A1454,'1. Inbound Leads'!A:L,12,FALSE)=0,"",VLOOKUP(A1454,'1. Inbound Leads'!A:L,12,FALSE)),""))</f>
        <v/>
      </c>
      <c r="E1454" s="388"/>
      <c r="F1454" s="389"/>
      <c r="G1454" s="387"/>
      <c r="H1454" s="387"/>
      <c r="I1454" s="387"/>
      <c r="J1454" s="387"/>
      <c r="K1454" s="387"/>
      <c r="L1454" s="387"/>
      <c r="M1454" s="388"/>
      <c r="N1454" s="388"/>
      <c r="O1454" s="390"/>
      <c r="P1454" s="391"/>
      <c r="Q1454" s="389"/>
      <c r="R1454" s="390"/>
      <c r="S1454" s="390"/>
      <c r="T1454" s="391"/>
      <c r="U1454" s="392"/>
      <c r="V1454" s="391"/>
      <c r="W1454" s="391"/>
      <c r="X1454" s="388"/>
      <c r="Y1454" s="391"/>
      <c r="Z1454" s="393"/>
      <c r="AA1454" s="355" t="str">
        <f t="shared" si="1"/>
        <v/>
      </c>
      <c r="AB1454" s="391"/>
      <c r="AC1454" s="394" t="str">
        <f t="shared" si="2"/>
        <v/>
      </c>
      <c r="AD1454" s="389"/>
      <c r="AE1454" s="399"/>
      <c r="AF1454" s="395"/>
      <c r="AG1454" s="396" t="str">
        <f t="shared" si="3"/>
        <v/>
      </c>
      <c r="AH1454" s="396" t="str">
        <f t="shared" si="4"/>
        <v/>
      </c>
      <c r="AI1454" s="388"/>
      <c r="AJ1454" s="388"/>
      <c r="AK1454" s="397"/>
    </row>
    <row r="1455">
      <c r="A1455" s="398"/>
      <c r="B1455" s="386"/>
      <c r="C1455" s="387" t="str">
        <f>IF(A1455="","",IFERROR(IF(VLOOKUP(A1455,'1. Inbound Leads'!A:G,7,FALSE)=0,"",VLOOKUP(A1455,'1. Inbound Leads'!A:G,7,FALSE)),""))</f>
        <v/>
      </c>
      <c r="D1455" s="387" t="str">
        <f>IF(A1455="","",IFERROR(IF(VLOOKUP(A1455,'1. Inbound Leads'!A:L,12,FALSE)=0,"",VLOOKUP(A1455,'1. Inbound Leads'!A:L,12,FALSE)),""))</f>
        <v/>
      </c>
      <c r="E1455" s="388"/>
      <c r="F1455" s="389"/>
      <c r="G1455" s="387"/>
      <c r="H1455" s="387"/>
      <c r="I1455" s="387"/>
      <c r="J1455" s="387"/>
      <c r="K1455" s="387"/>
      <c r="L1455" s="387"/>
      <c r="M1455" s="388"/>
      <c r="N1455" s="388"/>
      <c r="O1455" s="390"/>
      <c r="P1455" s="391"/>
      <c r="Q1455" s="389"/>
      <c r="R1455" s="390"/>
      <c r="S1455" s="390"/>
      <c r="T1455" s="391"/>
      <c r="U1455" s="392"/>
      <c r="V1455" s="391"/>
      <c r="W1455" s="391"/>
      <c r="X1455" s="388"/>
      <c r="Y1455" s="391"/>
      <c r="Z1455" s="393"/>
      <c r="AA1455" s="355" t="str">
        <f t="shared" si="1"/>
        <v/>
      </c>
      <c r="AB1455" s="391"/>
      <c r="AC1455" s="394" t="str">
        <f t="shared" si="2"/>
        <v/>
      </c>
      <c r="AD1455" s="389"/>
      <c r="AE1455" s="399"/>
      <c r="AF1455" s="395"/>
      <c r="AG1455" s="396" t="str">
        <f t="shared" si="3"/>
        <v/>
      </c>
      <c r="AH1455" s="396" t="str">
        <f t="shared" si="4"/>
        <v/>
      </c>
      <c r="AI1455" s="388"/>
      <c r="AJ1455" s="388"/>
      <c r="AK1455" s="397"/>
    </row>
    <row r="1456">
      <c r="A1456" s="398"/>
      <c r="B1456" s="386"/>
      <c r="C1456" s="387" t="str">
        <f>IF(A1456="","",IFERROR(IF(VLOOKUP(A1456,'1. Inbound Leads'!A:G,7,FALSE)=0,"",VLOOKUP(A1456,'1. Inbound Leads'!A:G,7,FALSE)),""))</f>
        <v/>
      </c>
      <c r="D1456" s="387" t="str">
        <f>IF(A1456="","",IFERROR(IF(VLOOKUP(A1456,'1. Inbound Leads'!A:L,12,FALSE)=0,"",VLOOKUP(A1456,'1. Inbound Leads'!A:L,12,FALSE)),""))</f>
        <v/>
      </c>
      <c r="E1456" s="388"/>
      <c r="F1456" s="389"/>
      <c r="G1456" s="387"/>
      <c r="H1456" s="387"/>
      <c r="I1456" s="387"/>
      <c r="J1456" s="387"/>
      <c r="K1456" s="387"/>
      <c r="L1456" s="387"/>
      <c r="M1456" s="388"/>
      <c r="N1456" s="388"/>
      <c r="O1456" s="390"/>
      <c r="P1456" s="391"/>
      <c r="Q1456" s="389"/>
      <c r="R1456" s="390"/>
      <c r="S1456" s="390"/>
      <c r="T1456" s="391"/>
      <c r="U1456" s="392"/>
      <c r="V1456" s="391"/>
      <c r="W1456" s="391"/>
      <c r="X1456" s="388"/>
      <c r="Y1456" s="391"/>
      <c r="Z1456" s="393"/>
      <c r="AA1456" s="355" t="str">
        <f t="shared" si="1"/>
        <v/>
      </c>
      <c r="AB1456" s="391"/>
      <c r="AC1456" s="394" t="str">
        <f t="shared" si="2"/>
        <v/>
      </c>
      <c r="AD1456" s="389"/>
      <c r="AE1456" s="399"/>
      <c r="AF1456" s="395"/>
      <c r="AG1456" s="396" t="str">
        <f t="shared" si="3"/>
        <v/>
      </c>
      <c r="AH1456" s="396" t="str">
        <f t="shared" si="4"/>
        <v/>
      </c>
      <c r="AI1456" s="388"/>
      <c r="AJ1456" s="388"/>
      <c r="AK1456" s="397"/>
    </row>
    <row r="1457">
      <c r="A1457" s="398"/>
      <c r="B1457" s="386"/>
      <c r="C1457" s="387" t="str">
        <f>IF(A1457="","",IFERROR(IF(VLOOKUP(A1457,'1. Inbound Leads'!A:G,7,FALSE)=0,"",VLOOKUP(A1457,'1. Inbound Leads'!A:G,7,FALSE)),""))</f>
        <v/>
      </c>
      <c r="D1457" s="387" t="str">
        <f>IF(A1457="","",IFERROR(IF(VLOOKUP(A1457,'1. Inbound Leads'!A:L,12,FALSE)=0,"",VLOOKUP(A1457,'1. Inbound Leads'!A:L,12,FALSE)),""))</f>
        <v/>
      </c>
      <c r="E1457" s="388"/>
      <c r="F1457" s="389"/>
      <c r="G1457" s="387"/>
      <c r="H1457" s="387"/>
      <c r="I1457" s="387"/>
      <c r="J1457" s="387"/>
      <c r="K1457" s="387"/>
      <c r="L1457" s="387"/>
      <c r="M1457" s="388"/>
      <c r="N1457" s="388"/>
      <c r="O1457" s="390"/>
      <c r="P1457" s="391"/>
      <c r="Q1457" s="389"/>
      <c r="R1457" s="390"/>
      <c r="S1457" s="390"/>
      <c r="T1457" s="391"/>
      <c r="U1457" s="392"/>
      <c r="V1457" s="391"/>
      <c r="W1457" s="391"/>
      <c r="X1457" s="388"/>
      <c r="Y1457" s="391"/>
      <c r="Z1457" s="393"/>
      <c r="AA1457" s="355" t="str">
        <f t="shared" si="1"/>
        <v/>
      </c>
      <c r="AB1457" s="391"/>
      <c r="AC1457" s="394" t="str">
        <f t="shared" si="2"/>
        <v/>
      </c>
      <c r="AD1457" s="389"/>
      <c r="AE1457" s="399"/>
      <c r="AF1457" s="395"/>
      <c r="AG1457" s="396" t="str">
        <f t="shared" si="3"/>
        <v/>
      </c>
      <c r="AH1457" s="396" t="str">
        <f t="shared" si="4"/>
        <v/>
      </c>
      <c r="AI1457" s="388"/>
      <c r="AJ1457" s="388"/>
      <c r="AK1457" s="397"/>
    </row>
    <row r="1458">
      <c r="A1458" s="398"/>
      <c r="B1458" s="386"/>
      <c r="C1458" s="387" t="str">
        <f>IF(A1458="","",IFERROR(IF(VLOOKUP(A1458,'1. Inbound Leads'!A:G,7,FALSE)=0,"",VLOOKUP(A1458,'1. Inbound Leads'!A:G,7,FALSE)),""))</f>
        <v/>
      </c>
      <c r="D1458" s="387" t="str">
        <f>IF(A1458="","",IFERROR(IF(VLOOKUP(A1458,'1. Inbound Leads'!A:L,12,FALSE)=0,"",VLOOKUP(A1458,'1. Inbound Leads'!A:L,12,FALSE)),""))</f>
        <v/>
      </c>
      <c r="E1458" s="388"/>
      <c r="F1458" s="389"/>
      <c r="G1458" s="387"/>
      <c r="H1458" s="387"/>
      <c r="I1458" s="387"/>
      <c r="J1458" s="387"/>
      <c r="K1458" s="387"/>
      <c r="L1458" s="387"/>
      <c r="M1458" s="388"/>
      <c r="N1458" s="388"/>
      <c r="O1458" s="390"/>
      <c r="P1458" s="391"/>
      <c r="Q1458" s="389"/>
      <c r="R1458" s="390"/>
      <c r="S1458" s="390"/>
      <c r="T1458" s="391"/>
      <c r="U1458" s="392"/>
      <c r="V1458" s="391"/>
      <c r="W1458" s="391"/>
      <c r="X1458" s="388"/>
      <c r="Y1458" s="391"/>
      <c r="Z1458" s="393"/>
      <c r="AA1458" s="355" t="str">
        <f t="shared" si="1"/>
        <v/>
      </c>
      <c r="AB1458" s="391"/>
      <c r="AC1458" s="394" t="str">
        <f t="shared" si="2"/>
        <v/>
      </c>
      <c r="AD1458" s="389"/>
      <c r="AE1458" s="399"/>
      <c r="AF1458" s="395"/>
      <c r="AG1458" s="396" t="str">
        <f t="shared" si="3"/>
        <v/>
      </c>
      <c r="AH1458" s="396" t="str">
        <f t="shared" si="4"/>
        <v/>
      </c>
      <c r="AI1458" s="388"/>
      <c r="AJ1458" s="388"/>
      <c r="AK1458" s="397"/>
    </row>
    <row r="1459">
      <c r="A1459" s="398"/>
      <c r="B1459" s="386"/>
      <c r="C1459" s="387" t="str">
        <f>IF(A1459="","",IFERROR(IF(VLOOKUP(A1459,'1. Inbound Leads'!A:G,7,FALSE)=0,"",VLOOKUP(A1459,'1. Inbound Leads'!A:G,7,FALSE)),""))</f>
        <v/>
      </c>
      <c r="D1459" s="387" t="str">
        <f>IF(A1459="","",IFERROR(IF(VLOOKUP(A1459,'1. Inbound Leads'!A:L,12,FALSE)=0,"",VLOOKUP(A1459,'1. Inbound Leads'!A:L,12,FALSE)),""))</f>
        <v/>
      </c>
      <c r="E1459" s="388"/>
      <c r="F1459" s="389"/>
      <c r="G1459" s="387"/>
      <c r="H1459" s="387"/>
      <c r="I1459" s="387"/>
      <c r="J1459" s="387"/>
      <c r="K1459" s="387"/>
      <c r="L1459" s="387"/>
      <c r="M1459" s="388"/>
      <c r="N1459" s="388"/>
      <c r="O1459" s="390"/>
      <c r="P1459" s="391"/>
      <c r="Q1459" s="389"/>
      <c r="R1459" s="390"/>
      <c r="S1459" s="390"/>
      <c r="T1459" s="391"/>
      <c r="U1459" s="392"/>
      <c r="V1459" s="391"/>
      <c r="W1459" s="391"/>
      <c r="X1459" s="388"/>
      <c r="Y1459" s="391"/>
      <c r="Z1459" s="393"/>
      <c r="AA1459" s="355" t="str">
        <f t="shared" si="1"/>
        <v/>
      </c>
      <c r="AB1459" s="391"/>
      <c r="AC1459" s="394" t="str">
        <f t="shared" si="2"/>
        <v/>
      </c>
      <c r="AD1459" s="389"/>
      <c r="AE1459" s="399"/>
      <c r="AF1459" s="395"/>
      <c r="AG1459" s="396" t="str">
        <f t="shared" si="3"/>
        <v/>
      </c>
      <c r="AH1459" s="396" t="str">
        <f t="shared" si="4"/>
        <v/>
      </c>
      <c r="AI1459" s="388"/>
      <c r="AJ1459" s="388"/>
      <c r="AK1459" s="397"/>
    </row>
    <row r="1460">
      <c r="A1460" s="398"/>
      <c r="B1460" s="386"/>
      <c r="C1460" s="387" t="str">
        <f>IF(A1460="","",IFERROR(IF(VLOOKUP(A1460,'1. Inbound Leads'!A:G,7,FALSE)=0,"",VLOOKUP(A1460,'1. Inbound Leads'!A:G,7,FALSE)),""))</f>
        <v/>
      </c>
      <c r="D1460" s="387" t="str">
        <f>IF(A1460="","",IFERROR(IF(VLOOKUP(A1460,'1. Inbound Leads'!A:L,12,FALSE)=0,"",VLOOKUP(A1460,'1. Inbound Leads'!A:L,12,FALSE)),""))</f>
        <v/>
      </c>
      <c r="E1460" s="388"/>
      <c r="F1460" s="389"/>
      <c r="G1460" s="387"/>
      <c r="H1460" s="387"/>
      <c r="I1460" s="387"/>
      <c r="J1460" s="387"/>
      <c r="K1460" s="387"/>
      <c r="L1460" s="387"/>
      <c r="M1460" s="388"/>
      <c r="N1460" s="388"/>
      <c r="O1460" s="390"/>
      <c r="P1460" s="391"/>
      <c r="Q1460" s="389"/>
      <c r="R1460" s="390"/>
      <c r="S1460" s="390"/>
      <c r="T1460" s="391"/>
      <c r="U1460" s="392"/>
      <c r="V1460" s="391"/>
      <c r="W1460" s="391"/>
      <c r="X1460" s="388"/>
      <c r="Y1460" s="391"/>
      <c r="Z1460" s="393"/>
      <c r="AA1460" s="355" t="str">
        <f t="shared" si="1"/>
        <v/>
      </c>
      <c r="AB1460" s="391"/>
      <c r="AC1460" s="394" t="str">
        <f t="shared" si="2"/>
        <v/>
      </c>
      <c r="AD1460" s="389"/>
      <c r="AE1460" s="399"/>
      <c r="AF1460" s="395"/>
      <c r="AG1460" s="396" t="str">
        <f t="shared" si="3"/>
        <v/>
      </c>
      <c r="AH1460" s="396" t="str">
        <f t="shared" si="4"/>
        <v/>
      </c>
      <c r="AI1460" s="388"/>
      <c r="AJ1460" s="388"/>
      <c r="AK1460" s="397"/>
    </row>
    <row r="1461">
      <c r="A1461" s="398"/>
      <c r="B1461" s="386"/>
      <c r="C1461" s="387" t="str">
        <f>IF(A1461="","",IFERROR(IF(VLOOKUP(A1461,'1. Inbound Leads'!A:G,7,FALSE)=0,"",VLOOKUP(A1461,'1. Inbound Leads'!A:G,7,FALSE)),""))</f>
        <v/>
      </c>
      <c r="D1461" s="387" t="str">
        <f>IF(A1461="","",IFERROR(IF(VLOOKUP(A1461,'1. Inbound Leads'!A:L,12,FALSE)=0,"",VLOOKUP(A1461,'1. Inbound Leads'!A:L,12,FALSE)),""))</f>
        <v/>
      </c>
      <c r="E1461" s="388"/>
      <c r="F1461" s="389"/>
      <c r="G1461" s="387"/>
      <c r="H1461" s="387"/>
      <c r="I1461" s="387"/>
      <c r="J1461" s="387"/>
      <c r="K1461" s="387"/>
      <c r="L1461" s="387"/>
      <c r="M1461" s="388"/>
      <c r="N1461" s="388"/>
      <c r="O1461" s="390"/>
      <c r="P1461" s="391"/>
      <c r="Q1461" s="389"/>
      <c r="R1461" s="390"/>
      <c r="S1461" s="390"/>
      <c r="T1461" s="391"/>
      <c r="U1461" s="392"/>
      <c r="V1461" s="391"/>
      <c r="W1461" s="391"/>
      <c r="X1461" s="388"/>
      <c r="Y1461" s="391"/>
      <c r="Z1461" s="393"/>
      <c r="AA1461" s="355" t="str">
        <f t="shared" si="1"/>
        <v/>
      </c>
      <c r="AB1461" s="391"/>
      <c r="AC1461" s="394" t="str">
        <f t="shared" si="2"/>
        <v/>
      </c>
      <c r="AD1461" s="389"/>
      <c r="AE1461" s="399"/>
      <c r="AF1461" s="395"/>
      <c r="AG1461" s="396" t="str">
        <f t="shared" si="3"/>
        <v/>
      </c>
      <c r="AH1461" s="396" t="str">
        <f t="shared" si="4"/>
        <v/>
      </c>
      <c r="AI1461" s="388"/>
      <c r="AJ1461" s="388"/>
      <c r="AK1461" s="397"/>
    </row>
    <row r="1462">
      <c r="A1462" s="398"/>
      <c r="B1462" s="386"/>
      <c r="C1462" s="387" t="str">
        <f>IF(A1462="","",IFERROR(IF(VLOOKUP(A1462,'1. Inbound Leads'!A:G,7,FALSE)=0,"",VLOOKUP(A1462,'1. Inbound Leads'!A:G,7,FALSE)),""))</f>
        <v/>
      </c>
      <c r="D1462" s="387" t="str">
        <f>IF(A1462="","",IFERROR(IF(VLOOKUP(A1462,'1. Inbound Leads'!A:L,12,FALSE)=0,"",VLOOKUP(A1462,'1. Inbound Leads'!A:L,12,FALSE)),""))</f>
        <v/>
      </c>
      <c r="E1462" s="388"/>
      <c r="F1462" s="389"/>
      <c r="G1462" s="387"/>
      <c r="H1462" s="387"/>
      <c r="I1462" s="387"/>
      <c r="J1462" s="387"/>
      <c r="K1462" s="387"/>
      <c r="L1462" s="387"/>
      <c r="M1462" s="388"/>
      <c r="N1462" s="388"/>
      <c r="O1462" s="390"/>
      <c r="P1462" s="391"/>
      <c r="Q1462" s="389"/>
      <c r="R1462" s="390"/>
      <c r="S1462" s="390"/>
      <c r="T1462" s="391"/>
      <c r="U1462" s="392"/>
      <c r="V1462" s="391"/>
      <c r="W1462" s="391"/>
      <c r="X1462" s="388"/>
      <c r="Y1462" s="391"/>
      <c r="Z1462" s="393"/>
      <c r="AA1462" s="355" t="str">
        <f t="shared" si="1"/>
        <v/>
      </c>
      <c r="AB1462" s="391"/>
      <c r="AC1462" s="394" t="str">
        <f t="shared" si="2"/>
        <v/>
      </c>
      <c r="AD1462" s="389"/>
      <c r="AE1462" s="399"/>
      <c r="AF1462" s="395"/>
      <c r="AG1462" s="396" t="str">
        <f t="shared" si="3"/>
        <v/>
      </c>
      <c r="AH1462" s="396" t="str">
        <f t="shared" si="4"/>
        <v/>
      </c>
      <c r="AI1462" s="388"/>
      <c r="AJ1462" s="388"/>
      <c r="AK1462" s="397"/>
    </row>
    <row r="1463">
      <c r="A1463" s="398"/>
      <c r="B1463" s="386"/>
      <c r="C1463" s="387" t="str">
        <f>IF(A1463="","",IFERROR(IF(VLOOKUP(A1463,'1. Inbound Leads'!A:G,7,FALSE)=0,"",VLOOKUP(A1463,'1. Inbound Leads'!A:G,7,FALSE)),""))</f>
        <v/>
      </c>
      <c r="D1463" s="387" t="str">
        <f>IF(A1463="","",IFERROR(IF(VLOOKUP(A1463,'1. Inbound Leads'!A:L,12,FALSE)=0,"",VLOOKUP(A1463,'1. Inbound Leads'!A:L,12,FALSE)),""))</f>
        <v/>
      </c>
      <c r="E1463" s="388"/>
      <c r="F1463" s="389"/>
      <c r="G1463" s="387"/>
      <c r="H1463" s="387"/>
      <c r="I1463" s="387"/>
      <c r="J1463" s="387"/>
      <c r="K1463" s="387"/>
      <c r="L1463" s="387"/>
      <c r="M1463" s="388"/>
      <c r="N1463" s="388"/>
      <c r="O1463" s="390"/>
      <c r="P1463" s="391"/>
      <c r="Q1463" s="389"/>
      <c r="R1463" s="390"/>
      <c r="S1463" s="390"/>
      <c r="T1463" s="391"/>
      <c r="U1463" s="392"/>
      <c r="V1463" s="391"/>
      <c r="W1463" s="391"/>
      <c r="X1463" s="388"/>
      <c r="Y1463" s="391"/>
      <c r="Z1463" s="393"/>
      <c r="AA1463" s="355" t="str">
        <f t="shared" si="1"/>
        <v/>
      </c>
      <c r="AB1463" s="391"/>
      <c r="AC1463" s="394" t="str">
        <f t="shared" si="2"/>
        <v/>
      </c>
      <c r="AD1463" s="389"/>
      <c r="AE1463" s="399"/>
      <c r="AF1463" s="395"/>
      <c r="AG1463" s="396" t="str">
        <f t="shared" si="3"/>
        <v/>
      </c>
      <c r="AH1463" s="396" t="str">
        <f t="shared" si="4"/>
        <v/>
      </c>
      <c r="AI1463" s="388"/>
      <c r="AJ1463" s="388"/>
      <c r="AK1463" s="397"/>
    </row>
    <row r="1464">
      <c r="A1464" s="398"/>
      <c r="B1464" s="386"/>
      <c r="C1464" s="387" t="str">
        <f>IF(A1464="","",IFERROR(IF(VLOOKUP(A1464,'1. Inbound Leads'!A:G,7,FALSE)=0,"",VLOOKUP(A1464,'1. Inbound Leads'!A:G,7,FALSE)),""))</f>
        <v/>
      </c>
      <c r="D1464" s="387" t="str">
        <f>IF(A1464="","",IFERROR(IF(VLOOKUP(A1464,'1. Inbound Leads'!A:L,12,FALSE)=0,"",VLOOKUP(A1464,'1. Inbound Leads'!A:L,12,FALSE)),""))</f>
        <v/>
      </c>
      <c r="E1464" s="388"/>
      <c r="F1464" s="389"/>
      <c r="G1464" s="387"/>
      <c r="H1464" s="387"/>
      <c r="I1464" s="387"/>
      <c r="J1464" s="387"/>
      <c r="K1464" s="387"/>
      <c r="L1464" s="387"/>
      <c r="M1464" s="388"/>
      <c r="N1464" s="388"/>
      <c r="O1464" s="390"/>
      <c r="P1464" s="391"/>
      <c r="Q1464" s="389"/>
      <c r="R1464" s="390"/>
      <c r="S1464" s="390"/>
      <c r="T1464" s="391"/>
      <c r="U1464" s="392"/>
      <c r="V1464" s="391"/>
      <c r="W1464" s="391"/>
      <c r="X1464" s="388"/>
      <c r="Y1464" s="391"/>
      <c r="Z1464" s="393"/>
      <c r="AA1464" s="355" t="str">
        <f t="shared" si="1"/>
        <v/>
      </c>
      <c r="AB1464" s="391"/>
      <c r="AC1464" s="394" t="str">
        <f t="shared" si="2"/>
        <v/>
      </c>
      <c r="AD1464" s="389"/>
      <c r="AE1464" s="399"/>
      <c r="AF1464" s="395"/>
      <c r="AG1464" s="396" t="str">
        <f t="shared" si="3"/>
        <v/>
      </c>
      <c r="AH1464" s="396" t="str">
        <f t="shared" si="4"/>
        <v/>
      </c>
      <c r="AI1464" s="388"/>
      <c r="AJ1464" s="388"/>
      <c r="AK1464" s="397"/>
    </row>
    <row r="1465">
      <c r="A1465" s="398"/>
      <c r="B1465" s="386"/>
      <c r="C1465" s="387" t="str">
        <f>IF(A1465="","",IFERROR(IF(VLOOKUP(A1465,'1. Inbound Leads'!A:G,7,FALSE)=0,"",VLOOKUP(A1465,'1. Inbound Leads'!A:G,7,FALSE)),""))</f>
        <v/>
      </c>
      <c r="D1465" s="387" t="str">
        <f>IF(A1465="","",IFERROR(IF(VLOOKUP(A1465,'1. Inbound Leads'!A:L,12,FALSE)=0,"",VLOOKUP(A1465,'1. Inbound Leads'!A:L,12,FALSE)),""))</f>
        <v/>
      </c>
      <c r="E1465" s="388"/>
      <c r="F1465" s="389"/>
      <c r="G1465" s="387"/>
      <c r="H1465" s="387"/>
      <c r="I1465" s="387"/>
      <c r="J1465" s="387"/>
      <c r="K1465" s="387"/>
      <c r="L1465" s="387"/>
      <c r="M1465" s="388"/>
      <c r="N1465" s="388"/>
      <c r="O1465" s="390"/>
      <c r="P1465" s="391"/>
      <c r="Q1465" s="389"/>
      <c r="R1465" s="390"/>
      <c r="S1465" s="390"/>
      <c r="T1465" s="391"/>
      <c r="U1465" s="392"/>
      <c r="V1465" s="391"/>
      <c r="W1465" s="391"/>
      <c r="X1465" s="388"/>
      <c r="Y1465" s="391"/>
      <c r="Z1465" s="393"/>
      <c r="AA1465" s="355" t="str">
        <f t="shared" si="1"/>
        <v/>
      </c>
      <c r="AB1465" s="391"/>
      <c r="AC1465" s="394" t="str">
        <f t="shared" si="2"/>
        <v/>
      </c>
      <c r="AD1465" s="389"/>
      <c r="AE1465" s="399"/>
      <c r="AF1465" s="395"/>
      <c r="AG1465" s="396" t="str">
        <f t="shared" si="3"/>
        <v/>
      </c>
      <c r="AH1465" s="396" t="str">
        <f t="shared" si="4"/>
        <v/>
      </c>
      <c r="AI1465" s="388"/>
      <c r="AJ1465" s="388"/>
      <c r="AK1465" s="397"/>
    </row>
    <row r="1466">
      <c r="A1466" s="398"/>
      <c r="B1466" s="386"/>
      <c r="C1466" s="387" t="str">
        <f>IF(A1466="","",IFERROR(IF(VLOOKUP(A1466,'1. Inbound Leads'!A:G,7,FALSE)=0,"",VLOOKUP(A1466,'1. Inbound Leads'!A:G,7,FALSE)),""))</f>
        <v/>
      </c>
      <c r="D1466" s="387" t="str">
        <f>IF(A1466="","",IFERROR(IF(VLOOKUP(A1466,'1. Inbound Leads'!A:L,12,FALSE)=0,"",VLOOKUP(A1466,'1. Inbound Leads'!A:L,12,FALSE)),""))</f>
        <v/>
      </c>
      <c r="E1466" s="388"/>
      <c r="F1466" s="389"/>
      <c r="G1466" s="387"/>
      <c r="H1466" s="387"/>
      <c r="I1466" s="387"/>
      <c r="J1466" s="387"/>
      <c r="K1466" s="387"/>
      <c r="L1466" s="387"/>
      <c r="M1466" s="388"/>
      <c r="N1466" s="388"/>
      <c r="O1466" s="390"/>
      <c r="P1466" s="391"/>
      <c r="Q1466" s="389"/>
      <c r="R1466" s="390"/>
      <c r="S1466" s="390"/>
      <c r="T1466" s="391"/>
      <c r="U1466" s="392"/>
      <c r="V1466" s="391"/>
      <c r="W1466" s="391"/>
      <c r="X1466" s="388"/>
      <c r="Y1466" s="391"/>
      <c r="Z1466" s="393"/>
      <c r="AA1466" s="355" t="str">
        <f t="shared" si="1"/>
        <v/>
      </c>
      <c r="AB1466" s="391"/>
      <c r="AC1466" s="394" t="str">
        <f t="shared" si="2"/>
        <v/>
      </c>
      <c r="AD1466" s="389"/>
      <c r="AE1466" s="399"/>
      <c r="AF1466" s="395"/>
      <c r="AG1466" s="396" t="str">
        <f t="shared" si="3"/>
        <v/>
      </c>
      <c r="AH1466" s="396" t="str">
        <f t="shared" si="4"/>
        <v/>
      </c>
      <c r="AI1466" s="388"/>
      <c r="AJ1466" s="388"/>
      <c r="AK1466" s="397"/>
    </row>
    <row r="1467">
      <c r="A1467" s="398"/>
      <c r="B1467" s="386"/>
      <c r="C1467" s="387" t="str">
        <f>IF(A1467="","",IFERROR(IF(VLOOKUP(A1467,'1. Inbound Leads'!A:G,7,FALSE)=0,"",VLOOKUP(A1467,'1. Inbound Leads'!A:G,7,FALSE)),""))</f>
        <v/>
      </c>
      <c r="D1467" s="387" t="str">
        <f>IF(A1467="","",IFERROR(IF(VLOOKUP(A1467,'1. Inbound Leads'!A:L,12,FALSE)=0,"",VLOOKUP(A1467,'1. Inbound Leads'!A:L,12,FALSE)),""))</f>
        <v/>
      </c>
      <c r="E1467" s="388"/>
      <c r="F1467" s="389"/>
      <c r="G1467" s="387"/>
      <c r="H1467" s="387"/>
      <c r="I1467" s="387"/>
      <c r="J1467" s="387"/>
      <c r="K1467" s="387"/>
      <c r="L1467" s="387"/>
      <c r="M1467" s="388"/>
      <c r="N1467" s="388"/>
      <c r="O1467" s="390"/>
      <c r="P1467" s="391"/>
      <c r="Q1467" s="389"/>
      <c r="R1467" s="390"/>
      <c r="S1467" s="390"/>
      <c r="T1467" s="391"/>
      <c r="U1467" s="392"/>
      <c r="V1467" s="391"/>
      <c r="W1467" s="391"/>
      <c r="X1467" s="388"/>
      <c r="Y1467" s="391"/>
      <c r="Z1467" s="393"/>
      <c r="AA1467" s="355" t="str">
        <f t="shared" si="1"/>
        <v/>
      </c>
      <c r="AB1467" s="391"/>
      <c r="AC1467" s="394" t="str">
        <f t="shared" si="2"/>
        <v/>
      </c>
      <c r="AD1467" s="389"/>
      <c r="AE1467" s="399"/>
      <c r="AF1467" s="395"/>
      <c r="AG1467" s="396" t="str">
        <f t="shared" si="3"/>
        <v/>
      </c>
      <c r="AH1467" s="396" t="str">
        <f t="shared" si="4"/>
        <v/>
      </c>
      <c r="AI1467" s="388"/>
      <c r="AJ1467" s="388"/>
      <c r="AK1467" s="397"/>
    </row>
    <row r="1468">
      <c r="A1468" s="398"/>
      <c r="B1468" s="386"/>
      <c r="C1468" s="387" t="str">
        <f>IF(A1468="","",IFERROR(IF(VLOOKUP(A1468,'1. Inbound Leads'!A:G,7,FALSE)=0,"",VLOOKUP(A1468,'1. Inbound Leads'!A:G,7,FALSE)),""))</f>
        <v/>
      </c>
      <c r="D1468" s="387" t="str">
        <f>IF(A1468="","",IFERROR(IF(VLOOKUP(A1468,'1. Inbound Leads'!A:L,12,FALSE)=0,"",VLOOKUP(A1468,'1. Inbound Leads'!A:L,12,FALSE)),""))</f>
        <v/>
      </c>
      <c r="E1468" s="388"/>
      <c r="F1468" s="389"/>
      <c r="G1468" s="387"/>
      <c r="H1468" s="387"/>
      <c r="I1468" s="387"/>
      <c r="J1468" s="387"/>
      <c r="K1468" s="387"/>
      <c r="L1468" s="387"/>
      <c r="M1468" s="388"/>
      <c r="N1468" s="388"/>
      <c r="O1468" s="390"/>
      <c r="P1468" s="391"/>
      <c r="Q1468" s="389"/>
      <c r="R1468" s="390"/>
      <c r="S1468" s="390"/>
      <c r="T1468" s="391"/>
      <c r="U1468" s="392"/>
      <c r="V1468" s="391"/>
      <c r="W1468" s="391"/>
      <c r="X1468" s="388"/>
      <c r="Y1468" s="391"/>
      <c r="Z1468" s="393"/>
      <c r="AA1468" s="355" t="str">
        <f t="shared" si="1"/>
        <v/>
      </c>
      <c r="AB1468" s="391"/>
      <c r="AC1468" s="394" t="str">
        <f t="shared" si="2"/>
        <v/>
      </c>
      <c r="AD1468" s="389"/>
      <c r="AE1468" s="399"/>
      <c r="AF1468" s="395"/>
      <c r="AG1468" s="396" t="str">
        <f t="shared" si="3"/>
        <v/>
      </c>
      <c r="AH1468" s="396" t="str">
        <f t="shared" si="4"/>
        <v/>
      </c>
      <c r="AI1468" s="388"/>
      <c r="AJ1468" s="388"/>
      <c r="AK1468" s="397"/>
    </row>
    <row r="1469">
      <c r="A1469" s="398"/>
      <c r="B1469" s="386"/>
      <c r="C1469" s="387" t="str">
        <f>IF(A1469="","",IFERROR(IF(VLOOKUP(A1469,'1. Inbound Leads'!A:G,7,FALSE)=0,"",VLOOKUP(A1469,'1. Inbound Leads'!A:G,7,FALSE)),""))</f>
        <v/>
      </c>
      <c r="D1469" s="387" t="str">
        <f>IF(A1469="","",IFERROR(IF(VLOOKUP(A1469,'1. Inbound Leads'!A:L,12,FALSE)=0,"",VLOOKUP(A1469,'1. Inbound Leads'!A:L,12,FALSE)),""))</f>
        <v/>
      </c>
      <c r="E1469" s="388"/>
      <c r="F1469" s="389"/>
      <c r="G1469" s="387"/>
      <c r="H1469" s="387"/>
      <c r="I1469" s="387"/>
      <c r="J1469" s="387"/>
      <c r="K1469" s="387"/>
      <c r="L1469" s="387"/>
      <c r="M1469" s="388"/>
      <c r="N1469" s="388"/>
      <c r="O1469" s="390"/>
      <c r="P1469" s="391"/>
      <c r="Q1469" s="389"/>
      <c r="R1469" s="390"/>
      <c r="S1469" s="390"/>
      <c r="T1469" s="391"/>
      <c r="U1469" s="392"/>
      <c r="V1469" s="391"/>
      <c r="W1469" s="391"/>
      <c r="X1469" s="388"/>
      <c r="Y1469" s="391"/>
      <c r="Z1469" s="393"/>
      <c r="AA1469" s="355" t="str">
        <f t="shared" si="1"/>
        <v/>
      </c>
      <c r="AB1469" s="391"/>
      <c r="AC1469" s="394" t="str">
        <f t="shared" si="2"/>
        <v/>
      </c>
      <c r="AD1469" s="389"/>
      <c r="AE1469" s="399"/>
      <c r="AF1469" s="395"/>
      <c r="AG1469" s="396" t="str">
        <f t="shared" si="3"/>
        <v/>
      </c>
      <c r="AH1469" s="396" t="str">
        <f t="shared" si="4"/>
        <v/>
      </c>
      <c r="AI1469" s="388"/>
      <c r="AJ1469" s="388"/>
      <c r="AK1469" s="397"/>
    </row>
    <row r="1470">
      <c r="A1470" s="398"/>
      <c r="B1470" s="386"/>
      <c r="C1470" s="387" t="str">
        <f>IF(A1470="","",IFERROR(IF(VLOOKUP(A1470,'1. Inbound Leads'!A:G,7,FALSE)=0,"",VLOOKUP(A1470,'1. Inbound Leads'!A:G,7,FALSE)),""))</f>
        <v/>
      </c>
      <c r="D1470" s="387" t="str">
        <f>IF(A1470="","",IFERROR(IF(VLOOKUP(A1470,'1. Inbound Leads'!A:L,12,FALSE)=0,"",VLOOKUP(A1470,'1. Inbound Leads'!A:L,12,FALSE)),""))</f>
        <v/>
      </c>
      <c r="E1470" s="388"/>
      <c r="F1470" s="389"/>
      <c r="G1470" s="387"/>
      <c r="H1470" s="387"/>
      <c r="I1470" s="387"/>
      <c r="J1470" s="387"/>
      <c r="K1470" s="387"/>
      <c r="L1470" s="387"/>
      <c r="M1470" s="388"/>
      <c r="N1470" s="388"/>
      <c r="O1470" s="390"/>
      <c r="P1470" s="391"/>
      <c r="Q1470" s="389"/>
      <c r="R1470" s="390"/>
      <c r="S1470" s="390"/>
      <c r="T1470" s="391"/>
      <c r="U1470" s="392"/>
      <c r="V1470" s="391"/>
      <c r="W1470" s="391"/>
      <c r="X1470" s="388"/>
      <c r="Y1470" s="391"/>
      <c r="Z1470" s="393"/>
      <c r="AA1470" s="355" t="str">
        <f t="shared" si="1"/>
        <v/>
      </c>
      <c r="AB1470" s="391"/>
      <c r="AC1470" s="394" t="str">
        <f t="shared" si="2"/>
        <v/>
      </c>
      <c r="AD1470" s="389"/>
      <c r="AE1470" s="399"/>
      <c r="AF1470" s="395"/>
      <c r="AG1470" s="396" t="str">
        <f t="shared" si="3"/>
        <v/>
      </c>
      <c r="AH1470" s="396" t="str">
        <f t="shared" si="4"/>
        <v/>
      </c>
      <c r="AI1470" s="388"/>
      <c r="AJ1470" s="388"/>
      <c r="AK1470" s="397"/>
    </row>
    <row r="1471">
      <c r="A1471" s="398"/>
      <c r="B1471" s="386"/>
      <c r="C1471" s="387" t="str">
        <f>IF(A1471="","",IFERROR(IF(VLOOKUP(A1471,'1. Inbound Leads'!A:G,7,FALSE)=0,"",VLOOKUP(A1471,'1. Inbound Leads'!A:G,7,FALSE)),""))</f>
        <v/>
      </c>
      <c r="D1471" s="387" t="str">
        <f>IF(A1471="","",IFERROR(IF(VLOOKUP(A1471,'1. Inbound Leads'!A:L,12,FALSE)=0,"",VLOOKUP(A1471,'1. Inbound Leads'!A:L,12,FALSE)),""))</f>
        <v/>
      </c>
      <c r="E1471" s="388"/>
      <c r="F1471" s="389"/>
      <c r="G1471" s="387"/>
      <c r="H1471" s="387"/>
      <c r="I1471" s="387"/>
      <c r="J1471" s="387"/>
      <c r="K1471" s="387"/>
      <c r="L1471" s="387"/>
      <c r="M1471" s="388"/>
      <c r="N1471" s="388"/>
      <c r="O1471" s="390"/>
      <c r="P1471" s="391"/>
      <c r="Q1471" s="389"/>
      <c r="R1471" s="390"/>
      <c r="S1471" s="390"/>
      <c r="T1471" s="391"/>
      <c r="U1471" s="392"/>
      <c r="V1471" s="391"/>
      <c r="W1471" s="391"/>
      <c r="X1471" s="388"/>
      <c r="Y1471" s="391"/>
      <c r="Z1471" s="393"/>
      <c r="AA1471" s="355" t="str">
        <f t="shared" si="1"/>
        <v/>
      </c>
      <c r="AB1471" s="391"/>
      <c r="AC1471" s="394" t="str">
        <f t="shared" si="2"/>
        <v/>
      </c>
      <c r="AD1471" s="389"/>
      <c r="AE1471" s="399"/>
      <c r="AF1471" s="395"/>
      <c r="AG1471" s="396" t="str">
        <f t="shared" si="3"/>
        <v/>
      </c>
      <c r="AH1471" s="396" t="str">
        <f t="shared" si="4"/>
        <v/>
      </c>
      <c r="AI1471" s="388"/>
      <c r="AJ1471" s="388"/>
      <c r="AK1471" s="397"/>
    </row>
    <row r="1472">
      <c r="A1472" s="398"/>
      <c r="B1472" s="386"/>
      <c r="C1472" s="387" t="str">
        <f>IF(A1472="","",IFERROR(IF(VLOOKUP(A1472,'1. Inbound Leads'!A:G,7,FALSE)=0,"",VLOOKUP(A1472,'1. Inbound Leads'!A:G,7,FALSE)),""))</f>
        <v/>
      </c>
      <c r="D1472" s="387" t="str">
        <f>IF(A1472="","",IFERROR(IF(VLOOKUP(A1472,'1. Inbound Leads'!A:L,12,FALSE)=0,"",VLOOKUP(A1472,'1. Inbound Leads'!A:L,12,FALSE)),""))</f>
        <v/>
      </c>
      <c r="E1472" s="388"/>
      <c r="F1472" s="389"/>
      <c r="G1472" s="387"/>
      <c r="H1472" s="387"/>
      <c r="I1472" s="387"/>
      <c r="J1472" s="387"/>
      <c r="K1472" s="387"/>
      <c r="L1472" s="387"/>
      <c r="M1472" s="388"/>
      <c r="N1472" s="388"/>
      <c r="O1472" s="390"/>
      <c r="P1472" s="391"/>
      <c r="Q1472" s="389"/>
      <c r="R1472" s="390"/>
      <c r="S1472" s="390"/>
      <c r="T1472" s="391"/>
      <c r="U1472" s="392"/>
      <c r="V1472" s="391"/>
      <c r="W1472" s="391"/>
      <c r="X1472" s="388"/>
      <c r="Y1472" s="391"/>
      <c r="Z1472" s="393"/>
      <c r="AA1472" s="355" t="str">
        <f t="shared" si="1"/>
        <v/>
      </c>
      <c r="AB1472" s="391"/>
      <c r="AC1472" s="394" t="str">
        <f t="shared" si="2"/>
        <v/>
      </c>
      <c r="AD1472" s="389"/>
      <c r="AE1472" s="399"/>
      <c r="AF1472" s="395"/>
      <c r="AG1472" s="396" t="str">
        <f t="shared" si="3"/>
        <v/>
      </c>
      <c r="AH1472" s="396" t="str">
        <f t="shared" si="4"/>
        <v/>
      </c>
      <c r="AI1472" s="388"/>
      <c r="AJ1472" s="388"/>
      <c r="AK1472" s="397"/>
    </row>
    <row r="1473">
      <c r="A1473" s="398"/>
      <c r="B1473" s="386"/>
      <c r="C1473" s="387" t="str">
        <f>IF(A1473="","",IFERROR(IF(VLOOKUP(A1473,'1. Inbound Leads'!A:G,7,FALSE)=0,"",VLOOKUP(A1473,'1. Inbound Leads'!A:G,7,FALSE)),""))</f>
        <v/>
      </c>
      <c r="D1473" s="387" t="str">
        <f>IF(A1473="","",IFERROR(IF(VLOOKUP(A1473,'1. Inbound Leads'!A:L,12,FALSE)=0,"",VLOOKUP(A1473,'1. Inbound Leads'!A:L,12,FALSE)),""))</f>
        <v/>
      </c>
      <c r="E1473" s="388"/>
      <c r="F1473" s="389"/>
      <c r="G1473" s="387"/>
      <c r="H1473" s="387"/>
      <c r="I1473" s="387"/>
      <c r="J1473" s="387"/>
      <c r="K1473" s="387"/>
      <c r="L1473" s="387"/>
      <c r="M1473" s="388"/>
      <c r="N1473" s="388"/>
      <c r="O1473" s="390"/>
      <c r="P1473" s="391"/>
      <c r="Q1473" s="389"/>
      <c r="R1473" s="390"/>
      <c r="S1473" s="390"/>
      <c r="T1473" s="391"/>
      <c r="U1473" s="392"/>
      <c r="V1473" s="391"/>
      <c r="W1473" s="391"/>
      <c r="X1473" s="388"/>
      <c r="Y1473" s="391"/>
      <c r="Z1473" s="393"/>
      <c r="AA1473" s="355" t="str">
        <f t="shared" si="1"/>
        <v/>
      </c>
      <c r="AB1473" s="391"/>
      <c r="AC1473" s="394" t="str">
        <f t="shared" si="2"/>
        <v/>
      </c>
      <c r="AD1473" s="389"/>
      <c r="AE1473" s="399"/>
      <c r="AF1473" s="395"/>
      <c r="AG1473" s="396" t="str">
        <f t="shared" si="3"/>
        <v/>
      </c>
      <c r="AH1473" s="396" t="str">
        <f t="shared" si="4"/>
        <v/>
      </c>
      <c r="AI1473" s="388"/>
      <c r="AJ1473" s="388"/>
      <c r="AK1473" s="397"/>
    </row>
    <row r="1474">
      <c r="A1474" s="398"/>
      <c r="B1474" s="386"/>
      <c r="C1474" s="387" t="str">
        <f>IF(A1474="","",IFERROR(IF(VLOOKUP(A1474,'1. Inbound Leads'!A:G,7,FALSE)=0,"",VLOOKUP(A1474,'1. Inbound Leads'!A:G,7,FALSE)),""))</f>
        <v/>
      </c>
      <c r="D1474" s="387" t="str">
        <f>IF(A1474="","",IFERROR(IF(VLOOKUP(A1474,'1. Inbound Leads'!A:L,12,FALSE)=0,"",VLOOKUP(A1474,'1. Inbound Leads'!A:L,12,FALSE)),""))</f>
        <v/>
      </c>
      <c r="E1474" s="388"/>
      <c r="F1474" s="389"/>
      <c r="G1474" s="387"/>
      <c r="H1474" s="387"/>
      <c r="I1474" s="387"/>
      <c r="J1474" s="387"/>
      <c r="K1474" s="387"/>
      <c r="L1474" s="387"/>
      <c r="M1474" s="388"/>
      <c r="N1474" s="388"/>
      <c r="O1474" s="390"/>
      <c r="P1474" s="391"/>
      <c r="Q1474" s="389"/>
      <c r="R1474" s="390"/>
      <c r="S1474" s="390"/>
      <c r="T1474" s="391"/>
      <c r="U1474" s="392"/>
      <c r="V1474" s="391"/>
      <c r="W1474" s="391"/>
      <c r="X1474" s="388"/>
      <c r="Y1474" s="391"/>
      <c r="Z1474" s="393"/>
      <c r="AA1474" s="355" t="str">
        <f t="shared" si="1"/>
        <v/>
      </c>
      <c r="AB1474" s="391"/>
      <c r="AC1474" s="394" t="str">
        <f t="shared" si="2"/>
        <v/>
      </c>
      <c r="AD1474" s="389"/>
      <c r="AE1474" s="399"/>
      <c r="AF1474" s="395"/>
      <c r="AG1474" s="396" t="str">
        <f t="shared" si="3"/>
        <v/>
      </c>
      <c r="AH1474" s="396" t="str">
        <f t="shared" si="4"/>
        <v/>
      </c>
      <c r="AI1474" s="388"/>
      <c r="AJ1474" s="388"/>
      <c r="AK1474" s="397"/>
    </row>
    <row r="1475">
      <c r="A1475" s="398"/>
      <c r="B1475" s="386"/>
      <c r="C1475" s="387" t="str">
        <f>IF(A1475="","",IFERROR(IF(VLOOKUP(A1475,'1. Inbound Leads'!A:G,7,FALSE)=0,"",VLOOKUP(A1475,'1. Inbound Leads'!A:G,7,FALSE)),""))</f>
        <v/>
      </c>
      <c r="D1475" s="387" t="str">
        <f>IF(A1475="","",IFERROR(IF(VLOOKUP(A1475,'1. Inbound Leads'!A:L,12,FALSE)=0,"",VLOOKUP(A1475,'1. Inbound Leads'!A:L,12,FALSE)),""))</f>
        <v/>
      </c>
      <c r="E1475" s="388"/>
      <c r="F1475" s="389"/>
      <c r="G1475" s="387"/>
      <c r="H1475" s="387"/>
      <c r="I1475" s="387"/>
      <c r="J1475" s="387"/>
      <c r="K1475" s="387"/>
      <c r="L1475" s="387"/>
      <c r="M1475" s="388"/>
      <c r="N1475" s="388"/>
      <c r="O1475" s="390"/>
      <c r="P1475" s="391"/>
      <c r="Q1475" s="389"/>
      <c r="R1475" s="390"/>
      <c r="S1475" s="390"/>
      <c r="T1475" s="391"/>
      <c r="U1475" s="392"/>
      <c r="V1475" s="391"/>
      <c r="W1475" s="391"/>
      <c r="X1475" s="388"/>
      <c r="Y1475" s="391"/>
      <c r="Z1475" s="393"/>
      <c r="AA1475" s="355" t="str">
        <f t="shared" si="1"/>
        <v/>
      </c>
      <c r="AB1475" s="391"/>
      <c r="AC1475" s="394" t="str">
        <f t="shared" si="2"/>
        <v/>
      </c>
      <c r="AD1475" s="389"/>
      <c r="AE1475" s="399"/>
      <c r="AF1475" s="395"/>
      <c r="AG1475" s="396" t="str">
        <f t="shared" si="3"/>
        <v/>
      </c>
      <c r="AH1475" s="396" t="str">
        <f t="shared" si="4"/>
        <v/>
      </c>
      <c r="AI1475" s="388"/>
      <c r="AJ1475" s="388"/>
      <c r="AK1475" s="397"/>
    </row>
    <row r="1476">
      <c r="A1476" s="398"/>
      <c r="B1476" s="386"/>
      <c r="C1476" s="387" t="str">
        <f>IF(A1476="","",IFERROR(IF(VLOOKUP(A1476,'1. Inbound Leads'!A:G,7,FALSE)=0,"",VLOOKUP(A1476,'1. Inbound Leads'!A:G,7,FALSE)),""))</f>
        <v/>
      </c>
      <c r="D1476" s="387" t="str">
        <f>IF(A1476="","",IFERROR(IF(VLOOKUP(A1476,'1. Inbound Leads'!A:L,12,FALSE)=0,"",VLOOKUP(A1476,'1. Inbound Leads'!A:L,12,FALSE)),""))</f>
        <v/>
      </c>
      <c r="E1476" s="388"/>
      <c r="F1476" s="389"/>
      <c r="G1476" s="387"/>
      <c r="H1476" s="387"/>
      <c r="I1476" s="387"/>
      <c r="J1476" s="387"/>
      <c r="K1476" s="387"/>
      <c r="L1476" s="387"/>
      <c r="M1476" s="388"/>
      <c r="N1476" s="388"/>
      <c r="O1476" s="390"/>
      <c r="P1476" s="391"/>
      <c r="Q1476" s="389"/>
      <c r="R1476" s="390"/>
      <c r="S1476" s="390"/>
      <c r="T1476" s="391"/>
      <c r="U1476" s="392"/>
      <c r="V1476" s="391"/>
      <c r="W1476" s="391"/>
      <c r="X1476" s="388"/>
      <c r="Y1476" s="391"/>
      <c r="Z1476" s="393"/>
      <c r="AA1476" s="355" t="str">
        <f t="shared" si="1"/>
        <v/>
      </c>
      <c r="AB1476" s="391"/>
      <c r="AC1476" s="394" t="str">
        <f t="shared" si="2"/>
        <v/>
      </c>
      <c r="AD1476" s="389"/>
      <c r="AE1476" s="399"/>
      <c r="AF1476" s="395"/>
      <c r="AG1476" s="396" t="str">
        <f t="shared" si="3"/>
        <v/>
      </c>
      <c r="AH1476" s="396" t="str">
        <f t="shared" si="4"/>
        <v/>
      </c>
      <c r="AI1476" s="388"/>
      <c r="AJ1476" s="388"/>
      <c r="AK1476" s="397"/>
    </row>
    <row r="1477">
      <c r="A1477" s="398"/>
      <c r="B1477" s="386"/>
      <c r="C1477" s="387" t="str">
        <f>IF(A1477="","",IFERROR(IF(VLOOKUP(A1477,'1. Inbound Leads'!A:G,7,FALSE)=0,"",VLOOKUP(A1477,'1. Inbound Leads'!A:G,7,FALSE)),""))</f>
        <v/>
      </c>
      <c r="D1477" s="387" t="str">
        <f>IF(A1477="","",IFERROR(IF(VLOOKUP(A1477,'1. Inbound Leads'!A:L,12,FALSE)=0,"",VLOOKUP(A1477,'1. Inbound Leads'!A:L,12,FALSE)),""))</f>
        <v/>
      </c>
      <c r="E1477" s="388"/>
      <c r="F1477" s="389"/>
      <c r="G1477" s="387"/>
      <c r="H1477" s="387"/>
      <c r="I1477" s="387"/>
      <c r="J1477" s="387"/>
      <c r="K1477" s="387"/>
      <c r="L1477" s="387"/>
      <c r="M1477" s="388"/>
      <c r="N1477" s="388"/>
      <c r="O1477" s="390"/>
      <c r="P1477" s="391"/>
      <c r="Q1477" s="389"/>
      <c r="R1477" s="390"/>
      <c r="S1477" s="390"/>
      <c r="T1477" s="391"/>
      <c r="U1477" s="392"/>
      <c r="V1477" s="391"/>
      <c r="W1477" s="391"/>
      <c r="X1477" s="388"/>
      <c r="Y1477" s="391"/>
      <c r="Z1477" s="393"/>
      <c r="AA1477" s="355" t="str">
        <f t="shared" si="1"/>
        <v/>
      </c>
      <c r="AB1477" s="391"/>
      <c r="AC1477" s="394" t="str">
        <f t="shared" si="2"/>
        <v/>
      </c>
      <c r="AD1477" s="389"/>
      <c r="AE1477" s="399"/>
      <c r="AF1477" s="395"/>
      <c r="AG1477" s="396" t="str">
        <f t="shared" si="3"/>
        <v/>
      </c>
      <c r="AH1477" s="396" t="str">
        <f t="shared" si="4"/>
        <v/>
      </c>
      <c r="AI1477" s="388"/>
      <c r="AJ1477" s="388"/>
      <c r="AK1477" s="397"/>
    </row>
    <row r="1478">
      <c r="A1478" s="398"/>
      <c r="B1478" s="386"/>
      <c r="C1478" s="387" t="str">
        <f>IF(A1478="","",IFERROR(IF(VLOOKUP(A1478,'1. Inbound Leads'!A:G,7,FALSE)=0,"",VLOOKUP(A1478,'1. Inbound Leads'!A:G,7,FALSE)),""))</f>
        <v/>
      </c>
      <c r="D1478" s="387" t="str">
        <f>IF(A1478="","",IFERROR(IF(VLOOKUP(A1478,'1. Inbound Leads'!A:L,12,FALSE)=0,"",VLOOKUP(A1478,'1. Inbound Leads'!A:L,12,FALSE)),""))</f>
        <v/>
      </c>
      <c r="E1478" s="388"/>
      <c r="F1478" s="389"/>
      <c r="G1478" s="387"/>
      <c r="H1478" s="387"/>
      <c r="I1478" s="387"/>
      <c r="J1478" s="387"/>
      <c r="K1478" s="387"/>
      <c r="L1478" s="387"/>
      <c r="M1478" s="388"/>
      <c r="N1478" s="388"/>
      <c r="O1478" s="390"/>
      <c r="P1478" s="391"/>
      <c r="Q1478" s="389"/>
      <c r="R1478" s="390"/>
      <c r="S1478" s="390"/>
      <c r="T1478" s="391"/>
      <c r="U1478" s="392"/>
      <c r="V1478" s="391"/>
      <c r="W1478" s="391"/>
      <c r="X1478" s="388"/>
      <c r="Y1478" s="391"/>
      <c r="Z1478" s="393"/>
      <c r="AA1478" s="355" t="str">
        <f t="shared" si="1"/>
        <v/>
      </c>
      <c r="AB1478" s="391"/>
      <c r="AC1478" s="394" t="str">
        <f t="shared" si="2"/>
        <v/>
      </c>
      <c r="AD1478" s="389"/>
      <c r="AE1478" s="399"/>
      <c r="AF1478" s="395"/>
      <c r="AG1478" s="396" t="str">
        <f t="shared" si="3"/>
        <v/>
      </c>
      <c r="AH1478" s="396" t="str">
        <f t="shared" si="4"/>
        <v/>
      </c>
      <c r="AI1478" s="388"/>
      <c r="AJ1478" s="388"/>
      <c r="AK1478" s="397"/>
    </row>
    <row r="1479">
      <c r="A1479" s="398"/>
      <c r="B1479" s="386"/>
      <c r="C1479" s="387" t="str">
        <f>IF(A1479="","",IFERROR(IF(VLOOKUP(A1479,'1. Inbound Leads'!A:G,7,FALSE)=0,"",VLOOKUP(A1479,'1. Inbound Leads'!A:G,7,FALSE)),""))</f>
        <v/>
      </c>
      <c r="D1479" s="387" t="str">
        <f>IF(A1479="","",IFERROR(IF(VLOOKUP(A1479,'1. Inbound Leads'!A:L,12,FALSE)=0,"",VLOOKUP(A1479,'1. Inbound Leads'!A:L,12,FALSE)),""))</f>
        <v/>
      </c>
      <c r="E1479" s="388"/>
      <c r="F1479" s="389"/>
      <c r="G1479" s="387"/>
      <c r="H1479" s="387"/>
      <c r="I1479" s="387"/>
      <c r="J1479" s="387"/>
      <c r="K1479" s="387"/>
      <c r="L1479" s="387"/>
      <c r="M1479" s="388"/>
      <c r="N1479" s="388"/>
      <c r="O1479" s="390"/>
      <c r="P1479" s="391"/>
      <c r="Q1479" s="389"/>
      <c r="R1479" s="390"/>
      <c r="S1479" s="390"/>
      <c r="T1479" s="391"/>
      <c r="U1479" s="392"/>
      <c r="V1479" s="391"/>
      <c r="W1479" s="391"/>
      <c r="X1479" s="388"/>
      <c r="Y1479" s="391"/>
      <c r="Z1479" s="393"/>
      <c r="AA1479" s="355" t="str">
        <f t="shared" si="1"/>
        <v/>
      </c>
      <c r="AB1479" s="391"/>
      <c r="AC1479" s="394" t="str">
        <f t="shared" si="2"/>
        <v/>
      </c>
      <c r="AD1479" s="389"/>
      <c r="AE1479" s="399"/>
      <c r="AF1479" s="395"/>
      <c r="AG1479" s="396" t="str">
        <f t="shared" si="3"/>
        <v/>
      </c>
      <c r="AH1479" s="396" t="str">
        <f t="shared" si="4"/>
        <v/>
      </c>
      <c r="AI1479" s="388"/>
      <c r="AJ1479" s="388"/>
      <c r="AK1479" s="397"/>
    </row>
    <row r="1480">
      <c r="A1480" s="398"/>
      <c r="B1480" s="386"/>
      <c r="C1480" s="387" t="str">
        <f>IF(A1480="","",IFERROR(IF(VLOOKUP(A1480,'1. Inbound Leads'!A:G,7,FALSE)=0,"",VLOOKUP(A1480,'1. Inbound Leads'!A:G,7,FALSE)),""))</f>
        <v/>
      </c>
      <c r="D1480" s="387" t="str">
        <f>IF(A1480="","",IFERROR(IF(VLOOKUP(A1480,'1. Inbound Leads'!A:L,12,FALSE)=0,"",VLOOKUP(A1480,'1. Inbound Leads'!A:L,12,FALSE)),""))</f>
        <v/>
      </c>
      <c r="E1480" s="388"/>
      <c r="F1480" s="389"/>
      <c r="G1480" s="387"/>
      <c r="H1480" s="387"/>
      <c r="I1480" s="387"/>
      <c r="J1480" s="387"/>
      <c r="K1480" s="387"/>
      <c r="L1480" s="387"/>
      <c r="M1480" s="388"/>
      <c r="N1480" s="388"/>
      <c r="O1480" s="390"/>
      <c r="P1480" s="391"/>
      <c r="Q1480" s="389"/>
      <c r="R1480" s="390"/>
      <c r="S1480" s="390"/>
      <c r="T1480" s="391"/>
      <c r="U1480" s="392"/>
      <c r="V1480" s="391"/>
      <c r="W1480" s="391"/>
      <c r="X1480" s="388"/>
      <c r="Y1480" s="391"/>
      <c r="Z1480" s="393"/>
      <c r="AA1480" s="355" t="str">
        <f t="shared" si="1"/>
        <v/>
      </c>
      <c r="AB1480" s="391"/>
      <c r="AC1480" s="394" t="str">
        <f t="shared" si="2"/>
        <v/>
      </c>
      <c r="AD1480" s="389"/>
      <c r="AE1480" s="399"/>
      <c r="AF1480" s="395"/>
      <c r="AG1480" s="396" t="str">
        <f t="shared" si="3"/>
        <v/>
      </c>
      <c r="AH1480" s="396" t="str">
        <f t="shared" si="4"/>
        <v/>
      </c>
      <c r="AI1480" s="388"/>
      <c r="AJ1480" s="388"/>
      <c r="AK1480" s="397"/>
    </row>
    <row r="1481">
      <c r="A1481" s="398"/>
      <c r="B1481" s="386"/>
      <c r="C1481" s="387" t="str">
        <f>IF(A1481="","",IFERROR(IF(VLOOKUP(A1481,'1. Inbound Leads'!A:G,7,FALSE)=0,"",VLOOKUP(A1481,'1. Inbound Leads'!A:G,7,FALSE)),""))</f>
        <v/>
      </c>
      <c r="D1481" s="387" t="str">
        <f>IF(A1481="","",IFERROR(IF(VLOOKUP(A1481,'1. Inbound Leads'!A:L,12,FALSE)=0,"",VLOOKUP(A1481,'1. Inbound Leads'!A:L,12,FALSE)),""))</f>
        <v/>
      </c>
      <c r="E1481" s="388"/>
      <c r="F1481" s="389"/>
      <c r="G1481" s="387"/>
      <c r="H1481" s="387"/>
      <c r="I1481" s="387"/>
      <c r="J1481" s="387"/>
      <c r="K1481" s="387"/>
      <c r="L1481" s="387"/>
      <c r="M1481" s="388"/>
      <c r="N1481" s="388"/>
      <c r="O1481" s="390"/>
      <c r="P1481" s="391"/>
      <c r="Q1481" s="389"/>
      <c r="R1481" s="390"/>
      <c r="S1481" s="390"/>
      <c r="T1481" s="391"/>
      <c r="U1481" s="392"/>
      <c r="V1481" s="391"/>
      <c r="W1481" s="391"/>
      <c r="X1481" s="388"/>
      <c r="Y1481" s="391"/>
      <c r="Z1481" s="393"/>
      <c r="AA1481" s="355" t="str">
        <f t="shared" si="1"/>
        <v/>
      </c>
      <c r="AB1481" s="391"/>
      <c r="AC1481" s="394" t="str">
        <f t="shared" si="2"/>
        <v/>
      </c>
      <c r="AD1481" s="389"/>
      <c r="AE1481" s="399"/>
      <c r="AF1481" s="395"/>
      <c r="AG1481" s="396" t="str">
        <f t="shared" si="3"/>
        <v/>
      </c>
      <c r="AH1481" s="396" t="str">
        <f t="shared" si="4"/>
        <v/>
      </c>
      <c r="AI1481" s="388"/>
      <c r="AJ1481" s="388"/>
      <c r="AK1481" s="397"/>
    </row>
    <row r="1482">
      <c r="A1482" s="398"/>
      <c r="B1482" s="386"/>
      <c r="C1482" s="387" t="str">
        <f>IF(A1482="","",IFERROR(IF(VLOOKUP(A1482,'1. Inbound Leads'!A:G,7,FALSE)=0,"",VLOOKUP(A1482,'1. Inbound Leads'!A:G,7,FALSE)),""))</f>
        <v/>
      </c>
      <c r="D1482" s="387" t="str">
        <f>IF(A1482="","",IFERROR(IF(VLOOKUP(A1482,'1. Inbound Leads'!A:L,12,FALSE)=0,"",VLOOKUP(A1482,'1. Inbound Leads'!A:L,12,FALSE)),""))</f>
        <v/>
      </c>
      <c r="E1482" s="388"/>
      <c r="F1482" s="389"/>
      <c r="G1482" s="387"/>
      <c r="H1482" s="387"/>
      <c r="I1482" s="387"/>
      <c r="J1482" s="387"/>
      <c r="K1482" s="387"/>
      <c r="L1482" s="387"/>
      <c r="M1482" s="388"/>
      <c r="N1482" s="388"/>
      <c r="O1482" s="390"/>
      <c r="P1482" s="391"/>
      <c r="Q1482" s="389"/>
      <c r="R1482" s="390"/>
      <c r="S1482" s="390"/>
      <c r="T1482" s="391"/>
      <c r="U1482" s="392"/>
      <c r="V1482" s="391"/>
      <c r="W1482" s="391"/>
      <c r="X1482" s="388"/>
      <c r="Y1482" s="391"/>
      <c r="Z1482" s="393"/>
      <c r="AA1482" s="355" t="str">
        <f t="shared" si="1"/>
        <v/>
      </c>
      <c r="AB1482" s="391"/>
      <c r="AC1482" s="394" t="str">
        <f t="shared" si="2"/>
        <v/>
      </c>
      <c r="AD1482" s="389"/>
      <c r="AE1482" s="399"/>
      <c r="AF1482" s="395"/>
      <c r="AG1482" s="396" t="str">
        <f t="shared" si="3"/>
        <v/>
      </c>
      <c r="AH1482" s="396" t="str">
        <f t="shared" si="4"/>
        <v/>
      </c>
      <c r="AI1482" s="388"/>
      <c r="AJ1482" s="388"/>
      <c r="AK1482" s="397"/>
    </row>
    <row r="1483">
      <c r="A1483" s="398"/>
      <c r="B1483" s="386"/>
      <c r="C1483" s="387" t="str">
        <f>IF(A1483="","",IFERROR(IF(VLOOKUP(A1483,'1. Inbound Leads'!A:G,7,FALSE)=0,"",VLOOKUP(A1483,'1. Inbound Leads'!A:G,7,FALSE)),""))</f>
        <v/>
      </c>
      <c r="D1483" s="387" t="str">
        <f>IF(A1483="","",IFERROR(IF(VLOOKUP(A1483,'1. Inbound Leads'!A:L,12,FALSE)=0,"",VLOOKUP(A1483,'1. Inbound Leads'!A:L,12,FALSE)),""))</f>
        <v/>
      </c>
      <c r="E1483" s="388"/>
      <c r="F1483" s="389"/>
      <c r="G1483" s="387"/>
      <c r="H1483" s="387"/>
      <c r="I1483" s="387"/>
      <c r="J1483" s="387"/>
      <c r="K1483" s="387"/>
      <c r="L1483" s="387"/>
      <c r="M1483" s="388"/>
      <c r="N1483" s="388"/>
      <c r="O1483" s="390"/>
      <c r="P1483" s="391"/>
      <c r="Q1483" s="389"/>
      <c r="R1483" s="390"/>
      <c r="S1483" s="390"/>
      <c r="T1483" s="391"/>
      <c r="U1483" s="392"/>
      <c r="V1483" s="391"/>
      <c r="W1483" s="391"/>
      <c r="X1483" s="388"/>
      <c r="Y1483" s="391"/>
      <c r="Z1483" s="393"/>
      <c r="AA1483" s="355" t="str">
        <f t="shared" si="1"/>
        <v/>
      </c>
      <c r="AB1483" s="391"/>
      <c r="AC1483" s="394" t="str">
        <f t="shared" si="2"/>
        <v/>
      </c>
      <c r="AD1483" s="389"/>
      <c r="AE1483" s="399"/>
      <c r="AF1483" s="395"/>
      <c r="AG1483" s="396" t="str">
        <f t="shared" si="3"/>
        <v/>
      </c>
      <c r="AH1483" s="396" t="str">
        <f t="shared" si="4"/>
        <v/>
      </c>
      <c r="AI1483" s="388"/>
      <c r="AJ1483" s="388"/>
      <c r="AK1483" s="397"/>
    </row>
    <row r="1484">
      <c r="A1484" s="398"/>
      <c r="B1484" s="386"/>
      <c r="C1484" s="387" t="str">
        <f>IF(A1484="","",IFERROR(IF(VLOOKUP(A1484,'1. Inbound Leads'!A:G,7,FALSE)=0,"",VLOOKUP(A1484,'1. Inbound Leads'!A:G,7,FALSE)),""))</f>
        <v/>
      </c>
      <c r="D1484" s="387" t="str">
        <f>IF(A1484="","",IFERROR(IF(VLOOKUP(A1484,'1. Inbound Leads'!A:L,12,FALSE)=0,"",VLOOKUP(A1484,'1. Inbound Leads'!A:L,12,FALSE)),""))</f>
        <v/>
      </c>
      <c r="E1484" s="388"/>
      <c r="F1484" s="389"/>
      <c r="G1484" s="387"/>
      <c r="H1484" s="387"/>
      <c r="I1484" s="387"/>
      <c r="J1484" s="387"/>
      <c r="K1484" s="387"/>
      <c r="L1484" s="387"/>
      <c r="M1484" s="388"/>
      <c r="N1484" s="388"/>
      <c r="O1484" s="390"/>
      <c r="P1484" s="391"/>
      <c r="Q1484" s="389"/>
      <c r="R1484" s="390"/>
      <c r="S1484" s="390"/>
      <c r="T1484" s="391"/>
      <c r="U1484" s="392"/>
      <c r="V1484" s="391"/>
      <c r="W1484" s="391"/>
      <c r="X1484" s="388"/>
      <c r="Y1484" s="391"/>
      <c r="Z1484" s="393"/>
      <c r="AA1484" s="355" t="str">
        <f t="shared" si="1"/>
        <v/>
      </c>
      <c r="AB1484" s="391"/>
      <c r="AC1484" s="394" t="str">
        <f t="shared" si="2"/>
        <v/>
      </c>
      <c r="AD1484" s="389"/>
      <c r="AE1484" s="399"/>
      <c r="AF1484" s="395"/>
      <c r="AG1484" s="396" t="str">
        <f t="shared" si="3"/>
        <v/>
      </c>
      <c r="AH1484" s="396" t="str">
        <f t="shared" si="4"/>
        <v/>
      </c>
      <c r="AI1484" s="388"/>
      <c r="AJ1484" s="388"/>
      <c r="AK1484" s="397"/>
    </row>
    <row r="1485">
      <c r="A1485" s="398"/>
      <c r="B1485" s="386"/>
      <c r="C1485" s="387" t="str">
        <f>IF(A1485="","",IFERROR(IF(VLOOKUP(A1485,'1. Inbound Leads'!A:G,7,FALSE)=0,"",VLOOKUP(A1485,'1. Inbound Leads'!A:G,7,FALSE)),""))</f>
        <v/>
      </c>
      <c r="D1485" s="387" t="str">
        <f>IF(A1485="","",IFERROR(IF(VLOOKUP(A1485,'1. Inbound Leads'!A:L,12,FALSE)=0,"",VLOOKUP(A1485,'1. Inbound Leads'!A:L,12,FALSE)),""))</f>
        <v/>
      </c>
      <c r="E1485" s="388"/>
      <c r="F1485" s="389"/>
      <c r="G1485" s="387"/>
      <c r="H1485" s="387"/>
      <c r="I1485" s="387"/>
      <c r="J1485" s="387"/>
      <c r="K1485" s="387"/>
      <c r="L1485" s="387"/>
      <c r="M1485" s="388"/>
      <c r="N1485" s="388"/>
      <c r="O1485" s="390"/>
      <c r="P1485" s="391"/>
      <c r="Q1485" s="389"/>
      <c r="R1485" s="390"/>
      <c r="S1485" s="390"/>
      <c r="T1485" s="391"/>
      <c r="U1485" s="392"/>
      <c r="V1485" s="391"/>
      <c r="W1485" s="391"/>
      <c r="X1485" s="388"/>
      <c r="Y1485" s="391"/>
      <c r="Z1485" s="393"/>
      <c r="AA1485" s="355" t="str">
        <f t="shared" si="1"/>
        <v/>
      </c>
      <c r="AB1485" s="391"/>
      <c r="AC1485" s="394" t="str">
        <f t="shared" si="2"/>
        <v/>
      </c>
      <c r="AD1485" s="389"/>
      <c r="AE1485" s="399"/>
      <c r="AF1485" s="395"/>
      <c r="AG1485" s="396" t="str">
        <f t="shared" si="3"/>
        <v/>
      </c>
      <c r="AH1485" s="396" t="str">
        <f t="shared" si="4"/>
        <v/>
      </c>
      <c r="AI1485" s="388"/>
      <c r="AJ1485" s="388"/>
      <c r="AK1485" s="397"/>
    </row>
    <row r="1486">
      <c r="A1486" s="398"/>
      <c r="B1486" s="386"/>
      <c r="C1486" s="387" t="str">
        <f>IF(A1486="","",IFERROR(IF(VLOOKUP(A1486,'1. Inbound Leads'!A:G,7,FALSE)=0,"",VLOOKUP(A1486,'1. Inbound Leads'!A:G,7,FALSE)),""))</f>
        <v/>
      </c>
      <c r="D1486" s="387" t="str">
        <f>IF(A1486="","",IFERROR(IF(VLOOKUP(A1486,'1. Inbound Leads'!A:L,12,FALSE)=0,"",VLOOKUP(A1486,'1. Inbound Leads'!A:L,12,FALSE)),""))</f>
        <v/>
      </c>
      <c r="E1486" s="388"/>
      <c r="F1486" s="389"/>
      <c r="G1486" s="387"/>
      <c r="H1486" s="387"/>
      <c r="I1486" s="387"/>
      <c r="J1486" s="387"/>
      <c r="K1486" s="387"/>
      <c r="L1486" s="387"/>
      <c r="M1486" s="388"/>
      <c r="N1486" s="388"/>
      <c r="O1486" s="390"/>
      <c r="P1486" s="391"/>
      <c r="Q1486" s="389"/>
      <c r="R1486" s="390"/>
      <c r="S1486" s="390"/>
      <c r="T1486" s="391"/>
      <c r="U1486" s="392"/>
      <c r="V1486" s="391"/>
      <c r="W1486" s="391"/>
      <c r="X1486" s="388"/>
      <c r="Y1486" s="391"/>
      <c r="Z1486" s="393"/>
      <c r="AA1486" s="355" t="str">
        <f t="shared" si="1"/>
        <v/>
      </c>
      <c r="AB1486" s="391"/>
      <c r="AC1486" s="394" t="str">
        <f t="shared" si="2"/>
        <v/>
      </c>
      <c r="AD1486" s="389"/>
      <c r="AE1486" s="399"/>
      <c r="AF1486" s="395"/>
      <c r="AG1486" s="396" t="str">
        <f t="shared" si="3"/>
        <v/>
      </c>
      <c r="AH1486" s="396" t="str">
        <f t="shared" si="4"/>
        <v/>
      </c>
      <c r="AI1486" s="388"/>
      <c r="AJ1486" s="388"/>
      <c r="AK1486" s="397"/>
    </row>
    <row r="1487">
      <c r="A1487" s="398"/>
      <c r="B1487" s="386"/>
      <c r="C1487" s="387" t="str">
        <f>IF(A1487="","",IFERROR(IF(VLOOKUP(A1487,'1. Inbound Leads'!A:G,7,FALSE)=0,"",VLOOKUP(A1487,'1. Inbound Leads'!A:G,7,FALSE)),""))</f>
        <v/>
      </c>
      <c r="D1487" s="387" t="str">
        <f>IF(A1487="","",IFERROR(IF(VLOOKUP(A1487,'1. Inbound Leads'!A:L,12,FALSE)=0,"",VLOOKUP(A1487,'1. Inbound Leads'!A:L,12,FALSE)),""))</f>
        <v/>
      </c>
      <c r="E1487" s="388"/>
      <c r="F1487" s="389"/>
      <c r="G1487" s="387"/>
      <c r="H1487" s="387"/>
      <c r="I1487" s="387"/>
      <c r="J1487" s="387"/>
      <c r="K1487" s="387"/>
      <c r="L1487" s="387"/>
      <c r="M1487" s="388"/>
      <c r="N1487" s="388"/>
      <c r="O1487" s="390"/>
      <c r="P1487" s="391"/>
      <c r="Q1487" s="389"/>
      <c r="R1487" s="390"/>
      <c r="S1487" s="390"/>
      <c r="T1487" s="391"/>
      <c r="U1487" s="392"/>
      <c r="V1487" s="391"/>
      <c r="W1487" s="391"/>
      <c r="X1487" s="388"/>
      <c r="Y1487" s="391"/>
      <c r="Z1487" s="393"/>
      <c r="AA1487" s="355" t="str">
        <f t="shared" si="1"/>
        <v/>
      </c>
      <c r="AB1487" s="391"/>
      <c r="AC1487" s="394" t="str">
        <f t="shared" si="2"/>
        <v/>
      </c>
      <c r="AD1487" s="389"/>
      <c r="AE1487" s="399"/>
      <c r="AF1487" s="395"/>
      <c r="AG1487" s="396" t="str">
        <f t="shared" si="3"/>
        <v/>
      </c>
      <c r="AH1487" s="396" t="str">
        <f t="shared" si="4"/>
        <v/>
      </c>
      <c r="AI1487" s="388"/>
      <c r="AJ1487" s="388"/>
      <c r="AK1487" s="397"/>
    </row>
    <row r="1488">
      <c r="A1488" s="398"/>
      <c r="B1488" s="386"/>
      <c r="C1488" s="387" t="str">
        <f>IF(A1488="","",IFERROR(IF(VLOOKUP(A1488,'1. Inbound Leads'!A:G,7,FALSE)=0,"",VLOOKUP(A1488,'1. Inbound Leads'!A:G,7,FALSE)),""))</f>
        <v/>
      </c>
      <c r="D1488" s="387" t="str">
        <f>IF(A1488="","",IFERROR(IF(VLOOKUP(A1488,'1. Inbound Leads'!A:L,12,FALSE)=0,"",VLOOKUP(A1488,'1. Inbound Leads'!A:L,12,FALSE)),""))</f>
        <v/>
      </c>
      <c r="E1488" s="388"/>
      <c r="F1488" s="389"/>
      <c r="G1488" s="387"/>
      <c r="H1488" s="387"/>
      <c r="I1488" s="387"/>
      <c r="J1488" s="387"/>
      <c r="K1488" s="387"/>
      <c r="L1488" s="387"/>
      <c r="M1488" s="388"/>
      <c r="N1488" s="388"/>
      <c r="O1488" s="390"/>
      <c r="P1488" s="391"/>
      <c r="Q1488" s="389"/>
      <c r="R1488" s="390"/>
      <c r="S1488" s="390"/>
      <c r="T1488" s="391"/>
      <c r="U1488" s="392"/>
      <c r="V1488" s="391"/>
      <c r="W1488" s="391"/>
      <c r="X1488" s="388"/>
      <c r="Y1488" s="391"/>
      <c r="Z1488" s="393"/>
      <c r="AA1488" s="355" t="str">
        <f t="shared" si="1"/>
        <v/>
      </c>
      <c r="AB1488" s="391"/>
      <c r="AC1488" s="394" t="str">
        <f t="shared" si="2"/>
        <v/>
      </c>
      <c r="AD1488" s="389"/>
      <c r="AE1488" s="399"/>
      <c r="AF1488" s="395"/>
      <c r="AG1488" s="396" t="str">
        <f t="shared" si="3"/>
        <v/>
      </c>
      <c r="AH1488" s="396" t="str">
        <f t="shared" si="4"/>
        <v/>
      </c>
      <c r="AI1488" s="388"/>
      <c r="AJ1488" s="388"/>
      <c r="AK1488" s="397"/>
    </row>
    <row r="1489">
      <c r="A1489" s="398"/>
      <c r="B1489" s="386"/>
      <c r="C1489" s="387" t="str">
        <f>IF(A1489="","",IFERROR(IF(VLOOKUP(A1489,'1. Inbound Leads'!A:G,7,FALSE)=0,"",VLOOKUP(A1489,'1. Inbound Leads'!A:G,7,FALSE)),""))</f>
        <v/>
      </c>
      <c r="D1489" s="387" t="str">
        <f>IF(A1489="","",IFERROR(IF(VLOOKUP(A1489,'1. Inbound Leads'!A:L,12,FALSE)=0,"",VLOOKUP(A1489,'1. Inbound Leads'!A:L,12,FALSE)),""))</f>
        <v/>
      </c>
      <c r="E1489" s="388"/>
      <c r="F1489" s="389"/>
      <c r="G1489" s="387"/>
      <c r="H1489" s="387"/>
      <c r="I1489" s="387"/>
      <c r="J1489" s="387"/>
      <c r="K1489" s="387"/>
      <c r="L1489" s="387"/>
      <c r="M1489" s="388"/>
      <c r="N1489" s="388"/>
      <c r="O1489" s="390"/>
      <c r="P1489" s="391"/>
      <c r="Q1489" s="389"/>
      <c r="R1489" s="390"/>
      <c r="S1489" s="390"/>
      <c r="T1489" s="391"/>
      <c r="U1489" s="392"/>
      <c r="V1489" s="391"/>
      <c r="W1489" s="391"/>
      <c r="X1489" s="388"/>
      <c r="Y1489" s="391"/>
      <c r="Z1489" s="393"/>
      <c r="AA1489" s="355" t="str">
        <f t="shared" si="1"/>
        <v/>
      </c>
      <c r="AB1489" s="391"/>
      <c r="AC1489" s="394" t="str">
        <f t="shared" si="2"/>
        <v/>
      </c>
      <c r="AD1489" s="389"/>
      <c r="AE1489" s="399"/>
      <c r="AF1489" s="395"/>
      <c r="AG1489" s="396" t="str">
        <f t="shared" si="3"/>
        <v/>
      </c>
      <c r="AH1489" s="396" t="str">
        <f t="shared" si="4"/>
        <v/>
      </c>
      <c r="AI1489" s="388"/>
      <c r="AJ1489" s="388"/>
      <c r="AK1489" s="397"/>
    </row>
    <row r="1490">
      <c r="A1490" s="398"/>
      <c r="B1490" s="386"/>
      <c r="C1490" s="387" t="str">
        <f>IF(A1490="","",IFERROR(IF(VLOOKUP(A1490,'1. Inbound Leads'!A:G,7,FALSE)=0,"",VLOOKUP(A1490,'1. Inbound Leads'!A:G,7,FALSE)),""))</f>
        <v/>
      </c>
      <c r="D1490" s="387" t="str">
        <f>IF(A1490="","",IFERROR(IF(VLOOKUP(A1490,'1. Inbound Leads'!A:L,12,FALSE)=0,"",VLOOKUP(A1490,'1. Inbound Leads'!A:L,12,FALSE)),""))</f>
        <v/>
      </c>
      <c r="E1490" s="388"/>
      <c r="F1490" s="389"/>
      <c r="G1490" s="387"/>
      <c r="H1490" s="387"/>
      <c r="I1490" s="387"/>
      <c r="J1490" s="387"/>
      <c r="K1490" s="387"/>
      <c r="L1490" s="387"/>
      <c r="M1490" s="388"/>
      <c r="N1490" s="388"/>
      <c r="O1490" s="390"/>
      <c r="P1490" s="391"/>
      <c r="Q1490" s="389"/>
      <c r="R1490" s="390"/>
      <c r="S1490" s="390"/>
      <c r="T1490" s="391"/>
      <c r="U1490" s="392"/>
      <c r="V1490" s="391"/>
      <c r="W1490" s="391"/>
      <c r="X1490" s="388"/>
      <c r="Y1490" s="391"/>
      <c r="Z1490" s="393"/>
      <c r="AA1490" s="355" t="str">
        <f t="shared" si="1"/>
        <v/>
      </c>
      <c r="AB1490" s="391"/>
      <c r="AC1490" s="394" t="str">
        <f t="shared" si="2"/>
        <v/>
      </c>
      <c r="AD1490" s="389"/>
      <c r="AE1490" s="399"/>
      <c r="AF1490" s="395"/>
      <c r="AG1490" s="396" t="str">
        <f t="shared" si="3"/>
        <v/>
      </c>
      <c r="AH1490" s="396" t="str">
        <f t="shared" si="4"/>
        <v/>
      </c>
      <c r="AI1490" s="388"/>
      <c r="AJ1490" s="388"/>
      <c r="AK1490" s="397"/>
    </row>
    <row r="1491">
      <c r="A1491" s="398"/>
      <c r="B1491" s="386"/>
      <c r="C1491" s="387" t="str">
        <f>IF(A1491="","",IFERROR(IF(VLOOKUP(A1491,'1. Inbound Leads'!A:G,7,FALSE)=0,"",VLOOKUP(A1491,'1. Inbound Leads'!A:G,7,FALSE)),""))</f>
        <v/>
      </c>
      <c r="D1491" s="387" t="str">
        <f>IF(A1491="","",IFERROR(IF(VLOOKUP(A1491,'1. Inbound Leads'!A:L,12,FALSE)=0,"",VLOOKUP(A1491,'1. Inbound Leads'!A:L,12,FALSE)),""))</f>
        <v/>
      </c>
      <c r="E1491" s="388"/>
      <c r="F1491" s="389"/>
      <c r="G1491" s="387"/>
      <c r="H1491" s="387"/>
      <c r="I1491" s="387"/>
      <c r="J1491" s="387"/>
      <c r="K1491" s="387"/>
      <c r="L1491" s="387"/>
      <c r="M1491" s="388"/>
      <c r="N1491" s="388"/>
      <c r="O1491" s="390"/>
      <c r="P1491" s="391"/>
      <c r="Q1491" s="389"/>
      <c r="R1491" s="390"/>
      <c r="S1491" s="390"/>
      <c r="T1491" s="391"/>
      <c r="U1491" s="392"/>
      <c r="V1491" s="391"/>
      <c r="W1491" s="391"/>
      <c r="X1491" s="388"/>
      <c r="Y1491" s="391"/>
      <c r="Z1491" s="393"/>
      <c r="AA1491" s="355" t="str">
        <f t="shared" si="1"/>
        <v/>
      </c>
      <c r="AB1491" s="391"/>
      <c r="AC1491" s="394" t="str">
        <f t="shared" si="2"/>
        <v/>
      </c>
      <c r="AD1491" s="389"/>
      <c r="AE1491" s="399"/>
      <c r="AF1491" s="395"/>
      <c r="AG1491" s="396" t="str">
        <f t="shared" si="3"/>
        <v/>
      </c>
      <c r="AH1491" s="396" t="str">
        <f t="shared" si="4"/>
        <v/>
      </c>
      <c r="AI1491" s="388"/>
      <c r="AJ1491" s="388"/>
      <c r="AK1491" s="397"/>
    </row>
    <row r="1492">
      <c r="A1492" s="398"/>
      <c r="B1492" s="386"/>
      <c r="C1492" s="387" t="str">
        <f>IF(A1492="","",IFERROR(IF(VLOOKUP(A1492,'1. Inbound Leads'!A:G,7,FALSE)=0,"",VLOOKUP(A1492,'1. Inbound Leads'!A:G,7,FALSE)),""))</f>
        <v/>
      </c>
      <c r="D1492" s="387" t="str">
        <f>IF(A1492="","",IFERROR(IF(VLOOKUP(A1492,'1. Inbound Leads'!A:L,12,FALSE)=0,"",VLOOKUP(A1492,'1. Inbound Leads'!A:L,12,FALSE)),""))</f>
        <v/>
      </c>
      <c r="E1492" s="388"/>
      <c r="F1492" s="389"/>
      <c r="G1492" s="387"/>
      <c r="H1492" s="387"/>
      <c r="I1492" s="387"/>
      <c r="J1492" s="387"/>
      <c r="K1492" s="387"/>
      <c r="L1492" s="387"/>
      <c r="M1492" s="388"/>
      <c r="N1492" s="388"/>
      <c r="O1492" s="390"/>
      <c r="P1492" s="391"/>
      <c r="Q1492" s="389"/>
      <c r="R1492" s="390"/>
      <c r="S1492" s="390"/>
      <c r="T1492" s="391"/>
      <c r="U1492" s="392"/>
      <c r="V1492" s="391"/>
      <c r="W1492" s="391"/>
      <c r="X1492" s="388"/>
      <c r="Y1492" s="391"/>
      <c r="Z1492" s="393"/>
      <c r="AA1492" s="355" t="str">
        <f t="shared" si="1"/>
        <v/>
      </c>
      <c r="AB1492" s="391"/>
      <c r="AC1492" s="394" t="str">
        <f t="shared" si="2"/>
        <v/>
      </c>
      <c r="AD1492" s="389"/>
      <c r="AE1492" s="399"/>
      <c r="AF1492" s="395"/>
      <c r="AG1492" s="396" t="str">
        <f t="shared" si="3"/>
        <v/>
      </c>
      <c r="AH1492" s="396" t="str">
        <f t="shared" si="4"/>
        <v/>
      </c>
      <c r="AI1492" s="388"/>
      <c r="AJ1492" s="388"/>
      <c r="AK1492" s="397"/>
    </row>
    <row r="1493">
      <c r="A1493" s="398"/>
      <c r="B1493" s="386"/>
      <c r="C1493" s="387" t="str">
        <f>IF(A1493="","",IFERROR(IF(VLOOKUP(A1493,'1. Inbound Leads'!A:G,7,FALSE)=0,"",VLOOKUP(A1493,'1. Inbound Leads'!A:G,7,FALSE)),""))</f>
        <v/>
      </c>
      <c r="D1493" s="387" t="str">
        <f>IF(A1493="","",IFERROR(IF(VLOOKUP(A1493,'1. Inbound Leads'!A:L,12,FALSE)=0,"",VLOOKUP(A1493,'1. Inbound Leads'!A:L,12,FALSE)),""))</f>
        <v/>
      </c>
      <c r="E1493" s="388"/>
      <c r="F1493" s="389"/>
      <c r="G1493" s="387"/>
      <c r="H1493" s="387"/>
      <c r="I1493" s="387"/>
      <c r="J1493" s="387"/>
      <c r="K1493" s="387"/>
      <c r="L1493" s="387"/>
      <c r="M1493" s="388"/>
      <c r="N1493" s="388"/>
      <c r="O1493" s="390"/>
      <c r="P1493" s="391"/>
      <c r="Q1493" s="389"/>
      <c r="R1493" s="390"/>
      <c r="S1493" s="390"/>
      <c r="T1493" s="391"/>
      <c r="U1493" s="392"/>
      <c r="V1493" s="391"/>
      <c r="W1493" s="391"/>
      <c r="X1493" s="388"/>
      <c r="Y1493" s="391"/>
      <c r="Z1493" s="393"/>
      <c r="AA1493" s="355" t="str">
        <f t="shared" si="1"/>
        <v/>
      </c>
      <c r="AB1493" s="391"/>
      <c r="AC1493" s="394" t="str">
        <f t="shared" si="2"/>
        <v/>
      </c>
      <c r="AD1493" s="389"/>
      <c r="AE1493" s="399"/>
      <c r="AF1493" s="395"/>
      <c r="AG1493" s="396" t="str">
        <f t="shared" si="3"/>
        <v/>
      </c>
      <c r="AH1493" s="396" t="str">
        <f t="shared" si="4"/>
        <v/>
      </c>
      <c r="AI1493" s="388"/>
      <c r="AJ1493" s="388"/>
      <c r="AK1493" s="397"/>
    </row>
    <row r="1494">
      <c r="A1494" s="398"/>
      <c r="B1494" s="386"/>
      <c r="C1494" s="387" t="str">
        <f>IF(A1494="","",IFERROR(IF(VLOOKUP(A1494,'1. Inbound Leads'!A:G,7,FALSE)=0,"",VLOOKUP(A1494,'1. Inbound Leads'!A:G,7,FALSE)),""))</f>
        <v/>
      </c>
      <c r="D1494" s="387" t="str">
        <f>IF(A1494="","",IFERROR(IF(VLOOKUP(A1494,'1. Inbound Leads'!A:L,12,FALSE)=0,"",VLOOKUP(A1494,'1. Inbound Leads'!A:L,12,FALSE)),""))</f>
        <v/>
      </c>
      <c r="E1494" s="388"/>
      <c r="F1494" s="389"/>
      <c r="G1494" s="387"/>
      <c r="H1494" s="387"/>
      <c r="I1494" s="387"/>
      <c r="J1494" s="387"/>
      <c r="K1494" s="387"/>
      <c r="L1494" s="387"/>
      <c r="M1494" s="388"/>
      <c r="N1494" s="388"/>
      <c r="O1494" s="390"/>
      <c r="P1494" s="391"/>
      <c r="Q1494" s="389"/>
      <c r="R1494" s="390"/>
      <c r="S1494" s="390"/>
      <c r="T1494" s="391"/>
      <c r="U1494" s="392"/>
      <c r="V1494" s="391"/>
      <c r="W1494" s="391"/>
      <c r="X1494" s="388"/>
      <c r="Y1494" s="391"/>
      <c r="Z1494" s="393"/>
      <c r="AA1494" s="355" t="str">
        <f t="shared" si="1"/>
        <v/>
      </c>
      <c r="AB1494" s="391"/>
      <c r="AC1494" s="394" t="str">
        <f t="shared" si="2"/>
        <v/>
      </c>
      <c r="AD1494" s="389"/>
      <c r="AE1494" s="399"/>
      <c r="AF1494" s="395"/>
      <c r="AG1494" s="396" t="str">
        <f t="shared" si="3"/>
        <v/>
      </c>
      <c r="AH1494" s="396" t="str">
        <f t="shared" si="4"/>
        <v/>
      </c>
      <c r="AI1494" s="388"/>
      <c r="AJ1494" s="388"/>
      <c r="AK1494" s="397"/>
    </row>
    <row r="1495">
      <c r="A1495" s="398"/>
      <c r="B1495" s="386"/>
      <c r="C1495" s="387" t="str">
        <f>IF(A1495="","",IFERROR(IF(VLOOKUP(A1495,'1. Inbound Leads'!A:G,7,FALSE)=0,"",VLOOKUP(A1495,'1. Inbound Leads'!A:G,7,FALSE)),""))</f>
        <v/>
      </c>
      <c r="D1495" s="387" t="str">
        <f>IF(A1495="","",IFERROR(IF(VLOOKUP(A1495,'1. Inbound Leads'!A:L,12,FALSE)=0,"",VLOOKUP(A1495,'1. Inbound Leads'!A:L,12,FALSE)),""))</f>
        <v/>
      </c>
      <c r="E1495" s="388"/>
      <c r="F1495" s="389"/>
      <c r="G1495" s="387"/>
      <c r="H1495" s="387"/>
      <c r="I1495" s="387"/>
      <c r="J1495" s="387"/>
      <c r="K1495" s="387"/>
      <c r="L1495" s="387"/>
      <c r="M1495" s="388"/>
      <c r="N1495" s="388"/>
      <c r="O1495" s="390"/>
      <c r="P1495" s="391"/>
      <c r="Q1495" s="389"/>
      <c r="R1495" s="390"/>
      <c r="S1495" s="390"/>
      <c r="T1495" s="391"/>
      <c r="U1495" s="392"/>
      <c r="V1495" s="391"/>
      <c r="W1495" s="391"/>
      <c r="X1495" s="388"/>
      <c r="Y1495" s="391"/>
      <c r="Z1495" s="393"/>
      <c r="AA1495" s="355" t="str">
        <f t="shared" si="1"/>
        <v/>
      </c>
      <c r="AB1495" s="391"/>
      <c r="AC1495" s="394" t="str">
        <f t="shared" si="2"/>
        <v/>
      </c>
      <c r="AD1495" s="389"/>
      <c r="AE1495" s="399"/>
      <c r="AF1495" s="395"/>
      <c r="AG1495" s="396" t="str">
        <f t="shared" si="3"/>
        <v/>
      </c>
      <c r="AH1495" s="396" t="str">
        <f t="shared" si="4"/>
        <v/>
      </c>
      <c r="AI1495" s="388"/>
      <c r="AJ1495" s="388"/>
      <c r="AK1495" s="397"/>
    </row>
    <row r="1496">
      <c r="A1496" s="398"/>
      <c r="B1496" s="386"/>
      <c r="C1496" s="387" t="str">
        <f>IF(A1496="","",IFERROR(IF(VLOOKUP(A1496,'1. Inbound Leads'!A:G,7,FALSE)=0,"",VLOOKUP(A1496,'1. Inbound Leads'!A:G,7,FALSE)),""))</f>
        <v/>
      </c>
      <c r="D1496" s="387" t="str">
        <f>IF(A1496="","",IFERROR(IF(VLOOKUP(A1496,'1. Inbound Leads'!A:L,12,FALSE)=0,"",VLOOKUP(A1496,'1. Inbound Leads'!A:L,12,FALSE)),""))</f>
        <v/>
      </c>
      <c r="E1496" s="388"/>
      <c r="F1496" s="389"/>
      <c r="G1496" s="387"/>
      <c r="H1496" s="387"/>
      <c r="I1496" s="387"/>
      <c r="J1496" s="387"/>
      <c r="K1496" s="387"/>
      <c r="L1496" s="387"/>
      <c r="M1496" s="388"/>
      <c r="N1496" s="388"/>
      <c r="O1496" s="390"/>
      <c r="P1496" s="391"/>
      <c r="Q1496" s="389"/>
      <c r="R1496" s="390"/>
      <c r="S1496" s="390"/>
      <c r="T1496" s="391"/>
      <c r="U1496" s="392"/>
      <c r="V1496" s="391"/>
      <c r="W1496" s="391"/>
      <c r="X1496" s="388"/>
      <c r="Y1496" s="391"/>
      <c r="Z1496" s="393"/>
      <c r="AA1496" s="355" t="str">
        <f t="shared" si="1"/>
        <v/>
      </c>
      <c r="AB1496" s="391"/>
      <c r="AC1496" s="394" t="str">
        <f t="shared" si="2"/>
        <v/>
      </c>
      <c r="AD1496" s="389"/>
      <c r="AE1496" s="399"/>
      <c r="AF1496" s="395"/>
      <c r="AG1496" s="396" t="str">
        <f t="shared" si="3"/>
        <v/>
      </c>
      <c r="AH1496" s="396" t="str">
        <f t="shared" si="4"/>
        <v/>
      </c>
      <c r="AI1496" s="388"/>
      <c r="AJ1496" s="388"/>
      <c r="AK1496" s="397"/>
    </row>
    <row r="1497">
      <c r="A1497" s="398"/>
      <c r="B1497" s="386"/>
      <c r="C1497" s="387" t="str">
        <f>IF(A1497="","",IFERROR(IF(VLOOKUP(A1497,'1. Inbound Leads'!A:G,7,FALSE)=0,"",VLOOKUP(A1497,'1. Inbound Leads'!A:G,7,FALSE)),""))</f>
        <v/>
      </c>
      <c r="D1497" s="387" t="str">
        <f>IF(A1497="","",IFERROR(IF(VLOOKUP(A1497,'1. Inbound Leads'!A:L,12,FALSE)=0,"",VLOOKUP(A1497,'1. Inbound Leads'!A:L,12,FALSE)),""))</f>
        <v/>
      </c>
      <c r="E1497" s="388"/>
      <c r="F1497" s="389"/>
      <c r="G1497" s="387"/>
      <c r="H1497" s="387"/>
      <c r="I1497" s="387"/>
      <c r="J1497" s="387"/>
      <c r="K1497" s="387"/>
      <c r="L1497" s="387"/>
      <c r="M1497" s="388"/>
      <c r="N1497" s="388"/>
      <c r="O1497" s="390"/>
      <c r="P1497" s="391"/>
      <c r="Q1497" s="389"/>
      <c r="R1497" s="390"/>
      <c r="S1497" s="390"/>
      <c r="T1497" s="391"/>
      <c r="U1497" s="392"/>
      <c r="V1497" s="391"/>
      <c r="W1497" s="391"/>
      <c r="X1497" s="388"/>
      <c r="Y1497" s="391"/>
      <c r="Z1497" s="393"/>
      <c r="AA1497" s="355" t="str">
        <f t="shared" si="1"/>
        <v/>
      </c>
      <c r="AB1497" s="391"/>
      <c r="AC1497" s="394" t="str">
        <f t="shared" si="2"/>
        <v/>
      </c>
      <c r="AD1497" s="389"/>
      <c r="AE1497" s="399"/>
      <c r="AF1497" s="395"/>
      <c r="AG1497" s="396" t="str">
        <f t="shared" si="3"/>
        <v/>
      </c>
      <c r="AH1497" s="396" t="str">
        <f t="shared" si="4"/>
        <v/>
      </c>
      <c r="AI1497" s="388"/>
      <c r="AJ1497" s="388"/>
      <c r="AK1497" s="397"/>
    </row>
    <row r="1498">
      <c r="A1498" s="398"/>
      <c r="B1498" s="386"/>
      <c r="C1498" s="387" t="str">
        <f>IF(A1498="","",IFERROR(IF(VLOOKUP(A1498,'1. Inbound Leads'!A:G,7,FALSE)=0,"",VLOOKUP(A1498,'1. Inbound Leads'!A:G,7,FALSE)),""))</f>
        <v/>
      </c>
      <c r="D1498" s="387" t="str">
        <f>IF(A1498="","",IFERROR(IF(VLOOKUP(A1498,'1. Inbound Leads'!A:L,12,FALSE)=0,"",VLOOKUP(A1498,'1. Inbound Leads'!A:L,12,FALSE)),""))</f>
        <v/>
      </c>
      <c r="E1498" s="388"/>
      <c r="F1498" s="389"/>
      <c r="G1498" s="387"/>
      <c r="H1498" s="387"/>
      <c r="I1498" s="387"/>
      <c r="J1498" s="387"/>
      <c r="K1498" s="387"/>
      <c r="L1498" s="387"/>
      <c r="M1498" s="388"/>
      <c r="N1498" s="388"/>
      <c r="O1498" s="390"/>
      <c r="P1498" s="391"/>
      <c r="Q1498" s="389"/>
      <c r="R1498" s="390"/>
      <c r="S1498" s="390"/>
      <c r="T1498" s="391"/>
      <c r="U1498" s="392"/>
      <c r="V1498" s="391"/>
      <c r="W1498" s="391"/>
      <c r="X1498" s="388"/>
      <c r="Y1498" s="391"/>
      <c r="Z1498" s="393"/>
      <c r="AA1498" s="355" t="str">
        <f t="shared" si="1"/>
        <v/>
      </c>
      <c r="AB1498" s="391"/>
      <c r="AC1498" s="394" t="str">
        <f t="shared" si="2"/>
        <v/>
      </c>
      <c r="AD1498" s="389"/>
      <c r="AE1498" s="399"/>
      <c r="AF1498" s="395"/>
      <c r="AG1498" s="396" t="str">
        <f t="shared" si="3"/>
        <v/>
      </c>
      <c r="AH1498" s="396" t="str">
        <f t="shared" si="4"/>
        <v/>
      </c>
      <c r="AI1498" s="388"/>
      <c r="AJ1498" s="388"/>
      <c r="AK1498" s="397"/>
    </row>
    <row r="1499">
      <c r="A1499" s="398"/>
      <c r="B1499" s="386"/>
      <c r="C1499" s="387" t="str">
        <f>IF(A1499="","",IFERROR(IF(VLOOKUP(A1499,'1. Inbound Leads'!A:G,7,FALSE)=0,"",VLOOKUP(A1499,'1. Inbound Leads'!A:G,7,FALSE)),""))</f>
        <v/>
      </c>
      <c r="D1499" s="387" t="str">
        <f>IF(A1499="","",IFERROR(IF(VLOOKUP(A1499,'1. Inbound Leads'!A:L,12,FALSE)=0,"",VLOOKUP(A1499,'1. Inbound Leads'!A:L,12,FALSE)),""))</f>
        <v/>
      </c>
      <c r="E1499" s="388"/>
      <c r="F1499" s="389"/>
      <c r="G1499" s="387"/>
      <c r="H1499" s="387"/>
      <c r="I1499" s="387"/>
      <c r="J1499" s="387"/>
      <c r="K1499" s="387"/>
      <c r="L1499" s="387"/>
      <c r="M1499" s="388"/>
      <c r="N1499" s="388"/>
      <c r="O1499" s="390"/>
      <c r="P1499" s="391"/>
      <c r="Q1499" s="389"/>
      <c r="R1499" s="390"/>
      <c r="S1499" s="390"/>
      <c r="T1499" s="391"/>
      <c r="U1499" s="392"/>
      <c r="V1499" s="391"/>
      <c r="W1499" s="391"/>
      <c r="X1499" s="388"/>
      <c r="Y1499" s="391"/>
      <c r="Z1499" s="393"/>
      <c r="AA1499" s="355" t="str">
        <f t="shared" si="1"/>
        <v/>
      </c>
      <c r="AB1499" s="391"/>
      <c r="AC1499" s="394" t="str">
        <f t="shared" si="2"/>
        <v/>
      </c>
      <c r="AD1499" s="389"/>
      <c r="AE1499" s="399"/>
      <c r="AF1499" s="395"/>
      <c r="AG1499" s="396" t="str">
        <f t="shared" si="3"/>
        <v/>
      </c>
      <c r="AH1499" s="396" t="str">
        <f t="shared" si="4"/>
        <v/>
      </c>
      <c r="AI1499" s="388"/>
      <c r="AJ1499" s="388"/>
      <c r="AK1499" s="397"/>
    </row>
    <row r="1500">
      <c r="A1500" s="398"/>
      <c r="B1500" s="386"/>
      <c r="C1500" s="387" t="str">
        <f>IF(A1500="","",IFERROR(IF(VLOOKUP(A1500,'1. Inbound Leads'!A:G,7,FALSE)=0,"",VLOOKUP(A1500,'1. Inbound Leads'!A:G,7,FALSE)),""))</f>
        <v/>
      </c>
      <c r="D1500" s="387" t="str">
        <f>IF(A1500="","",IFERROR(IF(VLOOKUP(A1500,'1. Inbound Leads'!A:L,12,FALSE)=0,"",VLOOKUP(A1500,'1. Inbound Leads'!A:L,12,FALSE)),""))</f>
        <v/>
      </c>
      <c r="E1500" s="388"/>
      <c r="F1500" s="389"/>
      <c r="G1500" s="387"/>
      <c r="H1500" s="387"/>
      <c r="I1500" s="387"/>
      <c r="J1500" s="387"/>
      <c r="K1500" s="387"/>
      <c r="L1500" s="387"/>
      <c r="M1500" s="388"/>
      <c r="N1500" s="388"/>
      <c r="O1500" s="390"/>
      <c r="P1500" s="391"/>
      <c r="Q1500" s="389"/>
      <c r="R1500" s="390"/>
      <c r="S1500" s="390"/>
      <c r="T1500" s="391"/>
      <c r="U1500" s="392"/>
      <c r="V1500" s="391"/>
      <c r="W1500" s="391"/>
      <c r="X1500" s="388"/>
      <c r="Y1500" s="391"/>
      <c r="Z1500" s="393"/>
      <c r="AA1500" s="355" t="str">
        <f t="shared" si="1"/>
        <v/>
      </c>
      <c r="AB1500" s="391"/>
      <c r="AC1500" s="394" t="str">
        <f t="shared" si="2"/>
        <v/>
      </c>
      <c r="AD1500" s="389"/>
      <c r="AE1500" s="399"/>
      <c r="AF1500" s="395"/>
      <c r="AG1500" s="396" t="str">
        <f t="shared" si="3"/>
        <v/>
      </c>
      <c r="AH1500" s="396" t="str">
        <f t="shared" si="4"/>
        <v/>
      </c>
      <c r="AI1500" s="388"/>
      <c r="AJ1500" s="388"/>
      <c r="AK1500" s="397"/>
    </row>
    <row r="1501">
      <c r="A1501" s="398"/>
      <c r="B1501" s="386"/>
      <c r="C1501" s="387" t="str">
        <f>IF(A1501="","",IFERROR(IF(VLOOKUP(A1501,'1. Inbound Leads'!A:G,7,FALSE)=0,"",VLOOKUP(A1501,'1. Inbound Leads'!A:G,7,FALSE)),""))</f>
        <v/>
      </c>
      <c r="D1501" s="387" t="str">
        <f>IF(A1501="","",IFERROR(IF(VLOOKUP(A1501,'1. Inbound Leads'!A:L,12,FALSE)=0,"",VLOOKUP(A1501,'1. Inbound Leads'!A:L,12,FALSE)),""))</f>
        <v/>
      </c>
      <c r="E1501" s="388"/>
      <c r="F1501" s="389"/>
      <c r="G1501" s="387"/>
      <c r="H1501" s="387"/>
      <c r="I1501" s="387"/>
      <c r="J1501" s="387"/>
      <c r="K1501" s="387"/>
      <c r="L1501" s="387"/>
      <c r="M1501" s="388"/>
      <c r="N1501" s="388"/>
      <c r="O1501" s="390"/>
      <c r="P1501" s="391"/>
      <c r="Q1501" s="389"/>
      <c r="R1501" s="390"/>
      <c r="S1501" s="390"/>
      <c r="T1501" s="391"/>
      <c r="U1501" s="392"/>
      <c r="V1501" s="391"/>
      <c r="W1501" s="391"/>
      <c r="X1501" s="388"/>
      <c r="Y1501" s="391"/>
      <c r="Z1501" s="393"/>
      <c r="AA1501" s="355" t="str">
        <f t="shared" si="1"/>
        <v/>
      </c>
      <c r="AB1501" s="391"/>
      <c r="AC1501" s="394" t="str">
        <f t="shared" si="2"/>
        <v/>
      </c>
      <c r="AD1501" s="389"/>
      <c r="AE1501" s="399"/>
      <c r="AF1501" s="395"/>
      <c r="AG1501" s="396" t="str">
        <f t="shared" si="3"/>
        <v/>
      </c>
      <c r="AH1501" s="396" t="str">
        <f t="shared" si="4"/>
        <v/>
      </c>
      <c r="AI1501" s="388"/>
      <c r="AJ1501" s="388"/>
      <c r="AK1501" s="397"/>
    </row>
    <row r="1502">
      <c r="A1502" s="398"/>
      <c r="B1502" s="386"/>
      <c r="C1502" s="387" t="str">
        <f>IF(A1502="","",IFERROR(IF(VLOOKUP(A1502,'1. Inbound Leads'!A:G,7,FALSE)=0,"",VLOOKUP(A1502,'1. Inbound Leads'!A:G,7,FALSE)),""))</f>
        <v/>
      </c>
      <c r="D1502" s="387" t="str">
        <f>IF(A1502="","",IFERROR(IF(VLOOKUP(A1502,'1. Inbound Leads'!A:L,12,FALSE)=0,"",VLOOKUP(A1502,'1. Inbound Leads'!A:L,12,FALSE)),""))</f>
        <v/>
      </c>
      <c r="E1502" s="388"/>
      <c r="F1502" s="389"/>
      <c r="G1502" s="387"/>
      <c r="H1502" s="387"/>
      <c r="I1502" s="387"/>
      <c r="J1502" s="387"/>
      <c r="K1502" s="387"/>
      <c r="L1502" s="387"/>
      <c r="M1502" s="388"/>
      <c r="N1502" s="388"/>
      <c r="O1502" s="390"/>
      <c r="P1502" s="391"/>
      <c r="Q1502" s="389"/>
      <c r="R1502" s="390"/>
      <c r="S1502" s="390"/>
      <c r="T1502" s="391"/>
      <c r="U1502" s="392"/>
      <c r="V1502" s="391"/>
      <c r="W1502" s="391"/>
      <c r="X1502" s="388"/>
      <c r="Y1502" s="391"/>
      <c r="Z1502" s="393"/>
      <c r="AA1502" s="355" t="str">
        <f t="shared" si="1"/>
        <v/>
      </c>
      <c r="AB1502" s="391"/>
      <c r="AC1502" s="394" t="str">
        <f t="shared" si="2"/>
        <v/>
      </c>
      <c r="AD1502" s="389"/>
      <c r="AE1502" s="399"/>
      <c r="AF1502" s="395"/>
      <c r="AG1502" s="396" t="str">
        <f t="shared" si="3"/>
        <v/>
      </c>
      <c r="AH1502" s="396" t="str">
        <f t="shared" si="4"/>
        <v/>
      </c>
      <c r="AI1502" s="388"/>
      <c r="AJ1502" s="388"/>
      <c r="AK1502" s="397"/>
    </row>
    <row r="1503">
      <c r="A1503" s="398"/>
      <c r="B1503" s="386"/>
      <c r="C1503" s="387" t="str">
        <f>IF(A1503="","",IFERROR(IF(VLOOKUP(A1503,'1. Inbound Leads'!A:G,7,FALSE)=0,"",VLOOKUP(A1503,'1. Inbound Leads'!A:G,7,FALSE)),""))</f>
        <v/>
      </c>
      <c r="D1503" s="387" t="str">
        <f>IF(A1503="","",IFERROR(IF(VLOOKUP(A1503,'1. Inbound Leads'!A:L,12,FALSE)=0,"",VLOOKUP(A1503,'1. Inbound Leads'!A:L,12,FALSE)),""))</f>
        <v/>
      </c>
      <c r="E1503" s="388"/>
      <c r="F1503" s="389"/>
      <c r="G1503" s="387"/>
      <c r="H1503" s="387"/>
      <c r="I1503" s="387"/>
      <c r="J1503" s="387"/>
      <c r="K1503" s="387"/>
      <c r="L1503" s="387"/>
      <c r="M1503" s="388"/>
      <c r="N1503" s="388"/>
      <c r="O1503" s="390"/>
      <c r="P1503" s="391"/>
      <c r="Q1503" s="389"/>
      <c r="R1503" s="390"/>
      <c r="S1503" s="390"/>
      <c r="T1503" s="391"/>
      <c r="U1503" s="392"/>
      <c r="V1503" s="391"/>
      <c r="W1503" s="391"/>
      <c r="X1503" s="388"/>
      <c r="Y1503" s="391"/>
      <c r="Z1503" s="393"/>
      <c r="AA1503" s="355" t="str">
        <f t="shared" si="1"/>
        <v/>
      </c>
      <c r="AB1503" s="391"/>
      <c r="AC1503" s="394" t="str">
        <f t="shared" si="2"/>
        <v/>
      </c>
      <c r="AD1503" s="389"/>
      <c r="AE1503" s="399"/>
      <c r="AF1503" s="395"/>
      <c r="AG1503" s="396" t="str">
        <f t="shared" si="3"/>
        <v/>
      </c>
      <c r="AH1503" s="396" t="str">
        <f t="shared" si="4"/>
        <v/>
      </c>
      <c r="AI1503" s="388"/>
      <c r="AJ1503" s="388"/>
      <c r="AK1503" s="397"/>
    </row>
    <row r="1504">
      <c r="A1504" s="398"/>
      <c r="B1504" s="386"/>
      <c r="C1504" s="387" t="str">
        <f>IF(A1504="","",IFERROR(IF(VLOOKUP(A1504,'1. Inbound Leads'!A:G,7,FALSE)=0,"",VLOOKUP(A1504,'1. Inbound Leads'!A:G,7,FALSE)),""))</f>
        <v/>
      </c>
      <c r="D1504" s="387" t="str">
        <f>IF(A1504="","",IFERROR(IF(VLOOKUP(A1504,'1. Inbound Leads'!A:L,12,FALSE)=0,"",VLOOKUP(A1504,'1. Inbound Leads'!A:L,12,FALSE)),""))</f>
        <v/>
      </c>
      <c r="E1504" s="388"/>
      <c r="F1504" s="389"/>
      <c r="G1504" s="387"/>
      <c r="H1504" s="387"/>
      <c r="I1504" s="387"/>
      <c r="J1504" s="387"/>
      <c r="K1504" s="387"/>
      <c r="L1504" s="387"/>
      <c r="M1504" s="388"/>
      <c r="N1504" s="388"/>
      <c r="O1504" s="390"/>
      <c r="P1504" s="391"/>
      <c r="Q1504" s="389"/>
      <c r="R1504" s="390"/>
      <c r="S1504" s="390"/>
      <c r="T1504" s="391"/>
      <c r="U1504" s="392"/>
      <c r="V1504" s="391"/>
      <c r="W1504" s="391"/>
      <c r="X1504" s="388"/>
      <c r="Y1504" s="391"/>
      <c r="Z1504" s="393"/>
      <c r="AA1504" s="355" t="str">
        <f t="shared" si="1"/>
        <v/>
      </c>
      <c r="AB1504" s="391"/>
      <c r="AC1504" s="394" t="str">
        <f t="shared" si="2"/>
        <v/>
      </c>
      <c r="AD1504" s="389"/>
      <c r="AE1504" s="399"/>
      <c r="AF1504" s="395"/>
      <c r="AG1504" s="396" t="str">
        <f t="shared" si="3"/>
        <v/>
      </c>
      <c r="AH1504" s="396" t="str">
        <f t="shared" si="4"/>
        <v/>
      </c>
      <c r="AI1504" s="388"/>
      <c r="AJ1504" s="388"/>
      <c r="AK1504" s="397"/>
    </row>
    <row r="1505">
      <c r="A1505" s="398"/>
      <c r="B1505" s="386"/>
      <c r="C1505" s="387" t="str">
        <f>IF(A1505="","",IFERROR(IF(VLOOKUP(A1505,'1. Inbound Leads'!A:G,7,FALSE)=0,"",VLOOKUP(A1505,'1. Inbound Leads'!A:G,7,FALSE)),""))</f>
        <v/>
      </c>
      <c r="D1505" s="387" t="str">
        <f>IF(A1505="","",IFERROR(IF(VLOOKUP(A1505,'1. Inbound Leads'!A:L,12,FALSE)=0,"",VLOOKUP(A1505,'1. Inbound Leads'!A:L,12,FALSE)),""))</f>
        <v/>
      </c>
      <c r="E1505" s="388"/>
      <c r="F1505" s="389"/>
      <c r="G1505" s="387"/>
      <c r="H1505" s="387"/>
      <c r="I1505" s="387"/>
      <c r="J1505" s="387"/>
      <c r="K1505" s="387"/>
      <c r="L1505" s="387"/>
      <c r="M1505" s="388"/>
      <c r="N1505" s="388"/>
      <c r="O1505" s="390"/>
      <c r="P1505" s="391"/>
      <c r="Q1505" s="389"/>
      <c r="R1505" s="390"/>
      <c r="S1505" s="390"/>
      <c r="T1505" s="391"/>
      <c r="U1505" s="392"/>
      <c r="V1505" s="391"/>
      <c r="W1505" s="391"/>
      <c r="X1505" s="388"/>
      <c r="Y1505" s="391"/>
      <c r="Z1505" s="393"/>
      <c r="AA1505" s="355" t="str">
        <f t="shared" si="1"/>
        <v/>
      </c>
      <c r="AB1505" s="391"/>
      <c r="AC1505" s="394" t="str">
        <f t="shared" si="2"/>
        <v/>
      </c>
      <c r="AD1505" s="389"/>
      <c r="AE1505" s="399"/>
      <c r="AF1505" s="395"/>
      <c r="AG1505" s="396" t="str">
        <f t="shared" si="3"/>
        <v/>
      </c>
      <c r="AH1505" s="396" t="str">
        <f t="shared" si="4"/>
        <v/>
      </c>
      <c r="AI1505" s="388"/>
      <c r="AJ1505" s="388"/>
      <c r="AK1505" s="397"/>
    </row>
    <row r="1506">
      <c r="A1506" s="398"/>
      <c r="B1506" s="386"/>
      <c r="C1506" s="387" t="str">
        <f>IF(A1506="","",IFERROR(IF(VLOOKUP(A1506,'1. Inbound Leads'!A:G,7,FALSE)=0,"",VLOOKUP(A1506,'1. Inbound Leads'!A:G,7,FALSE)),""))</f>
        <v/>
      </c>
      <c r="D1506" s="387" t="str">
        <f>IF(A1506="","",IFERROR(IF(VLOOKUP(A1506,'1. Inbound Leads'!A:L,12,FALSE)=0,"",VLOOKUP(A1506,'1. Inbound Leads'!A:L,12,FALSE)),""))</f>
        <v/>
      </c>
      <c r="E1506" s="388"/>
      <c r="F1506" s="389"/>
      <c r="G1506" s="387"/>
      <c r="H1506" s="387"/>
      <c r="I1506" s="387"/>
      <c r="J1506" s="387"/>
      <c r="K1506" s="387"/>
      <c r="L1506" s="387"/>
      <c r="M1506" s="388"/>
      <c r="N1506" s="388"/>
      <c r="O1506" s="390"/>
      <c r="P1506" s="391"/>
      <c r="Q1506" s="389"/>
      <c r="R1506" s="390"/>
      <c r="S1506" s="390"/>
      <c r="T1506" s="391"/>
      <c r="U1506" s="392"/>
      <c r="V1506" s="391"/>
      <c r="W1506" s="391"/>
      <c r="X1506" s="388"/>
      <c r="Y1506" s="391"/>
      <c r="Z1506" s="393"/>
      <c r="AA1506" s="355" t="str">
        <f t="shared" si="1"/>
        <v/>
      </c>
      <c r="AB1506" s="391"/>
      <c r="AC1506" s="394" t="str">
        <f t="shared" si="2"/>
        <v/>
      </c>
      <c r="AD1506" s="389"/>
      <c r="AE1506" s="399"/>
      <c r="AF1506" s="395"/>
      <c r="AG1506" s="396" t="str">
        <f t="shared" si="3"/>
        <v/>
      </c>
      <c r="AH1506" s="396" t="str">
        <f t="shared" si="4"/>
        <v/>
      </c>
      <c r="AI1506" s="388"/>
      <c r="AJ1506" s="388"/>
      <c r="AK1506" s="397"/>
    </row>
    <row r="1507">
      <c r="A1507" s="398"/>
      <c r="B1507" s="386"/>
      <c r="C1507" s="387" t="str">
        <f>IF(A1507="","",IFERROR(IF(VLOOKUP(A1507,'1. Inbound Leads'!A:G,7,FALSE)=0,"",VLOOKUP(A1507,'1. Inbound Leads'!A:G,7,FALSE)),""))</f>
        <v/>
      </c>
      <c r="D1507" s="387" t="str">
        <f>IF(A1507="","",IFERROR(IF(VLOOKUP(A1507,'1. Inbound Leads'!A:L,12,FALSE)=0,"",VLOOKUP(A1507,'1. Inbound Leads'!A:L,12,FALSE)),""))</f>
        <v/>
      </c>
      <c r="E1507" s="388"/>
      <c r="F1507" s="389"/>
      <c r="G1507" s="387"/>
      <c r="H1507" s="387"/>
      <c r="I1507" s="387"/>
      <c r="J1507" s="387"/>
      <c r="K1507" s="387"/>
      <c r="L1507" s="387"/>
      <c r="M1507" s="388"/>
      <c r="N1507" s="388"/>
      <c r="O1507" s="390"/>
      <c r="P1507" s="391"/>
      <c r="Q1507" s="389"/>
      <c r="R1507" s="390"/>
      <c r="S1507" s="390"/>
      <c r="T1507" s="391"/>
      <c r="U1507" s="392"/>
      <c r="V1507" s="391"/>
      <c r="W1507" s="391"/>
      <c r="X1507" s="388"/>
      <c r="Y1507" s="391"/>
      <c r="Z1507" s="393"/>
      <c r="AA1507" s="355" t="str">
        <f t="shared" si="1"/>
        <v/>
      </c>
      <c r="AB1507" s="391"/>
      <c r="AC1507" s="394" t="str">
        <f t="shared" si="2"/>
        <v/>
      </c>
      <c r="AD1507" s="389"/>
      <c r="AE1507" s="399"/>
      <c r="AF1507" s="395"/>
      <c r="AG1507" s="396" t="str">
        <f t="shared" si="3"/>
        <v/>
      </c>
      <c r="AH1507" s="396" t="str">
        <f t="shared" si="4"/>
        <v/>
      </c>
      <c r="AI1507" s="388"/>
      <c r="AJ1507" s="388"/>
      <c r="AK1507" s="397"/>
    </row>
    <row r="1508">
      <c r="A1508" s="398"/>
      <c r="B1508" s="386"/>
      <c r="C1508" s="387" t="str">
        <f>IF(A1508="","",IFERROR(IF(VLOOKUP(A1508,'1. Inbound Leads'!A:G,7,FALSE)=0,"",VLOOKUP(A1508,'1. Inbound Leads'!A:G,7,FALSE)),""))</f>
        <v/>
      </c>
      <c r="D1508" s="387" t="str">
        <f>IF(A1508="","",IFERROR(IF(VLOOKUP(A1508,'1. Inbound Leads'!A:L,12,FALSE)=0,"",VLOOKUP(A1508,'1. Inbound Leads'!A:L,12,FALSE)),""))</f>
        <v/>
      </c>
      <c r="E1508" s="388"/>
      <c r="F1508" s="389"/>
      <c r="G1508" s="387"/>
      <c r="H1508" s="387"/>
      <c r="I1508" s="387"/>
      <c r="J1508" s="387"/>
      <c r="K1508" s="387"/>
      <c r="L1508" s="387"/>
      <c r="M1508" s="388"/>
      <c r="N1508" s="388"/>
      <c r="O1508" s="390"/>
      <c r="P1508" s="391"/>
      <c r="Q1508" s="389"/>
      <c r="R1508" s="390"/>
      <c r="S1508" s="390"/>
      <c r="T1508" s="391"/>
      <c r="U1508" s="392"/>
      <c r="V1508" s="391"/>
      <c r="W1508" s="391"/>
      <c r="X1508" s="388"/>
      <c r="Y1508" s="391"/>
      <c r="Z1508" s="393"/>
      <c r="AA1508" s="355" t="str">
        <f t="shared" si="1"/>
        <v/>
      </c>
      <c r="AB1508" s="391"/>
      <c r="AC1508" s="394" t="str">
        <f t="shared" si="2"/>
        <v/>
      </c>
      <c r="AD1508" s="389"/>
      <c r="AE1508" s="399"/>
      <c r="AF1508" s="395"/>
      <c r="AG1508" s="396" t="str">
        <f t="shared" si="3"/>
        <v/>
      </c>
      <c r="AH1508" s="396" t="str">
        <f t="shared" si="4"/>
        <v/>
      </c>
      <c r="AI1508" s="388"/>
      <c r="AJ1508" s="388"/>
      <c r="AK1508" s="397"/>
    </row>
    <row r="1509">
      <c r="A1509" s="398"/>
      <c r="B1509" s="386"/>
      <c r="C1509" s="387" t="str">
        <f>IF(A1509="","",IFERROR(IF(VLOOKUP(A1509,'1. Inbound Leads'!A:G,7,FALSE)=0,"",VLOOKUP(A1509,'1. Inbound Leads'!A:G,7,FALSE)),""))</f>
        <v/>
      </c>
      <c r="D1509" s="387" t="str">
        <f>IF(A1509="","",IFERROR(IF(VLOOKUP(A1509,'1. Inbound Leads'!A:L,12,FALSE)=0,"",VLOOKUP(A1509,'1. Inbound Leads'!A:L,12,FALSE)),""))</f>
        <v/>
      </c>
      <c r="E1509" s="388"/>
      <c r="F1509" s="389"/>
      <c r="G1509" s="387"/>
      <c r="H1509" s="387"/>
      <c r="I1509" s="387"/>
      <c r="J1509" s="387"/>
      <c r="K1509" s="387"/>
      <c r="L1509" s="387"/>
      <c r="M1509" s="388"/>
      <c r="N1509" s="388"/>
      <c r="O1509" s="390"/>
      <c r="P1509" s="391"/>
      <c r="Q1509" s="389"/>
      <c r="R1509" s="390"/>
      <c r="S1509" s="390"/>
      <c r="T1509" s="391"/>
      <c r="U1509" s="392"/>
      <c r="V1509" s="391"/>
      <c r="W1509" s="391"/>
      <c r="X1509" s="388"/>
      <c r="Y1509" s="391"/>
      <c r="Z1509" s="393"/>
      <c r="AA1509" s="355" t="str">
        <f t="shared" si="1"/>
        <v/>
      </c>
      <c r="AB1509" s="391"/>
      <c r="AC1509" s="394" t="str">
        <f t="shared" si="2"/>
        <v/>
      </c>
      <c r="AD1509" s="389"/>
      <c r="AE1509" s="399"/>
      <c r="AF1509" s="395"/>
      <c r="AG1509" s="396" t="str">
        <f t="shared" si="3"/>
        <v/>
      </c>
      <c r="AH1509" s="396" t="str">
        <f t="shared" si="4"/>
        <v/>
      </c>
      <c r="AI1509" s="388"/>
      <c r="AJ1509" s="388"/>
      <c r="AK1509" s="397"/>
    </row>
    <row r="1510">
      <c r="A1510" s="398"/>
      <c r="B1510" s="386"/>
      <c r="C1510" s="387" t="str">
        <f>IF(A1510="","",IFERROR(IF(VLOOKUP(A1510,'1. Inbound Leads'!A:G,7,FALSE)=0,"",VLOOKUP(A1510,'1. Inbound Leads'!A:G,7,FALSE)),""))</f>
        <v/>
      </c>
      <c r="D1510" s="387" t="str">
        <f>IF(A1510="","",IFERROR(IF(VLOOKUP(A1510,'1. Inbound Leads'!A:L,12,FALSE)=0,"",VLOOKUP(A1510,'1. Inbound Leads'!A:L,12,FALSE)),""))</f>
        <v/>
      </c>
      <c r="E1510" s="388"/>
      <c r="F1510" s="389"/>
      <c r="G1510" s="387"/>
      <c r="H1510" s="387"/>
      <c r="I1510" s="387"/>
      <c r="J1510" s="387"/>
      <c r="K1510" s="387"/>
      <c r="L1510" s="387"/>
      <c r="M1510" s="388"/>
      <c r="N1510" s="388"/>
      <c r="O1510" s="390"/>
      <c r="P1510" s="391"/>
      <c r="Q1510" s="389"/>
      <c r="R1510" s="390"/>
      <c r="S1510" s="390"/>
      <c r="T1510" s="391"/>
      <c r="U1510" s="392"/>
      <c r="V1510" s="391"/>
      <c r="W1510" s="391"/>
      <c r="X1510" s="388"/>
      <c r="Y1510" s="391"/>
      <c r="Z1510" s="393"/>
      <c r="AA1510" s="355" t="str">
        <f t="shared" si="1"/>
        <v/>
      </c>
      <c r="AB1510" s="391"/>
      <c r="AC1510" s="394" t="str">
        <f t="shared" si="2"/>
        <v/>
      </c>
      <c r="AD1510" s="389"/>
      <c r="AE1510" s="399"/>
      <c r="AF1510" s="395"/>
      <c r="AG1510" s="396" t="str">
        <f t="shared" si="3"/>
        <v/>
      </c>
      <c r="AH1510" s="396" t="str">
        <f t="shared" si="4"/>
        <v/>
      </c>
      <c r="AI1510" s="388"/>
      <c r="AJ1510" s="388"/>
      <c r="AK1510" s="397"/>
    </row>
    <row r="1511">
      <c r="A1511" s="398"/>
      <c r="B1511" s="386"/>
      <c r="C1511" s="387" t="str">
        <f>IF(A1511="","",IFERROR(IF(VLOOKUP(A1511,'1. Inbound Leads'!A:G,7,FALSE)=0,"",VLOOKUP(A1511,'1. Inbound Leads'!A:G,7,FALSE)),""))</f>
        <v/>
      </c>
      <c r="D1511" s="387" t="str">
        <f>IF(A1511="","",IFERROR(IF(VLOOKUP(A1511,'1. Inbound Leads'!A:L,12,FALSE)=0,"",VLOOKUP(A1511,'1. Inbound Leads'!A:L,12,FALSE)),""))</f>
        <v/>
      </c>
      <c r="E1511" s="388"/>
      <c r="F1511" s="389"/>
      <c r="G1511" s="387"/>
      <c r="H1511" s="387"/>
      <c r="I1511" s="387"/>
      <c r="J1511" s="387"/>
      <c r="K1511" s="387"/>
      <c r="L1511" s="387"/>
      <c r="M1511" s="388"/>
      <c r="N1511" s="388"/>
      <c r="O1511" s="390"/>
      <c r="P1511" s="391"/>
      <c r="Q1511" s="389"/>
      <c r="R1511" s="390"/>
      <c r="S1511" s="390"/>
      <c r="T1511" s="391"/>
      <c r="U1511" s="392"/>
      <c r="V1511" s="391"/>
      <c r="W1511" s="391"/>
      <c r="X1511" s="388"/>
      <c r="Y1511" s="391"/>
      <c r="Z1511" s="393"/>
      <c r="AA1511" s="355" t="str">
        <f t="shared" si="1"/>
        <v/>
      </c>
      <c r="AB1511" s="391"/>
      <c r="AC1511" s="394" t="str">
        <f t="shared" si="2"/>
        <v/>
      </c>
      <c r="AD1511" s="389"/>
      <c r="AE1511" s="399"/>
      <c r="AF1511" s="395"/>
      <c r="AG1511" s="396" t="str">
        <f t="shared" si="3"/>
        <v/>
      </c>
      <c r="AH1511" s="396" t="str">
        <f t="shared" si="4"/>
        <v/>
      </c>
      <c r="AI1511" s="388"/>
      <c r="AJ1511" s="388"/>
      <c r="AK1511" s="397"/>
    </row>
    <row r="1512">
      <c r="A1512" s="398"/>
      <c r="B1512" s="386"/>
      <c r="C1512" s="387" t="str">
        <f>IF(A1512="","",IFERROR(IF(VLOOKUP(A1512,'1. Inbound Leads'!A:G,7,FALSE)=0,"",VLOOKUP(A1512,'1. Inbound Leads'!A:G,7,FALSE)),""))</f>
        <v/>
      </c>
      <c r="D1512" s="387" t="str">
        <f>IF(A1512="","",IFERROR(IF(VLOOKUP(A1512,'1. Inbound Leads'!A:L,12,FALSE)=0,"",VLOOKUP(A1512,'1. Inbound Leads'!A:L,12,FALSE)),""))</f>
        <v/>
      </c>
      <c r="E1512" s="388"/>
      <c r="F1512" s="389"/>
      <c r="G1512" s="387"/>
      <c r="H1512" s="387"/>
      <c r="I1512" s="387"/>
      <c r="J1512" s="387"/>
      <c r="K1512" s="387"/>
      <c r="L1512" s="387"/>
      <c r="M1512" s="388"/>
      <c r="N1512" s="388"/>
      <c r="O1512" s="390"/>
      <c r="P1512" s="391"/>
      <c r="Q1512" s="389"/>
      <c r="R1512" s="390"/>
      <c r="S1512" s="390"/>
      <c r="T1512" s="391"/>
      <c r="U1512" s="392"/>
      <c r="V1512" s="391"/>
      <c r="W1512" s="391"/>
      <c r="X1512" s="388"/>
      <c r="Y1512" s="391"/>
      <c r="Z1512" s="393"/>
      <c r="AA1512" s="355" t="str">
        <f t="shared" si="1"/>
        <v/>
      </c>
      <c r="AB1512" s="391"/>
      <c r="AC1512" s="394" t="str">
        <f t="shared" si="2"/>
        <v/>
      </c>
      <c r="AD1512" s="389"/>
      <c r="AE1512" s="399"/>
      <c r="AF1512" s="395"/>
      <c r="AG1512" s="396" t="str">
        <f t="shared" si="3"/>
        <v/>
      </c>
      <c r="AH1512" s="396" t="str">
        <f t="shared" si="4"/>
        <v/>
      </c>
      <c r="AI1512" s="388"/>
      <c r="AJ1512" s="388"/>
      <c r="AK1512" s="397"/>
    </row>
    <row r="1513">
      <c r="A1513" s="398"/>
      <c r="B1513" s="386"/>
      <c r="C1513" s="387" t="str">
        <f>IF(A1513="","",IFERROR(IF(VLOOKUP(A1513,'1. Inbound Leads'!A:G,7,FALSE)=0,"",VLOOKUP(A1513,'1. Inbound Leads'!A:G,7,FALSE)),""))</f>
        <v/>
      </c>
      <c r="D1513" s="387" t="str">
        <f>IF(A1513="","",IFERROR(IF(VLOOKUP(A1513,'1. Inbound Leads'!A:L,12,FALSE)=0,"",VLOOKUP(A1513,'1. Inbound Leads'!A:L,12,FALSE)),""))</f>
        <v/>
      </c>
      <c r="E1513" s="388"/>
      <c r="F1513" s="389"/>
      <c r="G1513" s="387"/>
      <c r="H1513" s="387"/>
      <c r="I1513" s="387"/>
      <c r="J1513" s="387"/>
      <c r="K1513" s="387"/>
      <c r="L1513" s="387"/>
      <c r="M1513" s="388"/>
      <c r="N1513" s="388"/>
      <c r="O1513" s="390"/>
      <c r="P1513" s="391"/>
      <c r="Q1513" s="389"/>
      <c r="R1513" s="390"/>
      <c r="S1513" s="390"/>
      <c r="T1513" s="391"/>
      <c r="U1513" s="392"/>
      <c r="V1513" s="391"/>
      <c r="W1513" s="391"/>
      <c r="X1513" s="388"/>
      <c r="Y1513" s="391"/>
      <c r="Z1513" s="393"/>
      <c r="AA1513" s="355" t="str">
        <f t="shared" si="1"/>
        <v/>
      </c>
      <c r="AB1513" s="391"/>
      <c r="AC1513" s="394" t="str">
        <f t="shared" si="2"/>
        <v/>
      </c>
      <c r="AD1513" s="389"/>
      <c r="AE1513" s="399"/>
      <c r="AF1513" s="395"/>
      <c r="AG1513" s="396" t="str">
        <f t="shared" si="3"/>
        <v/>
      </c>
      <c r="AH1513" s="396" t="str">
        <f t="shared" si="4"/>
        <v/>
      </c>
      <c r="AI1513" s="388"/>
      <c r="AJ1513" s="388"/>
      <c r="AK1513" s="397"/>
    </row>
    <row r="1514">
      <c r="A1514" s="398"/>
      <c r="B1514" s="386"/>
      <c r="C1514" s="387" t="str">
        <f>IF(A1514="","",IFERROR(IF(VLOOKUP(A1514,'1. Inbound Leads'!A:G,7,FALSE)=0,"",VLOOKUP(A1514,'1. Inbound Leads'!A:G,7,FALSE)),""))</f>
        <v/>
      </c>
      <c r="D1514" s="387" t="str">
        <f>IF(A1514="","",IFERROR(IF(VLOOKUP(A1514,'1. Inbound Leads'!A:L,12,FALSE)=0,"",VLOOKUP(A1514,'1. Inbound Leads'!A:L,12,FALSE)),""))</f>
        <v/>
      </c>
      <c r="E1514" s="388"/>
      <c r="F1514" s="389"/>
      <c r="G1514" s="387"/>
      <c r="H1514" s="387"/>
      <c r="I1514" s="387"/>
      <c r="J1514" s="387"/>
      <c r="K1514" s="387"/>
      <c r="L1514" s="387"/>
      <c r="M1514" s="388"/>
      <c r="N1514" s="388"/>
      <c r="O1514" s="390"/>
      <c r="P1514" s="391"/>
      <c r="Q1514" s="389"/>
      <c r="R1514" s="390"/>
      <c r="S1514" s="390"/>
      <c r="T1514" s="391"/>
      <c r="U1514" s="392"/>
      <c r="V1514" s="391"/>
      <c r="W1514" s="391"/>
      <c r="X1514" s="388"/>
      <c r="Y1514" s="391"/>
      <c r="Z1514" s="393"/>
      <c r="AA1514" s="355" t="str">
        <f t="shared" si="1"/>
        <v/>
      </c>
      <c r="AB1514" s="391"/>
      <c r="AC1514" s="394" t="str">
        <f t="shared" si="2"/>
        <v/>
      </c>
      <c r="AD1514" s="389"/>
      <c r="AE1514" s="399"/>
      <c r="AF1514" s="395"/>
      <c r="AG1514" s="396" t="str">
        <f t="shared" si="3"/>
        <v/>
      </c>
      <c r="AH1514" s="396" t="str">
        <f t="shared" si="4"/>
        <v/>
      </c>
      <c r="AI1514" s="388"/>
      <c r="AJ1514" s="388"/>
      <c r="AK1514" s="397"/>
    </row>
    <row r="1515">
      <c r="A1515" s="398"/>
      <c r="B1515" s="386"/>
      <c r="C1515" s="387" t="str">
        <f>IF(A1515="","",IFERROR(IF(VLOOKUP(A1515,'1. Inbound Leads'!A:G,7,FALSE)=0,"",VLOOKUP(A1515,'1. Inbound Leads'!A:G,7,FALSE)),""))</f>
        <v/>
      </c>
      <c r="D1515" s="387" t="str">
        <f>IF(A1515="","",IFERROR(IF(VLOOKUP(A1515,'1. Inbound Leads'!A:L,12,FALSE)=0,"",VLOOKUP(A1515,'1. Inbound Leads'!A:L,12,FALSE)),""))</f>
        <v/>
      </c>
      <c r="E1515" s="388"/>
      <c r="F1515" s="389"/>
      <c r="G1515" s="387"/>
      <c r="H1515" s="387"/>
      <c r="I1515" s="387"/>
      <c r="J1515" s="387"/>
      <c r="K1515" s="387"/>
      <c r="L1515" s="387"/>
      <c r="M1515" s="388"/>
      <c r="N1515" s="388"/>
      <c r="O1515" s="390"/>
      <c r="P1515" s="391"/>
      <c r="Q1515" s="389"/>
      <c r="R1515" s="390"/>
      <c r="S1515" s="390"/>
      <c r="T1515" s="391"/>
      <c r="U1515" s="392"/>
      <c r="V1515" s="391"/>
      <c r="W1515" s="391"/>
      <c r="X1515" s="388"/>
      <c r="Y1515" s="391"/>
      <c r="Z1515" s="393"/>
      <c r="AA1515" s="355" t="str">
        <f t="shared" si="1"/>
        <v/>
      </c>
      <c r="AB1515" s="391"/>
      <c r="AC1515" s="394" t="str">
        <f t="shared" si="2"/>
        <v/>
      </c>
      <c r="AD1515" s="389"/>
      <c r="AE1515" s="399"/>
      <c r="AF1515" s="395"/>
      <c r="AG1515" s="396" t="str">
        <f t="shared" si="3"/>
        <v/>
      </c>
      <c r="AH1515" s="396" t="str">
        <f t="shared" si="4"/>
        <v/>
      </c>
      <c r="AI1515" s="388"/>
      <c r="AJ1515" s="388"/>
      <c r="AK1515" s="397"/>
    </row>
    <row r="1516">
      <c r="A1516" s="398"/>
      <c r="B1516" s="386"/>
      <c r="C1516" s="387" t="str">
        <f>IF(A1516="","",IFERROR(IF(VLOOKUP(A1516,'1. Inbound Leads'!A:G,7,FALSE)=0,"",VLOOKUP(A1516,'1. Inbound Leads'!A:G,7,FALSE)),""))</f>
        <v/>
      </c>
      <c r="D1516" s="387" t="str">
        <f>IF(A1516="","",IFERROR(IF(VLOOKUP(A1516,'1. Inbound Leads'!A:L,12,FALSE)=0,"",VLOOKUP(A1516,'1. Inbound Leads'!A:L,12,FALSE)),""))</f>
        <v/>
      </c>
      <c r="E1516" s="388"/>
      <c r="F1516" s="389"/>
      <c r="G1516" s="387"/>
      <c r="H1516" s="387"/>
      <c r="I1516" s="387"/>
      <c r="J1516" s="387"/>
      <c r="K1516" s="387"/>
      <c r="L1516" s="387"/>
      <c r="M1516" s="388"/>
      <c r="N1516" s="388"/>
      <c r="O1516" s="390"/>
      <c r="P1516" s="391"/>
      <c r="Q1516" s="389"/>
      <c r="R1516" s="390"/>
      <c r="S1516" s="390"/>
      <c r="T1516" s="391"/>
      <c r="U1516" s="392"/>
      <c r="V1516" s="391"/>
      <c r="W1516" s="391"/>
      <c r="X1516" s="388"/>
      <c r="Y1516" s="391"/>
      <c r="Z1516" s="393"/>
      <c r="AA1516" s="355" t="str">
        <f t="shared" si="1"/>
        <v/>
      </c>
      <c r="AB1516" s="391"/>
      <c r="AC1516" s="394" t="str">
        <f t="shared" si="2"/>
        <v/>
      </c>
      <c r="AD1516" s="389"/>
      <c r="AE1516" s="399"/>
      <c r="AF1516" s="395"/>
      <c r="AG1516" s="396" t="str">
        <f t="shared" si="3"/>
        <v/>
      </c>
      <c r="AH1516" s="396" t="str">
        <f t="shared" si="4"/>
        <v/>
      </c>
      <c r="AI1516" s="388"/>
      <c r="AJ1516" s="388"/>
      <c r="AK1516" s="397"/>
    </row>
    <row r="1517">
      <c r="A1517" s="398"/>
      <c r="B1517" s="386"/>
      <c r="C1517" s="387" t="str">
        <f>IF(A1517="","",IFERROR(IF(VLOOKUP(A1517,'1. Inbound Leads'!A:G,7,FALSE)=0,"",VLOOKUP(A1517,'1. Inbound Leads'!A:G,7,FALSE)),""))</f>
        <v/>
      </c>
      <c r="D1517" s="387" t="str">
        <f>IF(A1517="","",IFERROR(IF(VLOOKUP(A1517,'1. Inbound Leads'!A:L,12,FALSE)=0,"",VLOOKUP(A1517,'1. Inbound Leads'!A:L,12,FALSE)),""))</f>
        <v/>
      </c>
      <c r="E1517" s="388"/>
      <c r="F1517" s="389"/>
      <c r="G1517" s="387"/>
      <c r="H1517" s="387"/>
      <c r="I1517" s="387"/>
      <c r="J1517" s="387"/>
      <c r="K1517" s="387"/>
      <c r="L1517" s="387"/>
      <c r="M1517" s="388"/>
      <c r="N1517" s="388"/>
      <c r="O1517" s="390"/>
      <c r="P1517" s="391"/>
      <c r="Q1517" s="389"/>
      <c r="R1517" s="390"/>
      <c r="S1517" s="390"/>
      <c r="T1517" s="391"/>
      <c r="U1517" s="392"/>
      <c r="V1517" s="391"/>
      <c r="W1517" s="391"/>
      <c r="X1517" s="388"/>
      <c r="Y1517" s="391"/>
      <c r="Z1517" s="393"/>
      <c r="AA1517" s="355" t="str">
        <f t="shared" si="1"/>
        <v/>
      </c>
      <c r="AB1517" s="391"/>
      <c r="AC1517" s="394" t="str">
        <f t="shared" si="2"/>
        <v/>
      </c>
      <c r="AD1517" s="389"/>
      <c r="AE1517" s="399"/>
      <c r="AF1517" s="395"/>
      <c r="AG1517" s="396" t="str">
        <f t="shared" si="3"/>
        <v/>
      </c>
      <c r="AH1517" s="396" t="str">
        <f t="shared" si="4"/>
        <v/>
      </c>
      <c r="AI1517" s="388"/>
      <c r="AJ1517" s="388"/>
      <c r="AK1517" s="397"/>
    </row>
    <row r="1518">
      <c r="A1518" s="398"/>
      <c r="B1518" s="386"/>
      <c r="C1518" s="387" t="str">
        <f>IF(A1518="","",IFERROR(IF(VLOOKUP(A1518,'1. Inbound Leads'!A:G,7,FALSE)=0,"",VLOOKUP(A1518,'1. Inbound Leads'!A:G,7,FALSE)),""))</f>
        <v/>
      </c>
      <c r="D1518" s="387" t="str">
        <f>IF(A1518="","",IFERROR(IF(VLOOKUP(A1518,'1. Inbound Leads'!A:L,12,FALSE)=0,"",VLOOKUP(A1518,'1. Inbound Leads'!A:L,12,FALSE)),""))</f>
        <v/>
      </c>
      <c r="E1518" s="388"/>
      <c r="F1518" s="389"/>
      <c r="G1518" s="387"/>
      <c r="H1518" s="387"/>
      <c r="I1518" s="387"/>
      <c r="J1518" s="387"/>
      <c r="K1518" s="387"/>
      <c r="L1518" s="387"/>
      <c r="M1518" s="388"/>
      <c r="N1518" s="388"/>
      <c r="O1518" s="390"/>
      <c r="P1518" s="391"/>
      <c r="Q1518" s="389"/>
      <c r="R1518" s="390"/>
      <c r="S1518" s="390"/>
      <c r="T1518" s="391"/>
      <c r="U1518" s="392"/>
      <c r="V1518" s="391"/>
      <c r="W1518" s="391"/>
      <c r="X1518" s="388"/>
      <c r="Y1518" s="391"/>
      <c r="Z1518" s="393"/>
      <c r="AA1518" s="355" t="str">
        <f t="shared" si="1"/>
        <v/>
      </c>
      <c r="AB1518" s="391"/>
      <c r="AC1518" s="394" t="str">
        <f t="shared" si="2"/>
        <v/>
      </c>
      <c r="AD1518" s="389"/>
      <c r="AE1518" s="399"/>
      <c r="AF1518" s="395"/>
      <c r="AG1518" s="396" t="str">
        <f t="shared" si="3"/>
        <v/>
      </c>
      <c r="AH1518" s="396" t="str">
        <f t="shared" si="4"/>
        <v/>
      </c>
      <c r="AI1518" s="388"/>
      <c r="AJ1518" s="388"/>
      <c r="AK1518" s="397"/>
    </row>
    <row r="1519">
      <c r="A1519" s="398"/>
      <c r="B1519" s="386"/>
      <c r="C1519" s="387" t="str">
        <f>IF(A1519="","",IFERROR(IF(VLOOKUP(A1519,'1. Inbound Leads'!A:G,7,FALSE)=0,"",VLOOKUP(A1519,'1. Inbound Leads'!A:G,7,FALSE)),""))</f>
        <v/>
      </c>
      <c r="D1519" s="387" t="str">
        <f>IF(A1519="","",IFERROR(IF(VLOOKUP(A1519,'1. Inbound Leads'!A:L,12,FALSE)=0,"",VLOOKUP(A1519,'1. Inbound Leads'!A:L,12,FALSE)),""))</f>
        <v/>
      </c>
      <c r="E1519" s="388"/>
      <c r="F1519" s="389"/>
      <c r="G1519" s="387"/>
      <c r="H1519" s="387"/>
      <c r="I1519" s="387"/>
      <c r="J1519" s="387"/>
      <c r="K1519" s="387"/>
      <c r="L1519" s="387"/>
      <c r="M1519" s="388"/>
      <c r="N1519" s="388"/>
      <c r="O1519" s="390"/>
      <c r="P1519" s="391"/>
      <c r="Q1519" s="389"/>
      <c r="R1519" s="390"/>
      <c r="S1519" s="390"/>
      <c r="T1519" s="391"/>
      <c r="U1519" s="392"/>
      <c r="V1519" s="391"/>
      <c r="W1519" s="391"/>
      <c r="X1519" s="388"/>
      <c r="Y1519" s="391"/>
      <c r="Z1519" s="393"/>
      <c r="AA1519" s="355" t="str">
        <f t="shared" si="1"/>
        <v/>
      </c>
      <c r="AB1519" s="391"/>
      <c r="AC1519" s="394" t="str">
        <f t="shared" si="2"/>
        <v/>
      </c>
      <c r="AD1519" s="389"/>
      <c r="AE1519" s="399"/>
      <c r="AF1519" s="395"/>
      <c r="AG1519" s="396" t="str">
        <f t="shared" si="3"/>
        <v/>
      </c>
      <c r="AH1519" s="396" t="str">
        <f t="shared" si="4"/>
        <v/>
      </c>
      <c r="AI1519" s="388"/>
      <c r="AJ1519" s="388"/>
      <c r="AK1519" s="397"/>
    </row>
    <row r="1520">
      <c r="A1520" s="398"/>
      <c r="B1520" s="386"/>
      <c r="C1520" s="387" t="str">
        <f>IF(A1520="","",IFERROR(IF(VLOOKUP(A1520,'1. Inbound Leads'!A:G,7,FALSE)=0,"",VLOOKUP(A1520,'1. Inbound Leads'!A:G,7,FALSE)),""))</f>
        <v/>
      </c>
      <c r="D1520" s="387" t="str">
        <f>IF(A1520="","",IFERROR(IF(VLOOKUP(A1520,'1. Inbound Leads'!A:L,12,FALSE)=0,"",VLOOKUP(A1520,'1. Inbound Leads'!A:L,12,FALSE)),""))</f>
        <v/>
      </c>
      <c r="E1520" s="388"/>
      <c r="F1520" s="389"/>
      <c r="G1520" s="387"/>
      <c r="H1520" s="387"/>
      <c r="I1520" s="387"/>
      <c r="J1520" s="387"/>
      <c r="K1520" s="387"/>
      <c r="L1520" s="387"/>
      <c r="M1520" s="388"/>
      <c r="N1520" s="388"/>
      <c r="O1520" s="390"/>
      <c r="P1520" s="391"/>
      <c r="Q1520" s="389"/>
      <c r="R1520" s="390"/>
      <c r="S1520" s="390"/>
      <c r="T1520" s="391"/>
      <c r="U1520" s="392"/>
      <c r="V1520" s="391"/>
      <c r="W1520" s="391"/>
      <c r="X1520" s="388"/>
      <c r="Y1520" s="391"/>
      <c r="Z1520" s="393"/>
      <c r="AA1520" s="355" t="str">
        <f t="shared" si="1"/>
        <v/>
      </c>
      <c r="AB1520" s="391"/>
      <c r="AC1520" s="394" t="str">
        <f t="shared" si="2"/>
        <v/>
      </c>
      <c r="AD1520" s="389"/>
      <c r="AE1520" s="399"/>
      <c r="AF1520" s="395"/>
      <c r="AG1520" s="396" t="str">
        <f t="shared" si="3"/>
        <v/>
      </c>
      <c r="AH1520" s="396" t="str">
        <f t="shared" si="4"/>
        <v/>
      </c>
      <c r="AI1520" s="388"/>
      <c r="AJ1520" s="388"/>
      <c r="AK1520" s="397"/>
    </row>
    <row r="1521">
      <c r="A1521" s="398"/>
      <c r="B1521" s="386"/>
      <c r="C1521" s="387" t="str">
        <f>IF(A1521="","",IFERROR(IF(VLOOKUP(A1521,'1. Inbound Leads'!A:G,7,FALSE)=0,"",VLOOKUP(A1521,'1. Inbound Leads'!A:G,7,FALSE)),""))</f>
        <v/>
      </c>
      <c r="D1521" s="387" t="str">
        <f>IF(A1521="","",IFERROR(IF(VLOOKUP(A1521,'1. Inbound Leads'!A:L,12,FALSE)=0,"",VLOOKUP(A1521,'1. Inbound Leads'!A:L,12,FALSE)),""))</f>
        <v/>
      </c>
      <c r="E1521" s="388"/>
      <c r="F1521" s="389"/>
      <c r="G1521" s="387"/>
      <c r="H1521" s="387"/>
      <c r="I1521" s="387"/>
      <c r="J1521" s="387"/>
      <c r="K1521" s="387"/>
      <c r="L1521" s="387"/>
      <c r="M1521" s="388"/>
      <c r="N1521" s="388"/>
      <c r="O1521" s="390"/>
      <c r="P1521" s="391"/>
      <c r="Q1521" s="389"/>
      <c r="R1521" s="390"/>
      <c r="S1521" s="390"/>
      <c r="T1521" s="391"/>
      <c r="U1521" s="392"/>
      <c r="V1521" s="391"/>
      <c r="W1521" s="391"/>
      <c r="X1521" s="388"/>
      <c r="Y1521" s="391"/>
      <c r="Z1521" s="393"/>
      <c r="AA1521" s="355" t="str">
        <f t="shared" si="1"/>
        <v/>
      </c>
      <c r="AB1521" s="391"/>
      <c r="AC1521" s="394" t="str">
        <f t="shared" si="2"/>
        <v/>
      </c>
      <c r="AD1521" s="389"/>
      <c r="AE1521" s="399"/>
      <c r="AF1521" s="395"/>
      <c r="AG1521" s="396" t="str">
        <f t="shared" si="3"/>
        <v/>
      </c>
      <c r="AH1521" s="396" t="str">
        <f t="shared" si="4"/>
        <v/>
      </c>
      <c r="AI1521" s="388"/>
      <c r="AJ1521" s="388"/>
      <c r="AK1521" s="397"/>
    </row>
    <row r="1522">
      <c r="A1522" s="398"/>
      <c r="B1522" s="386"/>
      <c r="C1522" s="387" t="str">
        <f>IF(A1522="","",IFERROR(IF(VLOOKUP(A1522,'1. Inbound Leads'!A:G,7,FALSE)=0,"",VLOOKUP(A1522,'1. Inbound Leads'!A:G,7,FALSE)),""))</f>
        <v/>
      </c>
      <c r="D1522" s="387" t="str">
        <f>IF(A1522="","",IFERROR(IF(VLOOKUP(A1522,'1. Inbound Leads'!A:L,12,FALSE)=0,"",VLOOKUP(A1522,'1. Inbound Leads'!A:L,12,FALSE)),""))</f>
        <v/>
      </c>
      <c r="E1522" s="388"/>
      <c r="F1522" s="389"/>
      <c r="G1522" s="387"/>
      <c r="H1522" s="387"/>
      <c r="I1522" s="387"/>
      <c r="J1522" s="387"/>
      <c r="K1522" s="387"/>
      <c r="L1522" s="387"/>
      <c r="M1522" s="388"/>
      <c r="N1522" s="388"/>
      <c r="O1522" s="390"/>
      <c r="P1522" s="391"/>
      <c r="Q1522" s="389"/>
      <c r="R1522" s="390"/>
      <c r="S1522" s="390"/>
      <c r="T1522" s="391"/>
      <c r="U1522" s="392"/>
      <c r="V1522" s="391"/>
      <c r="W1522" s="391"/>
      <c r="X1522" s="388"/>
      <c r="Y1522" s="391"/>
      <c r="Z1522" s="393"/>
      <c r="AA1522" s="355" t="str">
        <f t="shared" si="1"/>
        <v/>
      </c>
      <c r="AB1522" s="391"/>
      <c r="AC1522" s="394" t="str">
        <f t="shared" si="2"/>
        <v/>
      </c>
      <c r="AD1522" s="389"/>
      <c r="AE1522" s="399"/>
      <c r="AF1522" s="395"/>
      <c r="AG1522" s="396" t="str">
        <f t="shared" si="3"/>
        <v/>
      </c>
      <c r="AH1522" s="396" t="str">
        <f t="shared" si="4"/>
        <v/>
      </c>
      <c r="AI1522" s="388"/>
      <c r="AJ1522" s="388"/>
      <c r="AK1522" s="397"/>
    </row>
    <row r="1523">
      <c r="A1523" s="398"/>
      <c r="B1523" s="386"/>
      <c r="C1523" s="387" t="str">
        <f>IF(A1523="","",IFERROR(IF(VLOOKUP(A1523,'1. Inbound Leads'!A:G,7,FALSE)=0,"",VLOOKUP(A1523,'1. Inbound Leads'!A:G,7,FALSE)),""))</f>
        <v/>
      </c>
      <c r="D1523" s="387" t="str">
        <f>IF(A1523="","",IFERROR(IF(VLOOKUP(A1523,'1. Inbound Leads'!A:L,12,FALSE)=0,"",VLOOKUP(A1523,'1. Inbound Leads'!A:L,12,FALSE)),""))</f>
        <v/>
      </c>
      <c r="E1523" s="388"/>
      <c r="F1523" s="389"/>
      <c r="G1523" s="387"/>
      <c r="H1523" s="387"/>
      <c r="I1523" s="387"/>
      <c r="J1523" s="387"/>
      <c r="K1523" s="387"/>
      <c r="L1523" s="387"/>
      <c r="M1523" s="388"/>
      <c r="N1523" s="388"/>
      <c r="O1523" s="390"/>
      <c r="P1523" s="391"/>
      <c r="Q1523" s="389"/>
      <c r="R1523" s="390"/>
      <c r="S1523" s="390"/>
      <c r="T1523" s="391"/>
      <c r="U1523" s="392"/>
      <c r="V1523" s="391"/>
      <c r="W1523" s="391"/>
      <c r="X1523" s="388"/>
      <c r="Y1523" s="391"/>
      <c r="Z1523" s="393"/>
      <c r="AA1523" s="355" t="str">
        <f t="shared" si="1"/>
        <v/>
      </c>
      <c r="AB1523" s="391"/>
      <c r="AC1523" s="394" t="str">
        <f t="shared" si="2"/>
        <v/>
      </c>
      <c r="AD1523" s="389"/>
      <c r="AE1523" s="399"/>
      <c r="AF1523" s="395"/>
      <c r="AG1523" s="396" t="str">
        <f t="shared" si="3"/>
        <v/>
      </c>
      <c r="AH1523" s="396" t="str">
        <f t="shared" si="4"/>
        <v/>
      </c>
      <c r="AI1523" s="388"/>
      <c r="AJ1523" s="388"/>
      <c r="AK1523" s="397"/>
    </row>
    <row r="1524">
      <c r="A1524" s="398"/>
      <c r="B1524" s="386"/>
      <c r="C1524" s="387" t="str">
        <f>IF(A1524="","",IFERROR(IF(VLOOKUP(A1524,'1. Inbound Leads'!A:G,7,FALSE)=0,"",VLOOKUP(A1524,'1. Inbound Leads'!A:G,7,FALSE)),""))</f>
        <v/>
      </c>
      <c r="D1524" s="387" t="str">
        <f>IF(A1524="","",IFERROR(IF(VLOOKUP(A1524,'1. Inbound Leads'!A:L,12,FALSE)=0,"",VLOOKUP(A1524,'1. Inbound Leads'!A:L,12,FALSE)),""))</f>
        <v/>
      </c>
      <c r="E1524" s="388"/>
      <c r="F1524" s="389"/>
      <c r="G1524" s="387"/>
      <c r="H1524" s="387"/>
      <c r="I1524" s="387"/>
      <c r="J1524" s="387"/>
      <c r="K1524" s="387"/>
      <c r="L1524" s="387"/>
      <c r="M1524" s="388"/>
      <c r="N1524" s="388"/>
      <c r="O1524" s="390"/>
      <c r="P1524" s="391"/>
      <c r="Q1524" s="389"/>
      <c r="R1524" s="390"/>
      <c r="S1524" s="390"/>
      <c r="T1524" s="391"/>
      <c r="U1524" s="392"/>
      <c r="V1524" s="391"/>
      <c r="W1524" s="391"/>
      <c r="X1524" s="388"/>
      <c r="Y1524" s="391"/>
      <c r="Z1524" s="393"/>
      <c r="AA1524" s="355" t="str">
        <f t="shared" si="1"/>
        <v/>
      </c>
      <c r="AB1524" s="391"/>
      <c r="AC1524" s="394" t="str">
        <f t="shared" si="2"/>
        <v/>
      </c>
      <c r="AD1524" s="389"/>
      <c r="AE1524" s="399"/>
      <c r="AF1524" s="395"/>
      <c r="AG1524" s="396" t="str">
        <f t="shared" si="3"/>
        <v/>
      </c>
      <c r="AH1524" s="396" t="str">
        <f t="shared" si="4"/>
        <v/>
      </c>
      <c r="AI1524" s="388"/>
      <c r="AJ1524" s="388"/>
      <c r="AK1524" s="397"/>
    </row>
    <row r="1525">
      <c r="A1525" s="398"/>
      <c r="B1525" s="386"/>
      <c r="C1525" s="387" t="str">
        <f>IF(A1525="","",IFERROR(IF(VLOOKUP(A1525,'1. Inbound Leads'!A:G,7,FALSE)=0,"",VLOOKUP(A1525,'1. Inbound Leads'!A:G,7,FALSE)),""))</f>
        <v/>
      </c>
      <c r="D1525" s="387" t="str">
        <f>IF(A1525="","",IFERROR(IF(VLOOKUP(A1525,'1. Inbound Leads'!A:L,12,FALSE)=0,"",VLOOKUP(A1525,'1. Inbound Leads'!A:L,12,FALSE)),""))</f>
        <v/>
      </c>
      <c r="E1525" s="388"/>
      <c r="F1525" s="389"/>
      <c r="G1525" s="387"/>
      <c r="H1525" s="387"/>
      <c r="I1525" s="387"/>
      <c r="J1525" s="387"/>
      <c r="K1525" s="387"/>
      <c r="L1525" s="387"/>
      <c r="M1525" s="388"/>
      <c r="N1525" s="388"/>
      <c r="O1525" s="390"/>
      <c r="P1525" s="391"/>
      <c r="Q1525" s="389"/>
      <c r="R1525" s="390"/>
      <c r="S1525" s="390"/>
      <c r="T1525" s="391"/>
      <c r="U1525" s="392"/>
      <c r="V1525" s="391"/>
      <c r="W1525" s="391"/>
      <c r="X1525" s="388"/>
      <c r="Y1525" s="391"/>
      <c r="Z1525" s="393"/>
      <c r="AA1525" s="355" t="str">
        <f t="shared" si="1"/>
        <v/>
      </c>
      <c r="AB1525" s="391"/>
      <c r="AC1525" s="394" t="str">
        <f t="shared" si="2"/>
        <v/>
      </c>
      <c r="AD1525" s="389"/>
      <c r="AE1525" s="399"/>
      <c r="AF1525" s="395"/>
      <c r="AG1525" s="396" t="str">
        <f t="shared" si="3"/>
        <v/>
      </c>
      <c r="AH1525" s="396" t="str">
        <f t="shared" si="4"/>
        <v/>
      </c>
      <c r="AI1525" s="388"/>
      <c r="AJ1525" s="388"/>
      <c r="AK1525" s="397"/>
    </row>
    <row r="1526">
      <c r="A1526" s="398"/>
      <c r="B1526" s="386"/>
      <c r="C1526" s="387" t="str">
        <f>IF(A1526="","",IFERROR(IF(VLOOKUP(A1526,'1. Inbound Leads'!A:G,7,FALSE)=0,"",VLOOKUP(A1526,'1. Inbound Leads'!A:G,7,FALSE)),""))</f>
        <v/>
      </c>
      <c r="D1526" s="387" t="str">
        <f>IF(A1526="","",IFERROR(IF(VLOOKUP(A1526,'1. Inbound Leads'!A:L,12,FALSE)=0,"",VLOOKUP(A1526,'1. Inbound Leads'!A:L,12,FALSE)),""))</f>
        <v/>
      </c>
      <c r="E1526" s="388"/>
      <c r="F1526" s="389"/>
      <c r="G1526" s="387"/>
      <c r="H1526" s="387"/>
      <c r="I1526" s="387"/>
      <c r="J1526" s="387"/>
      <c r="K1526" s="387"/>
      <c r="L1526" s="387"/>
      <c r="M1526" s="388"/>
      <c r="N1526" s="388"/>
      <c r="O1526" s="390"/>
      <c r="P1526" s="391"/>
      <c r="Q1526" s="389"/>
      <c r="R1526" s="390"/>
      <c r="S1526" s="390"/>
      <c r="T1526" s="391"/>
      <c r="U1526" s="392"/>
      <c r="V1526" s="391"/>
      <c r="W1526" s="391"/>
      <c r="X1526" s="388"/>
      <c r="Y1526" s="391"/>
      <c r="Z1526" s="393"/>
      <c r="AA1526" s="355" t="str">
        <f t="shared" si="1"/>
        <v/>
      </c>
      <c r="AB1526" s="391"/>
      <c r="AC1526" s="394" t="str">
        <f t="shared" si="2"/>
        <v/>
      </c>
      <c r="AD1526" s="389"/>
      <c r="AE1526" s="399"/>
      <c r="AF1526" s="395"/>
      <c r="AG1526" s="396" t="str">
        <f t="shared" si="3"/>
        <v/>
      </c>
      <c r="AH1526" s="396" t="str">
        <f t="shared" si="4"/>
        <v/>
      </c>
      <c r="AI1526" s="388"/>
      <c r="AJ1526" s="388"/>
      <c r="AK1526" s="397"/>
    </row>
    <row r="1527">
      <c r="A1527" s="398"/>
      <c r="B1527" s="386"/>
      <c r="C1527" s="387" t="str">
        <f>IF(A1527="","",IFERROR(IF(VLOOKUP(A1527,'1. Inbound Leads'!A:G,7,FALSE)=0,"",VLOOKUP(A1527,'1. Inbound Leads'!A:G,7,FALSE)),""))</f>
        <v/>
      </c>
      <c r="D1527" s="387" t="str">
        <f>IF(A1527="","",IFERROR(IF(VLOOKUP(A1527,'1. Inbound Leads'!A:L,12,FALSE)=0,"",VLOOKUP(A1527,'1. Inbound Leads'!A:L,12,FALSE)),""))</f>
        <v/>
      </c>
      <c r="E1527" s="388"/>
      <c r="F1527" s="389"/>
      <c r="G1527" s="387"/>
      <c r="H1527" s="387"/>
      <c r="I1527" s="387"/>
      <c r="J1527" s="387"/>
      <c r="K1527" s="387"/>
      <c r="L1527" s="387"/>
      <c r="M1527" s="388"/>
      <c r="N1527" s="388"/>
      <c r="O1527" s="390"/>
      <c r="P1527" s="391"/>
      <c r="Q1527" s="389"/>
      <c r="R1527" s="390"/>
      <c r="S1527" s="390"/>
      <c r="T1527" s="391"/>
      <c r="U1527" s="392"/>
      <c r="V1527" s="391"/>
      <c r="W1527" s="391"/>
      <c r="X1527" s="388"/>
      <c r="Y1527" s="391"/>
      <c r="Z1527" s="393"/>
      <c r="AA1527" s="355" t="str">
        <f t="shared" si="1"/>
        <v/>
      </c>
      <c r="AB1527" s="391"/>
      <c r="AC1527" s="394" t="str">
        <f t="shared" si="2"/>
        <v/>
      </c>
      <c r="AD1527" s="389"/>
      <c r="AE1527" s="399"/>
      <c r="AF1527" s="395"/>
      <c r="AG1527" s="396" t="str">
        <f t="shared" si="3"/>
        <v/>
      </c>
      <c r="AH1527" s="396" t="str">
        <f t="shared" si="4"/>
        <v/>
      </c>
      <c r="AI1527" s="388"/>
      <c r="AJ1527" s="388"/>
      <c r="AK1527" s="397"/>
    </row>
    <row r="1528">
      <c r="A1528" s="398"/>
      <c r="B1528" s="386"/>
      <c r="C1528" s="387" t="str">
        <f>IF(A1528="","",IFERROR(IF(VLOOKUP(A1528,'1. Inbound Leads'!A:G,7,FALSE)=0,"",VLOOKUP(A1528,'1. Inbound Leads'!A:G,7,FALSE)),""))</f>
        <v/>
      </c>
      <c r="D1528" s="387" t="str">
        <f>IF(A1528="","",IFERROR(IF(VLOOKUP(A1528,'1. Inbound Leads'!A:L,12,FALSE)=0,"",VLOOKUP(A1528,'1. Inbound Leads'!A:L,12,FALSE)),""))</f>
        <v/>
      </c>
      <c r="E1528" s="388"/>
      <c r="F1528" s="389"/>
      <c r="G1528" s="387"/>
      <c r="H1528" s="387"/>
      <c r="I1528" s="387"/>
      <c r="J1528" s="387"/>
      <c r="K1528" s="387"/>
      <c r="L1528" s="387"/>
      <c r="M1528" s="388"/>
      <c r="N1528" s="388"/>
      <c r="O1528" s="390"/>
      <c r="P1528" s="391"/>
      <c r="Q1528" s="389"/>
      <c r="R1528" s="390"/>
      <c r="S1528" s="390"/>
      <c r="T1528" s="391"/>
      <c r="U1528" s="392"/>
      <c r="V1528" s="391"/>
      <c r="W1528" s="391"/>
      <c r="X1528" s="388"/>
      <c r="Y1528" s="391"/>
      <c r="Z1528" s="393"/>
      <c r="AA1528" s="355" t="str">
        <f t="shared" si="1"/>
        <v/>
      </c>
      <c r="AB1528" s="391"/>
      <c r="AC1528" s="394" t="str">
        <f t="shared" si="2"/>
        <v/>
      </c>
      <c r="AD1528" s="389"/>
      <c r="AE1528" s="399"/>
      <c r="AF1528" s="395"/>
      <c r="AG1528" s="396" t="str">
        <f t="shared" si="3"/>
        <v/>
      </c>
      <c r="AH1528" s="396" t="str">
        <f t="shared" si="4"/>
        <v/>
      </c>
      <c r="AI1528" s="388"/>
      <c r="AJ1528" s="388"/>
      <c r="AK1528" s="397"/>
    </row>
    <row r="1529">
      <c r="A1529" s="398"/>
      <c r="B1529" s="386"/>
      <c r="C1529" s="387" t="str">
        <f>IF(A1529="","",IFERROR(IF(VLOOKUP(A1529,'1. Inbound Leads'!A:G,7,FALSE)=0,"",VLOOKUP(A1529,'1. Inbound Leads'!A:G,7,FALSE)),""))</f>
        <v/>
      </c>
      <c r="D1529" s="387" t="str">
        <f>IF(A1529="","",IFERROR(IF(VLOOKUP(A1529,'1. Inbound Leads'!A:L,12,FALSE)=0,"",VLOOKUP(A1529,'1. Inbound Leads'!A:L,12,FALSE)),""))</f>
        <v/>
      </c>
      <c r="E1529" s="388"/>
      <c r="F1529" s="389"/>
      <c r="G1529" s="387"/>
      <c r="H1529" s="387"/>
      <c r="I1529" s="387"/>
      <c r="J1529" s="387"/>
      <c r="K1529" s="387"/>
      <c r="L1529" s="387"/>
      <c r="M1529" s="388"/>
      <c r="N1529" s="388"/>
      <c r="O1529" s="390"/>
      <c r="P1529" s="391"/>
      <c r="Q1529" s="389"/>
      <c r="R1529" s="390"/>
      <c r="S1529" s="390"/>
      <c r="T1529" s="391"/>
      <c r="U1529" s="392"/>
      <c r="V1529" s="391"/>
      <c r="W1529" s="391"/>
      <c r="X1529" s="388"/>
      <c r="Y1529" s="391"/>
      <c r="Z1529" s="393"/>
      <c r="AA1529" s="355" t="str">
        <f t="shared" si="1"/>
        <v/>
      </c>
      <c r="AB1529" s="391"/>
      <c r="AC1529" s="394" t="str">
        <f t="shared" si="2"/>
        <v/>
      </c>
      <c r="AD1529" s="389"/>
      <c r="AE1529" s="399"/>
      <c r="AF1529" s="395"/>
      <c r="AG1529" s="396" t="str">
        <f t="shared" si="3"/>
        <v/>
      </c>
      <c r="AH1529" s="396" t="str">
        <f t="shared" si="4"/>
        <v/>
      </c>
      <c r="AI1529" s="388"/>
      <c r="AJ1529" s="388"/>
      <c r="AK1529" s="397"/>
    </row>
    <row r="1530">
      <c r="A1530" s="398"/>
      <c r="B1530" s="386"/>
      <c r="C1530" s="387" t="str">
        <f>IF(A1530="","",IFERROR(IF(VLOOKUP(A1530,'1. Inbound Leads'!A:G,7,FALSE)=0,"",VLOOKUP(A1530,'1. Inbound Leads'!A:G,7,FALSE)),""))</f>
        <v/>
      </c>
      <c r="D1530" s="387" t="str">
        <f>IF(A1530="","",IFERROR(IF(VLOOKUP(A1530,'1. Inbound Leads'!A:L,12,FALSE)=0,"",VLOOKUP(A1530,'1. Inbound Leads'!A:L,12,FALSE)),""))</f>
        <v/>
      </c>
      <c r="E1530" s="388"/>
      <c r="F1530" s="389"/>
      <c r="G1530" s="387"/>
      <c r="H1530" s="387"/>
      <c r="I1530" s="387"/>
      <c r="J1530" s="387"/>
      <c r="K1530" s="387"/>
      <c r="L1530" s="387"/>
      <c r="M1530" s="388"/>
      <c r="N1530" s="388"/>
      <c r="O1530" s="390"/>
      <c r="P1530" s="391"/>
      <c r="Q1530" s="389"/>
      <c r="R1530" s="390"/>
      <c r="S1530" s="390"/>
      <c r="T1530" s="391"/>
      <c r="U1530" s="392"/>
      <c r="V1530" s="391"/>
      <c r="W1530" s="391"/>
      <c r="X1530" s="388"/>
      <c r="Y1530" s="391"/>
      <c r="Z1530" s="393"/>
      <c r="AA1530" s="355" t="str">
        <f t="shared" si="1"/>
        <v/>
      </c>
      <c r="AB1530" s="391"/>
      <c r="AC1530" s="394" t="str">
        <f t="shared" si="2"/>
        <v/>
      </c>
      <c r="AD1530" s="389"/>
      <c r="AE1530" s="399"/>
      <c r="AF1530" s="395"/>
      <c r="AG1530" s="396" t="str">
        <f t="shared" si="3"/>
        <v/>
      </c>
      <c r="AH1530" s="396" t="str">
        <f t="shared" si="4"/>
        <v/>
      </c>
      <c r="AI1530" s="388"/>
      <c r="AJ1530" s="388"/>
      <c r="AK1530" s="397"/>
    </row>
    <row r="1531">
      <c r="A1531" s="398"/>
      <c r="B1531" s="386"/>
      <c r="C1531" s="387" t="str">
        <f>IF(A1531="","",IFERROR(IF(VLOOKUP(A1531,'1. Inbound Leads'!A:G,7,FALSE)=0,"",VLOOKUP(A1531,'1. Inbound Leads'!A:G,7,FALSE)),""))</f>
        <v/>
      </c>
      <c r="D1531" s="387" t="str">
        <f>IF(A1531="","",IFERROR(IF(VLOOKUP(A1531,'1. Inbound Leads'!A:L,12,FALSE)=0,"",VLOOKUP(A1531,'1. Inbound Leads'!A:L,12,FALSE)),""))</f>
        <v/>
      </c>
      <c r="E1531" s="388"/>
      <c r="F1531" s="389"/>
      <c r="G1531" s="387"/>
      <c r="H1531" s="387"/>
      <c r="I1531" s="387"/>
      <c r="J1531" s="387"/>
      <c r="K1531" s="387"/>
      <c r="L1531" s="387"/>
      <c r="M1531" s="388"/>
      <c r="N1531" s="388"/>
      <c r="O1531" s="390"/>
      <c r="P1531" s="391"/>
      <c r="Q1531" s="389"/>
      <c r="R1531" s="390"/>
      <c r="S1531" s="390"/>
      <c r="T1531" s="391"/>
      <c r="U1531" s="392"/>
      <c r="V1531" s="391"/>
      <c r="W1531" s="391"/>
      <c r="X1531" s="388"/>
      <c r="Y1531" s="391"/>
      <c r="Z1531" s="393"/>
      <c r="AA1531" s="355" t="str">
        <f t="shared" si="1"/>
        <v/>
      </c>
      <c r="AB1531" s="391"/>
      <c r="AC1531" s="394" t="str">
        <f t="shared" si="2"/>
        <v/>
      </c>
      <c r="AD1531" s="389"/>
      <c r="AE1531" s="399"/>
      <c r="AF1531" s="395"/>
      <c r="AG1531" s="396" t="str">
        <f t="shared" si="3"/>
        <v/>
      </c>
      <c r="AH1531" s="396" t="str">
        <f t="shared" si="4"/>
        <v/>
      </c>
      <c r="AI1531" s="388"/>
      <c r="AJ1531" s="388"/>
      <c r="AK1531" s="397"/>
    </row>
    <row r="1532">
      <c r="A1532" s="398"/>
      <c r="B1532" s="386"/>
      <c r="C1532" s="387" t="str">
        <f>IF(A1532="","",IFERROR(IF(VLOOKUP(A1532,'1. Inbound Leads'!A:G,7,FALSE)=0,"",VLOOKUP(A1532,'1. Inbound Leads'!A:G,7,FALSE)),""))</f>
        <v/>
      </c>
      <c r="D1532" s="387" t="str">
        <f>IF(A1532="","",IFERROR(IF(VLOOKUP(A1532,'1. Inbound Leads'!A:L,12,FALSE)=0,"",VLOOKUP(A1532,'1. Inbound Leads'!A:L,12,FALSE)),""))</f>
        <v/>
      </c>
      <c r="E1532" s="388"/>
      <c r="F1532" s="389"/>
      <c r="G1532" s="387"/>
      <c r="H1532" s="387"/>
      <c r="I1532" s="387"/>
      <c r="J1532" s="387"/>
      <c r="K1532" s="387"/>
      <c r="L1532" s="387"/>
      <c r="M1532" s="388"/>
      <c r="N1532" s="388"/>
      <c r="O1532" s="390"/>
      <c r="P1532" s="391"/>
      <c r="Q1532" s="389"/>
      <c r="R1532" s="390"/>
      <c r="S1532" s="390"/>
      <c r="T1532" s="391"/>
      <c r="U1532" s="392"/>
      <c r="V1532" s="391"/>
      <c r="W1532" s="391"/>
      <c r="X1532" s="388"/>
      <c r="Y1532" s="391"/>
      <c r="Z1532" s="393"/>
      <c r="AA1532" s="355" t="str">
        <f t="shared" si="1"/>
        <v/>
      </c>
      <c r="AB1532" s="391"/>
      <c r="AC1532" s="394" t="str">
        <f t="shared" si="2"/>
        <v/>
      </c>
      <c r="AD1532" s="389"/>
      <c r="AE1532" s="399"/>
      <c r="AF1532" s="395"/>
      <c r="AG1532" s="396" t="str">
        <f t="shared" si="3"/>
        <v/>
      </c>
      <c r="AH1532" s="396" t="str">
        <f t="shared" si="4"/>
        <v/>
      </c>
      <c r="AI1532" s="388"/>
      <c r="AJ1532" s="388"/>
      <c r="AK1532" s="397"/>
    </row>
    <row r="1533">
      <c r="A1533" s="398"/>
      <c r="B1533" s="386"/>
      <c r="C1533" s="387" t="str">
        <f>IF(A1533="","",IFERROR(IF(VLOOKUP(A1533,'1. Inbound Leads'!A:G,7,FALSE)=0,"",VLOOKUP(A1533,'1. Inbound Leads'!A:G,7,FALSE)),""))</f>
        <v/>
      </c>
      <c r="D1533" s="387" t="str">
        <f>IF(A1533="","",IFERROR(IF(VLOOKUP(A1533,'1. Inbound Leads'!A:L,12,FALSE)=0,"",VLOOKUP(A1533,'1. Inbound Leads'!A:L,12,FALSE)),""))</f>
        <v/>
      </c>
      <c r="E1533" s="388"/>
      <c r="F1533" s="389"/>
      <c r="G1533" s="387"/>
      <c r="H1533" s="387"/>
      <c r="I1533" s="387"/>
      <c r="J1533" s="387"/>
      <c r="K1533" s="387"/>
      <c r="L1533" s="387"/>
      <c r="M1533" s="388"/>
      <c r="N1533" s="388"/>
      <c r="O1533" s="390"/>
      <c r="P1533" s="391"/>
      <c r="Q1533" s="389"/>
      <c r="R1533" s="390"/>
      <c r="S1533" s="390"/>
      <c r="T1533" s="391"/>
      <c r="U1533" s="392"/>
      <c r="V1533" s="391"/>
      <c r="W1533" s="391"/>
      <c r="X1533" s="388"/>
      <c r="Y1533" s="391"/>
      <c r="Z1533" s="393"/>
      <c r="AA1533" s="355" t="str">
        <f t="shared" si="1"/>
        <v/>
      </c>
      <c r="AB1533" s="391"/>
      <c r="AC1533" s="394" t="str">
        <f t="shared" si="2"/>
        <v/>
      </c>
      <c r="AD1533" s="389"/>
      <c r="AE1533" s="399"/>
      <c r="AF1533" s="395"/>
      <c r="AG1533" s="396" t="str">
        <f t="shared" si="3"/>
        <v/>
      </c>
      <c r="AH1533" s="396" t="str">
        <f t="shared" si="4"/>
        <v/>
      </c>
      <c r="AI1533" s="388"/>
      <c r="AJ1533" s="388"/>
      <c r="AK1533" s="397"/>
    </row>
    <row r="1534">
      <c r="A1534" s="398"/>
      <c r="B1534" s="386"/>
      <c r="C1534" s="387" t="str">
        <f>IF(A1534="","",IFERROR(IF(VLOOKUP(A1534,'1. Inbound Leads'!A:G,7,FALSE)=0,"",VLOOKUP(A1534,'1. Inbound Leads'!A:G,7,FALSE)),""))</f>
        <v/>
      </c>
      <c r="D1534" s="387" t="str">
        <f>IF(A1534="","",IFERROR(IF(VLOOKUP(A1534,'1. Inbound Leads'!A:L,12,FALSE)=0,"",VLOOKUP(A1534,'1. Inbound Leads'!A:L,12,FALSE)),""))</f>
        <v/>
      </c>
      <c r="E1534" s="388"/>
      <c r="F1534" s="389"/>
      <c r="G1534" s="387"/>
      <c r="H1534" s="387"/>
      <c r="I1534" s="387"/>
      <c r="J1534" s="387"/>
      <c r="K1534" s="387"/>
      <c r="L1534" s="387"/>
      <c r="M1534" s="388"/>
      <c r="N1534" s="388"/>
      <c r="O1534" s="390"/>
      <c r="P1534" s="391"/>
      <c r="Q1534" s="389"/>
      <c r="R1534" s="390"/>
      <c r="S1534" s="390"/>
      <c r="T1534" s="391"/>
      <c r="U1534" s="392"/>
      <c r="V1534" s="391"/>
      <c r="W1534" s="391"/>
      <c r="X1534" s="388"/>
      <c r="Y1534" s="391"/>
      <c r="Z1534" s="393"/>
      <c r="AA1534" s="355" t="str">
        <f t="shared" si="1"/>
        <v/>
      </c>
      <c r="AB1534" s="391"/>
      <c r="AC1534" s="394" t="str">
        <f t="shared" si="2"/>
        <v/>
      </c>
      <c r="AD1534" s="389"/>
      <c r="AE1534" s="399"/>
      <c r="AF1534" s="395"/>
      <c r="AG1534" s="396" t="str">
        <f t="shared" si="3"/>
        <v/>
      </c>
      <c r="AH1534" s="396" t="str">
        <f t="shared" si="4"/>
        <v/>
      </c>
      <c r="AI1534" s="388"/>
      <c r="AJ1534" s="388"/>
      <c r="AK1534" s="397"/>
    </row>
    <row r="1535">
      <c r="A1535" s="398"/>
      <c r="B1535" s="386"/>
      <c r="C1535" s="387" t="str">
        <f>IF(A1535="","",IFERROR(IF(VLOOKUP(A1535,'1. Inbound Leads'!A:G,7,FALSE)=0,"",VLOOKUP(A1535,'1. Inbound Leads'!A:G,7,FALSE)),""))</f>
        <v/>
      </c>
      <c r="D1535" s="387" t="str">
        <f>IF(A1535="","",IFERROR(IF(VLOOKUP(A1535,'1. Inbound Leads'!A:L,12,FALSE)=0,"",VLOOKUP(A1535,'1. Inbound Leads'!A:L,12,FALSE)),""))</f>
        <v/>
      </c>
      <c r="E1535" s="388"/>
      <c r="F1535" s="389"/>
      <c r="G1535" s="387"/>
      <c r="H1535" s="387"/>
      <c r="I1535" s="387"/>
      <c r="J1535" s="387"/>
      <c r="K1535" s="387"/>
      <c r="L1535" s="387"/>
      <c r="M1535" s="388"/>
      <c r="N1535" s="388"/>
      <c r="O1535" s="390"/>
      <c r="P1535" s="391"/>
      <c r="Q1535" s="389"/>
      <c r="R1535" s="390"/>
      <c r="S1535" s="390"/>
      <c r="T1535" s="391"/>
      <c r="U1535" s="392"/>
      <c r="V1535" s="391"/>
      <c r="W1535" s="391"/>
      <c r="X1535" s="388"/>
      <c r="Y1535" s="391"/>
      <c r="Z1535" s="393"/>
      <c r="AA1535" s="355" t="str">
        <f t="shared" si="1"/>
        <v/>
      </c>
      <c r="AB1535" s="391"/>
      <c r="AC1535" s="394" t="str">
        <f t="shared" si="2"/>
        <v/>
      </c>
      <c r="AD1535" s="389"/>
      <c r="AE1535" s="399"/>
      <c r="AF1535" s="395"/>
      <c r="AG1535" s="396" t="str">
        <f t="shared" si="3"/>
        <v/>
      </c>
      <c r="AH1535" s="396" t="str">
        <f t="shared" si="4"/>
        <v/>
      </c>
      <c r="AI1535" s="388"/>
      <c r="AJ1535" s="388"/>
      <c r="AK1535" s="397"/>
    </row>
    <row r="1536">
      <c r="A1536" s="398"/>
      <c r="B1536" s="386"/>
      <c r="C1536" s="387" t="str">
        <f>IF(A1536="","",IFERROR(IF(VLOOKUP(A1536,'1. Inbound Leads'!A:G,7,FALSE)=0,"",VLOOKUP(A1536,'1. Inbound Leads'!A:G,7,FALSE)),""))</f>
        <v/>
      </c>
      <c r="D1536" s="387" t="str">
        <f>IF(A1536="","",IFERROR(IF(VLOOKUP(A1536,'1. Inbound Leads'!A:L,12,FALSE)=0,"",VLOOKUP(A1536,'1. Inbound Leads'!A:L,12,FALSE)),""))</f>
        <v/>
      </c>
      <c r="E1536" s="388"/>
      <c r="F1536" s="389"/>
      <c r="G1536" s="387"/>
      <c r="H1536" s="387"/>
      <c r="I1536" s="387"/>
      <c r="J1536" s="387"/>
      <c r="K1536" s="387"/>
      <c r="L1536" s="387"/>
      <c r="M1536" s="388"/>
      <c r="N1536" s="388"/>
      <c r="O1536" s="390"/>
      <c r="P1536" s="391"/>
      <c r="Q1536" s="389"/>
      <c r="R1536" s="390"/>
      <c r="S1536" s="390"/>
      <c r="T1536" s="391"/>
      <c r="U1536" s="392"/>
      <c r="V1536" s="391"/>
      <c r="W1536" s="391"/>
      <c r="X1536" s="388"/>
      <c r="Y1536" s="391"/>
      <c r="Z1536" s="393"/>
      <c r="AA1536" s="355" t="str">
        <f t="shared" si="1"/>
        <v/>
      </c>
      <c r="AB1536" s="391"/>
      <c r="AC1536" s="394" t="str">
        <f t="shared" si="2"/>
        <v/>
      </c>
      <c r="AD1536" s="389"/>
      <c r="AE1536" s="399"/>
      <c r="AF1536" s="395"/>
      <c r="AG1536" s="396" t="str">
        <f t="shared" si="3"/>
        <v/>
      </c>
      <c r="AH1536" s="396" t="str">
        <f t="shared" si="4"/>
        <v/>
      </c>
      <c r="AI1536" s="388"/>
      <c r="AJ1536" s="388"/>
      <c r="AK1536" s="397"/>
    </row>
    <row r="1537">
      <c r="A1537" s="398"/>
      <c r="B1537" s="386"/>
      <c r="C1537" s="387" t="str">
        <f>IF(A1537="","",IFERROR(IF(VLOOKUP(A1537,'1. Inbound Leads'!A:G,7,FALSE)=0,"",VLOOKUP(A1537,'1. Inbound Leads'!A:G,7,FALSE)),""))</f>
        <v/>
      </c>
      <c r="D1537" s="387" t="str">
        <f>IF(A1537="","",IFERROR(IF(VLOOKUP(A1537,'1. Inbound Leads'!A:L,12,FALSE)=0,"",VLOOKUP(A1537,'1. Inbound Leads'!A:L,12,FALSE)),""))</f>
        <v/>
      </c>
      <c r="E1537" s="388"/>
      <c r="F1537" s="389"/>
      <c r="G1537" s="387"/>
      <c r="H1537" s="387"/>
      <c r="I1537" s="387"/>
      <c r="J1537" s="387"/>
      <c r="K1537" s="387"/>
      <c r="L1537" s="387"/>
      <c r="M1537" s="388"/>
      <c r="N1537" s="388"/>
      <c r="O1537" s="390"/>
      <c r="P1537" s="391"/>
      <c r="Q1537" s="389"/>
      <c r="R1537" s="390"/>
      <c r="S1537" s="390"/>
      <c r="T1537" s="391"/>
      <c r="U1537" s="392"/>
      <c r="V1537" s="391"/>
      <c r="W1537" s="391"/>
      <c r="X1537" s="388"/>
      <c r="Y1537" s="391"/>
      <c r="Z1537" s="393"/>
      <c r="AA1537" s="355" t="str">
        <f t="shared" si="1"/>
        <v/>
      </c>
      <c r="AB1537" s="391"/>
      <c r="AC1537" s="394" t="str">
        <f t="shared" si="2"/>
        <v/>
      </c>
      <c r="AD1537" s="389"/>
      <c r="AE1537" s="399"/>
      <c r="AF1537" s="395"/>
      <c r="AG1537" s="396" t="str">
        <f t="shared" si="3"/>
        <v/>
      </c>
      <c r="AH1537" s="396" t="str">
        <f t="shared" si="4"/>
        <v/>
      </c>
      <c r="AI1537" s="388"/>
      <c r="AJ1537" s="388"/>
      <c r="AK1537" s="397"/>
    </row>
    <row r="1538">
      <c r="A1538" s="398"/>
      <c r="B1538" s="386"/>
      <c r="C1538" s="387" t="str">
        <f>IF(A1538="","",IFERROR(IF(VLOOKUP(A1538,'1. Inbound Leads'!A:G,7,FALSE)=0,"",VLOOKUP(A1538,'1. Inbound Leads'!A:G,7,FALSE)),""))</f>
        <v/>
      </c>
      <c r="D1538" s="387" t="str">
        <f>IF(A1538="","",IFERROR(IF(VLOOKUP(A1538,'1. Inbound Leads'!A:L,12,FALSE)=0,"",VLOOKUP(A1538,'1. Inbound Leads'!A:L,12,FALSE)),""))</f>
        <v/>
      </c>
      <c r="E1538" s="388"/>
      <c r="F1538" s="389"/>
      <c r="G1538" s="387"/>
      <c r="H1538" s="387"/>
      <c r="I1538" s="387"/>
      <c r="J1538" s="387"/>
      <c r="K1538" s="387"/>
      <c r="L1538" s="387"/>
      <c r="M1538" s="388"/>
      <c r="N1538" s="388"/>
      <c r="O1538" s="390"/>
      <c r="P1538" s="391"/>
      <c r="Q1538" s="389"/>
      <c r="R1538" s="390"/>
      <c r="S1538" s="390"/>
      <c r="T1538" s="391"/>
      <c r="U1538" s="392"/>
      <c r="V1538" s="391"/>
      <c r="W1538" s="391"/>
      <c r="X1538" s="388"/>
      <c r="Y1538" s="391"/>
      <c r="Z1538" s="393"/>
      <c r="AA1538" s="355" t="str">
        <f t="shared" si="1"/>
        <v/>
      </c>
      <c r="AB1538" s="391"/>
      <c r="AC1538" s="394" t="str">
        <f t="shared" si="2"/>
        <v/>
      </c>
      <c r="AD1538" s="389"/>
      <c r="AE1538" s="399"/>
      <c r="AF1538" s="395"/>
      <c r="AG1538" s="396" t="str">
        <f t="shared" si="3"/>
        <v/>
      </c>
      <c r="AH1538" s="396" t="str">
        <f t="shared" si="4"/>
        <v/>
      </c>
      <c r="AI1538" s="388"/>
      <c r="AJ1538" s="388"/>
      <c r="AK1538" s="397"/>
    </row>
    <row r="1539">
      <c r="A1539" s="398"/>
      <c r="B1539" s="386"/>
      <c r="C1539" s="387" t="str">
        <f>IF(A1539="","",IFERROR(IF(VLOOKUP(A1539,'1. Inbound Leads'!A:G,7,FALSE)=0,"",VLOOKUP(A1539,'1. Inbound Leads'!A:G,7,FALSE)),""))</f>
        <v/>
      </c>
      <c r="D1539" s="387" t="str">
        <f>IF(A1539="","",IFERROR(IF(VLOOKUP(A1539,'1. Inbound Leads'!A:L,12,FALSE)=0,"",VLOOKUP(A1539,'1. Inbound Leads'!A:L,12,FALSE)),""))</f>
        <v/>
      </c>
      <c r="E1539" s="388"/>
      <c r="F1539" s="389"/>
      <c r="G1539" s="387"/>
      <c r="H1539" s="387"/>
      <c r="I1539" s="387"/>
      <c r="J1539" s="387"/>
      <c r="K1539" s="387"/>
      <c r="L1539" s="387"/>
      <c r="M1539" s="388"/>
      <c r="N1539" s="388"/>
      <c r="O1539" s="390"/>
      <c r="P1539" s="391"/>
      <c r="Q1539" s="389"/>
      <c r="R1539" s="390"/>
      <c r="S1539" s="390"/>
      <c r="T1539" s="391"/>
      <c r="U1539" s="392"/>
      <c r="V1539" s="391"/>
      <c r="W1539" s="391"/>
      <c r="X1539" s="388"/>
      <c r="Y1539" s="391"/>
      <c r="Z1539" s="393"/>
      <c r="AA1539" s="355" t="str">
        <f t="shared" si="1"/>
        <v/>
      </c>
      <c r="AB1539" s="391"/>
      <c r="AC1539" s="394" t="str">
        <f t="shared" si="2"/>
        <v/>
      </c>
      <c r="AD1539" s="389"/>
      <c r="AE1539" s="399"/>
      <c r="AF1539" s="395"/>
      <c r="AG1539" s="396" t="str">
        <f t="shared" si="3"/>
        <v/>
      </c>
      <c r="AH1539" s="396" t="str">
        <f t="shared" si="4"/>
        <v/>
      </c>
      <c r="AI1539" s="388"/>
      <c r="AJ1539" s="388"/>
      <c r="AK1539" s="397"/>
    </row>
    <row r="1540">
      <c r="A1540" s="398"/>
      <c r="B1540" s="386"/>
      <c r="C1540" s="387" t="str">
        <f>IF(A1540="","",IFERROR(IF(VLOOKUP(A1540,'1. Inbound Leads'!A:G,7,FALSE)=0,"",VLOOKUP(A1540,'1. Inbound Leads'!A:G,7,FALSE)),""))</f>
        <v/>
      </c>
      <c r="D1540" s="387" t="str">
        <f>IF(A1540="","",IFERROR(IF(VLOOKUP(A1540,'1. Inbound Leads'!A:L,12,FALSE)=0,"",VLOOKUP(A1540,'1. Inbound Leads'!A:L,12,FALSE)),""))</f>
        <v/>
      </c>
      <c r="E1540" s="388"/>
      <c r="F1540" s="389"/>
      <c r="G1540" s="387"/>
      <c r="H1540" s="387"/>
      <c r="I1540" s="387"/>
      <c r="J1540" s="387"/>
      <c r="K1540" s="387"/>
      <c r="L1540" s="387"/>
      <c r="M1540" s="388"/>
      <c r="N1540" s="388"/>
      <c r="O1540" s="390"/>
      <c r="P1540" s="391"/>
      <c r="Q1540" s="389"/>
      <c r="R1540" s="390"/>
      <c r="S1540" s="390"/>
      <c r="T1540" s="391"/>
      <c r="U1540" s="392"/>
      <c r="V1540" s="391"/>
      <c r="W1540" s="391"/>
      <c r="X1540" s="388"/>
      <c r="Y1540" s="391"/>
      <c r="Z1540" s="393"/>
      <c r="AA1540" s="355" t="str">
        <f t="shared" si="1"/>
        <v/>
      </c>
      <c r="AB1540" s="391"/>
      <c r="AC1540" s="394" t="str">
        <f t="shared" si="2"/>
        <v/>
      </c>
      <c r="AD1540" s="389"/>
      <c r="AE1540" s="399"/>
      <c r="AF1540" s="395"/>
      <c r="AG1540" s="396" t="str">
        <f t="shared" si="3"/>
        <v/>
      </c>
      <c r="AH1540" s="396" t="str">
        <f t="shared" si="4"/>
        <v/>
      </c>
      <c r="AI1540" s="388"/>
      <c r="AJ1540" s="388"/>
      <c r="AK1540" s="397"/>
    </row>
    <row r="1541">
      <c r="A1541" s="398"/>
      <c r="B1541" s="386"/>
      <c r="C1541" s="387" t="str">
        <f>IF(A1541="","",IFERROR(IF(VLOOKUP(A1541,'1. Inbound Leads'!A:G,7,FALSE)=0,"",VLOOKUP(A1541,'1. Inbound Leads'!A:G,7,FALSE)),""))</f>
        <v/>
      </c>
      <c r="D1541" s="387" t="str">
        <f>IF(A1541="","",IFERROR(IF(VLOOKUP(A1541,'1. Inbound Leads'!A:L,12,FALSE)=0,"",VLOOKUP(A1541,'1. Inbound Leads'!A:L,12,FALSE)),""))</f>
        <v/>
      </c>
      <c r="E1541" s="388"/>
      <c r="F1541" s="389"/>
      <c r="G1541" s="387"/>
      <c r="H1541" s="387"/>
      <c r="I1541" s="387"/>
      <c r="J1541" s="387"/>
      <c r="K1541" s="387"/>
      <c r="L1541" s="387"/>
      <c r="M1541" s="388"/>
      <c r="N1541" s="388"/>
      <c r="O1541" s="390"/>
      <c r="P1541" s="391"/>
      <c r="Q1541" s="389"/>
      <c r="R1541" s="390"/>
      <c r="S1541" s="390"/>
      <c r="T1541" s="391"/>
      <c r="U1541" s="392"/>
      <c r="V1541" s="391"/>
      <c r="W1541" s="391"/>
      <c r="X1541" s="388"/>
      <c r="Y1541" s="391"/>
      <c r="Z1541" s="393"/>
      <c r="AA1541" s="355" t="str">
        <f t="shared" si="1"/>
        <v/>
      </c>
      <c r="AB1541" s="391"/>
      <c r="AC1541" s="394" t="str">
        <f t="shared" si="2"/>
        <v/>
      </c>
      <c r="AD1541" s="389"/>
      <c r="AE1541" s="399"/>
      <c r="AF1541" s="395"/>
      <c r="AG1541" s="396" t="str">
        <f t="shared" si="3"/>
        <v/>
      </c>
      <c r="AH1541" s="396" t="str">
        <f t="shared" si="4"/>
        <v/>
      </c>
      <c r="AI1541" s="388"/>
      <c r="AJ1541" s="388"/>
      <c r="AK1541" s="397"/>
    </row>
    <row r="1542">
      <c r="A1542" s="398"/>
      <c r="B1542" s="386"/>
      <c r="C1542" s="387" t="str">
        <f>IF(A1542="","",IFERROR(IF(VLOOKUP(A1542,'1. Inbound Leads'!A:G,7,FALSE)=0,"",VLOOKUP(A1542,'1. Inbound Leads'!A:G,7,FALSE)),""))</f>
        <v/>
      </c>
      <c r="D1542" s="387" t="str">
        <f>IF(A1542="","",IFERROR(IF(VLOOKUP(A1542,'1. Inbound Leads'!A:L,12,FALSE)=0,"",VLOOKUP(A1542,'1. Inbound Leads'!A:L,12,FALSE)),""))</f>
        <v/>
      </c>
      <c r="E1542" s="388"/>
      <c r="F1542" s="389"/>
      <c r="G1542" s="387"/>
      <c r="H1542" s="387"/>
      <c r="I1542" s="387"/>
      <c r="J1542" s="387"/>
      <c r="K1542" s="387"/>
      <c r="L1542" s="387"/>
      <c r="M1542" s="388"/>
      <c r="N1542" s="388"/>
      <c r="O1542" s="390"/>
      <c r="P1542" s="391"/>
      <c r="Q1542" s="389"/>
      <c r="R1542" s="390"/>
      <c r="S1542" s="390"/>
      <c r="T1542" s="391"/>
      <c r="U1542" s="392"/>
      <c r="V1542" s="391"/>
      <c r="W1542" s="391"/>
      <c r="X1542" s="388"/>
      <c r="Y1542" s="391"/>
      <c r="Z1542" s="393"/>
      <c r="AA1542" s="355" t="str">
        <f t="shared" si="1"/>
        <v/>
      </c>
      <c r="AB1542" s="391"/>
      <c r="AC1542" s="394" t="str">
        <f t="shared" si="2"/>
        <v/>
      </c>
      <c r="AD1542" s="389"/>
      <c r="AE1542" s="399"/>
      <c r="AF1542" s="395"/>
      <c r="AG1542" s="396" t="str">
        <f t="shared" si="3"/>
        <v/>
      </c>
      <c r="AH1542" s="396" t="str">
        <f t="shared" si="4"/>
        <v/>
      </c>
      <c r="AI1542" s="388"/>
      <c r="AJ1542" s="388"/>
      <c r="AK1542" s="397"/>
    </row>
    <row r="1543">
      <c r="A1543" s="398"/>
      <c r="B1543" s="386"/>
      <c r="C1543" s="387" t="str">
        <f>IF(A1543="","",IFERROR(IF(VLOOKUP(A1543,'1. Inbound Leads'!A:G,7,FALSE)=0,"",VLOOKUP(A1543,'1. Inbound Leads'!A:G,7,FALSE)),""))</f>
        <v/>
      </c>
      <c r="D1543" s="387" t="str">
        <f>IF(A1543="","",IFERROR(IF(VLOOKUP(A1543,'1. Inbound Leads'!A:L,12,FALSE)=0,"",VLOOKUP(A1543,'1. Inbound Leads'!A:L,12,FALSE)),""))</f>
        <v/>
      </c>
      <c r="E1543" s="388"/>
      <c r="F1543" s="389"/>
      <c r="G1543" s="387"/>
      <c r="H1543" s="387"/>
      <c r="I1543" s="387"/>
      <c r="J1543" s="387"/>
      <c r="K1543" s="387"/>
      <c r="L1543" s="387"/>
      <c r="M1543" s="388"/>
      <c r="N1543" s="388"/>
      <c r="O1543" s="390"/>
      <c r="P1543" s="391"/>
      <c r="Q1543" s="389"/>
      <c r="R1543" s="390"/>
      <c r="S1543" s="390"/>
      <c r="T1543" s="391"/>
      <c r="U1543" s="392"/>
      <c r="V1543" s="391"/>
      <c r="W1543" s="391"/>
      <c r="X1543" s="388"/>
      <c r="Y1543" s="391"/>
      <c r="Z1543" s="393"/>
      <c r="AA1543" s="355" t="str">
        <f t="shared" si="1"/>
        <v/>
      </c>
      <c r="AB1543" s="391"/>
      <c r="AC1543" s="394" t="str">
        <f t="shared" si="2"/>
        <v/>
      </c>
      <c r="AD1543" s="389"/>
      <c r="AE1543" s="399"/>
      <c r="AF1543" s="395"/>
      <c r="AG1543" s="396" t="str">
        <f t="shared" si="3"/>
        <v/>
      </c>
      <c r="AH1543" s="396" t="str">
        <f t="shared" si="4"/>
        <v/>
      </c>
      <c r="AI1543" s="388"/>
      <c r="AJ1543" s="388"/>
      <c r="AK1543" s="397"/>
    </row>
    <row r="1544">
      <c r="A1544" s="398"/>
      <c r="B1544" s="386"/>
      <c r="C1544" s="387" t="str">
        <f>IF(A1544="","",IFERROR(IF(VLOOKUP(A1544,'1. Inbound Leads'!A:G,7,FALSE)=0,"",VLOOKUP(A1544,'1. Inbound Leads'!A:G,7,FALSE)),""))</f>
        <v/>
      </c>
      <c r="D1544" s="387" t="str">
        <f>IF(A1544="","",IFERROR(IF(VLOOKUP(A1544,'1. Inbound Leads'!A:L,12,FALSE)=0,"",VLOOKUP(A1544,'1. Inbound Leads'!A:L,12,FALSE)),""))</f>
        <v/>
      </c>
      <c r="E1544" s="388"/>
      <c r="F1544" s="389"/>
      <c r="G1544" s="387"/>
      <c r="H1544" s="387"/>
      <c r="I1544" s="387"/>
      <c r="J1544" s="387"/>
      <c r="K1544" s="387"/>
      <c r="L1544" s="387"/>
      <c r="M1544" s="388"/>
      <c r="N1544" s="388"/>
      <c r="O1544" s="390"/>
      <c r="P1544" s="391"/>
      <c r="Q1544" s="389"/>
      <c r="R1544" s="390"/>
      <c r="S1544" s="390"/>
      <c r="T1544" s="391"/>
      <c r="U1544" s="392"/>
      <c r="V1544" s="391"/>
      <c r="W1544" s="391"/>
      <c r="X1544" s="388"/>
      <c r="Y1544" s="391"/>
      <c r="Z1544" s="393"/>
      <c r="AA1544" s="355" t="str">
        <f t="shared" si="1"/>
        <v/>
      </c>
      <c r="AB1544" s="391"/>
      <c r="AC1544" s="394" t="str">
        <f t="shared" si="2"/>
        <v/>
      </c>
      <c r="AD1544" s="389"/>
      <c r="AE1544" s="399"/>
      <c r="AF1544" s="395"/>
      <c r="AG1544" s="396" t="str">
        <f t="shared" si="3"/>
        <v/>
      </c>
      <c r="AH1544" s="396" t="str">
        <f t="shared" si="4"/>
        <v/>
      </c>
      <c r="AI1544" s="388"/>
      <c r="AJ1544" s="388"/>
      <c r="AK1544" s="397"/>
    </row>
    <row r="1545">
      <c r="A1545" s="398"/>
      <c r="B1545" s="386"/>
      <c r="C1545" s="387" t="str">
        <f>IF(A1545="","",IFERROR(IF(VLOOKUP(A1545,'1. Inbound Leads'!A:G,7,FALSE)=0,"",VLOOKUP(A1545,'1. Inbound Leads'!A:G,7,FALSE)),""))</f>
        <v/>
      </c>
      <c r="D1545" s="387" t="str">
        <f>IF(A1545="","",IFERROR(IF(VLOOKUP(A1545,'1. Inbound Leads'!A:L,12,FALSE)=0,"",VLOOKUP(A1545,'1. Inbound Leads'!A:L,12,FALSE)),""))</f>
        <v/>
      </c>
      <c r="E1545" s="388"/>
      <c r="F1545" s="389"/>
      <c r="G1545" s="387"/>
      <c r="H1545" s="387"/>
      <c r="I1545" s="387"/>
      <c r="J1545" s="387"/>
      <c r="K1545" s="387"/>
      <c r="L1545" s="387"/>
      <c r="M1545" s="388"/>
      <c r="N1545" s="388"/>
      <c r="O1545" s="390"/>
      <c r="P1545" s="391"/>
      <c r="Q1545" s="389"/>
      <c r="R1545" s="390"/>
      <c r="S1545" s="390"/>
      <c r="T1545" s="391"/>
      <c r="U1545" s="392"/>
      <c r="V1545" s="391"/>
      <c r="W1545" s="391"/>
      <c r="X1545" s="388"/>
      <c r="Y1545" s="391"/>
      <c r="Z1545" s="393"/>
      <c r="AA1545" s="355" t="str">
        <f t="shared" si="1"/>
        <v/>
      </c>
      <c r="AB1545" s="391"/>
      <c r="AC1545" s="394" t="str">
        <f t="shared" si="2"/>
        <v/>
      </c>
      <c r="AD1545" s="389"/>
      <c r="AE1545" s="399"/>
      <c r="AF1545" s="395"/>
      <c r="AG1545" s="396" t="str">
        <f t="shared" si="3"/>
        <v/>
      </c>
      <c r="AH1545" s="396" t="str">
        <f t="shared" si="4"/>
        <v/>
      </c>
      <c r="AI1545" s="388"/>
      <c r="AJ1545" s="388"/>
      <c r="AK1545" s="397"/>
    </row>
    <row r="1546">
      <c r="A1546" s="398"/>
      <c r="B1546" s="386"/>
      <c r="C1546" s="387" t="str">
        <f>IF(A1546="","",IFERROR(IF(VLOOKUP(A1546,'1. Inbound Leads'!A:G,7,FALSE)=0,"",VLOOKUP(A1546,'1. Inbound Leads'!A:G,7,FALSE)),""))</f>
        <v/>
      </c>
      <c r="D1546" s="387" t="str">
        <f>IF(A1546="","",IFERROR(IF(VLOOKUP(A1546,'1. Inbound Leads'!A:L,12,FALSE)=0,"",VLOOKUP(A1546,'1. Inbound Leads'!A:L,12,FALSE)),""))</f>
        <v/>
      </c>
      <c r="E1546" s="388"/>
      <c r="F1546" s="389"/>
      <c r="G1546" s="387"/>
      <c r="H1546" s="387"/>
      <c r="I1546" s="387"/>
      <c r="J1546" s="387"/>
      <c r="K1546" s="387"/>
      <c r="L1546" s="387"/>
      <c r="M1546" s="388"/>
      <c r="N1546" s="388"/>
      <c r="O1546" s="390"/>
      <c r="P1546" s="391"/>
      <c r="Q1546" s="389"/>
      <c r="R1546" s="390"/>
      <c r="S1546" s="390"/>
      <c r="T1546" s="391"/>
      <c r="U1546" s="392"/>
      <c r="V1546" s="391"/>
      <c r="W1546" s="391"/>
      <c r="X1546" s="388"/>
      <c r="Y1546" s="391"/>
      <c r="Z1546" s="393"/>
      <c r="AA1546" s="355" t="str">
        <f t="shared" si="1"/>
        <v/>
      </c>
      <c r="AB1546" s="391"/>
      <c r="AC1546" s="394" t="str">
        <f t="shared" si="2"/>
        <v/>
      </c>
      <c r="AD1546" s="389"/>
      <c r="AE1546" s="399"/>
      <c r="AF1546" s="395"/>
      <c r="AG1546" s="396" t="str">
        <f t="shared" si="3"/>
        <v/>
      </c>
      <c r="AH1546" s="396" t="str">
        <f t="shared" si="4"/>
        <v/>
      </c>
      <c r="AI1546" s="388"/>
      <c r="AJ1546" s="388"/>
      <c r="AK1546" s="397"/>
    </row>
    <row r="1547">
      <c r="A1547" s="398"/>
      <c r="B1547" s="386"/>
      <c r="C1547" s="387" t="str">
        <f>IF(A1547="","",IFERROR(IF(VLOOKUP(A1547,'1. Inbound Leads'!A:G,7,FALSE)=0,"",VLOOKUP(A1547,'1. Inbound Leads'!A:G,7,FALSE)),""))</f>
        <v/>
      </c>
      <c r="D1547" s="387" t="str">
        <f>IF(A1547="","",IFERROR(IF(VLOOKUP(A1547,'1. Inbound Leads'!A:L,12,FALSE)=0,"",VLOOKUP(A1547,'1. Inbound Leads'!A:L,12,FALSE)),""))</f>
        <v/>
      </c>
      <c r="E1547" s="388"/>
      <c r="F1547" s="389"/>
      <c r="G1547" s="387"/>
      <c r="H1547" s="387"/>
      <c r="I1547" s="387"/>
      <c r="J1547" s="387"/>
      <c r="K1547" s="387"/>
      <c r="L1547" s="387"/>
      <c r="M1547" s="388"/>
      <c r="N1547" s="388"/>
      <c r="O1547" s="390"/>
      <c r="P1547" s="391"/>
      <c r="Q1547" s="389"/>
      <c r="R1547" s="390"/>
      <c r="S1547" s="390"/>
      <c r="T1547" s="391"/>
      <c r="U1547" s="392"/>
      <c r="V1547" s="391"/>
      <c r="W1547" s="391"/>
      <c r="X1547" s="388"/>
      <c r="Y1547" s="391"/>
      <c r="Z1547" s="393"/>
      <c r="AA1547" s="355" t="str">
        <f t="shared" si="1"/>
        <v/>
      </c>
      <c r="AB1547" s="391"/>
      <c r="AC1547" s="394" t="str">
        <f t="shared" si="2"/>
        <v/>
      </c>
      <c r="AD1547" s="389"/>
      <c r="AE1547" s="399"/>
      <c r="AF1547" s="395"/>
      <c r="AG1547" s="396" t="str">
        <f t="shared" si="3"/>
        <v/>
      </c>
      <c r="AH1547" s="396" t="str">
        <f t="shared" si="4"/>
        <v/>
      </c>
      <c r="AI1547" s="388"/>
      <c r="AJ1547" s="388"/>
      <c r="AK1547" s="397"/>
    </row>
    <row r="1548">
      <c r="A1548" s="398"/>
      <c r="B1548" s="386"/>
      <c r="C1548" s="387" t="str">
        <f>IF(A1548="","",IFERROR(IF(VLOOKUP(A1548,'1. Inbound Leads'!A:G,7,FALSE)=0,"",VLOOKUP(A1548,'1. Inbound Leads'!A:G,7,FALSE)),""))</f>
        <v/>
      </c>
      <c r="D1548" s="387" t="str">
        <f>IF(A1548="","",IFERROR(IF(VLOOKUP(A1548,'1. Inbound Leads'!A:L,12,FALSE)=0,"",VLOOKUP(A1548,'1. Inbound Leads'!A:L,12,FALSE)),""))</f>
        <v/>
      </c>
      <c r="E1548" s="388"/>
      <c r="F1548" s="389"/>
      <c r="G1548" s="387"/>
      <c r="H1548" s="387"/>
      <c r="I1548" s="387"/>
      <c r="J1548" s="387"/>
      <c r="K1548" s="387"/>
      <c r="L1548" s="387"/>
      <c r="M1548" s="388"/>
      <c r="N1548" s="388"/>
      <c r="O1548" s="390"/>
      <c r="P1548" s="391"/>
      <c r="Q1548" s="389"/>
      <c r="R1548" s="390"/>
      <c r="S1548" s="390"/>
      <c r="T1548" s="391"/>
      <c r="U1548" s="392"/>
      <c r="V1548" s="391"/>
      <c r="W1548" s="391"/>
      <c r="X1548" s="388"/>
      <c r="Y1548" s="391"/>
      <c r="Z1548" s="393"/>
      <c r="AA1548" s="355" t="str">
        <f t="shared" si="1"/>
        <v/>
      </c>
      <c r="AB1548" s="391"/>
      <c r="AC1548" s="394" t="str">
        <f t="shared" si="2"/>
        <v/>
      </c>
      <c r="AD1548" s="389"/>
      <c r="AE1548" s="399"/>
      <c r="AF1548" s="395"/>
      <c r="AG1548" s="396" t="str">
        <f t="shared" si="3"/>
        <v/>
      </c>
      <c r="AH1548" s="396" t="str">
        <f t="shared" si="4"/>
        <v/>
      </c>
      <c r="AI1548" s="388"/>
      <c r="AJ1548" s="388"/>
      <c r="AK1548" s="397"/>
    </row>
    <row r="1549">
      <c r="A1549" s="398"/>
      <c r="B1549" s="386"/>
      <c r="C1549" s="387" t="str">
        <f>IF(A1549="","",IFERROR(IF(VLOOKUP(A1549,'1. Inbound Leads'!A:G,7,FALSE)=0,"",VLOOKUP(A1549,'1. Inbound Leads'!A:G,7,FALSE)),""))</f>
        <v/>
      </c>
      <c r="D1549" s="387" t="str">
        <f>IF(A1549="","",IFERROR(IF(VLOOKUP(A1549,'1. Inbound Leads'!A:L,12,FALSE)=0,"",VLOOKUP(A1549,'1. Inbound Leads'!A:L,12,FALSE)),""))</f>
        <v/>
      </c>
      <c r="E1549" s="388"/>
      <c r="F1549" s="389"/>
      <c r="G1549" s="387"/>
      <c r="H1549" s="387"/>
      <c r="I1549" s="387"/>
      <c r="J1549" s="387"/>
      <c r="K1549" s="387"/>
      <c r="L1549" s="387"/>
      <c r="M1549" s="388"/>
      <c r="N1549" s="388"/>
      <c r="O1549" s="390"/>
      <c r="P1549" s="391"/>
      <c r="Q1549" s="389"/>
      <c r="R1549" s="390"/>
      <c r="S1549" s="390"/>
      <c r="T1549" s="391"/>
      <c r="U1549" s="392"/>
      <c r="V1549" s="391"/>
      <c r="W1549" s="391"/>
      <c r="X1549" s="388"/>
      <c r="Y1549" s="391"/>
      <c r="Z1549" s="393"/>
      <c r="AA1549" s="355" t="str">
        <f t="shared" si="1"/>
        <v/>
      </c>
      <c r="AB1549" s="391"/>
      <c r="AC1549" s="394" t="str">
        <f t="shared" si="2"/>
        <v/>
      </c>
      <c r="AD1549" s="389"/>
      <c r="AE1549" s="399"/>
      <c r="AF1549" s="395"/>
      <c r="AG1549" s="396" t="str">
        <f t="shared" si="3"/>
        <v/>
      </c>
      <c r="AH1549" s="396" t="str">
        <f t="shared" si="4"/>
        <v/>
      </c>
      <c r="AI1549" s="388"/>
      <c r="AJ1549" s="388"/>
      <c r="AK1549" s="397"/>
    </row>
    <row r="1550">
      <c r="A1550" s="398"/>
      <c r="B1550" s="386"/>
      <c r="C1550" s="387" t="str">
        <f>IF(A1550="","",IFERROR(IF(VLOOKUP(A1550,'1. Inbound Leads'!A:G,7,FALSE)=0,"",VLOOKUP(A1550,'1. Inbound Leads'!A:G,7,FALSE)),""))</f>
        <v/>
      </c>
      <c r="D1550" s="387" t="str">
        <f>IF(A1550="","",IFERROR(IF(VLOOKUP(A1550,'1. Inbound Leads'!A:L,12,FALSE)=0,"",VLOOKUP(A1550,'1. Inbound Leads'!A:L,12,FALSE)),""))</f>
        <v/>
      </c>
      <c r="E1550" s="388"/>
      <c r="F1550" s="389"/>
      <c r="G1550" s="387"/>
      <c r="H1550" s="387"/>
      <c r="I1550" s="387"/>
      <c r="J1550" s="387"/>
      <c r="K1550" s="387"/>
      <c r="L1550" s="387"/>
      <c r="M1550" s="388"/>
      <c r="N1550" s="388"/>
      <c r="O1550" s="390"/>
      <c r="P1550" s="391"/>
      <c r="Q1550" s="389"/>
      <c r="R1550" s="390"/>
      <c r="S1550" s="390"/>
      <c r="T1550" s="391"/>
      <c r="U1550" s="392"/>
      <c r="V1550" s="391"/>
      <c r="W1550" s="391"/>
      <c r="X1550" s="388"/>
      <c r="Y1550" s="391"/>
      <c r="Z1550" s="393"/>
      <c r="AA1550" s="355" t="str">
        <f t="shared" si="1"/>
        <v/>
      </c>
      <c r="AB1550" s="391"/>
      <c r="AC1550" s="394" t="str">
        <f t="shared" si="2"/>
        <v/>
      </c>
      <c r="AD1550" s="389"/>
      <c r="AE1550" s="399"/>
      <c r="AF1550" s="395"/>
      <c r="AG1550" s="396" t="str">
        <f t="shared" si="3"/>
        <v/>
      </c>
      <c r="AH1550" s="396" t="str">
        <f t="shared" si="4"/>
        <v/>
      </c>
      <c r="AI1550" s="388"/>
      <c r="AJ1550" s="388"/>
      <c r="AK1550" s="397"/>
    </row>
    <row r="1551">
      <c r="A1551" s="398"/>
      <c r="B1551" s="386"/>
      <c r="C1551" s="387" t="str">
        <f>IF(A1551="","",IFERROR(IF(VLOOKUP(A1551,'1. Inbound Leads'!A:G,7,FALSE)=0,"",VLOOKUP(A1551,'1. Inbound Leads'!A:G,7,FALSE)),""))</f>
        <v/>
      </c>
      <c r="D1551" s="387" t="str">
        <f>IF(A1551="","",IFERROR(IF(VLOOKUP(A1551,'1. Inbound Leads'!A:L,12,FALSE)=0,"",VLOOKUP(A1551,'1. Inbound Leads'!A:L,12,FALSE)),""))</f>
        <v/>
      </c>
      <c r="E1551" s="388"/>
      <c r="F1551" s="389"/>
      <c r="G1551" s="387"/>
      <c r="H1551" s="387"/>
      <c r="I1551" s="387"/>
      <c r="J1551" s="387"/>
      <c r="K1551" s="387"/>
      <c r="L1551" s="387"/>
      <c r="M1551" s="388"/>
      <c r="N1551" s="388"/>
      <c r="O1551" s="390"/>
      <c r="P1551" s="391"/>
      <c r="Q1551" s="389"/>
      <c r="R1551" s="390"/>
      <c r="S1551" s="390"/>
      <c r="T1551" s="391"/>
      <c r="U1551" s="392"/>
      <c r="V1551" s="391"/>
      <c r="W1551" s="391"/>
      <c r="X1551" s="388"/>
      <c r="Y1551" s="391"/>
      <c r="Z1551" s="393"/>
      <c r="AA1551" s="355" t="str">
        <f t="shared" si="1"/>
        <v/>
      </c>
      <c r="AB1551" s="391"/>
      <c r="AC1551" s="394" t="str">
        <f t="shared" si="2"/>
        <v/>
      </c>
      <c r="AD1551" s="389"/>
      <c r="AE1551" s="399"/>
      <c r="AF1551" s="395"/>
      <c r="AG1551" s="396" t="str">
        <f t="shared" si="3"/>
        <v/>
      </c>
      <c r="AH1551" s="396" t="str">
        <f t="shared" si="4"/>
        <v/>
      </c>
      <c r="AI1551" s="388"/>
      <c r="AJ1551" s="388"/>
      <c r="AK1551" s="397"/>
    </row>
    <row r="1552">
      <c r="A1552" s="398"/>
      <c r="B1552" s="386"/>
      <c r="C1552" s="387" t="str">
        <f>IF(A1552="","",IFERROR(IF(VLOOKUP(A1552,'1. Inbound Leads'!A:G,7,FALSE)=0,"",VLOOKUP(A1552,'1. Inbound Leads'!A:G,7,FALSE)),""))</f>
        <v/>
      </c>
      <c r="D1552" s="387" t="str">
        <f>IF(A1552="","",IFERROR(IF(VLOOKUP(A1552,'1. Inbound Leads'!A:L,12,FALSE)=0,"",VLOOKUP(A1552,'1. Inbound Leads'!A:L,12,FALSE)),""))</f>
        <v/>
      </c>
      <c r="E1552" s="388"/>
      <c r="F1552" s="389"/>
      <c r="G1552" s="387"/>
      <c r="H1552" s="387"/>
      <c r="I1552" s="387"/>
      <c r="J1552" s="387"/>
      <c r="K1552" s="387"/>
      <c r="L1552" s="387"/>
      <c r="M1552" s="388"/>
      <c r="N1552" s="388"/>
      <c r="O1552" s="390"/>
      <c r="P1552" s="391"/>
      <c r="Q1552" s="389"/>
      <c r="R1552" s="390"/>
      <c r="S1552" s="390"/>
      <c r="T1552" s="391"/>
      <c r="U1552" s="392"/>
      <c r="V1552" s="391"/>
      <c r="W1552" s="391"/>
      <c r="X1552" s="388"/>
      <c r="Y1552" s="391"/>
      <c r="Z1552" s="393"/>
      <c r="AA1552" s="355" t="str">
        <f t="shared" si="1"/>
        <v/>
      </c>
      <c r="AB1552" s="391"/>
      <c r="AC1552" s="394" t="str">
        <f t="shared" si="2"/>
        <v/>
      </c>
      <c r="AD1552" s="389"/>
      <c r="AE1552" s="399"/>
      <c r="AF1552" s="395"/>
      <c r="AG1552" s="396" t="str">
        <f t="shared" si="3"/>
        <v/>
      </c>
      <c r="AH1552" s="396" t="str">
        <f t="shared" si="4"/>
        <v/>
      </c>
      <c r="AI1552" s="388"/>
      <c r="AJ1552" s="388"/>
      <c r="AK1552" s="397"/>
    </row>
    <row r="1553">
      <c r="A1553" s="398"/>
      <c r="B1553" s="386"/>
      <c r="C1553" s="387" t="str">
        <f>IF(A1553="","",IFERROR(IF(VLOOKUP(A1553,'1. Inbound Leads'!A:G,7,FALSE)=0,"",VLOOKUP(A1553,'1. Inbound Leads'!A:G,7,FALSE)),""))</f>
        <v/>
      </c>
      <c r="D1553" s="387" t="str">
        <f>IF(A1553="","",IFERROR(IF(VLOOKUP(A1553,'1. Inbound Leads'!A:L,12,FALSE)=0,"",VLOOKUP(A1553,'1. Inbound Leads'!A:L,12,FALSE)),""))</f>
        <v/>
      </c>
      <c r="E1553" s="388"/>
      <c r="F1553" s="389"/>
      <c r="G1553" s="387"/>
      <c r="H1553" s="387"/>
      <c r="I1553" s="387"/>
      <c r="J1553" s="387"/>
      <c r="K1553" s="387"/>
      <c r="L1553" s="387"/>
      <c r="M1553" s="388"/>
      <c r="N1553" s="388"/>
      <c r="O1553" s="390"/>
      <c r="P1553" s="391"/>
      <c r="Q1553" s="389"/>
      <c r="R1553" s="390"/>
      <c r="S1553" s="390"/>
      <c r="T1553" s="391"/>
      <c r="U1553" s="392"/>
      <c r="V1553" s="391"/>
      <c r="W1553" s="391"/>
      <c r="X1553" s="388"/>
      <c r="Y1553" s="391"/>
      <c r="Z1553" s="393"/>
      <c r="AA1553" s="355" t="str">
        <f t="shared" si="1"/>
        <v/>
      </c>
      <c r="AB1553" s="391"/>
      <c r="AC1553" s="394" t="str">
        <f t="shared" si="2"/>
        <v/>
      </c>
      <c r="AD1553" s="389"/>
      <c r="AE1553" s="399"/>
      <c r="AF1553" s="395"/>
      <c r="AG1553" s="396" t="str">
        <f t="shared" si="3"/>
        <v/>
      </c>
      <c r="AH1553" s="396" t="str">
        <f t="shared" si="4"/>
        <v/>
      </c>
      <c r="AI1553" s="388"/>
      <c r="AJ1553" s="388"/>
      <c r="AK1553" s="397"/>
    </row>
    <row r="1554">
      <c r="A1554" s="398"/>
      <c r="B1554" s="386"/>
      <c r="C1554" s="387" t="str">
        <f>IF(A1554="","",IFERROR(IF(VLOOKUP(A1554,'1. Inbound Leads'!A:G,7,FALSE)=0,"",VLOOKUP(A1554,'1. Inbound Leads'!A:G,7,FALSE)),""))</f>
        <v/>
      </c>
      <c r="D1554" s="387" t="str">
        <f>IF(A1554="","",IFERROR(IF(VLOOKUP(A1554,'1. Inbound Leads'!A:L,12,FALSE)=0,"",VLOOKUP(A1554,'1. Inbound Leads'!A:L,12,FALSE)),""))</f>
        <v/>
      </c>
      <c r="E1554" s="388"/>
      <c r="F1554" s="389"/>
      <c r="G1554" s="387"/>
      <c r="H1554" s="387"/>
      <c r="I1554" s="387"/>
      <c r="J1554" s="387"/>
      <c r="K1554" s="387"/>
      <c r="L1554" s="387"/>
      <c r="M1554" s="388"/>
      <c r="N1554" s="388"/>
      <c r="O1554" s="390"/>
      <c r="P1554" s="391"/>
      <c r="Q1554" s="389"/>
      <c r="R1554" s="390"/>
      <c r="S1554" s="390"/>
      <c r="T1554" s="391"/>
      <c r="U1554" s="392"/>
      <c r="V1554" s="391"/>
      <c r="W1554" s="391"/>
      <c r="X1554" s="388"/>
      <c r="Y1554" s="391"/>
      <c r="Z1554" s="393"/>
      <c r="AA1554" s="355" t="str">
        <f t="shared" si="1"/>
        <v/>
      </c>
      <c r="AB1554" s="391"/>
      <c r="AC1554" s="394" t="str">
        <f t="shared" si="2"/>
        <v/>
      </c>
      <c r="AD1554" s="389"/>
      <c r="AE1554" s="399"/>
      <c r="AF1554" s="395"/>
      <c r="AG1554" s="396" t="str">
        <f t="shared" si="3"/>
        <v/>
      </c>
      <c r="AH1554" s="396" t="str">
        <f t="shared" si="4"/>
        <v/>
      </c>
      <c r="AI1554" s="388"/>
      <c r="AJ1554" s="388"/>
      <c r="AK1554" s="397"/>
    </row>
    <row r="1555">
      <c r="A1555" s="398"/>
      <c r="B1555" s="386"/>
      <c r="C1555" s="387" t="str">
        <f>IF(A1555="","",IFERROR(IF(VLOOKUP(A1555,'1. Inbound Leads'!A:G,7,FALSE)=0,"",VLOOKUP(A1555,'1. Inbound Leads'!A:G,7,FALSE)),""))</f>
        <v/>
      </c>
      <c r="D1555" s="387" t="str">
        <f>IF(A1555="","",IFERROR(IF(VLOOKUP(A1555,'1. Inbound Leads'!A:L,12,FALSE)=0,"",VLOOKUP(A1555,'1. Inbound Leads'!A:L,12,FALSE)),""))</f>
        <v/>
      </c>
      <c r="E1555" s="388"/>
      <c r="F1555" s="389"/>
      <c r="G1555" s="387"/>
      <c r="H1555" s="387"/>
      <c r="I1555" s="387"/>
      <c r="J1555" s="387"/>
      <c r="K1555" s="387"/>
      <c r="L1555" s="387"/>
      <c r="M1555" s="388"/>
      <c r="N1555" s="388"/>
      <c r="O1555" s="390"/>
      <c r="P1555" s="391"/>
      <c r="Q1555" s="389"/>
      <c r="R1555" s="390"/>
      <c r="S1555" s="390"/>
      <c r="T1555" s="391"/>
      <c r="U1555" s="392"/>
      <c r="V1555" s="391"/>
      <c r="W1555" s="391"/>
      <c r="X1555" s="388"/>
      <c r="Y1555" s="391"/>
      <c r="Z1555" s="393"/>
      <c r="AA1555" s="355" t="str">
        <f t="shared" si="1"/>
        <v/>
      </c>
      <c r="AB1555" s="391"/>
      <c r="AC1555" s="394" t="str">
        <f t="shared" si="2"/>
        <v/>
      </c>
      <c r="AD1555" s="389"/>
      <c r="AE1555" s="399"/>
      <c r="AF1555" s="395"/>
      <c r="AG1555" s="396" t="str">
        <f t="shared" si="3"/>
        <v/>
      </c>
      <c r="AH1555" s="396" t="str">
        <f t="shared" si="4"/>
        <v/>
      </c>
      <c r="AI1555" s="388"/>
      <c r="AJ1555" s="388"/>
      <c r="AK1555" s="397"/>
    </row>
    <row r="1556">
      <c r="A1556" s="398"/>
      <c r="B1556" s="386"/>
      <c r="C1556" s="387" t="str">
        <f>IF(A1556="","",IFERROR(IF(VLOOKUP(A1556,'1. Inbound Leads'!A:G,7,FALSE)=0,"",VLOOKUP(A1556,'1. Inbound Leads'!A:G,7,FALSE)),""))</f>
        <v/>
      </c>
      <c r="D1556" s="387" t="str">
        <f>IF(A1556="","",IFERROR(IF(VLOOKUP(A1556,'1. Inbound Leads'!A:L,12,FALSE)=0,"",VLOOKUP(A1556,'1. Inbound Leads'!A:L,12,FALSE)),""))</f>
        <v/>
      </c>
      <c r="E1556" s="388"/>
      <c r="F1556" s="389"/>
      <c r="G1556" s="387"/>
      <c r="H1556" s="387"/>
      <c r="I1556" s="387"/>
      <c r="J1556" s="387"/>
      <c r="K1556" s="387"/>
      <c r="L1556" s="387"/>
      <c r="M1556" s="388"/>
      <c r="N1556" s="388"/>
      <c r="O1556" s="390"/>
      <c r="P1556" s="391"/>
      <c r="Q1556" s="389"/>
      <c r="R1556" s="390"/>
      <c r="S1556" s="390"/>
      <c r="T1556" s="391"/>
      <c r="U1556" s="392"/>
      <c r="V1556" s="391"/>
      <c r="W1556" s="391"/>
      <c r="X1556" s="388"/>
      <c r="Y1556" s="391"/>
      <c r="Z1556" s="393"/>
      <c r="AA1556" s="355" t="str">
        <f t="shared" si="1"/>
        <v/>
      </c>
      <c r="AB1556" s="391"/>
      <c r="AC1556" s="394" t="str">
        <f t="shared" si="2"/>
        <v/>
      </c>
      <c r="AD1556" s="389"/>
      <c r="AE1556" s="399"/>
      <c r="AF1556" s="395"/>
      <c r="AG1556" s="396" t="str">
        <f t="shared" si="3"/>
        <v/>
      </c>
      <c r="AH1556" s="396" t="str">
        <f t="shared" si="4"/>
        <v/>
      </c>
      <c r="AI1556" s="388"/>
      <c r="AJ1556" s="388"/>
      <c r="AK1556" s="397"/>
    </row>
    <row r="1557">
      <c r="A1557" s="398"/>
      <c r="B1557" s="386"/>
      <c r="C1557" s="387" t="str">
        <f>IF(A1557="","",IFERROR(IF(VLOOKUP(A1557,'1. Inbound Leads'!A:G,7,FALSE)=0,"",VLOOKUP(A1557,'1. Inbound Leads'!A:G,7,FALSE)),""))</f>
        <v/>
      </c>
      <c r="D1557" s="387" t="str">
        <f>IF(A1557="","",IFERROR(IF(VLOOKUP(A1557,'1. Inbound Leads'!A:L,12,FALSE)=0,"",VLOOKUP(A1557,'1. Inbound Leads'!A:L,12,FALSE)),""))</f>
        <v/>
      </c>
      <c r="E1557" s="388"/>
      <c r="F1557" s="389"/>
      <c r="G1557" s="387"/>
      <c r="H1557" s="387"/>
      <c r="I1557" s="387"/>
      <c r="J1557" s="387"/>
      <c r="K1557" s="387"/>
      <c r="L1557" s="387"/>
      <c r="M1557" s="388"/>
      <c r="N1557" s="388"/>
      <c r="O1557" s="390"/>
      <c r="P1557" s="391"/>
      <c r="Q1557" s="389"/>
      <c r="R1557" s="390"/>
      <c r="S1557" s="390"/>
      <c r="T1557" s="391"/>
      <c r="U1557" s="392"/>
      <c r="V1557" s="391"/>
      <c r="W1557" s="391"/>
      <c r="X1557" s="388"/>
      <c r="Y1557" s="391"/>
      <c r="Z1557" s="393"/>
      <c r="AA1557" s="355" t="str">
        <f t="shared" si="1"/>
        <v/>
      </c>
      <c r="AB1557" s="391"/>
      <c r="AC1557" s="394" t="str">
        <f t="shared" si="2"/>
        <v/>
      </c>
      <c r="AD1557" s="389"/>
      <c r="AE1557" s="399"/>
      <c r="AF1557" s="395"/>
      <c r="AG1557" s="396" t="str">
        <f t="shared" si="3"/>
        <v/>
      </c>
      <c r="AH1557" s="396" t="str">
        <f t="shared" si="4"/>
        <v/>
      </c>
      <c r="AI1557" s="388"/>
      <c r="AJ1557" s="388"/>
      <c r="AK1557" s="397"/>
    </row>
    <row r="1558">
      <c r="A1558" s="398"/>
      <c r="B1558" s="386"/>
      <c r="C1558" s="387" t="str">
        <f>IF(A1558="","",IFERROR(IF(VLOOKUP(A1558,'1. Inbound Leads'!A:G,7,FALSE)=0,"",VLOOKUP(A1558,'1. Inbound Leads'!A:G,7,FALSE)),""))</f>
        <v/>
      </c>
      <c r="D1558" s="387" t="str">
        <f>IF(A1558="","",IFERROR(IF(VLOOKUP(A1558,'1. Inbound Leads'!A:L,12,FALSE)=0,"",VLOOKUP(A1558,'1. Inbound Leads'!A:L,12,FALSE)),""))</f>
        <v/>
      </c>
      <c r="E1558" s="388"/>
      <c r="F1558" s="389"/>
      <c r="G1558" s="387"/>
      <c r="H1558" s="387"/>
      <c r="I1558" s="387"/>
      <c r="J1558" s="387"/>
      <c r="K1558" s="387"/>
      <c r="L1558" s="387"/>
      <c r="M1558" s="388"/>
      <c r="N1558" s="388"/>
      <c r="O1558" s="390"/>
      <c r="P1558" s="391"/>
      <c r="Q1558" s="389"/>
      <c r="R1558" s="390"/>
      <c r="S1558" s="390"/>
      <c r="T1558" s="391"/>
      <c r="U1558" s="392"/>
      <c r="V1558" s="391"/>
      <c r="W1558" s="391"/>
      <c r="X1558" s="388"/>
      <c r="Y1558" s="391"/>
      <c r="Z1558" s="393"/>
      <c r="AA1558" s="355" t="str">
        <f t="shared" si="1"/>
        <v/>
      </c>
      <c r="AB1558" s="391"/>
      <c r="AC1558" s="394" t="str">
        <f t="shared" si="2"/>
        <v/>
      </c>
      <c r="AD1558" s="389"/>
      <c r="AE1558" s="399"/>
      <c r="AF1558" s="395"/>
      <c r="AG1558" s="396" t="str">
        <f t="shared" si="3"/>
        <v/>
      </c>
      <c r="AH1558" s="396" t="str">
        <f t="shared" si="4"/>
        <v/>
      </c>
      <c r="AI1558" s="388"/>
      <c r="AJ1558" s="388"/>
      <c r="AK1558" s="397"/>
    </row>
    <row r="1559">
      <c r="A1559" s="398"/>
      <c r="B1559" s="386"/>
      <c r="C1559" s="387" t="str">
        <f>IF(A1559="","",IFERROR(IF(VLOOKUP(A1559,'1. Inbound Leads'!A:G,7,FALSE)=0,"",VLOOKUP(A1559,'1. Inbound Leads'!A:G,7,FALSE)),""))</f>
        <v/>
      </c>
      <c r="D1559" s="387" t="str">
        <f>IF(A1559="","",IFERROR(IF(VLOOKUP(A1559,'1. Inbound Leads'!A:L,12,FALSE)=0,"",VLOOKUP(A1559,'1. Inbound Leads'!A:L,12,FALSE)),""))</f>
        <v/>
      </c>
      <c r="E1559" s="388"/>
      <c r="F1559" s="389"/>
      <c r="G1559" s="387"/>
      <c r="H1559" s="387"/>
      <c r="I1559" s="387"/>
      <c r="J1559" s="387"/>
      <c r="K1559" s="387"/>
      <c r="L1559" s="387"/>
      <c r="M1559" s="388"/>
      <c r="N1559" s="388"/>
      <c r="O1559" s="390"/>
      <c r="P1559" s="391"/>
      <c r="Q1559" s="389"/>
      <c r="R1559" s="390"/>
      <c r="S1559" s="390"/>
      <c r="T1559" s="391"/>
      <c r="U1559" s="392"/>
      <c r="V1559" s="391"/>
      <c r="W1559" s="391"/>
      <c r="X1559" s="388"/>
      <c r="Y1559" s="391"/>
      <c r="Z1559" s="393"/>
      <c r="AA1559" s="355" t="str">
        <f t="shared" si="1"/>
        <v/>
      </c>
      <c r="AB1559" s="391"/>
      <c r="AC1559" s="394" t="str">
        <f t="shared" si="2"/>
        <v/>
      </c>
      <c r="AD1559" s="389"/>
      <c r="AE1559" s="399"/>
      <c r="AF1559" s="395"/>
      <c r="AG1559" s="396" t="str">
        <f t="shared" si="3"/>
        <v/>
      </c>
      <c r="AH1559" s="396" t="str">
        <f t="shared" si="4"/>
        <v/>
      </c>
      <c r="AI1559" s="388"/>
      <c r="AJ1559" s="388"/>
      <c r="AK1559" s="397"/>
    </row>
    <row r="1560">
      <c r="A1560" s="398"/>
      <c r="B1560" s="386"/>
      <c r="C1560" s="387" t="str">
        <f>IF(A1560="","",IFERROR(IF(VLOOKUP(A1560,'1. Inbound Leads'!A:G,7,FALSE)=0,"",VLOOKUP(A1560,'1. Inbound Leads'!A:G,7,FALSE)),""))</f>
        <v/>
      </c>
      <c r="D1560" s="387" t="str">
        <f>IF(A1560="","",IFERROR(IF(VLOOKUP(A1560,'1. Inbound Leads'!A:L,12,FALSE)=0,"",VLOOKUP(A1560,'1. Inbound Leads'!A:L,12,FALSE)),""))</f>
        <v/>
      </c>
      <c r="E1560" s="388"/>
      <c r="F1560" s="389"/>
      <c r="G1560" s="387"/>
      <c r="H1560" s="387"/>
      <c r="I1560" s="387"/>
      <c r="J1560" s="387"/>
      <c r="K1560" s="387"/>
      <c r="L1560" s="387"/>
      <c r="M1560" s="388"/>
      <c r="N1560" s="388"/>
      <c r="O1560" s="390"/>
      <c r="P1560" s="391"/>
      <c r="Q1560" s="389"/>
      <c r="R1560" s="390"/>
      <c r="S1560" s="390"/>
      <c r="T1560" s="391"/>
      <c r="U1560" s="392"/>
      <c r="V1560" s="391"/>
      <c r="W1560" s="391"/>
      <c r="X1560" s="388"/>
      <c r="Y1560" s="391"/>
      <c r="Z1560" s="393"/>
      <c r="AA1560" s="355" t="str">
        <f t="shared" si="1"/>
        <v/>
      </c>
      <c r="AB1560" s="391"/>
      <c r="AC1560" s="394" t="str">
        <f t="shared" si="2"/>
        <v/>
      </c>
      <c r="AD1560" s="389"/>
      <c r="AE1560" s="399"/>
      <c r="AF1560" s="395"/>
      <c r="AG1560" s="396" t="str">
        <f t="shared" si="3"/>
        <v/>
      </c>
      <c r="AH1560" s="396" t="str">
        <f t="shared" si="4"/>
        <v/>
      </c>
      <c r="AI1560" s="388"/>
      <c r="AJ1560" s="388"/>
      <c r="AK1560" s="397"/>
    </row>
    <row r="1561">
      <c r="A1561" s="398"/>
      <c r="B1561" s="386"/>
      <c r="C1561" s="387" t="str">
        <f>IF(A1561="","",IFERROR(IF(VLOOKUP(A1561,'1. Inbound Leads'!A:G,7,FALSE)=0,"",VLOOKUP(A1561,'1. Inbound Leads'!A:G,7,FALSE)),""))</f>
        <v/>
      </c>
      <c r="D1561" s="387" t="str">
        <f>IF(A1561="","",IFERROR(IF(VLOOKUP(A1561,'1. Inbound Leads'!A:L,12,FALSE)=0,"",VLOOKUP(A1561,'1. Inbound Leads'!A:L,12,FALSE)),""))</f>
        <v/>
      </c>
      <c r="E1561" s="388"/>
      <c r="F1561" s="389"/>
      <c r="G1561" s="387"/>
      <c r="H1561" s="387"/>
      <c r="I1561" s="387"/>
      <c r="J1561" s="387"/>
      <c r="K1561" s="387"/>
      <c r="L1561" s="387"/>
      <c r="M1561" s="388"/>
      <c r="N1561" s="388"/>
      <c r="O1561" s="390"/>
      <c r="P1561" s="391"/>
      <c r="Q1561" s="389"/>
      <c r="R1561" s="390"/>
      <c r="S1561" s="390"/>
      <c r="T1561" s="391"/>
      <c r="U1561" s="392"/>
      <c r="V1561" s="391"/>
      <c r="W1561" s="391"/>
      <c r="X1561" s="388"/>
      <c r="Y1561" s="391"/>
      <c r="Z1561" s="393"/>
      <c r="AA1561" s="355" t="str">
        <f t="shared" si="1"/>
        <v/>
      </c>
      <c r="AB1561" s="391"/>
      <c r="AC1561" s="394" t="str">
        <f t="shared" si="2"/>
        <v/>
      </c>
      <c r="AD1561" s="389"/>
      <c r="AE1561" s="399"/>
      <c r="AF1561" s="395"/>
      <c r="AG1561" s="396" t="str">
        <f t="shared" si="3"/>
        <v/>
      </c>
      <c r="AH1561" s="396" t="str">
        <f t="shared" si="4"/>
        <v/>
      </c>
      <c r="AI1561" s="388"/>
      <c r="AJ1561" s="388"/>
      <c r="AK1561" s="397"/>
    </row>
    <row r="1562">
      <c r="A1562" s="398"/>
      <c r="B1562" s="386"/>
      <c r="C1562" s="387" t="str">
        <f>IF(A1562="","",IFERROR(IF(VLOOKUP(A1562,'1. Inbound Leads'!A:G,7,FALSE)=0,"",VLOOKUP(A1562,'1. Inbound Leads'!A:G,7,FALSE)),""))</f>
        <v/>
      </c>
      <c r="D1562" s="387" t="str">
        <f>IF(A1562="","",IFERROR(IF(VLOOKUP(A1562,'1. Inbound Leads'!A:L,12,FALSE)=0,"",VLOOKUP(A1562,'1. Inbound Leads'!A:L,12,FALSE)),""))</f>
        <v/>
      </c>
      <c r="E1562" s="388"/>
      <c r="F1562" s="389"/>
      <c r="G1562" s="387"/>
      <c r="H1562" s="387"/>
      <c r="I1562" s="387"/>
      <c r="J1562" s="387"/>
      <c r="K1562" s="387"/>
      <c r="L1562" s="387"/>
      <c r="M1562" s="388"/>
      <c r="N1562" s="388"/>
      <c r="O1562" s="390"/>
      <c r="P1562" s="391"/>
      <c r="Q1562" s="389"/>
      <c r="R1562" s="390"/>
      <c r="S1562" s="390"/>
      <c r="T1562" s="391"/>
      <c r="U1562" s="392"/>
      <c r="V1562" s="391"/>
      <c r="W1562" s="391"/>
      <c r="X1562" s="388"/>
      <c r="Y1562" s="391"/>
      <c r="Z1562" s="393"/>
      <c r="AA1562" s="355" t="str">
        <f t="shared" si="1"/>
        <v/>
      </c>
      <c r="AB1562" s="391"/>
      <c r="AC1562" s="394" t="str">
        <f t="shared" si="2"/>
        <v/>
      </c>
      <c r="AD1562" s="389"/>
      <c r="AE1562" s="399"/>
      <c r="AF1562" s="395"/>
      <c r="AG1562" s="396" t="str">
        <f t="shared" si="3"/>
        <v/>
      </c>
      <c r="AH1562" s="396" t="str">
        <f t="shared" si="4"/>
        <v/>
      </c>
      <c r="AI1562" s="388"/>
      <c r="AJ1562" s="388"/>
      <c r="AK1562" s="397"/>
    </row>
    <row r="1563">
      <c r="A1563" s="398"/>
      <c r="B1563" s="386"/>
      <c r="C1563" s="387" t="str">
        <f>IF(A1563="","",IFERROR(IF(VLOOKUP(A1563,'1. Inbound Leads'!A:G,7,FALSE)=0,"",VLOOKUP(A1563,'1. Inbound Leads'!A:G,7,FALSE)),""))</f>
        <v/>
      </c>
      <c r="D1563" s="387" t="str">
        <f>IF(A1563="","",IFERROR(IF(VLOOKUP(A1563,'1. Inbound Leads'!A:L,12,FALSE)=0,"",VLOOKUP(A1563,'1. Inbound Leads'!A:L,12,FALSE)),""))</f>
        <v/>
      </c>
      <c r="E1563" s="388"/>
      <c r="F1563" s="389"/>
      <c r="G1563" s="387"/>
      <c r="H1563" s="387"/>
      <c r="I1563" s="387"/>
      <c r="J1563" s="387"/>
      <c r="K1563" s="387"/>
      <c r="L1563" s="387"/>
      <c r="M1563" s="388"/>
      <c r="N1563" s="388"/>
      <c r="O1563" s="390"/>
      <c r="P1563" s="391"/>
      <c r="Q1563" s="389"/>
      <c r="R1563" s="390"/>
      <c r="S1563" s="390"/>
      <c r="T1563" s="391"/>
      <c r="U1563" s="392"/>
      <c r="V1563" s="391"/>
      <c r="W1563" s="391"/>
      <c r="X1563" s="388"/>
      <c r="Y1563" s="391"/>
      <c r="Z1563" s="393"/>
      <c r="AA1563" s="355" t="str">
        <f t="shared" si="1"/>
        <v/>
      </c>
      <c r="AB1563" s="391"/>
      <c r="AC1563" s="394" t="str">
        <f t="shared" si="2"/>
        <v/>
      </c>
      <c r="AD1563" s="389"/>
      <c r="AE1563" s="399"/>
      <c r="AF1563" s="395"/>
      <c r="AG1563" s="396" t="str">
        <f t="shared" si="3"/>
        <v/>
      </c>
      <c r="AH1563" s="396" t="str">
        <f t="shared" si="4"/>
        <v/>
      </c>
      <c r="AI1563" s="388"/>
      <c r="AJ1563" s="388"/>
      <c r="AK1563" s="397"/>
    </row>
    <row r="1564">
      <c r="A1564" s="398"/>
      <c r="B1564" s="386"/>
      <c r="C1564" s="387" t="str">
        <f>IF(A1564="","",IFERROR(IF(VLOOKUP(A1564,'1. Inbound Leads'!A:G,7,FALSE)=0,"",VLOOKUP(A1564,'1. Inbound Leads'!A:G,7,FALSE)),""))</f>
        <v/>
      </c>
      <c r="D1564" s="387" t="str">
        <f>IF(A1564="","",IFERROR(IF(VLOOKUP(A1564,'1. Inbound Leads'!A:L,12,FALSE)=0,"",VLOOKUP(A1564,'1. Inbound Leads'!A:L,12,FALSE)),""))</f>
        <v/>
      </c>
      <c r="E1564" s="388"/>
      <c r="F1564" s="389"/>
      <c r="G1564" s="387"/>
      <c r="H1564" s="387"/>
      <c r="I1564" s="387"/>
      <c r="J1564" s="387"/>
      <c r="K1564" s="387"/>
      <c r="L1564" s="387"/>
      <c r="M1564" s="388"/>
      <c r="N1564" s="388"/>
      <c r="O1564" s="390"/>
      <c r="P1564" s="391"/>
      <c r="Q1564" s="389"/>
      <c r="R1564" s="390"/>
      <c r="S1564" s="390"/>
      <c r="T1564" s="391"/>
      <c r="U1564" s="392"/>
      <c r="V1564" s="391"/>
      <c r="W1564" s="391"/>
      <c r="X1564" s="388"/>
      <c r="Y1564" s="391"/>
      <c r="Z1564" s="393"/>
      <c r="AA1564" s="355" t="str">
        <f t="shared" si="1"/>
        <v/>
      </c>
      <c r="AB1564" s="391"/>
      <c r="AC1564" s="394" t="str">
        <f t="shared" si="2"/>
        <v/>
      </c>
      <c r="AD1564" s="389"/>
      <c r="AE1564" s="399"/>
      <c r="AF1564" s="395"/>
      <c r="AG1564" s="396" t="str">
        <f t="shared" si="3"/>
        <v/>
      </c>
      <c r="AH1564" s="396" t="str">
        <f t="shared" si="4"/>
        <v/>
      </c>
      <c r="AI1564" s="388"/>
      <c r="AJ1564" s="388"/>
      <c r="AK1564" s="397"/>
    </row>
    <row r="1565">
      <c r="A1565" s="398"/>
      <c r="B1565" s="386"/>
      <c r="C1565" s="387" t="str">
        <f>IF(A1565="","",IFERROR(IF(VLOOKUP(A1565,'1. Inbound Leads'!A:G,7,FALSE)=0,"",VLOOKUP(A1565,'1. Inbound Leads'!A:G,7,FALSE)),""))</f>
        <v/>
      </c>
      <c r="D1565" s="387" t="str">
        <f>IF(A1565="","",IFERROR(IF(VLOOKUP(A1565,'1. Inbound Leads'!A:L,12,FALSE)=0,"",VLOOKUP(A1565,'1. Inbound Leads'!A:L,12,FALSE)),""))</f>
        <v/>
      </c>
      <c r="E1565" s="388"/>
      <c r="F1565" s="389"/>
      <c r="G1565" s="387"/>
      <c r="H1565" s="387"/>
      <c r="I1565" s="387"/>
      <c r="J1565" s="387"/>
      <c r="K1565" s="387"/>
      <c r="L1565" s="387"/>
      <c r="M1565" s="388"/>
      <c r="N1565" s="388"/>
      <c r="O1565" s="390"/>
      <c r="P1565" s="391"/>
      <c r="Q1565" s="389"/>
      <c r="R1565" s="390"/>
      <c r="S1565" s="390"/>
      <c r="T1565" s="391"/>
      <c r="U1565" s="392"/>
      <c r="V1565" s="391"/>
      <c r="W1565" s="391"/>
      <c r="X1565" s="388"/>
      <c r="Y1565" s="391"/>
      <c r="Z1565" s="393"/>
      <c r="AA1565" s="355" t="str">
        <f t="shared" si="1"/>
        <v/>
      </c>
      <c r="AB1565" s="391"/>
      <c r="AC1565" s="394" t="str">
        <f t="shared" si="2"/>
        <v/>
      </c>
      <c r="AD1565" s="389"/>
      <c r="AE1565" s="399"/>
      <c r="AF1565" s="395"/>
      <c r="AG1565" s="396" t="str">
        <f t="shared" si="3"/>
        <v/>
      </c>
      <c r="AH1565" s="396" t="str">
        <f t="shared" si="4"/>
        <v/>
      </c>
      <c r="AI1565" s="388"/>
      <c r="AJ1565" s="388"/>
      <c r="AK1565" s="397"/>
    </row>
    <row r="1566">
      <c r="A1566" s="398"/>
      <c r="B1566" s="386"/>
      <c r="C1566" s="387" t="str">
        <f>IF(A1566="","",IFERROR(IF(VLOOKUP(A1566,'1. Inbound Leads'!A:G,7,FALSE)=0,"",VLOOKUP(A1566,'1. Inbound Leads'!A:G,7,FALSE)),""))</f>
        <v/>
      </c>
      <c r="D1566" s="387" t="str">
        <f>IF(A1566="","",IFERROR(IF(VLOOKUP(A1566,'1. Inbound Leads'!A:L,12,FALSE)=0,"",VLOOKUP(A1566,'1. Inbound Leads'!A:L,12,FALSE)),""))</f>
        <v/>
      </c>
      <c r="E1566" s="388"/>
      <c r="F1566" s="389"/>
      <c r="G1566" s="387"/>
      <c r="H1566" s="387"/>
      <c r="I1566" s="387"/>
      <c r="J1566" s="387"/>
      <c r="K1566" s="387"/>
      <c r="L1566" s="387"/>
      <c r="M1566" s="388"/>
      <c r="N1566" s="388"/>
      <c r="O1566" s="390"/>
      <c r="P1566" s="391"/>
      <c r="Q1566" s="389"/>
      <c r="R1566" s="390"/>
      <c r="S1566" s="390"/>
      <c r="T1566" s="391"/>
      <c r="U1566" s="392"/>
      <c r="V1566" s="391"/>
      <c r="W1566" s="391"/>
      <c r="X1566" s="388"/>
      <c r="Y1566" s="391"/>
      <c r="Z1566" s="393"/>
      <c r="AA1566" s="355" t="str">
        <f t="shared" si="1"/>
        <v/>
      </c>
      <c r="AB1566" s="391"/>
      <c r="AC1566" s="394" t="str">
        <f t="shared" si="2"/>
        <v/>
      </c>
      <c r="AD1566" s="389"/>
      <c r="AE1566" s="399"/>
      <c r="AF1566" s="395"/>
      <c r="AG1566" s="396" t="str">
        <f t="shared" si="3"/>
        <v/>
      </c>
      <c r="AH1566" s="396" t="str">
        <f t="shared" si="4"/>
        <v/>
      </c>
      <c r="AI1566" s="388"/>
      <c r="AJ1566" s="388"/>
      <c r="AK1566" s="397"/>
    </row>
    <row r="1567">
      <c r="A1567" s="398"/>
      <c r="B1567" s="386"/>
      <c r="C1567" s="387" t="str">
        <f>IF(A1567="","",IFERROR(IF(VLOOKUP(A1567,'1. Inbound Leads'!A:G,7,FALSE)=0,"",VLOOKUP(A1567,'1. Inbound Leads'!A:G,7,FALSE)),""))</f>
        <v/>
      </c>
      <c r="D1567" s="387" t="str">
        <f>IF(A1567="","",IFERROR(IF(VLOOKUP(A1567,'1. Inbound Leads'!A:L,12,FALSE)=0,"",VLOOKUP(A1567,'1. Inbound Leads'!A:L,12,FALSE)),""))</f>
        <v/>
      </c>
      <c r="E1567" s="388"/>
      <c r="F1567" s="389"/>
      <c r="G1567" s="387"/>
      <c r="H1567" s="387"/>
      <c r="I1567" s="387"/>
      <c r="J1567" s="387"/>
      <c r="K1567" s="387"/>
      <c r="L1567" s="387"/>
      <c r="M1567" s="388"/>
      <c r="N1567" s="388"/>
      <c r="O1567" s="390"/>
      <c r="P1567" s="391"/>
      <c r="Q1567" s="389"/>
      <c r="R1567" s="390"/>
      <c r="S1567" s="390"/>
      <c r="T1567" s="391"/>
      <c r="U1567" s="392"/>
      <c r="V1567" s="391"/>
      <c r="W1567" s="391"/>
      <c r="X1567" s="388"/>
      <c r="Y1567" s="391"/>
      <c r="Z1567" s="393"/>
      <c r="AA1567" s="355" t="str">
        <f t="shared" si="1"/>
        <v/>
      </c>
      <c r="AB1567" s="391"/>
      <c r="AC1567" s="394" t="str">
        <f t="shared" si="2"/>
        <v/>
      </c>
      <c r="AD1567" s="389"/>
      <c r="AE1567" s="399"/>
      <c r="AF1567" s="395"/>
      <c r="AG1567" s="396" t="str">
        <f t="shared" si="3"/>
        <v/>
      </c>
      <c r="AH1567" s="396" t="str">
        <f t="shared" si="4"/>
        <v/>
      </c>
      <c r="AI1567" s="388"/>
      <c r="AJ1567" s="388"/>
      <c r="AK1567" s="397"/>
    </row>
    <row r="1568">
      <c r="A1568" s="398"/>
      <c r="B1568" s="386"/>
      <c r="C1568" s="387" t="str">
        <f>IF(A1568="","",IFERROR(IF(VLOOKUP(A1568,'1. Inbound Leads'!A:G,7,FALSE)=0,"",VLOOKUP(A1568,'1. Inbound Leads'!A:G,7,FALSE)),""))</f>
        <v/>
      </c>
      <c r="D1568" s="387" t="str">
        <f>IF(A1568="","",IFERROR(IF(VLOOKUP(A1568,'1. Inbound Leads'!A:L,12,FALSE)=0,"",VLOOKUP(A1568,'1. Inbound Leads'!A:L,12,FALSE)),""))</f>
        <v/>
      </c>
      <c r="E1568" s="388"/>
      <c r="F1568" s="389"/>
      <c r="G1568" s="387"/>
      <c r="H1568" s="387"/>
      <c r="I1568" s="387"/>
      <c r="J1568" s="387"/>
      <c r="K1568" s="387"/>
      <c r="L1568" s="387"/>
      <c r="M1568" s="388"/>
      <c r="N1568" s="388"/>
      <c r="O1568" s="390"/>
      <c r="P1568" s="391"/>
      <c r="Q1568" s="389"/>
      <c r="R1568" s="390"/>
      <c r="S1568" s="390"/>
      <c r="T1568" s="391"/>
      <c r="U1568" s="392"/>
      <c r="V1568" s="391"/>
      <c r="W1568" s="391"/>
      <c r="X1568" s="388"/>
      <c r="Y1568" s="391"/>
      <c r="Z1568" s="393"/>
      <c r="AA1568" s="355" t="str">
        <f t="shared" si="1"/>
        <v/>
      </c>
      <c r="AB1568" s="391"/>
      <c r="AC1568" s="394" t="str">
        <f t="shared" si="2"/>
        <v/>
      </c>
      <c r="AD1568" s="389"/>
      <c r="AE1568" s="399"/>
      <c r="AF1568" s="395"/>
      <c r="AG1568" s="396" t="str">
        <f t="shared" si="3"/>
        <v/>
      </c>
      <c r="AH1568" s="396" t="str">
        <f t="shared" si="4"/>
        <v/>
      </c>
      <c r="AI1568" s="388"/>
      <c r="AJ1568" s="388"/>
      <c r="AK1568" s="397"/>
    </row>
    <row r="1569">
      <c r="A1569" s="398"/>
      <c r="B1569" s="386"/>
      <c r="C1569" s="387" t="str">
        <f>IF(A1569="","",IFERROR(IF(VLOOKUP(A1569,'1. Inbound Leads'!A:G,7,FALSE)=0,"",VLOOKUP(A1569,'1. Inbound Leads'!A:G,7,FALSE)),""))</f>
        <v/>
      </c>
      <c r="D1569" s="387" t="str">
        <f>IF(A1569="","",IFERROR(IF(VLOOKUP(A1569,'1. Inbound Leads'!A:L,12,FALSE)=0,"",VLOOKUP(A1569,'1. Inbound Leads'!A:L,12,FALSE)),""))</f>
        <v/>
      </c>
      <c r="E1569" s="388"/>
      <c r="F1569" s="389"/>
      <c r="G1569" s="387"/>
      <c r="H1569" s="387"/>
      <c r="I1569" s="387"/>
      <c r="J1569" s="387"/>
      <c r="K1569" s="387"/>
      <c r="L1569" s="387"/>
      <c r="M1569" s="388"/>
      <c r="N1569" s="388"/>
      <c r="O1569" s="390"/>
      <c r="P1569" s="391"/>
      <c r="Q1569" s="389"/>
      <c r="R1569" s="390"/>
      <c r="S1569" s="390"/>
      <c r="T1569" s="391"/>
      <c r="U1569" s="392"/>
      <c r="V1569" s="391"/>
      <c r="W1569" s="391"/>
      <c r="X1569" s="388"/>
      <c r="Y1569" s="391"/>
      <c r="Z1569" s="393"/>
      <c r="AA1569" s="355" t="str">
        <f t="shared" si="1"/>
        <v/>
      </c>
      <c r="AB1569" s="391"/>
      <c r="AC1569" s="394" t="str">
        <f t="shared" si="2"/>
        <v/>
      </c>
      <c r="AD1569" s="389"/>
      <c r="AE1569" s="399"/>
      <c r="AF1569" s="395"/>
      <c r="AG1569" s="396" t="str">
        <f t="shared" si="3"/>
        <v/>
      </c>
      <c r="AH1569" s="396" t="str">
        <f t="shared" si="4"/>
        <v/>
      </c>
      <c r="AI1569" s="388"/>
      <c r="AJ1569" s="388"/>
      <c r="AK1569" s="397"/>
    </row>
    <row r="1570">
      <c r="A1570" s="398"/>
      <c r="B1570" s="386"/>
      <c r="C1570" s="387" t="str">
        <f>IF(A1570="","",IFERROR(IF(VLOOKUP(A1570,'1. Inbound Leads'!A:G,7,FALSE)=0,"",VLOOKUP(A1570,'1. Inbound Leads'!A:G,7,FALSE)),""))</f>
        <v/>
      </c>
      <c r="D1570" s="387" t="str">
        <f>IF(A1570="","",IFERROR(IF(VLOOKUP(A1570,'1. Inbound Leads'!A:L,12,FALSE)=0,"",VLOOKUP(A1570,'1. Inbound Leads'!A:L,12,FALSE)),""))</f>
        <v/>
      </c>
      <c r="E1570" s="388"/>
      <c r="F1570" s="389"/>
      <c r="G1570" s="387"/>
      <c r="H1570" s="387"/>
      <c r="I1570" s="387"/>
      <c r="J1570" s="387"/>
      <c r="K1570" s="387"/>
      <c r="L1570" s="387"/>
      <c r="M1570" s="388"/>
      <c r="N1570" s="388"/>
      <c r="O1570" s="390"/>
      <c r="P1570" s="391"/>
      <c r="Q1570" s="389"/>
      <c r="R1570" s="390"/>
      <c r="S1570" s="390"/>
      <c r="T1570" s="391"/>
      <c r="U1570" s="392"/>
      <c r="V1570" s="391"/>
      <c r="W1570" s="391"/>
      <c r="X1570" s="388"/>
      <c r="Y1570" s="391"/>
      <c r="Z1570" s="393"/>
      <c r="AA1570" s="355" t="str">
        <f t="shared" si="1"/>
        <v/>
      </c>
      <c r="AB1570" s="391"/>
      <c r="AC1570" s="394" t="str">
        <f t="shared" si="2"/>
        <v/>
      </c>
      <c r="AD1570" s="389"/>
      <c r="AE1570" s="399"/>
      <c r="AF1570" s="395"/>
      <c r="AG1570" s="396" t="str">
        <f t="shared" si="3"/>
        <v/>
      </c>
      <c r="AH1570" s="396" t="str">
        <f t="shared" si="4"/>
        <v/>
      </c>
      <c r="AI1570" s="388"/>
      <c r="AJ1570" s="388"/>
      <c r="AK1570" s="397"/>
    </row>
    <row r="1571">
      <c r="A1571" s="398"/>
      <c r="B1571" s="386"/>
      <c r="C1571" s="387" t="str">
        <f>IF(A1571="","",IFERROR(IF(VLOOKUP(A1571,'1. Inbound Leads'!A:G,7,FALSE)=0,"",VLOOKUP(A1571,'1. Inbound Leads'!A:G,7,FALSE)),""))</f>
        <v/>
      </c>
      <c r="D1571" s="387" t="str">
        <f>IF(A1571="","",IFERROR(IF(VLOOKUP(A1571,'1. Inbound Leads'!A:L,12,FALSE)=0,"",VLOOKUP(A1571,'1. Inbound Leads'!A:L,12,FALSE)),""))</f>
        <v/>
      </c>
      <c r="E1571" s="388"/>
      <c r="F1571" s="389"/>
      <c r="G1571" s="387"/>
      <c r="H1571" s="387"/>
      <c r="I1571" s="387"/>
      <c r="J1571" s="387"/>
      <c r="K1571" s="387"/>
      <c r="L1571" s="387"/>
      <c r="M1571" s="388"/>
      <c r="N1571" s="388"/>
      <c r="O1571" s="390"/>
      <c r="P1571" s="391"/>
      <c r="Q1571" s="389"/>
      <c r="R1571" s="390"/>
      <c r="S1571" s="390"/>
      <c r="T1571" s="391"/>
      <c r="U1571" s="392"/>
      <c r="V1571" s="391"/>
      <c r="W1571" s="391"/>
      <c r="X1571" s="388"/>
      <c r="Y1571" s="391"/>
      <c r="Z1571" s="393"/>
      <c r="AA1571" s="355" t="str">
        <f t="shared" si="1"/>
        <v/>
      </c>
      <c r="AB1571" s="391"/>
      <c r="AC1571" s="394" t="str">
        <f t="shared" si="2"/>
        <v/>
      </c>
      <c r="AD1571" s="389"/>
      <c r="AE1571" s="399"/>
      <c r="AF1571" s="395"/>
      <c r="AG1571" s="396" t="str">
        <f t="shared" si="3"/>
        <v/>
      </c>
      <c r="AH1571" s="396" t="str">
        <f t="shared" si="4"/>
        <v/>
      </c>
      <c r="AI1571" s="388"/>
      <c r="AJ1571" s="388"/>
      <c r="AK1571" s="397"/>
    </row>
    <row r="1572">
      <c r="A1572" s="398"/>
      <c r="B1572" s="386"/>
      <c r="C1572" s="387" t="str">
        <f>IF(A1572="","",IFERROR(IF(VLOOKUP(A1572,'1. Inbound Leads'!A:G,7,FALSE)=0,"",VLOOKUP(A1572,'1. Inbound Leads'!A:G,7,FALSE)),""))</f>
        <v/>
      </c>
      <c r="D1572" s="387" t="str">
        <f>IF(A1572="","",IFERROR(IF(VLOOKUP(A1572,'1. Inbound Leads'!A:L,12,FALSE)=0,"",VLOOKUP(A1572,'1. Inbound Leads'!A:L,12,FALSE)),""))</f>
        <v/>
      </c>
      <c r="E1572" s="388"/>
      <c r="F1572" s="389"/>
      <c r="G1572" s="387"/>
      <c r="H1572" s="387"/>
      <c r="I1572" s="387"/>
      <c r="J1572" s="387"/>
      <c r="K1572" s="387"/>
      <c r="L1572" s="387"/>
      <c r="M1572" s="388"/>
      <c r="N1572" s="388"/>
      <c r="O1572" s="390"/>
      <c r="P1572" s="391"/>
      <c r="Q1572" s="389"/>
      <c r="R1572" s="390"/>
      <c r="S1572" s="390"/>
      <c r="T1572" s="391"/>
      <c r="U1572" s="392"/>
      <c r="V1572" s="391"/>
      <c r="W1572" s="391"/>
      <c r="X1572" s="388"/>
      <c r="Y1572" s="391"/>
      <c r="Z1572" s="393"/>
      <c r="AA1572" s="355" t="str">
        <f t="shared" si="1"/>
        <v/>
      </c>
      <c r="AB1572" s="391"/>
      <c r="AC1572" s="394" t="str">
        <f t="shared" si="2"/>
        <v/>
      </c>
      <c r="AD1572" s="389"/>
      <c r="AE1572" s="399"/>
      <c r="AF1572" s="395"/>
      <c r="AG1572" s="396" t="str">
        <f t="shared" si="3"/>
        <v/>
      </c>
      <c r="AH1572" s="396" t="str">
        <f t="shared" si="4"/>
        <v/>
      </c>
      <c r="AI1572" s="388"/>
      <c r="AJ1572" s="388"/>
      <c r="AK1572" s="397"/>
    </row>
    <row r="1573">
      <c r="A1573" s="398"/>
      <c r="B1573" s="386"/>
      <c r="C1573" s="387" t="str">
        <f>IF(A1573="","",IFERROR(IF(VLOOKUP(A1573,'1. Inbound Leads'!A:G,7,FALSE)=0,"",VLOOKUP(A1573,'1. Inbound Leads'!A:G,7,FALSE)),""))</f>
        <v/>
      </c>
      <c r="D1573" s="387" t="str">
        <f>IF(A1573="","",IFERROR(IF(VLOOKUP(A1573,'1. Inbound Leads'!A:L,12,FALSE)=0,"",VLOOKUP(A1573,'1. Inbound Leads'!A:L,12,FALSE)),""))</f>
        <v/>
      </c>
      <c r="E1573" s="388"/>
      <c r="F1573" s="389"/>
      <c r="G1573" s="387"/>
      <c r="H1573" s="387"/>
      <c r="I1573" s="387"/>
      <c r="J1573" s="387"/>
      <c r="K1573" s="387"/>
      <c r="L1573" s="387"/>
      <c r="M1573" s="388"/>
      <c r="N1573" s="388"/>
      <c r="O1573" s="390"/>
      <c r="P1573" s="391"/>
      <c r="Q1573" s="389"/>
      <c r="R1573" s="390"/>
      <c r="S1573" s="390"/>
      <c r="T1573" s="391"/>
      <c r="U1573" s="392"/>
      <c r="V1573" s="391"/>
      <c r="W1573" s="391"/>
      <c r="X1573" s="388"/>
      <c r="Y1573" s="391"/>
      <c r="Z1573" s="393"/>
      <c r="AA1573" s="355" t="str">
        <f t="shared" si="1"/>
        <v/>
      </c>
      <c r="AB1573" s="391"/>
      <c r="AC1573" s="394" t="str">
        <f t="shared" si="2"/>
        <v/>
      </c>
      <c r="AD1573" s="389"/>
      <c r="AE1573" s="399"/>
      <c r="AF1573" s="395"/>
      <c r="AG1573" s="396" t="str">
        <f t="shared" si="3"/>
        <v/>
      </c>
      <c r="AH1573" s="396" t="str">
        <f t="shared" si="4"/>
        <v/>
      </c>
      <c r="AI1573" s="388"/>
      <c r="AJ1573" s="388"/>
      <c r="AK1573" s="397"/>
    </row>
    <row r="1574">
      <c r="A1574" s="398"/>
      <c r="B1574" s="386"/>
      <c r="C1574" s="387" t="str">
        <f>IF(A1574="","",IFERROR(IF(VLOOKUP(A1574,'1. Inbound Leads'!A:G,7,FALSE)=0,"",VLOOKUP(A1574,'1. Inbound Leads'!A:G,7,FALSE)),""))</f>
        <v/>
      </c>
      <c r="D1574" s="387" t="str">
        <f>IF(A1574="","",IFERROR(IF(VLOOKUP(A1574,'1. Inbound Leads'!A:L,12,FALSE)=0,"",VLOOKUP(A1574,'1. Inbound Leads'!A:L,12,FALSE)),""))</f>
        <v/>
      </c>
      <c r="E1574" s="388"/>
      <c r="F1574" s="389"/>
      <c r="G1574" s="387"/>
      <c r="H1574" s="387"/>
      <c r="I1574" s="387"/>
      <c r="J1574" s="387"/>
      <c r="K1574" s="387"/>
      <c r="L1574" s="387"/>
      <c r="M1574" s="388"/>
      <c r="N1574" s="388"/>
      <c r="O1574" s="390"/>
      <c r="P1574" s="391"/>
      <c r="Q1574" s="389"/>
      <c r="R1574" s="390"/>
      <c r="S1574" s="390"/>
      <c r="T1574" s="391"/>
      <c r="U1574" s="392"/>
      <c r="V1574" s="391"/>
      <c r="W1574" s="391"/>
      <c r="X1574" s="388"/>
      <c r="Y1574" s="391"/>
      <c r="Z1574" s="393"/>
      <c r="AA1574" s="355" t="str">
        <f t="shared" si="1"/>
        <v/>
      </c>
      <c r="AB1574" s="391"/>
      <c r="AC1574" s="394" t="str">
        <f t="shared" si="2"/>
        <v/>
      </c>
      <c r="AD1574" s="389"/>
      <c r="AE1574" s="399"/>
      <c r="AF1574" s="395"/>
      <c r="AG1574" s="396" t="str">
        <f t="shared" si="3"/>
        <v/>
      </c>
      <c r="AH1574" s="396" t="str">
        <f t="shared" si="4"/>
        <v/>
      </c>
      <c r="AI1574" s="388"/>
      <c r="AJ1574" s="388"/>
      <c r="AK1574" s="397"/>
    </row>
    <row r="1575">
      <c r="A1575" s="398"/>
      <c r="B1575" s="386"/>
      <c r="C1575" s="387" t="str">
        <f>IF(A1575="","",IFERROR(IF(VLOOKUP(A1575,'1. Inbound Leads'!A:G,7,FALSE)=0,"",VLOOKUP(A1575,'1. Inbound Leads'!A:G,7,FALSE)),""))</f>
        <v/>
      </c>
      <c r="D1575" s="387" t="str">
        <f>IF(A1575="","",IFERROR(IF(VLOOKUP(A1575,'1. Inbound Leads'!A:L,12,FALSE)=0,"",VLOOKUP(A1575,'1. Inbound Leads'!A:L,12,FALSE)),""))</f>
        <v/>
      </c>
      <c r="E1575" s="388"/>
      <c r="F1575" s="389"/>
      <c r="G1575" s="387"/>
      <c r="H1575" s="387"/>
      <c r="I1575" s="387"/>
      <c r="J1575" s="387"/>
      <c r="K1575" s="387"/>
      <c r="L1575" s="387"/>
      <c r="M1575" s="388"/>
      <c r="N1575" s="388"/>
      <c r="O1575" s="390"/>
      <c r="P1575" s="391"/>
      <c r="Q1575" s="389"/>
      <c r="R1575" s="390"/>
      <c r="S1575" s="390"/>
      <c r="T1575" s="391"/>
      <c r="U1575" s="392"/>
      <c r="V1575" s="391"/>
      <c r="W1575" s="391"/>
      <c r="X1575" s="388"/>
      <c r="Y1575" s="391"/>
      <c r="Z1575" s="393"/>
      <c r="AA1575" s="355" t="str">
        <f t="shared" si="1"/>
        <v/>
      </c>
      <c r="AB1575" s="391"/>
      <c r="AC1575" s="394" t="str">
        <f t="shared" si="2"/>
        <v/>
      </c>
      <c r="AD1575" s="389"/>
      <c r="AE1575" s="399"/>
      <c r="AF1575" s="395"/>
      <c r="AG1575" s="396" t="str">
        <f t="shared" si="3"/>
        <v/>
      </c>
      <c r="AH1575" s="396" t="str">
        <f t="shared" si="4"/>
        <v/>
      </c>
      <c r="AI1575" s="388"/>
      <c r="AJ1575" s="388"/>
      <c r="AK1575" s="397"/>
    </row>
    <row r="1576">
      <c r="A1576" s="398"/>
      <c r="B1576" s="386"/>
      <c r="C1576" s="387" t="str">
        <f>IF(A1576="","",IFERROR(IF(VLOOKUP(A1576,'1. Inbound Leads'!A:G,7,FALSE)=0,"",VLOOKUP(A1576,'1. Inbound Leads'!A:G,7,FALSE)),""))</f>
        <v/>
      </c>
      <c r="D1576" s="387" t="str">
        <f>IF(A1576="","",IFERROR(IF(VLOOKUP(A1576,'1. Inbound Leads'!A:L,12,FALSE)=0,"",VLOOKUP(A1576,'1. Inbound Leads'!A:L,12,FALSE)),""))</f>
        <v/>
      </c>
      <c r="E1576" s="388"/>
      <c r="F1576" s="389"/>
      <c r="G1576" s="387"/>
      <c r="H1576" s="387"/>
      <c r="I1576" s="387"/>
      <c r="J1576" s="387"/>
      <c r="K1576" s="387"/>
      <c r="L1576" s="387"/>
      <c r="M1576" s="388"/>
      <c r="N1576" s="388"/>
      <c r="O1576" s="390"/>
      <c r="P1576" s="391"/>
      <c r="Q1576" s="389"/>
      <c r="R1576" s="390"/>
      <c r="S1576" s="390"/>
      <c r="T1576" s="391"/>
      <c r="U1576" s="392"/>
      <c r="V1576" s="391"/>
      <c r="W1576" s="391"/>
      <c r="X1576" s="388"/>
      <c r="Y1576" s="391"/>
      <c r="Z1576" s="393"/>
      <c r="AA1576" s="355" t="str">
        <f t="shared" si="1"/>
        <v/>
      </c>
      <c r="AB1576" s="391"/>
      <c r="AC1576" s="394" t="str">
        <f t="shared" si="2"/>
        <v/>
      </c>
      <c r="AD1576" s="389"/>
      <c r="AE1576" s="399"/>
      <c r="AF1576" s="395"/>
      <c r="AG1576" s="396" t="str">
        <f t="shared" si="3"/>
        <v/>
      </c>
      <c r="AH1576" s="396" t="str">
        <f t="shared" si="4"/>
        <v/>
      </c>
      <c r="AI1576" s="388"/>
      <c r="AJ1576" s="388"/>
      <c r="AK1576" s="397"/>
    </row>
    <row r="1577">
      <c r="A1577" s="398"/>
      <c r="B1577" s="386"/>
      <c r="C1577" s="387" t="str">
        <f>IF(A1577="","",IFERROR(IF(VLOOKUP(A1577,'1. Inbound Leads'!A:G,7,FALSE)=0,"",VLOOKUP(A1577,'1. Inbound Leads'!A:G,7,FALSE)),""))</f>
        <v/>
      </c>
      <c r="D1577" s="387" t="str">
        <f>IF(A1577="","",IFERROR(IF(VLOOKUP(A1577,'1. Inbound Leads'!A:L,12,FALSE)=0,"",VLOOKUP(A1577,'1. Inbound Leads'!A:L,12,FALSE)),""))</f>
        <v/>
      </c>
      <c r="E1577" s="388"/>
      <c r="F1577" s="389"/>
      <c r="G1577" s="387"/>
      <c r="H1577" s="387"/>
      <c r="I1577" s="387"/>
      <c r="J1577" s="387"/>
      <c r="K1577" s="387"/>
      <c r="L1577" s="387"/>
      <c r="M1577" s="388"/>
      <c r="N1577" s="388"/>
      <c r="O1577" s="390"/>
      <c r="P1577" s="391"/>
      <c r="Q1577" s="389"/>
      <c r="R1577" s="390"/>
      <c r="S1577" s="390"/>
      <c r="T1577" s="391"/>
      <c r="U1577" s="392"/>
      <c r="V1577" s="391"/>
      <c r="W1577" s="391"/>
      <c r="X1577" s="388"/>
      <c r="Y1577" s="391"/>
      <c r="Z1577" s="393"/>
      <c r="AA1577" s="355" t="str">
        <f t="shared" si="1"/>
        <v/>
      </c>
      <c r="AB1577" s="391"/>
      <c r="AC1577" s="394" t="str">
        <f t="shared" si="2"/>
        <v/>
      </c>
      <c r="AD1577" s="389"/>
      <c r="AE1577" s="399"/>
      <c r="AF1577" s="395"/>
      <c r="AG1577" s="396" t="str">
        <f t="shared" si="3"/>
        <v/>
      </c>
      <c r="AH1577" s="396" t="str">
        <f t="shared" si="4"/>
        <v/>
      </c>
      <c r="AI1577" s="388"/>
      <c r="AJ1577" s="388"/>
      <c r="AK1577" s="397"/>
    </row>
    <row r="1578">
      <c r="A1578" s="398"/>
      <c r="B1578" s="386"/>
      <c r="C1578" s="387" t="str">
        <f>IF(A1578="","",IFERROR(IF(VLOOKUP(A1578,'1. Inbound Leads'!A:G,7,FALSE)=0,"",VLOOKUP(A1578,'1. Inbound Leads'!A:G,7,FALSE)),""))</f>
        <v/>
      </c>
      <c r="D1578" s="387" t="str">
        <f>IF(A1578="","",IFERROR(IF(VLOOKUP(A1578,'1. Inbound Leads'!A:L,12,FALSE)=0,"",VLOOKUP(A1578,'1. Inbound Leads'!A:L,12,FALSE)),""))</f>
        <v/>
      </c>
      <c r="E1578" s="388"/>
      <c r="F1578" s="389"/>
      <c r="G1578" s="387"/>
      <c r="H1578" s="387"/>
      <c r="I1578" s="387"/>
      <c r="J1578" s="387"/>
      <c r="K1578" s="387"/>
      <c r="L1578" s="387"/>
      <c r="M1578" s="388"/>
      <c r="N1578" s="388"/>
      <c r="O1578" s="390"/>
      <c r="P1578" s="391"/>
      <c r="Q1578" s="389"/>
      <c r="R1578" s="390"/>
      <c r="S1578" s="390"/>
      <c r="T1578" s="391"/>
      <c r="U1578" s="392"/>
      <c r="V1578" s="391"/>
      <c r="W1578" s="391"/>
      <c r="X1578" s="388"/>
      <c r="Y1578" s="391"/>
      <c r="Z1578" s="393"/>
      <c r="AA1578" s="355" t="str">
        <f t="shared" si="1"/>
        <v/>
      </c>
      <c r="AB1578" s="391"/>
      <c r="AC1578" s="394" t="str">
        <f t="shared" si="2"/>
        <v/>
      </c>
      <c r="AD1578" s="389"/>
      <c r="AE1578" s="399"/>
      <c r="AF1578" s="395"/>
      <c r="AG1578" s="396" t="str">
        <f t="shared" si="3"/>
        <v/>
      </c>
      <c r="AH1578" s="396" t="str">
        <f t="shared" si="4"/>
        <v/>
      </c>
      <c r="AI1578" s="388"/>
      <c r="AJ1578" s="388"/>
      <c r="AK1578" s="397"/>
    </row>
    <row r="1579">
      <c r="A1579" s="398"/>
      <c r="B1579" s="386"/>
      <c r="C1579" s="387" t="str">
        <f>IF(A1579="","",IFERROR(IF(VLOOKUP(A1579,'1. Inbound Leads'!A:G,7,FALSE)=0,"",VLOOKUP(A1579,'1. Inbound Leads'!A:G,7,FALSE)),""))</f>
        <v/>
      </c>
      <c r="D1579" s="387" t="str">
        <f>IF(A1579="","",IFERROR(IF(VLOOKUP(A1579,'1. Inbound Leads'!A:L,12,FALSE)=0,"",VLOOKUP(A1579,'1. Inbound Leads'!A:L,12,FALSE)),""))</f>
        <v/>
      </c>
      <c r="E1579" s="388"/>
      <c r="F1579" s="389"/>
      <c r="G1579" s="387"/>
      <c r="H1579" s="387"/>
      <c r="I1579" s="387"/>
      <c r="J1579" s="387"/>
      <c r="K1579" s="387"/>
      <c r="L1579" s="387"/>
      <c r="M1579" s="388"/>
      <c r="N1579" s="388"/>
      <c r="O1579" s="390"/>
      <c r="P1579" s="391"/>
      <c r="Q1579" s="389"/>
      <c r="R1579" s="390"/>
      <c r="S1579" s="390"/>
      <c r="T1579" s="391"/>
      <c r="U1579" s="392"/>
      <c r="V1579" s="391"/>
      <c r="W1579" s="391"/>
      <c r="X1579" s="388"/>
      <c r="Y1579" s="391"/>
      <c r="Z1579" s="393"/>
      <c r="AA1579" s="355" t="str">
        <f t="shared" si="1"/>
        <v/>
      </c>
      <c r="AB1579" s="391"/>
      <c r="AC1579" s="394" t="str">
        <f t="shared" si="2"/>
        <v/>
      </c>
      <c r="AD1579" s="389"/>
      <c r="AE1579" s="399"/>
      <c r="AF1579" s="395"/>
      <c r="AG1579" s="396" t="str">
        <f t="shared" si="3"/>
        <v/>
      </c>
      <c r="AH1579" s="396" t="str">
        <f t="shared" si="4"/>
        <v/>
      </c>
      <c r="AI1579" s="388"/>
      <c r="AJ1579" s="388"/>
      <c r="AK1579" s="397"/>
    </row>
    <row r="1580">
      <c r="A1580" s="398"/>
      <c r="B1580" s="386"/>
      <c r="C1580" s="387" t="str">
        <f>IF(A1580="","",IFERROR(IF(VLOOKUP(A1580,'1. Inbound Leads'!A:G,7,FALSE)=0,"",VLOOKUP(A1580,'1. Inbound Leads'!A:G,7,FALSE)),""))</f>
        <v/>
      </c>
      <c r="D1580" s="387" t="str">
        <f>IF(A1580="","",IFERROR(IF(VLOOKUP(A1580,'1. Inbound Leads'!A:L,12,FALSE)=0,"",VLOOKUP(A1580,'1. Inbound Leads'!A:L,12,FALSE)),""))</f>
        <v/>
      </c>
      <c r="E1580" s="388"/>
      <c r="F1580" s="389"/>
      <c r="G1580" s="387"/>
      <c r="H1580" s="387"/>
      <c r="I1580" s="387"/>
      <c r="J1580" s="387"/>
      <c r="K1580" s="387"/>
      <c r="L1580" s="387"/>
      <c r="M1580" s="388"/>
      <c r="N1580" s="388"/>
      <c r="O1580" s="390"/>
      <c r="P1580" s="391"/>
      <c r="Q1580" s="389"/>
      <c r="R1580" s="390"/>
      <c r="S1580" s="390"/>
      <c r="T1580" s="391"/>
      <c r="U1580" s="392"/>
      <c r="V1580" s="391"/>
      <c r="W1580" s="391"/>
      <c r="X1580" s="388"/>
      <c r="Y1580" s="391"/>
      <c r="Z1580" s="393"/>
      <c r="AA1580" s="355" t="str">
        <f t="shared" si="1"/>
        <v/>
      </c>
      <c r="AB1580" s="391"/>
      <c r="AC1580" s="394" t="str">
        <f t="shared" si="2"/>
        <v/>
      </c>
      <c r="AD1580" s="389"/>
      <c r="AE1580" s="399"/>
      <c r="AF1580" s="395"/>
      <c r="AG1580" s="396" t="str">
        <f t="shared" si="3"/>
        <v/>
      </c>
      <c r="AH1580" s="396" t="str">
        <f t="shared" si="4"/>
        <v/>
      </c>
      <c r="AI1580" s="388"/>
      <c r="AJ1580" s="388"/>
      <c r="AK1580" s="397"/>
    </row>
    <row r="1581">
      <c r="A1581" s="398"/>
      <c r="B1581" s="386"/>
      <c r="C1581" s="387" t="str">
        <f>IF(A1581="","",IFERROR(IF(VLOOKUP(A1581,'1. Inbound Leads'!A:G,7,FALSE)=0,"",VLOOKUP(A1581,'1. Inbound Leads'!A:G,7,FALSE)),""))</f>
        <v/>
      </c>
      <c r="D1581" s="387" t="str">
        <f>IF(A1581="","",IFERROR(IF(VLOOKUP(A1581,'1. Inbound Leads'!A:L,12,FALSE)=0,"",VLOOKUP(A1581,'1. Inbound Leads'!A:L,12,FALSE)),""))</f>
        <v/>
      </c>
      <c r="E1581" s="388"/>
      <c r="F1581" s="389"/>
      <c r="G1581" s="387"/>
      <c r="H1581" s="387"/>
      <c r="I1581" s="387"/>
      <c r="J1581" s="387"/>
      <c r="K1581" s="387"/>
      <c r="L1581" s="387"/>
      <c r="M1581" s="388"/>
      <c r="N1581" s="388"/>
      <c r="O1581" s="390"/>
      <c r="P1581" s="391"/>
      <c r="Q1581" s="389"/>
      <c r="R1581" s="390"/>
      <c r="S1581" s="390"/>
      <c r="T1581" s="391"/>
      <c r="U1581" s="392"/>
      <c r="V1581" s="391"/>
      <c r="W1581" s="391"/>
      <c r="X1581" s="388"/>
      <c r="Y1581" s="391"/>
      <c r="Z1581" s="393"/>
      <c r="AA1581" s="355" t="str">
        <f t="shared" si="1"/>
        <v/>
      </c>
      <c r="AB1581" s="391"/>
      <c r="AC1581" s="394" t="str">
        <f t="shared" si="2"/>
        <v/>
      </c>
      <c r="AD1581" s="389"/>
      <c r="AE1581" s="399"/>
      <c r="AF1581" s="395"/>
      <c r="AG1581" s="396" t="str">
        <f t="shared" si="3"/>
        <v/>
      </c>
      <c r="AH1581" s="396" t="str">
        <f t="shared" si="4"/>
        <v/>
      </c>
      <c r="AI1581" s="388"/>
      <c r="AJ1581" s="388"/>
      <c r="AK1581" s="397"/>
    </row>
    <row r="1582">
      <c r="A1582" s="398"/>
      <c r="B1582" s="386"/>
      <c r="C1582" s="387" t="str">
        <f>IF(A1582="","",IFERROR(IF(VLOOKUP(A1582,'1. Inbound Leads'!A:G,7,FALSE)=0,"",VLOOKUP(A1582,'1. Inbound Leads'!A:G,7,FALSE)),""))</f>
        <v/>
      </c>
      <c r="D1582" s="387" t="str">
        <f>IF(A1582="","",IFERROR(IF(VLOOKUP(A1582,'1. Inbound Leads'!A:L,12,FALSE)=0,"",VLOOKUP(A1582,'1. Inbound Leads'!A:L,12,FALSE)),""))</f>
        <v/>
      </c>
      <c r="E1582" s="388"/>
      <c r="F1582" s="389"/>
      <c r="G1582" s="387"/>
      <c r="H1582" s="387"/>
      <c r="I1582" s="387"/>
      <c r="J1582" s="387"/>
      <c r="K1582" s="387"/>
      <c r="L1582" s="387"/>
      <c r="M1582" s="388"/>
      <c r="N1582" s="388"/>
      <c r="O1582" s="390"/>
      <c r="P1582" s="391"/>
      <c r="Q1582" s="389"/>
      <c r="R1582" s="390"/>
      <c r="S1582" s="390"/>
      <c r="T1582" s="391"/>
      <c r="U1582" s="392"/>
      <c r="V1582" s="391"/>
      <c r="W1582" s="391"/>
      <c r="X1582" s="388"/>
      <c r="Y1582" s="391"/>
      <c r="Z1582" s="393"/>
      <c r="AA1582" s="355" t="str">
        <f t="shared" si="1"/>
        <v/>
      </c>
      <c r="AB1582" s="391"/>
      <c r="AC1582" s="394" t="str">
        <f t="shared" si="2"/>
        <v/>
      </c>
      <c r="AD1582" s="389"/>
      <c r="AE1582" s="399"/>
      <c r="AF1582" s="395"/>
      <c r="AG1582" s="396" t="str">
        <f t="shared" si="3"/>
        <v/>
      </c>
      <c r="AH1582" s="396" t="str">
        <f t="shared" si="4"/>
        <v/>
      </c>
      <c r="AI1582" s="388"/>
      <c r="AJ1582" s="388"/>
      <c r="AK1582" s="397"/>
    </row>
    <row r="1583">
      <c r="A1583" s="398"/>
      <c r="B1583" s="386"/>
      <c r="C1583" s="387" t="str">
        <f>IF(A1583="","",IFERROR(IF(VLOOKUP(A1583,'1. Inbound Leads'!A:G,7,FALSE)=0,"",VLOOKUP(A1583,'1. Inbound Leads'!A:G,7,FALSE)),""))</f>
        <v/>
      </c>
      <c r="D1583" s="387" t="str">
        <f>IF(A1583="","",IFERROR(IF(VLOOKUP(A1583,'1. Inbound Leads'!A:L,12,FALSE)=0,"",VLOOKUP(A1583,'1. Inbound Leads'!A:L,12,FALSE)),""))</f>
        <v/>
      </c>
      <c r="E1583" s="388"/>
      <c r="F1583" s="389"/>
      <c r="G1583" s="387"/>
      <c r="H1583" s="387"/>
      <c r="I1583" s="387"/>
      <c r="J1583" s="387"/>
      <c r="K1583" s="387"/>
      <c r="L1583" s="387"/>
      <c r="M1583" s="388"/>
      <c r="N1583" s="388"/>
      <c r="O1583" s="390"/>
      <c r="P1583" s="391"/>
      <c r="Q1583" s="389"/>
      <c r="R1583" s="390"/>
      <c r="S1583" s="390"/>
      <c r="T1583" s="391"/>
      <c r="U1583" s="392"/>
      <c r="V1583" s="391"/>
      <c r="W1583" s="391"/>
      <c r="X1583" s="388"/>
      <c r="Y1583" s="391"/>
      <c r="Z1583" s="393"/>
      <c r="AA1583" s="355" t="str">
        <f t="shared" si="1"/>
        <v/>
      </c>
      <c r="AB1583" s="391"/>
      <c r="AC1583" s="394" t="str">
        <f t="shared" si="2"/>
        <v/>
      </c>
      <c r="AD1583" s="389"/>
      <c r="AE1583" s="399"/>
      <c r="AF1583" s="395"/>
      <c r="AG1583" s="396" t="str">
        <f t="shared" si="3"/>
        <v/>
      </c>
      <c r="AH1583" s="396" t="str">
        <f t="shared" si="4"/>
        <v/>
      </c>
      <c r="AI1583" s="388"/>
      <c r="AJ1583" s="388"/>
      <c r="AK1583" s="397"/>
    </row>
    <row r="1584">
      <c r="A1584" s="398"/>
      <c r="B1584" s="386"/>
      <c r="C1584" s="387" t="str">
        <f>IF(A1584="","",IFERROR(IF(VLOOKUP(A1584,'1. Inbound Leads'!A:G,7,FALSE)=0,"",VLOOKUP(A1584,'1. Inbound Leads'!A:G,7,FALSE)),""))</f>
        <v/>
      </c>
      <c r="D1584" s="387" t="str">
        <f>IF(A1584="","",IFERROR(IF(VLOOKUP(A1584,'1. Inbound Leads'!A:L,12,FALSE)=0,"",VLOOKUP(A1584,'1. Inbound Leads'!A:L,12,FALSE)),""))</f>
        <v/>
      </c>
      <c r="E1584" s="388"/>
      <c r="F1584" s="389"/>
      <c r="G1584" s="387"/>
      <c r="H1584" s="387"/>
      <c r="I1584" s="387"/>
      <c r="J1584" s="387"/>
      <c r="K1584" s="387"/>
      <c r="L1584" s="387"/>
      <c r="M1584" s="388"/>
      <c r="N1584" s="388"/>
      <c r="O1584" s="390"/>
      <c r="P1584" s="391"/>
      <c r="Q1584" s="389"/>
      <c r="R1584" s="390"/>
      <c r="S1584" s="390"/>
      <c r="T1584" s="391"/>
      <c r="U1584" s="392"/>
      <c r="V1584" s="391"/>
      <c r="W1584" s="391"/>
      <c r="X1584" s="388"/>
      <c r="Y1584" s="391"/>
      <c r="Z1584" s="393"/>
      <c r="AA1584" s="355" t="str">
        <f t="shared" si="1"/>
        <v/>
      </c>
      <c r="AB1584" s="391"/>
      <c r="AC1584" s="394" t="str">
        <f t="shared" si="2"/>
        <v/>
      </c>
      <c r="AD1584" s="389"/>
      <c r="AE1584" s="399"/>
      <c r="AF1584" s="395"/>
      <c r="AG1584" s="396" t="str">
        <f t="shared" si="3"/>
        <v/>
      </c>
      <c r="AH1584" s="396" t="str">
        <f t="shared" si="4"/>
        <v/>
      </c>
      <c r="AI1584" s="388"/>
      <c r="AJ1584" s="388"/>
      <c r="AK1584" s="397"/>
    </row>
    <row r="1585">
      <c r="A1585" s="398"/>
      <c r="B1585" s="386"/>
      <c r="C1585" s="387" t="str">
        <f>IF(A1585="","",IFERROR(IF(VLOOKUP(A1585,'1. Inbound Leads'!A:G,7,FALSE)=0,"",VLOOKUP(A1585,'1. Inbound Leads'!A:G,7,FALSE)),""))</f>
        <v/>
      </c>
      <c r="D1585" s="387" t="str">
        <f>IF(A1585="","",IFERROR(IF(VLOOKUP(A1585,'1. Inbound Leads'!A:L,12,FALSE)=0,"",VLOOKUP(A1585,'1. Inbound Leads'!A:L,12,FALSE)),""))</f>
        <v/>
      </c>
      <c r="E1585" s="388"/>
      <c r="F1585" s="389"/>
      <c r="G1585" s="387"/>
      <c r="H1585" s="387"/>
      <c r="I1585" s="387"/>
      <c r="J1585" s="387"/>
      <c r="K1585" s="387"/>
      <c r="L1585" s="387"/>
      <c r="M1585" s="388"/>
      <c r="N1585" s="388"/>
      <c r="O1585" s="390"/>
      <c r="P1585" s="391"/>
      <c r="Q1585" s="389"/>
      <c r="R1585" s="390"/>
      <c r="S1585" s="390"/>
      <c r="T1585" s="391"/>
      <c r="U1585" s="392"/>
      <c r="V1585" s="391"/>
      <c r="W1585" s="391"/>
      <c r="X1585" s="388"/>
      <c r="Y1585" s="391"/>
      <c r="Z1585" s="393"/>
      <c r="AA1585" s="355" t="str">
        <f t="shared" si="1"/>
        <v/>
      </c>
      <c r="AB1585" s="391"/>
      <c r="AC1585" s="394" t="str">
        <f t="shared" si="2"/>
        <v/>
      </c>
      <c r="AD1585" s="389"/>
      <c r="AE1585" s="399"/>
      <c r="AF1585" s="395"/>
      <c r="AG1585" s="396" t="str">
        <f t="shared" si="3"/>
        <v/>
      </c>
      <c r="AH1585" s="396" t="str">
        <f t="shared" si="4"/>
        <v/>
      </c>
      <c r="AI1585" s="388"/>
      <c r="AJ1585" s="388"/>
      <c r="AK1585" s="397"/>
    </row>
    <row r="1586">
      <c r="A1586" s="398"/>
      <c r="B1586" s="386"/>
      <c r="C1586" s="387" t="str">
        <f>IF(A1586="","",IFERROR(IF(VLOOKUP(A1586,'1. Inbound Leads'!A:G,7,FALSE)=0,"",VLOOKUP(A1586,'1. Inbound Leads'!A:G,7,FALSE)),""))</f>
        <v/>
      </c>
      <c r="D1586" s="387" t="str">
        <f>IF(A1586="","",IFERROR(IF(VLOOKUP(A1586,'1. Inbound Leads'!A:L,12,FALSE)=0,"",VLOOKUP(A1586,'1. Inbound Leads'!A:L,12,FALSE)),""))</f>
        <v/>
      </c>
      <c r="E1586" s="388"/>
      <c r="F1586" s="389"/>
      <c r="G1586" s="387"/>
      <c r="H1586" s="387"/>
      <c r="I1586" s="387"/>
      <c r="J1586" s="387"/>
      <c r="K1586" s="387"/>
      <c r="L1586" s="387"/>
      <c r="M1586" s="388"/>
      <c r="N1586" s="388"/>
      <c r="O1586" s="390"/>
      <c r="P1586" s="391"/>
      <c r="Q1586" s="389"/>
      <c r="R1586" s="390"/>
      <c r="S1586" s="390"/>
      <c r="T1586" s="391"/>
      <c r="U1586" s="392"/>
      <c r="V1586" s="391"/>
      <c r="W1586" s="391"/>
      <c r="X1586" s="388"/>
      <c r="Y1586" s="391"/>
      <c r="Z1586" s="393"/>
      <c r="AA1586" s="355" t="str">
        <f t="shared" si="1"/>
        <v/>
      </c>
      <c r="AB1586" s="391"/>
      <c r="AC1586" s="394" t="str">
        <f t="shared" si="2"/>
        <v/>
      </c>
      <c r="AD1586" s="389"/>
      <c r="AE1586" s="399"/>
      <c r="AF1586" s="395"/>
      <c r="AG1586" s="396" t="str">
        <f t="shared" si="3"/>
        <v/>
      </c>
      <c r="AH1586" s="396" t="str">
        <f t="shared" si="4"/>
        <v/>
      </c>
      <c r="AI1586" s="388"/>
      <c r="AJ1586" s="388"/>
      <c r="AK1586" s="397"/>
    </row>
    <row r="1587">
      <c r="A1587" s="398"/>
      <c r="B1587" s="386"/>
      <c r="C1587" s="387" t="str">
        <f>IF(A1587="","",IFERROR(IF(VLOOKUP(A1587,'1. Inbound Leads'!A:G,7,FALSE)=0,"",VLOOKUP(A1587,'1. Inbound Leads'!A:G,7,FALSE)),""))</f>
        <v/>
      </c>
      <c r="D1587" s="387" t="str">
        <f>IF(A1587="","",IFERROR(IF(VLOOKUP(A1587,'1. Inbound Leads'!A:L,12,FALSE)=0,"",VLOOKUP(A1587,'1. Inbound Leads'!A:L,12,FALSE)),""))</f>
        <v/>
      </c>
      <c r="E1587" s="388"/>
      <c r="F1587" s="389"/>
      <c r="G1587" s="387"/>
      <c r="H1587" s="387"/>
      <c r="I1587" s="387"/>
      <c r="J1587" s="387"/>
      <c r="K1587" s="387"/>
      <c r="L1587" s="387"/>
      <c r="M1587" s="388"/>
      <c r="N1587" s="388"/>
      <c r="O1587" s="390"/>
      <c r="P1587" s="391"/>
      <c r="Q1587" s="389"/>
      <c r="R1587" s="390"/>
      <c r="S1587" s="390"/>
      <c r="T1587" s="391"/>
      <c r="U1587" s="392"/>
      <c r="V1587" s="391"/>
      <c r="W1587" s="391"/>
      <c r="X1587" s="388"/>
      <c r="Y1587" s="391"/>
      <c r="Z1587" s="393"/>
      <c r="AA1587" s="355" t="str">
        <f t="shared" si="1"/>
        <v/>
      </c>
      <c r="AB1587" s="391"/>
      <c r="AC1587" s="394" t="str">
        <f t="shared" si="2"/>
        <v/>
      </c>
      <c r="AD1587" s="389"/>
      <c r="AE1587" s="399"/>
      <c r="AF1587" s="395"/>
      <c r="AG1587" s="396" t="str">
        <f t="shared" si="3"/>
        <v/>
      </c>
      <c r="AH1587" s="396" t="str">
        <f t="shared" si="4"/>
        <v/>
      </c>
      <c r="AI1587" s="388"/>
      <c r="AJ1587" s="388"/>
      <c r="AK1587" s="397"/>
    </row>
    <row r="1588">
      <c r="A1588" s="398"/>
      <c r="B1588" s="386"/>
      <c r="C1588" s="387" t="str">
        <f>IF(A1588="","",IFERROR(IF(VLOOKUP(A1588,'1. Inbound Leads'!A:G,7,FALSE)=0,"",VLOOKUP(A1588,'1. Inbound Leads'!A:G,7,FALSE)),""))</f>
        <v/>
      </c>
      <c r="D1588" s="387" t="str">
        <f>IF(A1588="","",IFERROR(IF(VLOOKUP(A1588,'1. Inbound Leads'!A:L,12,FALSE)=0,"",VLOOKUP(A1588,'1. Inbound Leads'!A:L,12,FALSE)),""))</f>
        <v/>
      </c>
      <c r="E1588" s="388"/>
      <c r="F1588" s="389"/>
      <c r="G1588" s="387"/>
      <c r="H1588" s="387"/>
      <c r="I1588" s="387"/>
      <c r="J1588" s="387"/>
      <c r="K1588" s="387"/>
      <c r="L1588" s="387"/>
      <c r="M1588" s="388"/>
      <c r="N1588" s="388"/>
      <c r="O1588" s="390"/>
      <c r="P1588" s="391"/>
      <c r="Q1588" s="389"/>
      <c r="R1588" s="390"/>
      <c r="S1588" s="390"/>
      <c r="T1588" s="391"/>
      <c r="U1588" s="392"/>
      <c r="V1588" s="391"/>
      <c r="W1588" s="391"/>
      <c r="X1588" s="388"/>
      <c r="Y1588" s="391"/>
      <c r="Z1588" s="393"/>
      <c r="AA1588" s="355" t="str">
        <f t="shared" si="1"/>
        <v/>
      </c>
      <c r="AB1588" s="391"/>
      <c r="AC1588" s="394" t="str">
        <f t="shared" si="2"/>
        <v/>
      </c>
      <c r="AD1588" s="389"/>
      <c r="AE1588" s="399"/>
      <c r="AF1588" s="395"/>
      <c r="AG1588" s="396" t="str">
        <f t="shared" si="3"/>
        <v/>
      </c>
      <c r="AH1588" s="396" t="str">
        <f t="shared" si="4"/>
        <v/>
      </c>
      <c r="AI1588" s="388"/>
      <c r="AJ1588" s="388"/>
      <c r="AK1588" s="397"/>
    </row>
    <row r="1589">
      <c r="A1589" s="398"/>
      <c r="B1589" s="386"/>
      <c r="C1589" s="387" t="str">
        <f>IF(A1589="","",IFERROR(IF(VLOOKUP(A1589,'1. Inbound Leads'!A:G,7,FALSE)=0,"",VLOOKUP(A1589,'1. Inbound Leads'!A:G,7,FALSE)),""))</f>
        <v/>
      </c>
      <c r="D1589" s="387" t="str">
        <f>IF(A1589="","",IFERROR(IF(VLOOKUP(A1589,'1. Inbound Leads'!A:L,12,FALSE)=0,"",VLOOKUP(A1589,'1. Inbound Leads'!A:L,12,FALSE)),""))</f>
        <v/>
      </c>
      <c r="E1589" s="388"/>
      <c r="F1589" s="389"/>
      <c r="G1589" s="387"/>
      <c r="H1589" s="387"/>
      <c r="I1589" s="387"/>
      <c r="J1589" s="387"/>
      <c r="K1589" s="387"/>
      <c r="L1589" s="387"/>
      <c r="M1589" s="388"/>
      <c r="N1589" s="388"/>
      <c r="O1589" s="390"/>
      <c r="P1589" s="391"/>
      <c r="Q1589" s="389"/>
      <c r="R1589" s="390"/>
      <c r="S1589" s="390"/>
      <c r="T1589" s="391"/>
      <c r="U1589" s="392"/>
      <c r="V1589" s="391"/>
      <c r="W1589" s="391"/>
      <c r="X1589" s="388"/>
      <c r="Y1589" s="391"/>
      <c r="Z1589" s="393"/>
      <c r="AA1589" s="355" t="str">
        <f t="shared" si="1"/>
        <v/>
      </c>
      <c r="AB1589" s="391"/>
      <c r="AC1589" s="394" t="str">
        <f t="shared" si="2"/>
        <v/>
      </c>
      <c r="AD1589" s="389"/>
      <c r="AE1589" s="399"/>
      <c r="AF1589" s="395"/>
      <c r="AG1589" s="396" t="str">
        <f t="shared" si="3"/>
        <v/>
      </c>
      <c r="AH1589" s="396" t="str">
        <f t="shared" si="4"/>
        <v/>
      </c>
      <c r="AI1589" s="388"/>
      <c r="AJ1589" s="388"/>
      <c r="AK1589" s="397"/>
    </row>
    <row r="1590">
      <c r="A1590" s="398"/>
      <c r="B1590" s="386"/>
      <c r="C1590" s="387" t="str">
        <f>IF(A1590="","",IFERROR(IF(VLOOKUP(A1590,'1. Inbound Leads'!A:G,7,FALSE)=0,"",VLOOKUP(A1590,'1. Inbound Leads'!A:G,7,FALSE)),""))</f>
        <v/>
      </c>
      <c r="D1590" s="387" t="str">
        <f>IF(A1590="","",IFERROR(IF(VLOOKUP(A1590,'1. Inbound Leads'!A:L,12,FALSE)=0,"",VLOOKUP(A1590,'1. Inbound Leads'!A:L,12,FALSE)),""))</f>
        <v/>
      </c>
      <c r="E1590" s="388"/>
      <c r="F1590" s="389"/>
      <c r="G1590" s="387"/>
      <c r="H1590" s="387"/>
      <c r="I1590" s="387"/>
      <c r="J1590" s="387"/>
      <c r="K1590" s="387"/>
      <c r="L1590" s="387"/>
      <c r="M1590" s="388"/>
      <c r="N1590" s="388"/>
      <c r="O1590" s="390"/>
      <c r="P1590" s="391"/>
      <c r="Q1590" s="389"/>
      <c r="R1590" s="390"/>
      <c r="S1590" s="390"/>
      <c r="T1590" s="391"/>
      <c r="U1590" s="392"/>
      <c r="V1590" s="391"/>
      <c r="W1590" s="391"/>
      <c r="X1590" s="388"/>
      <c r="Y1590" s="391"/>
      <c r="Z1590" s="393"/>
      <c r="AA1590" s="355" t="str">
        <f t="shared" si="1"/>
        <v/>
      </c>
      <c r="AB1590" s="391"/>
      <c r="AC1590" s="394" t="str">
        <f t="shared" si="2"/>
        <v/>
      </c>
      <c r="AD1590" s="389"/>
      <c r="AE1590" s="399"/>
      <c r="AF1590" s="395"/>
      <c r="AG1590" s="396" t="str">
        <f t="shared" si="3"/>
        <v/>
      </c>
      <c r="AH1590" s="396" t="str">
        <f t="shared" si="4"/>
        <v/>
      </c>
      <c r="AI1590" s="388"/>
      <c r="AJ1590" s="388"/>
      <c r="AK1590" s="397"/>
    </row>
    <row r="1591">
      <c r="A1591" s="398"/>
      <c r="B1591" s="386"/>
      <c r="C1591" s="387" t="str">
        <f>IF(A1591="","",IFERROR(IF(VLOOKUP(A1591,'1. Inbound Leads'!A:G,7,FALSE)=0,"",VLOOKUP(A1591,'1. Inbound Leads'!A:G,7,FALSE)),""))</f>
        <v/>
      </c>
      <c r="D1591" s="387" t="str">
        <f>IF(A1591="","",IFERROR(IF(VLOOKUP(A1591,'1. Inbound Leads'!A:L,12,FALSE)=0,"",VLOOKUP(A1591,'1. Inbound Leads'!A:L,12,FALSE)),""))</f>
        <v/>
      </c>
      <c r="E1591" s="388"/>
      <c r="F1591" s="389"/>
      <c r="G1591" s="387"/>
      <c r="H1591" s="387"/>
      <c r="I1591" s="387"/>
      <c r="J1591" s="387"/>
      <c r="K1591" s="387"/>
      <c r="L1591" s="387"/>
      <c r="M1591" s="388"/>
      <c r="N1591" s="388"/>
      <c r="O1591" s="390"/>
      <c r="P1591" s="391"/>
      <c r="Q1591" s="389"/>
      <c r="R1591" s="390"/>
      <c r="S1591" s="390"/>
      <c r="T1591" s="391"/>
      <c r="U1591" s="392"/>
      <c r="V1591" s="391"/>
      <c r="W1591" s="391"/>
      <c r="X1591" s="388"/>
      <c r="Y1591" s="391"/>
      <c r="Z1591" s="393"/>
      <c r="AA1591" s="355" t="str">
        <f t="shared" si="1"/>
        <v/>
      </c>
      <c r="AB1591" s="391"/>
      <c r="AC1591" s="394" t="str">
        <f t="shared" si="2"/>
        <v/>
      </c>
      <c r="AD1591" s="389"/>
      <c r="AE1591" s="399"/>
      <c r="AF1591" s="395"/>
      <c r="AG1591" s="396" t="str">
        <f t="shared" si="3"/>
        <v/>
      </c>
      <c r="AH1591" s="396" t="str">
        <f t="shared" si="4"/>
        <v/>
      </c>
      <c r="AI1591" s="388"/>
      <c r="AJ1591" s="388"/>
      <c r="AK1591" s="397"/>
    </row>
    <row r="1592">
      <c r="A1592" s="398"/>
      <c r="B1592" s="386"/>
      <c r="C1592" s="387" t="str">
        <f>IF(A1592="","",IFERROR(IF(VLOOKUP(A1592,'1. Inbound Leads'!A:G,7,FALSE)=0,"",VLOOKUP(A1592,'1. Inbound Leads'!A:G,7,FALSE)),""))</f>
        <v/>
      </c>
      <c r="D1592" s="387" t="str">
        <f>IF(A1592="","",IFERROR(IF(VLOOKUP(A1592,'1. Inbound Leads'!A:L,12,FALSE)=0,"",VLOOKUP(A1592,'1. Inbound Leads'!A:L,12,FALSE)),""))</f>
        <v/>
      </c>
      <c r="E1592" s="388"/>
      <c r="F1592" s="389"/>
      <c r="G1592" s="387"/>
      <c r="H1592" s="387"/>
      <c r="I1592" s="387"/>
      <c r="J1592" s="387"/>
      <c r="K1592" s="387"/>
      <c r="L1592" s="387"/>
      <c r="M1592" s="388"/>
      <c r="N1592" s="388"/>
      <c r="O1592" s="390"/>
      <c r="P1592" s="391"/>
      <c r="Q1592" s="389"/>
      <c r="R1592" s="390"/>
      <c r="S1592" s="390"/>
      <c r="T1592" s="391"/>
      <c r="U1592" s="392"/>
      <c r="V1592" s="391"/>
      <c r="W1592" s="391"/>
      <c r="X1592" s="388"/>
      <c r="Y1592" s="391"/>
      <c r="Z1592" s="393"/>
      <c r="AA1592" s="355" t="str">
        <f t="shared" si="1"/>
        <v/>
      </c>
      <c r="AB1592" s="391"/>
      <c r="AC1592" s="394" t="str">
        <f t="shared" si="2"/>
        <v/>
      </c>
      <c r="AD1592" s="389"/>
      <c r="AE1592" s="399"/>
      <c r="AF1592" s="395"/>
      <c r="AG1592" s="396" t="str">
        <f t="shared" si="3"/>
        <v/>
      </c>
      <c r="AH1592" s="396" t="str">
        <f t="shared" si="4"/>
        <v/>
      </c>
      <c r="AI1592" s="388"/>
      <c r="AJ1592" s="388"/>
      <c r="AK1592" s="397"/>
    </row>
    <row r="1593">
      <c r="A1593" s="398"/>
      <c r="B1593" s="386"/>
      <c r="C1593" s="387" t="str">
        <f>IF(A1593="","",IFERROR(IF(VLOOKUP(A1593,'1. Inbound Leads'!A:G,7,FALSE)=0,"",VLOOKUP(A1593,'1. Inbound Leads'!A:G,7,FALSE)),""))</f>
        <v/>
      </c>
      <c r="D1593" s="387" t="str">
        <f>IF(A1593="","",IFERROR(IF(VLOOKUP(A1593,'1. Inbound Leads'!A:L,12,FALSE)=0,"",VLOOKUP(A1593,'1. Inbound Leads'!A:L,12,FALSE)),""))</f>
        <v/>
      </c>
      <c r="E1593" s="388"/>
      <c r="F1593" s="389"/>
      <c r="G1593" s="387"/>
      <c r="H1593" s="387"/>
      <c r="I1593" s="387"/>
      <c r="J1593" s="387"/>
      <c r="K1593" s="387"/>
      <c r="L1593" s="387"/>
      <c r="M1593" s="388"/>
      <c r="N1593" s="388"/>
      <c r="O1593" s="390"/>
      <c r="P1593" s="391"/>
      <c r="Q1593" s="389"/>
      <c r="R1593" s="390"/>
      <c r="S1593" s="390"/>
      <c r="T1593" s="391"/>
      <c r="U1593" s="392"/>
      <c r="V1593" s="391"/>
      <c r="W1593" s="391"/>
      <c r="X1593" s="388"/>
      <c r="Y1593" s="391"/>
      <c r="Z1593" s="393"/>
      <c r="AA1593" s="355" t="str">
        <f t="shared" si="1"/>
        <v/>
      </c>
      <c r="AB1593" s="391"/>
      <c r="AC1593" s="394" t="str">
        <f t="shared" si="2"/>
        <v/>
      </c>
      <c r="AD1593" s="389"/>
      <c r="AE1593" s="399"/>
      <c r="AF1593" s="395"/>
      <c r="AG1593" s="396" t="str">
        <f t="shared" si="3"/>
        <v/>
      </c>
      <c r="AH1593" s="396" t="str">
        <f t="shared" si="4"/>
        <v/>
      </c>
      <c r="AI1593" s="388"/>
      <c r="AJ1593" s="388"/>
      <c r="AK1593" s="397"/>
    </row>
    <row r="1594">
      <c r="A1594" s="398"/>
      <c r="B1594" s="386"/>
      <c r="C1594" s="387" t="str">
        <f>IF(A1594="","",IFERROR(IF(VLOOKUP(A1594,'1. Inbound Leads'!A:G,7,FALSE)=0,"",VLOOKUP(A1594,'1. Inbound Leads'!A:G,7,FALSE)),""))</f>
        <v/>
      </c>
      <c r="D1594" s="387" t="str">
        <f>IF(A1594="","",IFERROR(IF(VLOOKUP(A1594,'1. Inbound Leads'!A:L,12,FALSE)=0,"",VLOOKUP(A1594,'1. Inbound Leads'!A:L,12,FALSE)),""))</f>
        <v/>
      </c>
      <c r="E1594" s="388"/>
      <c r="F1594" s="389"/>
      <c r="G1594" s="387"/>
      <c r="H1594" s="387"/>
      <c r="I1594" s="387"/>
      <c r="J1594" s="387"/>
      <c r="K1594" s="387"/>
      <c r="L1594" s="387"/>
      <c r="M1594" s="388"/>
      <c r="N1594" s="388"/>
      <c r="O1594" s="390"/>
      <c r="P1594" s="391"/>
      <c r="Q1594" s="389"/>
      <c r="R1594" s="390"/>
      <c r="S1594" s="390"/>
      <c r="T1594" s="391"/>
      <c r="U1594" s="392"/>
      <c r="V1594" s="391"/>
      <c r="W1594" s="391"/>
      <c r="X1594" s="388"/>
      <c r="Y1594" s="391"/>
      <c r="Z1594" s="393"/>
      <c r="AA1594" s="355" t="str">
        <f t="shared" si="1"/>
        <v/>
      </c>
      <c r="AB1594" s="391"/>
      <c r="AC1594" s="394" t="str">
        <f t="shared" si="2"/>
        <v/>
      </c>
      <c r="AD1594" s="389"/>
      <c r="AE1594" s="399"/>
      <c r="AF1594" s="395"/>
      <c r="AG1594" s="396" t="str">
        <f t="shared" si="3"/>
        <v/>
      </c>
      <c r="AH1594" s="396" t="str">
        <f t="shared" si="4"/>
        <v/>
      </c>
      <c r="AI1594" s="388"/>
      <c r="AJ1594" s="388"/>
      <c r="AK1594" s="397"/>
    </row>
    <row r="1595">
      <c r="A1595" s="398"/>
      <c r="B1595" s="386"/>
      <c r="C1595" s="387" t="str">
        <f>IF(A1595="","",IFERROR(IF(VLOOKUP(A1595,'1. Inbound Leads'!A:G,7,FALSE)=0,"",VLOOKUP(A1595,'1. Inbound Leads'!A:G,7,FALSE)),""))</f>
        <v/>
      </c>
      <c r="D1595" s="387" t="str">
        <f>IF(A1595="","",IFERROR(IF(VLOOKUP(A1595,'1. Inbound Leads'!A:L,12,FALSE)=0,"",VLOOKUP(A1595,'1. Inbound Leads'!A:L,12,FALSE)),""))</f>
        <v/>
      </c>
      <c r="E1595" s="388"/>
      <c r="F1595" s="389"/>
      <c r="G1595" s="387"/>
      <c r="H1595" s="387"/>
      <c r="I1595" s="387"/>
      <c r="J1595" s="387"/>
      <c r="K1595" s="387"/>
      <c r="L1595" s="387"/>
      <c r="M1595" s="388"/>
      <c r="N1595" s="388"/>
      <c r="O1595" s="390"/>
      <c r="P1595" s="391"/>
      <c r="Q1595" s="389"/>
      <c r="R1595" s="390"/>
      <c r="S1595" s="390"/>
      <c r="T1595" s="391"/>
      <c r="U1595" s="392"/>
      <c r="V1595" s="391"/>
      <c r="W1595" s="391"/>
      <c r="X1595" s="388"/>
      <c r="Y1595" s="391"/>
      <c r="Z1595" s="393"/>
      <c r="AA1595" s="355" t="str">
        <f t="shared" si="1"/>
        <v/>
      </c>
      <c r="AB1595" s="391"/>
      <c r="AC1595" s="394" t="str">
        <f t="shared" si="2"/>
        <v/>
      </c>
      <c r="AD1595" s="389"/>
      <c r="AE1595" s="399"/>
      <c r="AF1595" s="395"/>
      <c r="AG1595" s="396" t="str">
        <f t="shared" si="3"/>
        <v/>
      </c>
      <c r="AH1595" s="396" t="str">
        <f t="shared" si="4"/>
        <v/>
      </c>
      <c r="AI1595" s="388"/>
      <c r="AJ1595" s="388"/>
      <c r="AK1595" s="397"/>
    </row>
    <row r="1596">
      <c r="A1596" s="398"/>
      <c r="B1596" s="386"/>
      <c r="C1596" s="387" t="str">
        <f>IF(A1596="","",IFERROR(IF(VLOOKUP(A1596,'1. Inbound Leads'!A:G,7,FALSE)=0,"",VLOOKUP(A1596,'1. Inbound Leads'!A:G,7,FALSE)),""))</f>
        <v/>
      </c>
      <c r="D1596" s="387" t="str">
        <f>IF(A1596="","",IFERROR(IF(VLOOKUP(A1596,'1. Inbound Leads'!A:L,12,FALSE)=0,"",VLOOKUP(A1596,'1. Inbound Leads'!A:L,12,FALSE)),""))</f>
        <v/>
      </c>
      <c r="E1596" s="388"/>
      <c r="F1596" s="389"/>
      <c r="G1596" s="387"/>
      <c r="H1596" s="387"/>
      <c r="I1596" s="387"/>
      <c r="J1596" s="387"/>
      <c r="K1596" s="387"/>
      <c r="L1596" s="387"/>
      <c r="M1596" s="388"/>
      <c r="N1596" s="388"/>
      <c r="O1596" s="390"/>
      <c r="P1596" s="391"/>
      <c r="Q1596" s="389"/>
      <c r="R1596" s="390"/>
      <c r="S1596" s="390"/>
      <c r="T1596" s="391"/>
      <c r="U1596" s="392"/>
      <c r="V1596" s="391"/>
      <c r="W1596" s="391"/>
      <c r="X1596" s="388"/>
      <c r="Y1596" s="391"/>
      <c r="Z1596" s="393"/>
      <c r="AA1596" s="355" t="str">
        <f t="shared" si="1"/>
        <v/>
      </c>
      <c r="AB1596" s="391"/>
      <c r="AC1596" s="394" t="str">
        <f t="shared" si="2"/>
        <v/>
      </c>
      <c r="AD1596" s="389"/>
      <c r="AE1596" s="399"/>
      <c r="AF1596" s="395"/>
      <c r="AG1596" s="396" t="str">
        <f t="shared" si="3"/>
        <v/>
      </c>
      <c r="AH1596" s="396" t="str">
        <f t="shared" si="4"/>
        <v/>
      </c>
      <c r="AI1596" s="388"/>
      <c r="AJ1596" s="388"/>
      <c r="AK1596" s="397"/>
    </row>
    <row r="1597">
      <c r="A1597" s="398"/>
      <c r="B1597" s="386"/>
      <c r="C1597" s="387" t="str">
        <f>IF(A1597="","",IFERROR(IF(VLOOKUP(A1597,'1. Inbound Leads'!A:G,7,FALSE)=0,"",VLOOKUP(A1597,'1. Inbound Leads'!A:G,7,FALSE)),""))</f>
        <v/>
      </c>
      <c r="D1597" s="387" t="str">
        <f>IF(A1597="","",IFERROR(IF(VLOOKUP(A1597,'1. Inbound Leads'!A:L,12,FALSE)=0,"",VLOOKUP(A1597,'1. Inbound Leads'!A:L,12,FALSE)),""))</f>
        <v/>
      </c>
      <c r="E1597" s="388"/>
      <c r="F1597" s="389"/>
      <c r="G1597" s="387"/>
      <c r="H1597" s="387"/>
      <c r="I1597" s="387"/>
      <c r="J1597" s="387"/>
      <c r="K1597" s="387"/>
      <c r="L1597" s="387"/>
      <c r="M1597" s="388"/>
      <c r="N1597" s="388"/>
      <c r="O1597" s="390"/>
      <c r="P1597" s="391"/>
      <c r="Q1597" s="389"/>
      <c r="R1597" s="390"/>
      <c r="S1597" s="390"/>
      <c r="T1597" s="391"/>
      <c r="U1597" s="392"/>
      <c r="V1597" s="391"/>
      <c r="W1597" s="391"/>
      <c r="X1597" s="388"/>
      <c r="Y1597" s="391"/>
      <c r="Z1597" s="393"/>
      <c r="AA1597" s="355" t="str">
        <f t="shared" si="1"/>
        <v/>
      </c>
      <c r="AB1597" s="391"/>
      <c r="AC1597" s="394" t="str">
        <f t="shared" si="2"/>
        <v/>
      </c>
      <c r="AD1597" s="389"/>
      <c r="AE1597" s="399"/>
      <c r="AF1597" s="395"/>
      <c r="AG1597" s="396" t="str">
        <f t="shared" si="3"/>
        <v/>
      </c>
      <c r="AH1597" s="396" t="str">
        <f t="shared" si="4"/>
        <v/>
      </c>
      <c r="AI1597" s="388"/>
      <c r="AJ1597" s="388"/>
      <c r="AK1597" s="397"/>
    </row>
    <row r="1598">
      <c r="A1598" s="398"/>
      <c r="B1598" s="386"/>
      <c r="C1598" s="387" t="str">
        <f>IF(A1598="","",IFERROR(IF(VLOOKUP(A1598,'1. Inbound Leads'!A:G,7,FALSE)=0,"",VLOOKUP(A1598,'1. Inbound Leads'!A:G,7,FALSE)),""))</f>
        <v/>
      </c>
      <c r="D1598" s="387" t="str">
        <f>IF(A1598="","",IFERROR(IF(VLOOKUP(A1598,'1. Inbound Leads'!A:L,12,FALSE)=0,"",VLOOKUP(A1598,'1. Inbound Leads'!A:L,12,FALSE)),""))</f>
        <v/>
      </c>
      <c r="E1598" s="388"/>
      <c r="F1598" s="389"/>
      <c r="G1598" s="387"/>
      <c r="H1598" s="387"/>
      <c r="I1598" s="387"/>
      <c r="J1598" s="387"/>
      <c r="K1598" s="387"/>
      <c r="L1598" s="387"/>
      <c r="M1598" s="388"/>
      <c r="N1598" s="388"/>
      <c r="O1598" s="390"/>
      <c r="P1598" s="391"/>
      <c r="Q1598" s="389"/>
      <c r="R1598" s="390"/>
      <c r="S1598" s="390"/>
      <c r="T1598" s="391"/>
      <c r="U1598" s="392"/>
      <c r="V1598" s="391"/>
      <c r="W1598" s="391"/>
      <c r="X1598" s="388"/>
      <c r="Y1598" s="391"/>
      <c r="Z1598" s="393"/>
      <c r="AA1598" s="355" t="str">
        <f t="shared" si="1"/>
        <v/>
      </c>
      <c r="AB1598" s="391"/>
      <c r="AC1598" s="394" t="str">
        <f t="shared" si="2"/>
        <v/>
      </c>
      <c r="AD1598" s="389"/>
      <c r="AE1598" s="399"/>
      <c r="AF1598" s="395"/>
      <c r="AG1598" s="396" t="str">
        <f t="shared" si="3"/>
        <v/>
      </c>
      <c r="AH1598" s="396" t="str">
        <f t="shared" si="4"/>
        <v/>
      </c>
      <c r="AI1598" s="388"/>
      <c r="AJ1598" s="388"/>
      <c r="AK1598" s="397"/>
    </row>
    <row r="1599">
      <c r="A1599" s="398"/>
      <c r="B1599" s="386"/>
      <c r="C1599" s="387" t="str">
        <f>IF(A1599="","",IFERROR(IF(VLOOKUP(A1599,'1. Inbound Leads'!A:G,7,FALSE)=0,"",VLOOKUP(A1599,'1. Inbound Leads'!A:G,7,FALSE)),""))</f>
        <v/>
      </c>
      <c r="D1599" s="387" t="str">
        <f>IF(A1599="","",IFERROR(IF(VLOOKUP(A1599,'1. Inbound Leads'!A:L,12,FALSE)=0,"",VLOOKUP(A1599,'1. Inbound Leads'!A:L,12,FALSE)),""))</f>
        <v/>
      </c>
      <c r="E1599" s="388"/>
      <c r="F1599" s="389"/>
      <c r="G1599" s="387"/>
      <c r="H1599" s="387"/>
      <c r="I1599" s="387"/>
      <c r="J1599" s="387"/>
      <c r="K1599" s="387"/>
      <c r="L1599" s="387"/>
      <c r="M1599" s="388"/>
      <c r="N1599" s="388"/>
      <c r="O1599" s="390"/>
      <c r="P1599" s="391"/>
      <c r="Q1599" s="389"/>
      <c r="R1599" s="390"/>
      <c r="S1599" s="390"/>
      <c r="T1599" s="391"/>
      <c r="U1599" s="392"/>
      <c r="V1599" s="391"/>
      <c r="W1599" s="391"/>
      <c r="X1599" s="388"/>
      <c r="Y1599" s="391"/>
      <c r="Z1599" s="393"/>
      <c r="AA1599" s="355" t="str">
        <f t="shared" si="1"/>
        <v/>
      </c>
      <c r="AB1599" s="391"/>
      <c r="AC1599" s="394" t="str">
        <f t="shared" si="2"/>
        <v/>
      </c>
      <c r="AD1599" s="389"/>
      <c r="AE1599" s="399"/>
      <c r="AF1599" s="395"/>
      <c r="AG1599" s="396" t="str">
        <f t="shared" si="3"/>
        <v/>
      </c>
      <c r="AH1599" s="396" t="str">
        <f t="shared" si="4"/>
        <v/>
      </c>
      <c r="AI1599" s="388"/>
      <c r="AJ1599" s="388"/>
      <c r="AK1599" s="397"/>
    </row>
    <row r="1600">
      <c r="A1600" s="398"/>
      <c r="B1600" s="386"/>
      <c r="C1600" s="387" t="str">
        <f>IF(A1600="","",IFERROR(IF(VLOOKUP(A1600,'1. Inbound Leads'!A:G,7,FALSE)=0,"",VLOOKUP(A1600,'1. Inbound Leads'!A:G,7,FALSE)),""))</f>
        <v/>
      </c>
      <c r="D1600" s="387" t="str">
        <f>IF(A1600="","",IFERROR(IF(VLOOKUP(A1600,'1. Inbound Leads'!A:L,12,FALSE)=0,"",VLOOKUP(A1600,'1. Inbound Leads'!A:L,12,FALSE)),""))</f>
        <v/>
      </c>
      <c r="E1600" s="388"/>
      <c r="F1600" s="389"/>
      <c r="G1600" s="387"/>
      <c r="H1600" s="387"/>
      <c r="I1600" s="387"/>
      <c r="J1600" s="387"/>
      <c r="K1600" s="387"/>
      <c r="L1600" s="387"/>
      <c r="M1600" s="388"/>
      <c r="N1600" s="388"/>
      <c r="O1600" s="390"/>
      <c r="P1600" s="391"/>
      <c r="Q1600" s="389"/>
      <c r="R1600" s="390"/>
      <c r="S1600" s="390"/>
      <c r="T1600" s="391"/>
      <c r="U1600" s="392"/>
      <c r="V1600" s="391"/>
      <c r="W1600" s="391"/>
      <c r="X1600" s="388"/>
      <c r="Y1600" s="391"/>
      <c r="Z1600" s="393"/>
      <c r="AA1600" s="355" t="str">
        <f t="shared" si="1"/>
        <v/>
      </c>
      <c r="AB1600" s="391"/>
      <c r="AC1600" s="394" t="str">
        <f t="shared" si="2"/>
        <v/>
      </c>
      <c r="AD1600" s="389"/>
      <c r="AE1600" s="399"/>
      <c r="AF1600" s="395"/>
      <c r="AG1600" s="396" t="str">
        <f t="shared" si="3"/>
        <v/>
      </c>
      <c r="AH1600" s="396" t="str">
        <f t="shared" si="4"/>
        <v/>
      </c>
      <c r="AI1600" s="388"/>
      <c r="AJ1600" s="388"/>
      <c r="AK1600" s="397"/>
    </row>
    <row r="1601">
      <c r="A1601" s="398"/>
      <c r="B1601" s="386"/>
      <c r="C1601" s="387" t="str">
        <f>IF(A1601="","",IFERROR(IF(VLOOKUP(A1601,'1. Inbound Leads'!A:G,7,FALSE)=0,"",VLOOKUP(A1601,'1. Inbound Leads'!A:G,7,FALSE)),""))</f>
        <v/>
      </c>
      <c r="D1601" s="387" t="str">
        <f>IF(A1601="","",IFERROR(IF(VLOOKUP(A1601,'1. Inbound Leads'!A:L,12,FALSE)=0,"",VLOOKUP(A1601,'1. Inbound Leads'!A:L,12,FALSE)),""))</f>
        <v/>
      </c>
      <c r="E1601" s="388"/>
      <c r="F1601" s="389"/>
      <c r="G1601" s="387"/>
      <c r="H1601" s="387"/>
      <c r="I1601" s="387"/>
      <c r="J1601" s="387"/>
      <c r="K1601" s="387"/>
      <c r="L1601" s="387"/>
      <c r="M1601" s="388"/>
      <c r="N1601" s="388"/>
      <c r="O1601" s="390"/>
      <c r="P1601" s="391"/>
      <c r="Q1601" s="389"/>
      <c r="R1601" s="390"/>
      <c r="S1601" s="390"/>
      <c r="T1601" s="391"/>
      <c r="U1601" s="392"/>
      <c r="V1601" s="391"/>
      <c r="W1601" s="391"/>
      <c r="X1601" s="388"/>
      <c r="Y1601" s="391"/>
      <c r="Z1601" s="393"/>
      <c r="AA1601" s="355" t="str">
        <f t="shared" si="1"/>
        <v/>
      </c>
      <c r="AB1601" s="391"/>
      <c r="AC1601" s="394" t="str">
        <f t="shared" si="2"/>
        <v/>
      </c>
      <c r="AD1601" s="389"/>
      <c r="AE1601" s="399"/>
      <c r="AF1601" s="395"/>
      <c r="AG1601" s="396" t="str">
        <f t="shared" si="3"/>
        <v/>
      </c>
      <c r="AH1601" s="396" t="str">
        <f t="shared" si="4"/>
        <v/>
      </c>
      <c r="AI1601" s="388"/>
      <c r="AJ1601" s="388"/>
      <c r="AK1601" s="397"/>
    </row>
    <row r="1602">
      <c r="A1602" s="398"/>
      <c r="B1602" s="386"/>
      <c r="C1602" s="387" t="str">
        <f>IF(A1602="","",IFERROR(IF(VLOOKUP(A1602,'1. Inbound Leads'!A:G,7,FALSE)=0,"",VLOOKUP(A1602,'1. Inbound Leads'!A:G,7,FALSE)),""))</f>
        <v/>
      </c>
      <c r="D1602" s="387" t="str">
        <f>IF(A1602="","",IFERROR(IF(VLOOKUP(A1602,'1. Inbound Leads'!A:L,12,FALSE)=0,"",VLOOKUP(A1602,'1. Inbound Leads'!A:L,12,FALSE)),""))</f>
        <v/>
      </c>
      <c r="E1602" s="388"/>
      <c r="F1602" s="389"/>
      <c r="G1602" s="387"/>
      <c r="H1602" s="387"/>
      <c r="I1602" s="387"/>
      <c r="J1602" s="387"/>
      <c r="K1602" s="387"/>
      <c r="L1602" s="387"/>
      <c r="M1602" s="388"/>
      <c r="N1602" s="388"/>
      <c r="O1602" s="390"/>
      <c r="P1602" s="391"/>
      <c r="Q1602" s="389"/>
      <c r="R1602" s="390"/>
      <c r="S1602" s="390"/>
      <c r="T1602" s="391"/>
      <c r="U1602" s="392"/>
      <c r="V1602" s="391"/>
      <c r="W1602" s="391"/>
      <c r="X1602" s="388"/>
      <c r="Y1602" s="391"/>
      <c r="Z1602" s="393"/>
      <c r="AA1602" s="355" t="str">
        <f t="shared" si="1"/>
        <v/>
      </c>
      <c r="AB1602" s="391"/>
      <c r="AC1602" s="394" t="str">
        <f t="shared" si="2"/>
        <v/>
      </c>
      <c r="AD1602" s="389"/>
      <c r="AE1602" s="399"/>
      <c r="AF1602" s="395"/>
      <c r="AG1602" s="396" t="str">
        <f t="shared" si="3"/>
        <v/>
      </c>
      <c r="AH1602" s="396" t="str">
        <f t="shared" si="4"/>
        <v/>
      </c>
      <c r="AI1602" s="388"/>
      <c r="AJ1602" s="388"/>
      <c r="AK1602" s="397"/>
    </row>
    <row r="1603">
      <c r="A1603" s="398"/>
      <c r="B1603" s="386"/>
      <c r="C1603" s="387" t="str">
        <f>IF(A1603="","",IFERROR(IF(VLOOKUP(A1603,'1. Inbound Leads'!A:G,7,FALSE)=0,"",VLOOKUP(A1603,'1. Inbound Leads'!A:G,7,FALSE)),""))</f>
        <v/>
      </c>
      <c r="D1603" s="387" t="str">
        <f>IF(A1603="","",IFERROR(IF(VLOOKUP(A1603,'1. Inbound Leads'!A:L,12,FALSE)=0,"",VLOOKUP(A1603,'1. Inbound Leads'!A:L,12,FALSE)),""))</f>
        <v/>
      </c>
      <c r="E1603" s="388"/>
      <c r="F1603" s="389"/>
      <c r="G1603" s="387"/>
      <c r="H1603" s="387"/>
      <c r="I1603" s="387"/>
      <c r="J1603" s="387"/>
      <c r="K1603" s="387"/>
      <c r="L1603" s="387"/>
      <c r="M1603" s="388"/>
      <c r="N1603" s="388"/>
      <c r="O1603" s="390"/>
      <c r="P1603" s="391"/>
      <c r="Q1603" s="389"/>
      <c r="R1603" s="390"/>
      <c r="S1603" s="390"/>
      <c r="T1603" s="391"/>
      <c r="U1603" s="392"/>
      <c r="V1603" s="391"/>
      <c r="W1603" s="391"/>
      <c r="X1603" s="388"/>
      <c r="Y1603" s="391"/>
      <c r="Z1603" s="393"/>
      <c r="AA1603" s="355" t="str">
        <f t="shared" si="1"/>
        <v/>
      </c>
      <c r="AB1603" s="391"/>
      <c r="AC1603" s="394" t="str">
        <f t="shared" si="2"/>
        <v/>
      </c>
      <c r="AD1603" s="389"/>
      <c r="AE1603" s="399"/>
      <c r="AF1603" s="395"/>
      <c r="AG1603" s="396" t="str">
        <f t="shared" si="3"/>
        <v/>
      </c>
      <c r="AH1603" s="396" t="str">
        <f t="shared" si="4"/>
        <v/>
      </c>
      <c r="AI1603" s="388"/>
      <c r="AJ1603" s="388"/>
      <c r="AK1603" s="397"/>
    </row>
    <row r="1604">
      <c r="A1604" s="398"/>
      <c r="B1604" s="386"/>
      <c r="C1604" s="387" t="str">
        <f>IF(A1604="","",IFERROR(IF(VLOOKUP(A1604,'1. Inbound Leads'!A:G,7,FALSE)=0,"",VLOOKUP(A1604,'1. Inbound Leads'!A:G,7,FALSE)),""))</f>
        <v/>
      </c>
      <c r="D1604" s="387" t="str">
        <f>IF(A1604="","",IFERROR(IF(VLOOKUP(A1604,'1. Inbound Leads'!A:L,12,FALSE)=0,"",VLOOKUP(A1604,'1. Inbound Leads'!A:L,12,FALSE)),""))</f>
        <v/>
      </c>
      <c r="E1604" s="388"/>
      <c r="F1604" s="389"/>
      <c r="G1604" s="387"/>
      <c r="H1604" s="387"/>
      <c r="I1604" s="387"/>
      <c r="J1604" s="387"/>
      <c r="K1604" s="387"/>
      <c r="L1604" s="387"/>
      <c r="M1604" s="388"/>
      <c r="N1604" s="388"/>
      <c r="O1604" s="390"/>
      <c r="P1604" s="391"/>
      <c r="Q1604" s="389"/>
      <c r="R1604" s="390"/>
      <c r="S1604" s="390"/>
      <c r="T1604" s="391"/>
      <c r="U1604" s="392"/>
      <c r="V1604" s="391"/>
      <c r="W1604" s="391"/>
      <c r="X1604" s="388"/>
      <c r="Y1604" s="391"/>
      <c r="Z1604" s="393"/>
      <c r="AA1604" s="355" t="str">
        <f t="shared" si="1"/>
        <v/>
      </c>
      <c r="AB1604" s="391"/>
      <c r="AC1604" s="394" t="str">
        <f t="shared" si="2"/>
        <v/>
      </c>
      <c r="AD1604" s="389"/>
      <c r="AE1604" s="399"/>
      <c r="AF1604" s="395"/>
      <c r="AG1604" s="396" t="str">
        <f t="shared" si="3"/>
        <v/>
      </c>
      <c r="AH1604" s="396" t="str">
        <f t="shared" si="4"/>
        <v/>
      </c>
      <c r="AI1604" s="388"/>
      <c r="AJ1604" s="388"/>
      <c r="AK1604" s="397"/>
    </row>
    <row r="1605">
      <c r="A1605" s="398"/>
      <c r="B1605" s="386"/>
      <c r="C1605" s="387" t="str">
        <f>IF(A1605="","",IFERROR(IF(VLOOKUP(A1605,'1. Inbound Leads'!A:G,7,FALSE)=0,"",VLOOKUP(A1605,'1. Inbound Leads'!A:G,7,FALSE)),""))</f>
        <v/>
      </c>
      <c r="D1605" s="387" t="str">
        <f>IF(A1605="","",IFERROR(IF(VLOOKUP(A1605,'1. Inbound Leads'!A:L,12,FALSE)=0,"",VLOOKUP(A1605,'1. Inbound Leads'!A:L,12,FALSE)),""))</f>
        <v/>
      </c>
      <c r="E1605" s="388"/>
      <c r="F1605" s="389"/>
      <c r="G1605" s="387"/>
      <c r="H1605" s="387"/>
      <c r="I1605" s="387"/>
      <c r="J1605" s="387"/>
      <c r="K1605" s="387"/>
      <c r="L1605" s="387"/>
      <c r="M1605" s="388"/>
      <c r="N1605" s="388"/>
      <c r="O1605" s="390"/>
      <c r="P1605" s="391"/>
      <c r="Q1605" s="389"/>
      <c r="R1605" s="390"/>
      <c r="S1605" s="390"/>
      <c r="T1605" s="391"/>
      <c r="U1605" s="392"/>
      <c r="V1605" s="391"/>
      <c r="W1605" s="391"/>
      <c r="X1605" s="388"/>
      <c r="Y1605" s="391"/>
      <c r="Z1605" s="393"/>
      <c r="AA1605" s="355" t="str">
        <f t="shared" si="1"/>
        <v/>
      </c>
      <c r="AB1605" s="391"/>
      <c r="AC1605" s="394" t="str">
        <f t="shared" si="2"/>
        <v/>
      </c>
      <c r="AD1605" s="389"/>
      <c r="AE1605" s="399"/>
      <c r="AF1605" s="395"/>
      <c r="AG1605" s="396" t="str">
        <f t="shared" si="3"/>
        <v/>
      </c>
      <c r="AH1605" s="396" t="str">
        <f t="shared" si="4"/>
        <v/>
      </c>
      <c r="AI1605" s="388"/>
      <c r="AJ1605" s="388"/>
      <c r="AK1605" s="397"/>
    </row>
    <row r="1606">
      <c r="A1606" s="398"/>
      <c r="B1606" s="386"/>
      <c r="C1606" s="387" t="str">
        <f>IF(A1606="","",IFERROR(IF(VLOOKUP(A1606,'1. Inbound Leads'!A:G,7,FALSE)=0,"",VLOOKUP(A1606,'1. Inbound Leads'!A:G,7,FALSE)),""))</f>
        <v/>
      </c>
      <c r="D1606" s="387" t="str">
        <f>IF(A1606="","",IFERROR(IF(VLOOKUP(A1606,'1. Inbound Leads'!A:L,12,FALSE)=0,"",VLOOKUP(A1606,'1. Inbound Leads'!A:L,12,FALSE)),""))</f>
        <v/>
      </c>
      <c r="E1606" s="388"/>
      <c r="F1606" s="389"/>
      <c r="G1606" s="387"/>
      <c r="H1606" s="387"/>
      <c r="I1606" s="387"/>
      <c r="J1606" s="387"/>
      <c r="K1606" s="387"/>
      <c r="L1606" s="387"/>
      <c r="M1606" s="388"/>
      <c r="N1606" s="388"/>
      <c r="O1606" s="390"/>
      <c r="P1606" s="391"/>
      <c r="Q1606" s="389"/>
      <c r="R1606" s="390"/>
      <c r="S1606" s="390"/>
      <c r="T1606" s="391"/>
      <c r="U1606" s="392"/>
      <c r="V1606" s="391"/>
      <c r="W1606" s="391"/>
      <c r="X1606" s="388"/>
      <c r="Y1606" s="391"/>
      <c r="Z1606" s="393"/>
      <c r="AA1606" s="355" t="str">
        <f t="shared" si="1"/>
        <v/>
      </c>
      <c r="AB1606" s="391"/>
      <c r="AC1606" s="394" t="str">
        <f t="shared" si="2"/>
        <v/>
      </c>
      <c r="AD1606" s="389"/>
      <c r="AE1606" s="399"/>
      <c r="AF1606" s="395"/>
      <c r="AG1606" s="396" t="str">
        <f t="shared" si="3"/>
        <v/>
      </c>
      <c r="AH1606" s="396" t="str">
        <f t="shared" si="4"/>
        <v/>
      </c>
      <c r="AI1606" s="388"/>
      <c r="AJ1606" s="388"/>
      <c r="AK1606" s="397"/>
    </row>
    <row r="1607">
      <c r="A1607" s="398"/>
      <c r="B1607" s="386"/>
      <c r="C1607" s="387" t="str">
        <f>IF(A1607="","",IFERROR(IF(VLOOKUP(A1607,'1. Inbound Leads'!A:G,7,FALSE)=0,"",VLOOKUP(A1607,'1. Inbound Leads'!A:G,7,FALSE)),""))</f>
        <v/>
      </c>
      <c r="D1607" s="387" t="str">
        <f>IF(A1607="","",IFERROR(IF(VLOOKUP(A1607,'1. Inbound Leads'!A:L,12,FALSE)=0,"",VLOOKUP(A1607,'1. Inbound Leads'!A:L,12,FALSE)),""))</f>
        <v/>
      </c>
      <c r="E1607" s="388"/>
      <c r="F1607" s="389"/>
      <c r="G1607" s="387"/>
      <c r="H1607" s="387"/>
      <c r="I1607" s="387"/>
      <c r="J1607" s="387"/>
      <c r="K1607" s="387"/>
      <c r="L1607" s="387"/>
      <c r="M1607" s="388"/>
      <c r="N1607" s="388"/>
      <c r="O1607" s="390"/>
      <c r="P1607" s="391"/>
      <c r="Q1607" s="389"/>
      <c r="R1607" s="390"/>
      <c r="S1607" s="390"/>
      <c r="T1607" s="391"/>
      <c r="U1607" s="392"/>
      <c r="V1607" s="391"/>
      <c r="W1607" s="391"/>
      <c r="X1607" s="388"/>
      <c r="Y1607" s="391"/>
      <c r="Z1607" s="393"/>
      <c r="AA1607" s="355" t="str">
        <f t="shared" si="1"/>
        <v/>
      </c>
      <c r="AB1607" s="391"/>
      <c r="AC1607" s="394" t="str">
        <f t="shared" si="2"/>
        <v/>
      </c>
      <c r="AD1607" s="389"/>
      <c r="AE1607" s="399"/>
      <c r="AF1607" s="395"/>
      <c r="AG1607" s="396" t="str">
        <f t="shared" si="3"/>
        <v/>
      </c>
      <c r="AH1607" s="396" t="str">
        <f t="shared" si="4"/>
        <v/>
      </c>
      <c r="AI1607" s="388"/>
      <c r="AJ1607" s="388"/>
      <c r="AK1607" s="397"/>
    </row>
    <row r="1608">
      <c r="A1608" s="398"/>
      <c r="B1608" s="386"/>
      <c r="C1608" s="387" t="str">
        <f>IF(A1608="","",IFERROR(IF(VLOOKUP(A1608,'1. Inbound Leads'!A:G,7,FALSE)=0,"",VLOOKUP(A1608,'1. Inbound Leads'!A:G,7,FALSE)),""))</f>
        <v/>
      </c>
      <c r="D1608" s="387" t="str">
        <f>IF(A1608="","",IFERROR(IF(VLOOKUP(A1608,'1. Inbound Leads'!A:L,12,FALSE)=0,"",VLOOKUP(A1608,'1. Inbound Leads'!A:L,12,FALSE)),""))</f>
        <v/>
      </c>
      <c r="E1608" s="388"/>
      <c r="F1608" s="389"/>
      <c r="G1608" s="387"/>
      <c r="H1608" s="387"/>
      <c r="I1608" s="387"/>
      <c r="J1608" s="387"/>
      <c r="K1608" s="387"/>
      <c r="L1608" s="387"/>
      <c r="M1608" s="388"/>
      <c r="N1608" s="388"/>
      <c r="O1608" s="390"/>
      <c r="P1608" s="391"/>
      <c r="Q1608" s="389"/>
      <c r="R1608" s="390"/>
      <c r="S1608" s="390"/>
      <c r="T1608" s="391"/>
      <c r="U1608" s="392"/>
      <c r="V1608" s="391"/>
      <c r="W1608" s="391"/>
      <c r="X1608" s="388"/>
      <c r="Y1608" s="391"/>
      <c r="Z1608" s="393"/>
      <c r="AA1608" s="355" t="str">
        <f t="shared" si="1"/>
        <v/>
      </c>
      <c r="AB1608" s="391"/>
      <c r="AC1608" s="394" t="str">
        <f t="shared" si="2"/>
        <v/>
      </c>
      <c r="AD1608" s="389"/>
      <c r="AE1608" s="399"/>
      <c r="AF1608" s="395"/>
      <c r="AG1608" s="396" t="str">
        <f t="shared" si="3"/>
        <v/>
      </c>
      <c r="AH1608" s="396" t="str">
        <f t="shared" si="4"/>
        <v/>
      </c>
      <c r="AI1608" s="388"/>
      <c r="AJ1608" s="388"/>
      <c r="AK1608" s="397"/>
    </row>
    <row r="1609">
      <c r="A1609" s="398"/>
      <c r="B1609" s="386"/>
      <c r="C1609" s="387" t="str">
        <f>IF(A1609="","",IFERROR(IF(VLOOKUP(A1609,'1. Inbound Leads'!A:G,7,FALSE)=0,"",VLOOKUP(A1609,'1. Inbound Leads'!A:G,7,FALSE)),""))</f>
        <v/>
      </c>
      <c r="D1609" s="387" t="str">
        <f>IF(A1609="","",IFERROR(IF(VLOOKUP(A1609,'1. Inbound Leads'!A:L,12,FALSE)=0,"",VLOOKUP(A1609,'1. Inbound Leads'!A:L,12,FALSE)),""))</f>
        <v/>
      </c>
      <c r="E1609" s="388"/>
      <c r="F1609" s="389"/>
      <c r="G1609" s="387"/>
      <c r="H1609" s="387"/>
      <c r="I1609" s="387"/>
      <c r="J1609" s="387"/>
      <c r="K1609" s="387"/>
      <c r="L1609" s="387"/>
      <c r="M1609" s="388"/>
      <c r="N1609" s="388"/>
      <c r="O1609" s="390"/>
      <c r="P1609" s="391"/>
      <c r="Q1609" s="389"/>
      <c r="R1609" s="390"/>
      <c r="S1609" s="390"/>
      <c r="T1609" s="391"/>
      <c r="U1609" s="392"/>
      <c r="V1609" s="391"/>
      <c r="W1609" s="391"/>
      <c r="X1609" s="388"/>
      <c r="Y1609" s="391"/>
      <c r="Z1609" s="393"/>
      <c r="AA1609" s="355" t="str">
        <f t="shared" si="1"/>
        <v/>
      </c>
      <c r="AB1609" s="391"/>
      <c r="AC1609" s="394" t="str">
        <f t="shared" si="2"/>
        <v/>
      </c>
      <c r="AD1609" s="389"/>
      <c r="AE1609" s="399"/>
      <c r="AF1609" s="395"/>
      <c r="AG1609" s="396" t="str">
        <f t="shared" si="3"/>
        <v/>
      </c>
      <c r="AH1609" s="396" t="str">
        <f t="shared" si="4"/>
        <v/>
      </c>
      <c r="AI1609" s="388"/>
      <c r="AJ1609" s="388"/>
      <c r="AK1609" s="397"/>
    </row>
    <row r="1610">
      <c r="A1610" s="398"/>
      <c r="B1610" s="386"/>
      <c r="C1610" s="387" t="str">
        <f>IF(A1610="","",IFERROR(IF(VLOOKUP(A1610,'1. Inbound Leads'!A:G,7,FALSE)=0,"",VLOOKUP(A1610,'1. Inbound Leads'!A:G,7,FALSE)),""))</f>
        <v/>
      </c>
      <c r="D1610" s="387" t="str">
        <f>IF(A1610="","",IFERROR(IF(VLOOKUP(A1610,'1. Inbound Leads'!A:L,12,FALSE)=0,"",VLOOKUP(A1610,'1. Inbound Leads'!A:L,12,FALSE)),""))</f>
        <v/>
      </c>
      <c r="E1610" s="388"/>
      <c r="F1610" s="389"/>
      <c r="G1610" s="387"/>
      <c r="H1610" s="387"/>
      <c r="I1610" s="387"/>
      <c r="J1610" s="387"/>
      <c r="K1610" s="387"/>
      <c r="L1610" s="387"/>
      <c r="M1610" s="388"/>
      <c r="N1610" s="388"/>
      <c r="O1610" s="390"/>
      <c r="P1610" s="391"/>
      <c r="Q1610" s="389"/>
      <c r="R1610" s="390"/>
      <c r="S1610" s="390"/>
      <c r="T1610" s="391"/>
      <c r="U1610" s="392"/>
      <c r="V1610" s="391"/>
      <c r="W1610" s="391"/>
      <c r="X1610" s="388"/>
      <c r="Y1610" s="391"/>
      <c r="Z1610" s="393"/>
      <c r="AA1610" s="355" t="str">
        <f t="shared" si="1"/>
        <v/>
      </c>
      <c r="AB1610" s="391"/>
      <c r="AC1610" s="394" t="str">
        <f t="shared" si="2"/>
        <v/>
      </c>
      <c r="AD1610" s="389"/>
      <c r="AE1610" s="399"/>
      <c r="AF1610" s="395"/>
      <c r="AG1610" s="396" t="str">
        <f t="shared" si="3"/>
        <v/>
      </c>
      <c r="AH1610" s="396" t="str">
        <f t="shared" si="4"/>
        <v/>
      </c>
      <c r="AI1610" s="388"/>
      <c r="AJ1610" s="388"/>
      <c r="AK1610" s="397"/>
    </row>
    <row r="1611">
      <c r="A1611" s="398"/>
      <c r="B1611" s="386"/>
      <c r="C1611" s="387" t="str">
        <f>IF(A1611="","",IFERROR(IF(VLOOKUP(A1611,'1. Inbound Leads'!A:G,7,FALSE)=0,"",VLOOKUP(A1611,'1. Inbound Leads'!A:G,7,FALSE)),""))</f>
        <v/>
      </c>
      <c r="D1611" s="387" t="str">
        <f>IF(A1611="","",IFERROR(IF(VLOOKUP(A1611,'1. Inbound Leads'!A:L,12,FALSE)=0,"",VLOOKUP(A1611,'1. Inbound Leads'!A:L,12,FALSE)),""))</f>
        <v/>
      </c>
      <c r="E1611" s="388"/>
      <c r="F1611" s="389"/>
      <c r="G1611" s="387"/>
      <c r="H1611" s="387"/>
      <c r="I1611" s="387"/>
      <c r="J1611" s="387"/>
      <c r="K1611" s="387"/>
      <c r="L1611" s="387"/>
      <c r="M1611" s="388"/>
      <c r="N1611" s="388"/>
      <c r="O1611" s="390"/>
      <c r="P1611" s="391"/>
      <c r="Q1611" s="389"/>
      <c r="R1611" s="390"/>
      <c r="S1611" s="390"/>
      <c r="T1611" s="391"/>
      <c r="U1611" s="392"/>
      <c r="V1611" s="391"/>
      <c r="W1611" s="391"/>
      <c r="X1611" s="388"/>
      <c r="Y1611" s="391"/>
      <c r="Z1611" s="393"/>
      <c r="AA1611" s="355" t="str">
        <f t="shared" si="1"/>
        <v/>
      </c>
      <c r="AB1611" s="391"/>
      <c r="AC1611" s="394" t="str">
        <f t="shared" si="2"/>
        <v/>
      </c>
      <c r="AD1611" s="389"/>
      <c r="AE1611" s="399"/>
      <c r="AF1611" s="395"/>
      <c r="AG1611" s="396" t="str">
        <f t="shared" si="3"/>
        <v/>
      </c>
      <c r="AH1611" s="396" t="str">
        <f t="shared" si="4"/>
        <v/>
      </c>
      <c r="AI1611" s="388"/>
      <c r="AJ1611" s="388"/>
      <c r="AK1611" s="397"/>
    </row>
    <row r="1612">
      <c r="A1612" s="398"/>
      <c r="B1612" s="386"/>
      <c r="C1612" s="387" t="str">
        <f>IF(A1612="","",IFERROR(IF(VLOOKUP(A1612,'1. Inbound Leads'!A:G,7,FALSE)=0,"",VLOOKUP(A1612,'1. Inbound Leads'!A:G,7,FALSE)),""))</f>
        <v/>
      </c>
      <c r="D1612" s="387" t="str">
        <f>IF(A1612="","",IFERROR(IF(VLOOKUP(A1612,'1. Inbound Leads'!A:L,12,FALSE)=0,"",VLOOKUP(A1612,'1. Inbound Leads'!A:L,12,FALSE)),""))</f>
        <v/>
      </c>
      <c r="E1612" s="388"/>
      <c r="F1612" s="389"/>
      <c r="G1612" s="387"/>
      <c r="H1612" s="387"/>
      <c r="I1612" s="387"/>
      <c r="J1612" s="387"/>
      <c r="K1612" s="387"/>
      <c r="L1612" s="387"/>
      <c r="M1612" s="388"/>
      <c r="N1612" s="388"/>
      <c r="O1612" s="390"/>
      <c r="P1612" s="391"/>
      <c r="Q1612" s="389"/>
      <c r="R1612" s="390"/>
      <c r="S1612" s="390"/>
      <c r="T1612" s="391"/>
      <c r="U1612" s="392"/>
      <c r="V1612" s="391"/>
      <c r="W1612" s="391"/>
      <c r="X1612" s="388"/>
      <c r="Y1612" s="391"/>
      <c r="Z1612" s="393"/>
      <c r="AA1612" s="355" t="str">
        <f t="shared" si="1"/>
        <v/>
      </c>
      <c r="AB1612" s="391"/>
      <c r="AC1612" s="394" t="str">
        <f t="shared" si="2"/>
        <v/>
      </c>
      <c r="AD1612" s="389"/>
      <c r="AE1612" s="399"/>
      <c r="AF1612" s="395"/>
      <c r="AG1612" s="396" t="str">
        <f t="shared" si="3"/>
        <v/>
      </c>
      <c r="AH1612" s="396" t="str">
        <f t="shared" si="4"/>
        <v/>
      </c>
      <c r="AI1612" s="388"/>
      <c r="AJ1612" s="388"/>
      <c r="AK1612" s="397"/>
    </row>
    <row r="1613">
      <c r="A1613" s="398"/>
      <c r="B1613" s="386"/>
      <c r="C1613" s="387" t="str">
        <f>IF(A1613="","",IFERROR(IF(VLOOKUP(A1613,'1. Inbound Leads'!A:G,7,FALSE)=0,"",VLOOKUP(A1613,'1. Inbound Leads'!A:G,7,FALSE)),""))</f>
        <v/>
      </c>
      <c r="D1613" s="387" t="str">
        <f>IF(A1613="","",IFERROR(IF(VLOOKUP(A1613,'1. Inbound Leads'!A:L,12,FALSE)=0,"",VLOOKUP(A1613,'1. Inbound Leads'!A:L,12,FALSE)),""))</f>
        <v/>
      </c>
      <c r="E1613" s="388"/>
      <c r="F1613" s="389"/>
      <c r="G1613" s="387"/>
      <c r="H1613" s="387"/>
      <c r="I1613" s="387"/>
      <c r="J1613" s="387"/>
      <c r="K1613" s="387"/>
      <c r="L1613" s="387"/>
      <c r="M1613" s="388"/>
      <c r="N1613" s="388"/>
      <c r="O1613" s="390"/>
      <c r="P1613" s="391"/>
      <c r="Q1613" s="389"/>
      <c r="R1613" s="390"/>
      <c r="S1613" s="390"/>
      <c r="T1613" s="391"/>
      <c r="U1613" s="392"/>
      <c r="V1613" s="391"/>
      <c r="W1613" s="391"/>
      <c r="X1613" s="388"/>
      <c r="Y1613" s="391"/>
      <c r="Z1613" s="393"/>
      <c r="AA1613" s="355" t="str">
        <f t="shared" si="1"/>
        <v/>
      </c>
      <c r="AB1613" s="391"/>
      <c r="AC1613" s="394" t="str">
        <f t="shared" si="2"/>
        <v/>
      </c>
      <c r="AD1613" s="389"/>
      <c r="AE1613" s="399"/>
      <c r="AF1613" s="395"/>
      <c r="AG1613" s="396" t="str">
        <f t="shared" si="3"/>
        <v/>
      </c>
      <c r="AH1613" s="396" t="str">
        <f t="shared" si="4"/>
        <v/>
      </c>
      <c r="AI1613" s="388"/>
      <c r="AJ1613" s="388"/>
      <c r="AK1613" s="397"/>
    </row>
    <row r="1614">
      <c r="A1614" s="398"/>
      <c r="B1614" s="386"/>
      <c r="C1614" s="387" t="str">
        <f>IF(A1614="","",IFERROR(IF(VLOOKUP(A1614,'1. Inbound Leads'!A:G,7,FALSE)=0,"",VLOOKUP(A1614,'1. Inbound Leads'!A:G,7,FALSE)),""))</f>
        <v/>
      </c>
      <c r="D1614" s="387" t="str">
        <f>IF(A1614="","",IFERROR(IF(VLOOKUP(A1614,'1. Inbound Leads'!A:L,12,FALSE)=0,"",VLOOKUP(A1614,'1. Inbound Leads'!A:L,12,FALSE)),""))</f>
        <v/>
      </c>
      <c r="E1614" s="388"/>
      <c r="F1614" s="389"/>
      <c r="G1614" s="387"/>
      <c r="H1614" s="387"/>
      <c r="I1614" s="387"/>
      <c r="J1614" s="387"/>
      <c r="K1614" s="387"/>
      <c r="L1614" s="387"/>
      <c r="M1614" s="388"/>
      <c r="N1614" s="388"/>
      <c r="O1614" s="390"/>
      <c r="P1614" s="391"/>
      <c r="Q1614" s="389"/>
      <c r="R1614" s="390"/>
      <c r="S1614" s="390"/>
      <c r="T1614" s="391"/>
      <c r="U1614" s="392"/>
      <c r="V1614" s="391"/>
      <c r="W1614" s="391"/>
      <c r="X1614" s="388"/>
      <c r="Y1614" s="391"/>
      <c r="Z1614" s="393"/>
      <c r="AA1614" s="355" t="str">
        <f t="shared" si="1"/>
        <v/>
      </c>
      <c r="AB1614" s="391"/>
      <c r="AC1614" s="394" t="str">
        <f t="shared" si="2"/>
        <v/>
      </c>
      <c r="AD1614" s="389"/>
      <c r="AE1614" s="399"/>
      <c r="AF1614" s="395"/>
      <c r="AG1614" s="396" t="str">
        <f t="shared" si="3"/>
        <v/>
      </c>
      <c r="AH1614" s="396" t="str">
        <f t="shared" si="4"/>
        <v/>
      </c>
      <c r="AI1614" s="388"/>
      <c r="AJ1614" s="388"/>
      <c r="AK1614" s="397"/>
    </row>
    <row r="1615">
      <c r="A1615" s="398"/>
      <c r="B1615" s="386"/>
      <c r="C1615" s="387" t="str">
        <f>IF(A1615="","",IFERROR(IF(VLOOKUP(A1615,'1. Inbound Leads'!A:G,7,FALSE)=0,"",VLOOKUP(A1615,'1. Inbound Leads'!A:G,7,FALSE)),""))</f>
        <v/>
      </c>
      <c r="D1615" s="387" t="str">
        <f>IF(A1615="","",IFERROR(IF(VLOOKUP(A1615,'1. Inbound Leads'!A:L,12,FALSE)=0,"",VLOOKUP(A1615,'1. Inbound Leads'!A:L,12,FALSE)),""))</f>
        <v/>
      </c>
      <c r="E1615" s="388"/>
      <c r="F1615" s="389"/>
      <c r="G1615" s="387"/>
      <c r="H1615" s="387"/>
      <c r="I1615" s="387"/>
      <c r="J1615" s="387"/>
      <c r="K1615" s="387"/>
      <c r="L1615" s="387"/>
      <c r="M1615" s="388"/>
      <c r="N1615" s="388"/>
      <c r="O1615" s="390"/>
      <c r="P1615" s="391"/>
      <c r="Q1615" s="389"/>
      <c r="R1615" s="390"/>
      <c r="S1615" s="390"/>
      <c r="T1615" s="391"/>
      <c r="U1615" s="392"/>
      <c r="V1615" s="391"/>
      <c r="W1615" s="391"/>
      <c r="X1615" s="388"/>
      <c r="Y1615" s="391"/>
      <c r="Z1615" s="393"/>
      <c r="AA1615" s="355" t="str">
        <f t="shared" si="1"/>
        <v/>
      </c>
      <c r="AB1615" s="391"/>
      <c r="AC1615" s="394" t="str">
        <f t="shared" si="2"/>
        <v/>
      </c>
      <c r="AD1615" s="389"/>
      <c r="AE1615" s="399"/>
      <c r="AF1615" s="395"/>
      <c r="AG1615" s="396" t="str">
        <f t="shared" si="3"/>
        <v/>
      </c>
      <c r="AH1615" s="396" t="str">
        <f t="shared" si="4"/>
        <v/>
      </c>
      <c r="AI1615" s="388"/>
      <c r="AJ1615" s="388"/>
      <c r="AK1615" s="397"/>
    </row>
    <row r="1616">
      <c r="A1616" s="398"/>
      <c r="B1616" s="386"/>
      <c r="C1616" s="387" t="str">
        <f>IF(A1616="","",IFERROR(IF(VLOOKUP(A1616,'1. Inbound Leads'!A:G,7,FALSE)=0,"",VLOOKUP(A1616,'1. Inbound Leads'!A:G,7,FALSE)),""))</f>
        <v/>
      </c>
      <c r="D1616" s="387" t="str">
        <f>IF(A1616="","",IFERROR(IF(VLOOKUP(A1616,'1. Inbound Leads'!A:L,12,FALSE)=0,"",VLOOKUP(A1616,'1. Inbound Leads'!A:L,12,FALSE)),""))</f>
        <v/>
      </c>
      <c r="E1616" s="388"/>
      <c r="F1616" s="389"/>
      <c r="G1616" s="387"/>
      <c r="H1616" s="387"/>
      <c r="I1616" s="387"/>
      <c r="J1616" s="387"/>
      <c r="K1616" s="387"/>
      <c r="L1616" s="387"/>
      <c r="M1616" s="388"/>
      <c r="N1616" s="388"/>
      <c r="O1616" s="390"/>
      <c r="P1616" s="391"/>
      <c r="Q1616" s="389"/>
      <c r="R1616" s="390"/>
      <c r="S1616" s="390"/>
      <c r="T1616" s="391"/>
      <c r="U1616" s="392"/>
      <c r="V1616" s="391"/>
      <c r="W1616" s="391"/>
      <c r="X1616" s="388"/>
      <c r="Y1616" s="391"/>
      <c r="Z1616" s="393"/>
      <c r="AA1616" s="355" t="str">
        <f t="shared" si="1"/>
        <v/>
      </c>
      <c r="AB1616" s="391"/>
      <c r="AC1616" s="394" t="str">
        <f t="shared" si="2"/>
        <v/>
      </c>
      <c r="AD1616" s="389"/>
      <c r="AE1616" s="399"/>
      <c r="AF1616" s="395"/>
      <c r="AG1616" s="396" t="str">
        <f t="shared" si="3"/>
        <v/>
      </c>
      <c r="AH1616" s="396" t="str">
        <f t="shared" si="4"/>
        <v/>
      </c>
      <c r="AI1616" s="388"/>
      <c r="AJ1616" s="388"/>
      <c r="AK1616" s="397"/>
    </row>
    <row r="1617">
      <c r="A1617" s="398"/>
      <c r="B1617" s="386"/>
      <c r="C1617" s="387" t="str">
        <f>IF(A1617="","",IFERROR(IF(VLOOKUP(A1617,'1. Inbound Leads'!A:G,7,FALSE)=0,"",VLOOKUP(A1617,'1. Inbound Leads'!A:G,7,FALSE)),""))</f>
        <v/>
      </c>
      <c r="D1617" s="387" t="str">
        <f>IF(A1617="","",IFERROR(IF(VLOOKUP(A1617,'1. Inbound Leads'!A:L,12,FALSE)=0,"",VLOOKUP(A1617,'1. Inbound Leads'!A:L,12,FALSE)),""))</f>
        <v/>
      </c>
      <c r="E1617" s="388"/>
      <c r="F1617" s="389"/>
      <c r="G1617" s="387"/>
      <c r="H1617" s="387"/>
      <c r="I1617" s="387"/>
      <c r="J1617" s="387"/>
      <c r="K1617" s="387"/>
      <c r="L1617" s="387"/>
      <c r="M1617" s="388"/>
      <c r="N1617" s="388"/>
      <c r="O1617" s="390"/>
      <c r="P1617" s="391"/>
      <c r="Q1617" s="389"/>
      <c r="R1617" s="390"/>
      <c r="S1617" s="390"/>
      <c r="T1617" s="391"/>
      <c r="U1617" s="392"/>
      <c r="V1617" s="391"/>
      <c r="W1617" s="391"/>
      <c r="X1617" s="388"/>
      <c r="Y1617" s="391"/>
      <c r="Z1617" s="393"/>
      <c r="AA1617" s="355" t="str">
        <f t="shared" si="1"/>
        <v/>
      </c>
      <c r="AB1617" s="391"/>
      <c r="AC1617" s="394" t="str">
        <f t="shared" si="2"/>
        <v/>
      </c>
      <c r="AD1617" s="389"/>
      <c r="AE1617" s="399"/>
      <c r="AF1617" s="395"/>
      <c r="AG1617" s="396" t="str">
        <f t="shared" si="3"/>
        <v/>
      </c>
      <c r="AH1617" s="396" t="str">
        <f t="shared" si="4"/>
        <v/>
      </c>
      <c r="AI1617" s="388"/>
      <c r="AJ1617" s="388"/>
      <c r="AK1617" s="397"/>
    </row>
    <row r="1618">
      <c r="A1618" s="398"/>
      <c r="B1618" s="386"/>
      <c r="C1618" s="387" t="str">
        <f>IF(A1618="","",IFERROR(IF(VLOOKUP(A1618,'1. Inbound Leads'!A:G,7,FALSE)=0,"",VLOOKUP(A1618,'1. Inbound Leads'!A:G,7,FALSE)),""))</f>
        <v/>
      </c>
      <c r="D1618" s="387" t="str">
        <f>IF(A1618="","",IFERROR(IF(VLOOKUP(A1618,'1. Inbound Leads'!A:L,12,FALSE)=0,"",VLOOKUP(A1618,'1. Inbound Leads'!A:L,12,FALSE)),""))</f>
        <v/>
      </c>
      <c r="E1618" s="388"/>
      <c r="F1618" s="389"/>
      <c r="G1618" s="387"/>
      <c r="H1618" s="387"/>
      <c r="I1618" s="387"/>
      <c r="J1618" s="387"/>
      <c r="K1618" s="387"/>
      <c r="L1618" s="387"/>
      <c r="M1618" s="388"/>
      <c r="N1618" s="388"/>
      <c r="O1618" s="390"/>
      <c r="P1618" s="391"/>
      <c r="Q1618" s="389"/>
      <c r="R1618" s="390"/>
      <c r="S1618" s="390"/>
      <c r="T1618" s="391"/>
      <c r="U1618" s="392"/>
      <c r="V1618" s="391"/>
      <c r="W1618" s="391"/>
      <c r="X1618" s="388"/>
      <c r="Y1618" s="391"/>
      <c r="Z1618" s="393"/>
      <c r="AA1618" s="355" t="str">
        <f t="shared" si="1"/>
        <v/>
      </c>
      <c r="AB1618" s="391"/>
      <c r="AC1618" s="394" t="str">
        <f t="shared" si="2"/>
        <v/>
      </c>
      <c r="AD1618" s="389"/>
      <c r="AE1618" s="399"/>
      <c r="AF1618" s="395"/>
      <c r="AG1618" s="396" t="str">
        <f t="shared" si="3"/>
        <v/>
      </c>
      <c r="AH1618" s="396" t="str">
        <f t="shared" si="4"/>
        <v/>
      </c>
      <c r="AI1618" s="388"/>
      <c r="AJ1618" s="388"/>
      <c r="AK1618" s="397"/>
    </row>
    <row r="1619">
      <c r="A1619" s="398"/>
      <c r="B1619" s="386"/>
      <c r="C1619" s="387" t="str">
        <f>IF(A1619="","",IFERROR(IF(VLOOKUP(A1619,'1. Inbound Leads'!A:G,7,FALSE)=0,"",VLOOKUP(A1619,'1. Inbound Leads'!A:G,7,FALSE)),""))</f>
        <v/>
      </c>
      <c r="D1619" s="387" t="str">
        <f>IF(A1619="","",IFERROR(IF(VLOOKUP(A1619,'1. Inbound Leads'!A:L,12,FALSE)=0,"",VLOOKUP(A1619,'1. Inbound Leads'!A:L,12,FALSE)),""))</f>
        <v/>
      </c>
      <c r="E1619" s="388"/>
      <c r="F1619" s="389"/>
      <c r="G1619" s="387"/>
      <c r="H1619" s="387"/>
      <c r="I1619" s="387"/>
      <c r="J1619" s="387"/>
      <c r="K1619" s="387"/>
      <c r="L1619" s="387"/>
      <c r="M1619" s="388"/>
      <c r="N1619" s="388"/>
      <c r="O1619" s="390"/>
      <c r="P1619" s="391"/>
      <c r="Q1619" s="389"/>
      <c r="R1619" s="390"/>
      <c r="S1619" s="390"/>
      <c r="T1619" s="391"/>
      <c r="U1619" s="392"/>
      <c r="V1619" s="391"/>
      <c r="W1619" s="391"/>
      <c r="X1619" s="388"/>
      <c r="Y1619" s="391"/>
      <c r="Z1619" s="393"/>
      <c r="AA1619" s="355" t="str">
        <f t="shared" si="1"/>
        <v/>
      </c>
      <c r="AB1619" s="391"/>
      <c r="AC1619" s="394" t="str">
        <f t="shared" si="2"/>
        <v/>
      </c>
      <c r="AD1619" s="389"/>
      <c r="AE1619" s="399"/>
      <c r="AF1619" s="395"/>
      <c r="AG1619" s="396" t="str">
        <f t="shared" si="3"/>
        <v/>
      </c>
      <c r="AH1619" s="396" t="str">
        <f t="shared" si="4"/>
        <v/>
      </c>
      <c r="AI1619" s="388"/>
      <c r="AJ1619" s="388"/>
      <c r="AK1619" s="397"/>
    </row>
    <row r="1620">
      <c r="A1620" s="398"/>
      <c r="B1620" s="386"/>
      <c r="C1620" s="387" t="str">
        <f>IF(A1620="","",IFERROR(IF(VLOOKUP(A1620,'1. Inbound Leads'!A:G,7,FALSE)=0,"",VLOOKUP(A1620,'1. Inbound Leads'!A:G,7,FALSE)),""))</f>
        <v/>
      </c>
      <c r="D1620" s="387" t="str">
        <f>IF(A1620="","",IFERROR(IF(VLOOKUP(A1620,'1. Inbound Leads'!A:L,12,FALSE)=0,"",VLOOKUP(A1620,'1. Inbound Leads'!A:L,12,FALSE)),""))</f>
        <v/>
      </c>
      <c r="E1620" s="388"/>
      <c r="F1620" s="389"/>
      <c r="G1620" s="387"/>
      <c r="H1620" s="387"/>
      <c r="I1620" s="387"/>
      <c r="J1620" s="387"/>
      <c r="K1620" s="387"/>
      <c r="L1620" s="387"/>
      <c r="M1620" s="388"/>
      <c r="N1620" s="388"/>
      <c r="O1620" s="390"/>
      <c r="P1620" s="391"/>
      <c r="Q1620" s="389"/>
      <c r="R1620" s="390"/>
      <c r="S1620" s="390"/>
      <c r="T1620" s="391"/>
      <c r="U1620" s="392"/>
      <c r="V1620" s="391"/>
      <c r="W1620" s="391"/>
      <c r="X1620" s="388"/>
      <c r="Y1620" s="391"/>
      <c r="Z1620" s="393"/>
      <c r="AA1620" s="355" t="str">
        <f t="shared" si="1"/>
        <v/>
      </c>
      <c r="AB1620" s="391"/>
      <c r="AC1620" s="394" t="str">
        <f t="shared" si="2"/>
        <v/>
      </c>
      <c r="AD1620" s="389"/>
      <c r="AE1620" s="399"/>
      <c r="AF1620" s="395"/>
      <c r="AG1620" s="396" t="str">
        <f t="shared" si="3"/>
        <v/>
      </c>
      <c r="AH1620" s="396" t="str">
        <f t="shared" si="4"/>
        <v/>
      </c>
      <c r="AI1620" s="388"/>
      <c r="AJ1620" s="388"/>
      <c r="AK1620" s="397"/>
    </row>
    <row r="1621">
      <c r="A1621" s="398"/>
      <c r="B1621" s="386"/>
      <c r="C1621" s="387" t="str">
        <f>IF(A1621="","",IFERROR(IF(VLOOKUP(A1621,'1. Inbound Leads'!A:G,7,FALSE)=0,"",VLOOKUP(A1621,'1. Inbound Leads'!A:G,7,FALSE)),""))</f>
        <v/>
      </c>
      <c r="D1621" s="387" t="str">
        <f>IF(A1621="","",IFERROR(IF(VLOOKUP(A1621,'1. Inbound Leads'!A:L,12,FALSE)=0,"",VLOOKUP(A1621,'1. Inbound Leads'!A:L,12,FALSE)),""))</f>
        <v/>
      </c>
      <c r="E1621" s="388"/>
      <c r="F1621" s="389"/>
      <c r="G1621" s="387"/>
      <c r="H1621" s="387"/>
      <c r="I1621" s="387"/>
      <c r="J1621" s="387"/>
      <c r="K1621" s="387"/>
      <c r="L1621" s="387"/>
      <c r="M1621" s="388"/>
      <c r="N1621" s="388"/>
      <c r="O1621" s="390"/>
      <c r="P1621" s="391"/>
      <c r="Q1621" s="389"/>
      <c r="R1621" s="390"/>
      <c r="S1621" s="390"/>
      <c r="T1621" s="391"/>
      <c r="U1621" s="392"/>
      <c r="V1621" s="391"/>
      <c r="W1621" s="391"/>
      <c r="X1621" s="388"/>
      <c r="Y1621" s="391"/>
      <c r="Z1621" s="393"/>
      <c r="AA1621" s="355" t="str">
        <f t="shared" si="1"/>
        <v/>
      </c>
      <c r="AB1621" s="391"/>
      <c r="AC1621" s="394" t="str">
        <f t="shared" si="2"/>
        <v/>
      </c>
      <c r="AD1621" s="389"/>
      <c r="AE1621" s="399"/>
      <c r="AF1621" s="395"/>
      <c r="AG1621" s="396" t="str">
        <f t="shared" si="3"/>
        <v/>
      </c>
      <c r="AH1621" s="396" t="str">
        <f t="shared" si="4"/>
        <v/>
      </c>
      <c r="AI1621" s="388"/>
      <c r="AJ1621" s="388"/>
      <c r="AK1621" s="397"/>
    </row>
    <row r="1622">
      <c r="A1622" s="398"/>
      <c r="B1622" s="386"/>
      <c r="C1622" s="387" t="str">
        <f>IF(A1622="","",IFERROR(IF(VLOOKUP(A1622,'1. Inbound Leads'!A:G,7,FALSE)=0,"",VLOOKUP(A1622,'1. Inbound Leads'!A:G,7,FALSE)),""))</f>
        <v/>
      </c>
      <c r="D1622" s="387" t="str">
        <f>IF(A1622="","",IFERROR(IF(VLOOKUP(A1622,'1. Inbound Leads'!A:L,12,FALSE)=0,"",VLOOKUP(A1622,'1. Inbound Leads'!A:L,12,FALSE)),""))</f>
        <v/>
      </c>
      <c r="E1622" s="388"/>
      <c r="F1622" s="389"/>
      <c r="G1622" s="387"/>
      <c r="H1622" s="387"/>
      <c r="I1622" s="387"/>
      <c r="J1622" s="387"/>
      <c r="K1622" s="387"/>
      <c r="L1622" s="387"/>
      <c r="M1622" s="388"/>
      <c r="N1622" s="388"/>
      <c r="O1622" s="390"/>
      <c r="P1622" s="391"/>
      <c r="Q1622" s="389"/>
      <c r="R1622" s="390"/>
      <c r="S1622" s="390"/>
      <c r="T1622" s="391"/>
      <c r="U1622" s="392"/>
      <c r="V1622" s="391"/>
      <c r="W1622" s="391"/>
      <c r="X1622" s="388"/>
      <c r="Y1622" s="391"/>
      <c r="Z1622" s="393"/>
      <c r="AA1622" s="355" t="str">
        <f t="shared" si="1"/>
        <v/>
      </c>
      <c r="AB1622" s="391"/>
      <c r="AC1622" s="394" t="str">
        <f t="shared" si="2"/>
        <v/>
      </c>
      <c r="AD1622" s="389"/>
      <c r="AE1622" s="399"/>
      <c r="AF1622" s="395"/>
      <c r="AG1622" s="396" t="str">
        <f t="shared" si="3"/>
        <v/>
      </c>
      <c r="AH1622" s="396" t="str">
        <f t="shared" si="4"/>
        <v/>
      </c>
      <c r="AI1622" s="388"/>
      <c r="AJ1622" s="388"/>
      <c r="AK1622" s="397"/>
    </row>
    <row r="1623">
      <c r="A1623" s="398"/>
      <c r="B1623" s="386"/>
      <c r="C1623" s="387" t="str">
        <f>IF(A1623="","",IFERROR(IF(VLOOKUP(A1623,'1. Inbound Leads'!A:G,7,FALSE)=0,"",VLOOKUP(A1623,'1. Inbound Leads'!A:G,7,FALSE)),""))</f>
        <v/>
      </c>
      <c r="D1623" s="387" t="str">
        <f>IF(A1623="","",IFERROR(IF(VLOOKUP(A1623,'1. Inbound Leads'!A:L,12,FALSE)=0,"",VLOOKUP(A1623,'1. Inbound Leads'!A:L,12,FALSE)),""))</f>
        <v/>
      </c>
      <c r="E1623" s="388"/>
      <c r="F1623" s="389"/>
      <c r="G1623" s="387"/>
      <c r="H1623" s="387"/>
      <c r="I1623" s="387"/>
      <c r="J1623" s="387"/>
      <c r="K1623" s="387"/>
      <c r="L1623" s="387"/>
      <c r="M1623" s="388"/>
      <c r="N1623" s="388"/>
      <c r="O1623" s="390"/>
      <c r="P1623" s="391"/>
      <c r="Q1623" s="389"/>
      <c r="R1623" s="390"/>
      <c r="S1623" s="390"/>
      <c r="T1623" s="391"/>
      <c r="U1623" s="392"/>
      <c r="V1623" s="391"/>
      <c r="W1623" s="391"/>
      <c r="X1623" s="388"/>
      <c r="Y1623" s="391"/>
      <c r="Z1623" s="393"/>
      <c r="AA1623" s="355" t="str">
        <f t="shared" si="1"/>
        <v/>
      </c>
      <c r="AB1623" s="391"/>
      <c r="AC1623" s="394" t="str">
        <f t="shared" si="2"/>
        <v/>
      </c>
      <c r="AD1623" s="389"/>
      <c r="AE1623" s="399"/>
      <c r="AF1623" s="395"/>
      <c r="AG1623" s="396" t="str">
        <f t="shared" si="3"/>
        <v/>
      </c>
      <c r="AH1623" s="396" t="str">
        <f t="shared" si="4"/>
        <v/>
      </c>
      <c r="AI1623" s="388"/>
      <c r="AJ1623" s="388"/>
      <c r="AK1623" s="397"/>
    </row>
    <row r="1624">
      <c r="A1624" s="398"/>
      <c r="B1624" s="386"/>
      <c r="C1624" s="387" t="str">
        <f>IF(A1624="","",IFERROR(IF(VLOOKUP(A1624,'1. Inbound Leads'!A:G,7,FALSE)=0,"",VLOOKUP(A1624,'1. Inbound Leads'!A:G,7,FALSE)),""))</f>
        <v/>
      </c>
      <c r="D1624" s="387" t="str">
        <f>IF(A1624="","",IFERROR(IF(VLOOKUP(A1624,'1. Inbound Leads'!A:L,12,FALSE)=0,"",VLOOKUP(A1624,'1. Inbound Leads'!A:L,12,FALSE)),""))</f>
        <v/>
      </c>
      <c r="E1624" s="388"/>
      <c r="F1624" s="389"/>
      <c r="G1624" s="387"/>
      <c r="H1624" s="387"/>
      <c r="I1624" s="387"/>
      <c r="J1624" s="387"/>
      <c r="K1624" s="387"/>
      <c r="L1624" s="387"/>
      <c r="M1624" s="388"/>
      <c r="N1624" s="388"/>
      <c r="O1624" s="390"/>
      <c r="P1624" s="391"/>
      <c r="Q1624" s="389"/>
      <c r="R1624" s="390"/>
      <c r="S1624" s="390"/>
      <c r="T1624" s="391"/>
      <c r="U1624" s="392"/>
      <c r="V1624" s="391"/>
      <c r="W1624" s="391"/>
      <c r="X1624" s="388"/>
      <c r="Y1624" s="391"/>
      <c r="Z1624" s="393"/>
      <c r="AA1624" s="355" t="str">
        <f t="shared" si="1"/>
        <v/>
      </c>
      <c r="AB1624" s="391"/>
      <c r="AC1624" s="394" t="str">
        <f t="shared" si="2"/>
        <v/>
      </c>
      <c r="AD1624" s="389"/>
      <c r="AE1624" s="399"/>
      <c r="AF1624" s="395"/>
      <c r="AG1624" s="396" t="str">
        <f t="shared" si="3"/>
        <v/>
      </c>
      <c r="AH1624" s="396" t="str">
        <f t="shared" si="4"/>
        <v/>
      </c>
      <c r="AI1624" s="388"/>
      <c r="AJ1624" s="388"/>
      <c r="AK1624" s="397"/>
    </row>
    <row r="1625">
      <c r="A1625" s="398"/>
      <c r="B1625" s="386"/>
      <c r="C1625" s="387" t="str">
        <f>IF(A1625="","",IFERROR(IF(VLOOKUP(A1625,'1. Inbound Leads'!A:G,7,FALSE)=0,"",VLOOKUP(A1625,'1. Inbound Leads'!A:G,7,FALSE)),""))</f>
        <v/>
      </c>
      <c r="D1625" s="387" t="str">
        <f>IF(A1625="","",IFERROR(IF(VLOOKUP(A1625,'1. Inbound Leads'!A:L,12,FALSE)=0,"",VLOOKUP(A1625,'1. Inbound Leads'!A:L,12,FALSE)),""))</f>
        <v/>
      </c>
      <c r="E1625" s="388"/>
      <c r="F1625" s="389"/>
      <c r="G1625" s="387"/>
      <c r="H1625" s="387"/>
      <c r="I1625" s="387"/>
      <c r="J1625" s="387"/>
      <c r="K1625" s="387"/>
      <c r="L1625" s="387"/>
      <c r="M1625" s="388"/>
      <c r="N1625" s="388"/>
      <c r="O1625" s="390"/>
      <c r="P1625" s="391"/>
      <c r="Q1625" s="389"/>
      <c r="R1625" s="390"/>
      <c r="S1625" s="390"/>
      <c r="T1625" s="391"/>
      <c r="U1625" s="392"/>
      <c r="V1625" s="391"/>
      <c r="W1625" s="391"/>
      <c r="X1625" s="388"/>
      <c r="Y1625" s="391"/>
      <c r="Z1625" s="393"/>
      <c r="AA1625" s="355" t="str">
        <f t="shared" si="1"/>
        <v/>
      </c>
      <c r="AB1625" s="391"/>
      <c r="AC1625" s="394" t="str">
        <f t="shared" si="2"/>
        <v/>
      </c>
      <c r="AD1625" s="389"/>
      <c r="AE1625" s="399"/>
      <c r="AF1625" s="395"/>
      <c r="AG1625" s="396" t="str">
        <f t="shared" si="3"/>
        <v/>
      </c>
      <c r="AH1625" s="396" t="str">
        <f t="shared" si="4"/>
        <v/>
      </c>
      <c r="AI1625" s="388"/>
      <c r="AJ1625" s="388"/>
      <c r="AK1625" s="397"/>
    </row>
    <row r="1626">
      <c r="A1626" s="398"/>
      <c r="B1626" s="386"/>
      <c r="C1626" s="387" t="str">
        <f>IF(A1626="","",IFERROR(IF(VLOOKUP(A1626,'1. Inbound Leads'!A:G,7,FALSE)=0,"",VLOOKUP(A1626,'1. Inbound Leads'!A:G,7,FALSE)),""))</f>
        <v/>
      </c>
      <c r="D1626" s="387" t="str">
        <f>IF(A1626="","",IFERROR(IF(VLOOKUP(A1626,'1. Inbound Leads'!A:L,12,FALSE)=0,"",VLOOKUP(A1626,'1. Inbound Leads'!A:L,12,FALSE)),""))</f>
        <v/>
      </c>
      <c r="E1626" s="388"/>
      <c r="F1626" s="389"/>
      <c r="G1626" s="387"/>
      <c r="H1626" s="387"/>
      <c r="I1626" s="387"/>
      <c r="J1626" s="387"/>
      <c r="K1626" s="387"/>
      <c r="L1626" s="387"/>
      <c r="M1626" s="388"/>
      <c r="N1626" s="388"/>
      <c r="O1626" s="390"/>
      <c r="P1626" s="391"/>
      <c r="Q1626" s="389"/>
      <c r="R1626" s="390"/>
      <c r="S1626" s="390"/>
      <c r="T1626" s="391"/>
      <c r="U1626" s="392"/>
      <c r="V1626" s="391"/>
      <c r="W1626" s="391"/>
      <c r="X1626" s="388"/>
      <c r="Y1626" s="391"/>
      <c r="Z1626" s="393"/>
      <c r="AA1626" s="355" t="str">
        <f t="shared" si="1"/>
        <v/>
      </c>
      <c r="AB1626" s="391"/>
      <c r="AC1626" s="394" t="str">
        <f t="shared" si="2"/>
        <v/>
      </c>
      <c r="AD1626" s="389"/>
      <c r="AE1626" s="399"/>
      <c r="AF1626" s="395"/>
      <c r="AG1626" s="396" t="str">
        <f t="shared" si="3"/>
        <v/>
      </c>
      <c r="AH1626" s="396" t="str">
        <f t="shared" si="4"/>
        <v/>
      </c>
      <c r="AI1626" s="388"/>
      <c r="AJ1626" s="388"/>
      <c r="AK1626" s="397"/>
    </row>
    <row r="1627">
      <c r="A1627" s="398"/>
      <c r="B1627" s="386"/>
      <c r="C1627" s="387" t="str">
        <f>IF(A1627="","",IFERROR(IF(VLOOKUP(A1627,'1. Inbound Leads'!A:G,7,FALSE)=0,"",VLOOKUP(A1627,'1. Inbound Leads'!A:G,7,FALSE)),""))</f>
        <v/>
      </c>
      <c r="D1627" s="387" t="str">
        <f>IF(A1627="","",IFERROR(IF(VLOOKUP(A1627,'1. Inbound Leads'!A:L,12,FALSE)=0,"",VLOOKUP(A1627,'1. Inbound Leads'!A:L,12,FALSE)),""))</f>
        <v/>
      </c>
      <c r="E1627" s="388"/>
      <c r="F1627" s="389"/>
      <c r="G1627" s="387"/>
      <c r="H1627" s="387"/>
      <c r="I1627" s="387"/>
      <c r="J1627" s="387"/>
      <c r="K1627" s="387"/>
      <c r="L1627" s="387"/>
      <c r="M1627" s="388"/>
      <c r="N1627" s="388"/>
      <c r="O1627" s="390"/>
      <c r="P1627" s="391"/>
      <c r="Q1627" s="389"/>
      <c r="R1627" s="390"/>
      <c r="S1627" s="390"/>
      <c r="T1627" s="391"/>
      <c r="U1627" s="392"/>
      <c r="V1627" s="391"/>
      <c r="W1627" s="391"/>
      <c r="X1627" s="388"/>
      <c r="Y1627" s="391"/>
      <c r="Z1627" s="393"/>
      <c r="AA1627" s="355" t="str">
        <f t="shared" si="1"/>
        <v/>
      </c>
      <c r="AB1627" s="391"/>
      <c r="AC1627" s="394" t="str">
        <f t="shared" si="2"/>
        <v/>
      </c>
      <c r="AD1627" s="389"/>
      <c r="AE1627" s="399"/>
      <c r="AF1627" s="395"/>
      <c r="AG1627" s="396" t="str">
        <f t="shared" si="3"/>
        <v/>
      </c>
      <c r="AH1627" s="396" t="str">
        <f t="shared" si="4"/>
        <v/>
      </c>
      <c r="AI1627" s="388"/>
      <c r="AJ1627" s="388"/>
      <c r="AK1627" s="397"/>
    </row>
    <row r="1628">
      <c r="A1628" s="398"/>
      <c r="B1628" s="386"/>
      <c r="C1628" s="387" t="str">
        <f>IF(A1628="","",IFERROR(IF(VLOOKUP(A1628,'1. Inbound Leads'!A:G,7,FALSE)=0,"",VLOOKUP(A1628,'1. Inbound Leads'!A:G,7,FALSE)),""))</f>
        <v/>
      </c>
      <c r="D1628" s="387" t="str">
        <f>IF(A1628="","",IFERROR(IF(VLOOKUP(A1628,'1. Inbound Leads'!A:L,12,FALSE)=0,"",VLOOKUP(A1628,'1. Inbound Leads'!A:L,12,FALSE)),""))</f>
        <v/>
      </c>
      <c r="E1628" s="388"/>
      <c r="F1628" s="389"/>
      <c r="G1628" s="387"/>
      <c r="H1628" s="387"/>
      <c r="I1628" s="387"/>
      <c r="J1628" s="387"/>
      <c r="K1628" s="387"/>
      <c r="L1628" s="387"/>
      <c r="M1628" s="388"/>
      <c r="N1628" s="388"/>
      <c r="O1628" s="390"/>
      <c r="P1628" s="391"/>
      <c r="Q1628" s="389"/>
      <c r="R1628" s="390"/>
      <c r="S1628" s="390"/>
      <c r="T1628" s="391"/>
      <c r="U1628" s="392"/>
      <c r="V1628" s="391"/>
      <c r="W1628" s="391"/>
      <c r="X1628" s="388"/>
      <c r="Y1628" s="391"/>
      <c r="Z1628" s="393"/>
      <c r="AA1628" s="355" t="str">
        <f t="shared" si="1"/>
        <v/>
      </c>
      <c r="AB1628" s="391"/>
      <c r="AC1628" s="394" t="str">
        <f t="shared" si="2"/>
        <v/>
      </c>
      <c r="AD1628" s="389"/>
      <c r="AE1628" s="399"/>
      <c r="AF1628" s="395"/>
      <c r="AG1628" s="396" t="str">
        <f t="shared" si="3"/>
        <v/>
      </c>
      <c r="AH1628" s="396" t="str">
        <f t="shared" si="4"/>
        <v/>
      </c>
      <c r="AI1628" s="388"/>
      <c r="AJ1628" s="388"/>
      <c r="AK1628" s="397"/>
    </row>
    <row r="1629">
      <c r="A1629" s="398"/>
      <c r="B1629" s="386"/>
      <c r="C1629" s="387" t="str">
        <f>IF(A1629="","",IFERROR(IF(VLOOKUP(A1629,'1. Inbound Leads'!A:G,7,FALSE)=0,"",VLOOKUP(A1629,'1. Inbound Leads'!A:G,7,FALSE)),""))</f>
        <v/>
      </c>
      <c r="D1629" s="387" t="str">
        <f>IF(A1629="","",IFERROR(IF(VLOOKUP(A1629,'1. Inbound Leads'!A:L,12,FALSE)=0,"",VLOOKUP(A1629,'1. Inbound Leads'!A:L,12,FALSE)),""))</f>
        <v/>
      </c>
      <c r="E1629" s="388"/>
      <c r="F1629" s="389"/>
      <c r="G1629" s="387"/>
      <c r="H1629" s="387"/>
      <c r="I1629" s="387"/>
      <c r="J1629" s="387"/>
      <c r="K1629" s="387"/>
      <c r="L1629" s="387"/>
      <c r="M1629" s="388"/>
      <c r="N1629" s="388"/>
      <c r="O1629" s="390"/>
      <c r="P1629" s="391"/>
      <c r="Q1629" s="389"/>
      <c r="R1629" s="390"/>
      <c r="S1629" s="390"/>
      <c r="T1629" s="391"/>
      <c r="U1629" s="392"/>
      <c r="V1629" s="391"/>
      <c r="W1629" s="391"/>
      <c r="X1629" s="388"/>
      <c r="Y1629" s="391"/>
      <c r="Z1629" s="393"/>
      <c r="AA1629" s="355" t="str">
        <f t="shared" si="1"/>
        <v/>
      </c>
      <c r="AB1629" s="391"/>
      <c r="AC1629" s="394" t="str">
        <f t="shared" si="2"/>
        <v/>
      </c>
      <c r="AD1629" s="389"/>
      <c r="AE1629" s="399"/>
      <c r="AF1629" s="395"/>
      <c r="AG1629" s="396" t="str">
        <f t="shared" si="3"/>
        <v/>
      </c>
      <c r="AH1629" s="396" t="str">
        <f t="shared" si="4"/>
        <v/>
      </c>
      <c r="AI1629" s="388"/>
      <c r="AJ1629" s="388"/>
      <c r="AK1629" s="397"/>
    </row>
    <row r="1630">
      <c r="A1630" s="398"/>
      <c r="B1630" s="386"/>
      <c r="C1630" s="387" t="str">
        <f>IF(A1630="","",IFERROR(IF(VLOOKUP(A1630,'1. Inbound Leads'!A:G,7,FALSE)=0,"",VLOOKUP(A1630,'1. Inbound Leads'!A:G,7,FALSE)),""))</f>
        <v/>
      </c>
      <c r="D1630" s="387" t="str">
        <f>IF(A1630="","",IFERROR(IF(VLOOKUP(A1630,'1. Inbound Leads'!A:L,12,FALSE)=0,"",VLOOKUP(A1630,'1. Inbound Leads'!A:L,12,FALSE)),""))</f>
        <v/>
      </c>
      <c r="E1630" s="388"/>
      <c r="F1630" s="389"/>
      <c r="G1630" s="387"/>
      <c r="H1630" s="387"/>
      <c r="I1630" s="387"/>
      <c r="J1630" s="387"/>
      <c r="K1630" s="387"/>
      <c r="L1630" s="387"/>
      <c r="M1630" s="388"/>
      <c r="N1630" s="388"/>
      <c r="O1630" s="390"/>
      <c r="P1630" s="391"/>
      <c r="Q1630" s="389"/>
      <c r="R1630" s="390"/>
      <c r="S1630" s="390"/>
      <c r="T1630" s="391"/>
      <c r="U1630" s="392"/>
      <c r="V1630" s="391"/>
      <c r="W1630" s="391"/>
      <c r="X1630" s="388"/>
      <c r="Y1630" s="391"/>
      <c r="Z1630" s="393"/>
      <c r="AA1630" s="355" t="str">
        <f t="shared" si="1"/>
        <v/>
      </c>
      <c r="AB1630" s="391"/>
      <c r="AC1630" s="394" t="str">
        <f t="shared" si="2"/>
        <v/>
      </c>
      <c r="AD1630" s="389"/>
      <c r="AE1630" s="399"/>
      <c r="AF1630" s="395"/>
      <c r="AG1630" s="396" t="str">
        <f t="shared" si="3"/>
        <v/>
      </c>
      <c r="AH1630" s="396" t="str">
        <f t="shared" si="4"/>
        <v/>
      </c>
      <c r="AI1630" s="388"/>
      <c r="AJ1630" s="388"/>
      <c r="AK1630" s="397"/>
    </row>
    <row r="1631">
      <c r="A1631" s="398"/>
      <c r="B1631" s="386"/>
      <c r="C1631" s="387" t="str">
        <f>IF(A1631="","",IFERROR(IF(VLOOKUP(A1631,'1. Inbound Leads'!A:G,7,FALSE)=0,"",VLOOKUP(A1631,'1. Inbound Leads'!A:G,7,FALSE)),""))</f>
        <v/>
      </c>
      <c r="D1631" s="387" t="str">
        <f>IF(A1631="","",IFERROR(IF(VLOOKUP(A1631,'1. Inbound Leads'!A:L,12,FALSE)=0,"",VLOOKUP(A1631,'1. Inbound Leads'!A:L,12,FALSE)),""))</f>
        <v/>
      </c>
      <c r="E1631" s="388"/>
      <c r="F1631" s="389"/>
      <c r="G1631" s="387"/>
      <c r="H1631" s="387"/>
      <c r="I1631" s="387"/>
      <c r="J1631" s="387"/>
      <c r="K1631" s="387"/>
      <c r="L1631" s="387"/>
      <c r="M1631" s="388"/>
      <c r="N1631" s="388"/>
      <c r="O1631" s="390"/>
      <c r="P1631" s="391"/>
      <c r="Q1631" s="389"/>
      <c r="R1631" s="390"/>
      <c r="S1631" s="390"/>
      <c r="T1631" s="391"/>
      <c r="U1631" s="392"/>
      <c r="V1631" s="391"/>
      <c r="W1631" s="391"/>
      <c r="X1631" s="388"/>
      <c r="Y1631" s="391"/>
      <c r="Z1631" s="393"/>
      <c r="AA1631" s="355" t="str">
        <f t="shared" si="1"/>
        <v/>
      </c>
      <c r="AB1631" s="391"/>
      <c r="AC1631" s="394" t="str">
        <f t="shared" si="2"/>
        <v/>
      </c>
      <c r="AD1631" s="389"/>
      <c r="AE1631" s="399"/>
      <c r="AF1631" s="395"/>
      <c r="AG1631" s="396" t="str">
        <f t="shared" si="3"/>
        <v/>
      </c>
      <c r="AH1631" s="396" t="str">
        <f t="shared" si="4"/>
        <v/>
      </c>
      <c r="AI1631" s="388"/>
      <c r="AJ1631" s="388"/>
      <c r="AK1631" s="397"/>
    </row>
    <row r="1632">
      <c r="A1632" s="398"/>
      <c r="B1632" s="386"/>
      <c r="C1632" s="387" t="str">
        <f>IF(A1632="","",IFERROR(IF(VLOOKUP(A1632,'1. Inbound Leads'!A:G,7,FALSE)=0,"",VLOOKUP(A1632,'1. Inbound Leads'!A:G,7,FALSE)),""))</f>
        <v/>
      </c>
      <c r="D1632" s="387" t="str">
        <f>IF(A1632="","",IFERROR(IF(VLOOKUP(A1632,'1. Inbound Leads'!A:L,12,FALSE)=0,"",VLOOKUP(A1632,'1. Inbound Leads'!A:L,12,FALSE)),""))</f>
        <v/>
      </c>
      <c r="E1632" s="388"/>
      <c r="F1632" s="389"/>
      <c r="G1632" s="387"/>
      <c r="H1632" s="387"/>
      <c r="I1632" s="387"/>
      <c r="J1632" s="387"/>
      <c r="K1632" s="387"/>
      <c r="L1632" s="387"/>
      <c r="M1632" s="388"/>
      <c r="N1632" s="388"/>
      <c r="O1632" s="390"/>
      <c r="P1632" s="391"/>
      <c r="Q1632" s="389"/>
      <c r="R1632" s="390"/>
      <c r="S1632" s="390"/>
      <c r="T1632" s="391"/>
      <c r="U1632" s="392"/>
      <c r="V1632" s="391"/>
      <c r="W1632" s="391"/>
      <c r="X1632" s="388"/>
      <c r="Y1632" s="391"/>
      <c r="Z1632" s="393"/>
      <c r="AA1632" s="355" t="str">
        <f t="shared" si="1"/>
        <v/>
      </c>
      <c r="AB1632" s="391"/>
      <c r="AC1632" s="394" t="str">
        <f t="shared" si="2"/>
        <v/>
      </c>
      <c r="AD1632" s="389"/>
      <c r="AE1632" s="399"/>
      <c r="AF1632" s="395"/>
      <c r="AG1632" s="396" t="str">
        <f t="shared" si="3"/>
        <v/>
      </c>
      <c r="AH1632" s="396" t="str">
        <f t="shared" si="4"/>
        <v/>
      </c>
      <c r="AI1632" s="388"/>
      <c r="AJ1632" s="388"/>
      <c r="AK1632" s="397"/>
    </row>
    <row r="1633">
      <c r="A1633" s="398"/>
      <c r="B1633" s="386"/>
      <c r="C1633" s="387" t="str">
        <f>IF(A1633="","",IFERROR(IF(VLOOKUP(A1633,'1. Inbound Leads'!A:G,7,FALSE)=0,"",VLOOKUP(A1633,'1. Inbound Leads'!A:G,7,FALSE)),""))</f>
        <v/>
      </c>
      <c r="D1633" s="387" t="str">
        <f>IF(A1633="","",IFERROR(IF(VLOOKUP(A1633,'1. Inbound Leads'!A:L,12,FALSE)=0,"",VLOOKUP(A1633,'1. Inbound Leads'!A:L,12,FALSE)),""))</f>
        <v/>
      </c>
      <c r="E1633" s="388"/>
      <c r="F1633" s="389"/>
      <c r="G1633" s="387"/>
      <c r="H1633" s="387"/>
      <c r="I1633" s="387"/>
      <c r="J1633" s="387"/>
      <c r="K1633" s="387"/>
      <c r="L1633" s="387"/>
      <c r="M1633" s="388"/>
      <c r="N1633" s="388"/>
      <c r="O1633" s="390"/>
      <c r="P1633" s="391"/>
      <c r="Q1633" s="389"/>
      <c r="R1633" s="390"/>
      <c r="S1633" s="390"/>
      <c r="T1633" s="391"/>
      <c r="U1633" s="392"/>
      <c r="V1633" s="391"/>
      <c r="W1633" s="391"/>
      <c r="X1633" s="388"/>
      <c r="Y1633" s="391"/>
      <c r="Z1633" s="393"/>
      <c r="AA1633" s="355" t="str">
        <f t="shared" si="1"/>
        <v/>
      </c>
      <c r="AB1633" s="391"/>
      <c r="AC1633" s="394" t="str">
        <f t="shared" si="2"/>
        <v/>
      </c>
      <c r="AD1633" s="389"/>
      <c r="AE1633" s="399"/>
      <c r="AF1633" s="395"/>
      <c r="AG1633" s="396" t="str">
        <f t="shared" si="3"/>
        <v/>
      </c>
      <c r="AH1633" s="396" t="str">
        <f t="shared" si="4"/>
        <v/>
      </c>
      <c r="AI1633" s="388"/>
      <c r="AJ1633" s="388"/>
      <c r="AK1633" s="397"/>
    </row>
    <row r="1634">
      <c r="A1634" s="398"/>
      <c r="B1634" s="386"/>
      <c r="C1634" s="387" t="str">
        <f>IF(A1634="","",IFERROR(IF(VLOOKUP(A1634,'1. Inbound Leads'!A:G,7,FALSE)=0,"",VLOOKUP(A1634,'1. Inbound Leads'!A:G,7,FALSE)),""))</f>
        <v/>
      </c>
      <c r="D1634" s="387" t="str">
        <f>IF(A1634="","",IFERROR(IF(VLOOKUP(A1634,'1. Inbound Leads'!A:L,12,FALSE)=0,"",VLOOKUP(A1634,'1. Inbound Leads'!A:L,12,FALSE)),""))</f>
        <v/>
      </c>
      <c r="E1634" s="388"/>
      <c r="F1634" s="389"/>
      <c r="G1634" s="387"/>
      <c r="H1634" s="387"/>
      <c r="I1634" s="387"/>
      <c r="J1634" s="387"/>
      <c r="K1634" s="387"/>
      <c r="L1634" s="387"/>
      <c r="M1634" s="388"/>
      <c r="N1634" s="388"/>
      <c r="O1634" s="390"/>
      <c r="P1634" s="391"/>
      <c r="Q1634" s="389"/>
      <c r="R1634" s="390"/>
      <c r="S1634" s="390"/>
      <c r="T1634" s="391"/>
      <c r="U1634" s="392"/>
      <c r="V1634" s="391"/>
      <c r="W1634" s="391"/>
      <c r="X1634" s="388"/>
      <c r="Y1634" s="391"/>
      <c r="Z1634" s="393"/>
      <c r="AA1634" s="355" t="str">
        <f t="shared" si="1"/>
        <v/>
      </c>
      <c r="AB1634" s="391"/>
      <c r="AC1634" s="394" t="str">
        <f t="shared" si="2"/>
        <v/>
      </c>
      <c r="AD1634" s="389"/>
      <c r="AE1634" s="399"/>
      <c r="AF1634" s="395"/>
      <c r="AG1634" s="396" t="str">
        <f t="shared" si="3"/>
        <v/>
      </c>
      <c r="AH1634" s="396" t="str">
        <f t="shared" si="4"/>
        <v/>
      </c>
      <c r="AI1634" s="388"/>
      <c r="AJ1634" s="388"/>
      <c r="AK1634" s="397"/>
    </row>
    <row r="1635">
      <c r="A1635" s="398"/>
      <c r="B1635" s="386"/>
      <c r="C1635" s="387" t="str">
        <f>IF(A1635="","",IFERROR(IF(VLOOKUP(A1635,'1. Inbound Leads'!A:G,7,FALSE)=0,"",VLOOKUP(A1635,'1. Inbound Leads'!A:G,7,FALSE)),""))</f>
        <v/>
      </c>
      <c r="D1635" s="387" t="str">
        <f>IF(A1635="","",IFERROR(IF(VLOOKUP(A1635,'1. Inbound Leads'!A:L,12,FALSE)=0,"",VLOOKUP(A1635,'1. Inbound Leads'!A:L,12,FALSE)),""))</f>
        <v/>
      </c>
      <c r="E1635" s="388"/>
      <c r="F1635" s="389"/>
      <c r="G1635" s="387"/>
      <c r="H1635" s="387"/>
      <c r="I1635" s="387"/>
      <c r="J1635" s="387"/>
      <c r="K1635" s="387"/>
      <c r="L1635" s="387"/>
      <c r="M1635" s="388"/>
      <c r="N1635" s="388"/>
      <c r="O1635" s="390"/>
      <c r="P1635" s="391"/>
      <c r="Q1635" s="389"/>
      <c r="R1635" s="390"/>
      <c r="S1635" s="390"/>
      <c r="T1635" s="391"/>
      <c r="U1635" s="392"/>
      <c r="V1635" s="391"/>
      <c r="W1635" s="391"/>
      <c r="X1635" s="388"/>
      <c r="Y1635" s="391"/>
      <c r="Z1635" s="393"/>
      <c r="AA1635" s="355" t="str">
        <f t="shared" si="1"/>
        <v/>
      </c>
      <c r="AB1635" s="391"/>
      <c r="AC1635" s="394" t="str">
        <f t="shared" si="2"/>
        <v/>
      </c>
      <c r="AD1635" s="389"/>
      <c r="AE1635" s="399"/>
      <c r="AF1635" s="395"/>
      <c r="AG1635" s="396" t="str">
        <f t="shared" si="3"/>
        <v/>
      </c>
      <c r="AH1635" s="396" t="str">
        <f t="shared" si="4"/>
        <v/>
      </c>
      <c r="AI1635" s="388"/>
      <c r="AJ1635" s="388"/>
      <c r="AK1635" s="397"/>
    </row>
    <row r="1636">
      <c r="A1636" s="398"/>
      <c r="B1636" s="386"/>
      <c r="C1636" s="387" t="str">
        <f>IF(A1636="","",IFERROR(IF(VLOOKUP(A1636,'1. Inbound Leads'!A:G,7,FALSE)=0,"",VLOOKUP(A1636,'1. Inbound Leads'!A:G,7,FALSE)),""))</f>
        <v/>
      </c>
      <c r="D1636" s="387" t="str">
        <f>IF(A1636="","",IFERROR(IF(VLOOKUP(A1636,'1. Inbound Leads'!A:L,12,FALSE)=0,"",VLOOKUP(A1636,'1. Inbound Leads'!A:L,12,FALSE)),""))</f>
        <v/>
      </c>
      <c r="E1636" s="388"/>
      <c r="F1636" s="389"/>
      <c r="G1636" s="387"/>
      <c r="H1636" s="387"/>
      <c r="I1636" s="387"/>
      <c r="J1636" s="387"/>
      <c r="K1636" s="387"/>
      <c r="L1636" s="387"/>
      <c r="M1636" s="388"/>
      <c r="N1636" s="388"/>
      <c r="O1636" s="390"/>
      <c r="P1636" s="391"/>
      <c r="Q1636" s="389"/>
      <c r="R1636" s="390"/>
      <c r="S1636" s="390"/>
      <c r="T1636" s="391"/>
      <c r="U1636" s="392"/>
      <c r="V1636" s="391"/>
      <c r="W1636" s="391"/>
      <c r="X1636" s="388"/>
      <c r="Y1636" s="391"/>
      <c r="Z1636" s="393"/>
      <c r="AA1636" s="355" t="str">
        <f t="shared" si="1"/>
        <v/>
      </c>
      <c r="AB1636" s="391"/>
      <c r="AC1636" s="394" t="str">
        <f t="shared" si="2"/>
        <v/>
      </c>
      <c r="AD1636" s="389"/>
      <c r="AE1636" s="399"/>
      <c r="AF1636" s="395"/>
      <c r="AG1636" s="396" t="str">
        <f t="shared" si="3"/>
        <v/>
      </c>
      <c r="AH1636" s="396" t="str">
        <f t="shared" si="4"/>
        <v/>
      </c>
      <c r="AI1636" s="388"/>
      <c r="AJ1636" s="388"/>
      <c r="AK1636" s="397"/>
    </row>
    <row r="1637">
      <c r="A1637" s="398"/>
      <c r="B1637" s="386"/>
      <c r="C1637" s="387" t="str">
        <f>IF(A1637="","",IFERROR(IF(VLOOKUP(A1637,'1. Inbound Leads'!A:G,7,FALSE)=0,"",VLOOKUP(A1637,'1. Inbound Leads'!A:G,7,FALSE)),""))</f>
        <v/>
      </c>
      <c r="D1637" s="387" t="str">
        <f>IF(A1637="","",IFERROR(IF(VLOOKUP(A1637,'1. Inbound Leads'!A:L,12,FALSE)=0,"",VLOOKUP(A1637,'1. Inbound Leads'!A:L,12,FALSE)),""))</f>
        <v/>
      </c>
      <c r="E1637" s="388"/>
      <c r="F1637" s="389"/>
      <c r="G1637" s="387"/>
      <c r="H1637" s="387"/>
      <c r="I1637" s="387"/>
      <c r="J1637" s="387"/>
      <c r="K1637" s="387"/>
      <c r="L1637" s="387"/>
      <c r="M1637" s="388"/>
      <c r="N1637" s="388"/>
      <c r="O1637" s="390"/>
      <c r="P1637" s="391"/>
      <c r="Q1637" s="389"/>
      <c r="R1637" s="390"/>
      <c r="S1637" s="390"/>
      <c r="T1637" s="391"/>
      <c r="U1637" s="392"/>
      <c r="V1637" s="391"/>
      <c r="W1637" s="391"/>
      <c r="X1637" s="388"/>
      <c r="Y1637" s="391"/>
      <c r="Z1637" s="393"/>
      <c r="AA1637" s="355" t="str">
        <f t="shared" si="1"/>
        <v/>
      </c>
      <c r="AB1637" s="391"/>
      <c r="AC1637" s="394" t="str">
        <f t="shared" si="2"/>
        <v/>
      </c>
      <c r="AD1637" s="389"/>
      <c r="AE1637" s="399"/>
      <c r="AF1637" s="395"/>
      <c r="AG1637" s="396" t="str">
        <f t="shared" si="3"/>
        <v/>
      </c>
      <c r="AH1637" s="396" t="str">
        <f t="shared" si="4"/>
        <v/>
      </c>
      <c r="AI1637" s="388"/>
      <c r="AJ1637" s="388"/>
      <c r="AK1637" s="397"/>
    </row>
    <row r="1638">
      <c r="A1638" s="398"/>
      <c r="B1638" s="386"/>
      <c r="C1638" s="387" t="str">
        <f>IF(A1638="","",IFERROR(IF(VLOOKUP(A1638,'1. Inbound Leads'!A:G,7,FALSE)=0,"",VLOOKUP(A1638,'1. Inbound Leads'!A:G,7,FALSE)),""))</f>
        <v/>
      </c>
      <c r="D1638" s="387" t="str">
        <f>IF(A1638="","",IFERROR(IF(VLOOKUP(A1638,'1. Inbound Leads'!A:L,12,FALSE)=0,"",VLOOKUP(A1638,'1. Inbound Leads'!A:L,12,FALSE)),""))</f>
        <v/>
      </c>
      <c r="E1638" s="388"/>
      <c r="F1638" s="389"/>
      <c r="G1638" s="387"/>
      <c r="H1638" s="387"/>
      <c r="I1638" s="387"/>
      <c r="J1638" s="387"/>
      <c r="K1638" s="387"/>
      <c r="L1638" s="387"/>
      <c r="M1638" s="388"/>
      <c r="N1638" s="388"/>
      <c r="O1638" s="390"/>
      <c r="P1638" s="391"/>
      <c r="Q1638" s="389"/>
      <c r="R1638" s="390"/>
      <c r="S1638" s="390"/>
      <c r="T1638" s="391"/>
      <c r="U1638" s="392"/>
      <c r="V1638" s="391"/>
      <c r="W1638" s="391"/>
      <c r="X1638" s="388"/>
      <c r="Y1638" s="391"/>
      <c r="Z1638" s="393"/>
      <c r="AA1638" s="355" t="str">
        <f t="shared" si="1"/>
        <v/>
      </c>
      <c r="AB1638" s="391"/>
      <c r="AC1638" s="394" t="str">
        <f t="shared" si="2"/>
        <v/>
      </c>
      <c r="AD1638" s="389"/>
      <c r="AE1638" s="399"/>
      <c r="AF1638" s="395"/>
      <c r="AG1638" s="396" t="str">
        <f t="shared" si="3"/>
        <v/>
      </c>
      <c r="AH1638" s="396" t="str">
        <f t="shared" si="4"/>
        <v/>
      </c>
      <c r="AI1638" s="388"/>
      <c r="AJ1638" s="388"/>
      <c r="AK1638" s="397"/>
    </row>
    <row r="1639">
      <c r="A1639" s="398"/>
      <c r="B1639" s="386"/>
      <c r="C1639" s="387" t="str">
        <f>IF(A1639="","",IFERROR(IF(VLOOKUP(A1639,'1. Inbound Leads'!A:G,7,FALSE)=0,"",VLOOKUP(A1639,'1. Inbound Leads'!A:G,7,FALSE)),""))</f>
        <v/>
      </c>
      <c r="D1639" s="387" t="str">
        <f>IF(A1639="","",IFERROR(IF(VLOOKUP(A1639,'1. Inbound Leads'!A:L,12,FALSE)=0,"",VLOOKUP(A1639,'1. Inbound Leads'!A:L,12,FALSE)),""))</f>
        <v/>
      </c>
      <c r="E1639" s="388"/>
      <c r="F1639" s="389"/>
      <c r="G1639" s="387"/>
      <c r="H1639" s="387"/>
      <c r="I1639" s="387"/>
      <c r="J1639" s="387"/>
      <c r="K1639" s="387"/>
      <c r="L1639" s="387"/>
      <c r="M1639" s="388"/>
      <c r="N1639" s="388"/>
      <c r="O1639" s="390"/>
      <c r="P1639" s="391"/>
      <c r="Q1639" s="389"/>
      <c r="R1639" s="390"/>
      <c r="S1639" s="390"/>
      <c r="T1639" s="391"/>
      <c r="U1639" s="392"/>
      <c r="V1639" s="391"/>
      <c r="W1639" s="391"/>
      <c r="X1639" s="388"/>
      <c r="Y1639" s="391"/>
      <c r="Z1639" s="393"/>
      <c r="AA1639" s="355" t="str">
        <f t="shared" si="1"/>
        <v/>
      </c>
      <c r="AB1639" s="391"/>
      <c r="AC1639" s="394" t="str">
        <f t="shared" si="2"/>
        <v/>
      </c>
      <c r="AD1639" s="389"/>
      <c r="AE1639" s="399"/>
      <c r="AF1639" s="395"/>
      <c r="AG1639" s="396" t="str">
        <f t="shared" si="3"/>
        <v/>
      </c>
      <c r="AH1639" s="396" t="str">
        <f t="shared" si="4"/>
        <v/>
      </c>
      <c r="AI1639" s="388"/>
      <c r="AJ1639" s="388"/>
      <c r="AK1639" s="397"/>
    </row>
    <row r="1640">
      <c r="A1640" s="398"/>
      <c r="B1640" s="386"/>
      <c r="C1640" s="387" t="str">
        <f>IF(A1640="","",IFERROR(IF(VLOOKUP(A1640,'1. Inbound Leads'!A:G,7,FALSE)=0,"",VLOOKUP(A1640,'1. Inbound Leads'!A:G,7,FALSE)),""))</f>
        <v/>
      </c>
      <c r="D1640" s="387" t="str">
        <f>IF(A1640="","",IFERROR(IF(VLOOKUP(A1640,'1. Inbound Leads'!A:L,12,FALSE)=0,"",VLOOKUP(A1640,'1. Inbound Leads'!A:L,12,FALSE)),""))</f>
        <v/>
      </c>
      <c r="E1640" s="388"/>
      <c r="F1640" s="389"/>
      <c r="G1640" s="387"/>
      <c r="H1640" s="387"/>
      <c r="I1640" s="387"/>
      <c r="J1640" s="387"/>
      <c r="K1640" s="387"/>
      <c r="L1640" s="387"/>
      <c r="M1640" s="388"/>
      <c r="N1640" s="388"/>
      <c r="O1640" s="390"/>
      <c r="P1640" s="391"/>
      <c r="Q1640" s="389"/>
      <c r="R1640" s="390"/>
      <c r="S1640" s="390"/>
      <c r="T1640" s="391"/>
      <c r="U1640" s="392"/>
      <c r="V1640" s="391"/>
      <c r="W1640" s="391"/>
      <c r="X1640" s="388"/>
      <c r="Y1640" s="391"/>
      <c r="Z1640" s="393"/>
      <c r="AA1640" s="355" t="str">
        <f t="shared" si="1"/>
        <v/>
      </c>
      <c r="AB1640" s="391"/>
      <c r="AC1640" s="394" t="str">
        <f t="shared" si="2"/>
        <v/>
      </c>
      <c r="AD1640" s="389"/>
      <c r="AE1640" s="399"/>
      <c r="AF1640" s="395"/>
      <c r="AG1640" s="396" t="str">
        <f t="shared" si="3"/>
        <v/>
      </c>
      <c r="AH1640" s="396" t="str">
        <f t="shared" si="4"/>
        <v/>
      </c>
      <c r="AI1640" s="388"/>
      <c r="AJ1640" s="388"/>
      <c r="AK1640" s="397"/>
    </row>
    <row r="1641">
      <c r="A1641" s="398"/>
      <c r="B1641" s="386"/>
      <c r="C1641" s="387" t="str">
        <f>IF(A1641="","",IFERROR(IF(VLOOKUP(A1641,'1. Inbound Leads'!A:G,7,FALSE)=0,"",VLOOKUP(A1641,'1. Inbound Leads'!A:G,7,FALSE)),""))</f>
        <v/>
      </c>
      <c r="D1641" s="387" t="str">
        <f>IF(A1641="","",IFERROR(IF(VLOOKUP(A1641,'1. Inbound Leads'!A:L,12,FALSE)=0,"",VLOOKUP(A1641,'1. Inbound Leads'!A:L,12,FALSE)),""))</f>
        <v/>
      </c>
      <c r="E1641" s="388"/>
      <c r="F1641" s="389"/>
      <c r="G1641" s="387"/>
      <c r="H1641" s="387"/>
      <c r="I1641" s="387"/>
      <c r="J1641" s="387"/>
      <c r="K1641" s="387"/>
      <c r="L1641" s="387"/>
      <c r="M1641" s="388"/>
      <c r="N1641" s="388"/>
      <c r="O1641" s="390"/>
      <c r="P1641" s="391"/>
      <c r="Q1641" s="389"/>
      <c r="R1641" s="390"/>
      <c r="S1641" s="390"/>
      <c r="T1641" s="391"/>
      <c r="U1641" s="392"/>
      <c r="V1641" s="391"/>
      <c r="W1641" s="391"/>
      <c r="X1641" s="388"/>
      <c r="Y1641" s="391"/>
      <c r="Z1641" s="393"/>
      <c r="AA1641" s="355" t="str">
        <f t="shared" si="1"/>
        <v/>
      </c>
      <c r="AB1641" s="391"/>
      <c r="AC1641" s="394" t="str">
        <f t="shared" si="2"/>
        <v/>
      </c>
      <c r="AD1641" s="389"/>
      <c r="AE1641" s="399"/>
      <c r="AF1641" s="395"/>
      <c r="AG1641" s="396" t="str">
        <f t="shared" si="3"/>
        <v/>
      </c>
      <c r="AH1641" s="396" t="str">
        <f t="shared" si="4"/>
        <v/>
      </c>
      <c r="AI1641" s="388"/>
      <c r="AJ1641" s="388"/>
      <c r="AK1641" s="397"/>
    </row>
    <row r="1642">
      <c r="A1642" s="398"/>
      <c r="B1642" s="386"/>
      <c r="C1642" s="387" t="str">
        <f>IF(A1642="","",IFERROR(IF(VLOOKUP(A1642,'1. Inbound Leads'!A:G,7,FALSE)=0,"",VLOOKUP(A1642,'1. Inbound Leads'!A:G,7,FALSE)),""))</f>
        <v/>
      </c>
      <c r="D1642" s="387" t="str">
        <f>IF(A1642="","",IFERROR(IF(VLOOKUP(A1642,'1. Inbound Leads'!A:L,12,FALSE)=0,"",VLOOKUP(A1642,'1. Inbound Leads'!A:L,12,FALSE)),""))</f>
        <v/>
      </c>
      <c r="E1642" s="388"/>
      <c r="F1642" s="389"/>
      <c r="G1642" s="387"/>
      <c r="H1642" s="387"/>
      <c r="I1642" s="387"/>
      <c r="J1642" s="387"/>
      <c r="K1642" s="387"/>
      <c r="L1642" s="387"/>
      <c r="M1642" s="388"/>
      <c r="N1642" s="388"/>
      <c r="O1642" s="390"/>
      <c r="P1642" s="391"/>
      <c r="Q1642" s="389"/>
      <c r="R1642" s="390"/>
      <c r="S1642" s="390"/>
      <c r="T1642" s="391"/>
      <c r="U1642" s="392"/>
      <c r="V1642" s="391"/>
      <c r="W1642" s="391"/>
      <c r="X1642" s="388"/>
      <c r="Y1642" s="391"/>
      <c r="Z1642" s="393"/>
      <c r="AA1642" s="355" t="str">
        <f t="shared" si="1"/>
        <v/>
      </c>
      <c r="AB1642" s="391"/>
      <c r="AC1642" s="394" t="str">
        <f t="shared" si="2"/>
        <v/>
      </c>
      <c r="AD1642" s="389"/>
      <c r="AE1642" s="399"/>
      <c r="AF1642" s="395"/>
      <c r="AG1642" s="396" t="str">
        <f t="shared" si="3"/>
        <v/>
      </c>
      <c r="AH1642" s="396" t="str">
        <f t="shared" si="4"/>
        <v/>
      </c>
      <c r="AI1642" s="388"/>
      <c r="AJ1642" s="388"/>
      <c r="AK1642" s="397"/>
    </row>
    <row r="1643">
      <c r="A1643" s="398"/>
      <c r="B1643" s="386"/>
      <c r="C1643" s="387" t="str">
        <f>IF(A1643="","",IFERROR(IF(VLOOKUP(A1643,'1. Inbound Leads'!A:G,7,FALSE)=0,"",VLOOKUP(A1643,'1. Inbound Leads'!A:G,7,FALSE)),""))</f>
        <v/>
      </c>
      <c r="D1643" s="387" t="str">
        <f>IF(A1643="","",IFERROR(IF(VLOOKUP(A1643,'1. Inbound Leads'!A:L,12,FALSE)=0,"",VLOOKUP(A1643,'1. Inbound Leads'!A:L,12,FALSE)),""))</f>
        <v/>
      </c>
      <c r="E1643" s="388"/>
      <c r="F1643" s="389"/>
      <c r="G1643" s="387"/>
      <c r="H1643" s="387"/>
      <c r="I1643" s="387"/>
      <c r="J1643" s="387"/>
      <c r="K1643" s="387"/>
      <c r="L1643" s="387"/>
      <c r="M1643" s="388"/>
      <c r="N1643" s="388"/>
      <c r="O1643" s="390"/>
      <c r="P1643" s="391"/>
      <c r="Q1643" s="389"/>
      <c r="R1643" s="390"/>
      <c r="S1643" s="390"/>
      <c r="T1643" s="391"/>
      <c r="U1643" s="392"/>
      <c r="V1643" s="391"/>
      <c r="W1643" s="391"/>
      <c r="X1643" s="388"/>
      <c r="Y1643" s="391"/>
      <c r="Z1643" s="393"/>
      <c r="AA1643" s="355" t="str">
        <f t="shared" si="1"/>
        <v/>
      </c>
      <c r="AB1643" s="391"/>
      <c r="AC1643" s="394" t="str">
        <f t="shared" si="2"/>
        <v/>
      </c>
      <c r="AD1643" s="389"/>
      <c r="AE1643" s="399"/>
      <c r="AF1643" s="395"/>
      <c r="AG1643" s="396" t="str">
        <f t="shared" si="3"/>
        <v/>
      </c>
      <c r="AH1643" s="396" t="str">
        <f t="shared" si="4"/>
        <v/>
      </c>
      <c r="AI1643" s="388"/>
      <c r="AJ1643" s="388"/>
      <c r="AK1643" s="397"/>
    </row>
    <row r="1644">
      <c r="A1644" s="398"/>
      <c r="B1644" s="386"/>
      <c r="C1644" s="387" t="str">
        <f>IF(A1644="","",IFERROR(IF(VLOOKUP(A1644,'1. Inbound Leads'!A:G,7,FALSE)=0,"",VLOOKUP(A1644,'1. Inbound Leads'!A:G,7,FALSE)),""))</f>
        <v/>
      </c>
      <c r="D1644" s="387" t="str">
        <f>IF(A1644="","",IFERROR(IF(VLOOKUP(A1644,'1. Inbound Leads'!A:L,12,FALSE)=0,"",VLOOKUP(A1644,'1. Inbound Leads'!A:L,12,FALSE)),""))</f>
        <v/>
      </c>
      <c r="E1644" s="388"/>
      <c r="F1644" s="389"/>
      <c r="G1644" s="387"/>
      <c r="H1644" s="387"/>
      <c r="I1644" s="387"/>
      <c r="J1644" s="387"/>
      <c r="K1644" s="387"/>
      <c r="L1644" s="387"/>
      <c r="M1644" s="388"/>
      <c r="N1644" s="388"/>
      <c r="O1644" s="390"/>
      <c r="P1644" s="391"/>
      <c r="Q1644" s="389"/>
      <c r="R1644" s="390"/>
      <c r="S1644" s="390"/>
      <c r="T1644" s="391"/>
      <c r="U1644" s="392"/>
      <c r="V1644" s="391"/>
      <c r="W1644" s="391"/>
      <c r="X1644" s="388"/>
      <c r="Y1644" s="391"/>
      <c r="Z1644" s="393"/>
      <c r="AA1644" s="355" t="str">
        <f t="shared" si="1"/>
        <v/>
      </c>
      <c r="AB1644" s="391"/>
      <c r="AC1644" s="394" t="str">
        <f t="shared" si="2"/>
        <v/>
      </c>
      <c r="AD1644" s="389"/>
      <c r="AE1644" s="399"/>
      <c r="AF1644" s="395"/>
      <c r="AG1644" s="396" t="str">
        <f t="shared" si="3"/>
        <v/>
      </c>
      <c r="AH1644" s="396" t="str">
        <f t="shared" si="4"/>
        <v/>
      </c>
      <c r="AI1644" s="388"/>
      <c r="AJ1644" s="388"/>
      <c r="AK1644" s="397"/>
    </row>
    <row r="1645">
      <c r="A1645" s="398"/>
      <c r="B1645" s="386"/>
      <c r="C1645" s="387" t="str">
        <f>IF(A1645="","",IFERROR(IF(VLOOKUP(A1645,'1. Inbound Leads'!A:G,7,FALSE)=0,"",VLOOKUP(A1645,'1. Inbound Leads'!A:G,7,FALSE)),""))</f>
        <v/>
      </c>
      <c r="D1645" s="387" t="str">
        <f>IF(A1645="","",IFERROR(IF(VLOOKUP(A1645,'1. Inbound Leads'!A:L,12,FALSE)=0,"",VLOOKUP(A1645,'1. Inbound Leads'!A:L,12,FALSE)),""))</f>
        <v/>
      </c>
      <c r="E1645" s="388"/>
      <c r="F1645" s="389"/>
      <c r="G1645" s="387"/>
      <c r="H1645" s="387"/>
      <c r="I1645" s="387"/>
      <c r="J1645" s="387"/>
      <c r="K1645" s="387"/>
      <c r="L1645" s="387"/>
      <c r="M1645" s="388"/>
      <c r="N1645" s="388"/>
      <c r="O1645" s="390"/>
      <c r="P1645" s="391"/>
      <c r="Q1645" s="389"/>
      <c r="R1645" s="390"/>
      <c r="S1645" s="390"/>
      <c r="T1645" s="391"/>
      <c r="U1645" s="392"/>
      <c r="V1645" s="391"/>
      <c r="W1645" s="391"/>
      <c r="X1645" s="388"/>
      <c r="Y1645" s="391"/>
      <c r="Z1645" s="393"/>
      <c r="AA1645" s="355" t="str">
        <f t="shared" si="1"/>
        <v/>
      </c>
      <c r="AB1645" s="391"/>
      <c r="AC1645" s="394" t="str">
        <f t="shared" si="2"/>
        <v/>
      </c>
      <c r="AD1645" s="389"/>
      <c r="AE1645" s="399"/>
      <c r="AF1645" s="395"/>
      <c r="AG1645" s="396" t="str">
        <f t="shared" si="3"/>
        <v/>
      </c>
      <c r="AH1645" s="396" t="str">
        <f t="shared" si="4"/>
        <v/>
      </c>
      <c r="AI1645" s="388"/>
      <c r="AJ1645" s="388"/>
      <c r="AK1645" s="397"/>
    </row>
    <row r="1646">
      <c r="A1646" s="398"/>
      <c r="B1646" s="386"/>
      <c r="C1646" s="387" t="str">
        <f>IF(A1646="","",IFERROR(IF(VLOOKUP(A1646,'1. Inbound Leads'!A:G,7,FALSE)=0,"",VLOOKUP(A1646,'1. Inbound Leads'!A:G,7,FALSE)),""))</f>
        <v/>
      </c>
      <c r="D1646" s="387" t="str">
        <f>IF(A1646="","",IFERROR(IF(VLOOKUP(A1646,'1. Inbound Leads'!A:L,12,FALSE)=0,"",VLOOKUP(A1646,'1. Inbound Leads'!A:L,12,FALSE)),""))</f>
        <v/>
      </c>
      <c r="E1646" s="388"/>
      <c r="F1646" s="389"/>
      <c r="G1646" s="387"/>
      <c r="H1646" s="387"/>
      <c r="I1646" s="387"/>
      <c r="J1646" s="387"/>
      <c r="K1646" s="387"/>
      <c r="L1646" s="387"/>
      <c r="M1646" s="388"/>
      <c r="N1646" s="388"/>
      <c r="O1646" s="390"/>
      <c r="P1646" s="391"/>
      <c r="Q1646" s="389"/>
      <c r="R1646" s="390"/>
      <c r="S1646" s="390"/>
      <c r="T1646" s="391"/>
      <c r="U1646" s="392"/>
      <c r="V1646" s="391"/>
      <c r="W1646" s="391"/>
      <c r="X1646" s="388"/>
      <c r="Y1646" s="391"/>
      <c r="Z1646" s="393"/>
      <c r="AA1646" s="355" t="str">
        <f t="shared" si="1"/>
        <v/>
      </c>
      <c r="AB1646" s="391"/>
      <c r="AC1646" s="394" t="str">
        <f t="shared" si="2"/>
        <v/>
      </c>
      <c r="AD1646" s="389"/>
      <c r="AE1646" s="399"/>
      <c r="AF1646" s="395"/>
      <c r="AG1646" s="396" t="str">
        <f t="shared" si="3"/>
        <v/>
      </c>
      <c r="AH1646" s="396" t="str">
        <f t="shared" si="4"/>
        <v/>
      </c>
      <c r="AI1646" s="388"/>
      <c r="AJ1646" s="388"/>
      <c r="AK1646" s="397"/>
    </row>
    <row r="1647">
      <c r="A1647" s="398"/>
      <c r="B1647" s="386"/>
      <c r="C1647" s="387" t="str">
        <f>IF(A1647="","",IFERROR(IF(VLOOKUP(A1647,'1. Inbound Leads'!A:G,7,FALSE)=0,"",VLOOKUP(A1647,'1. Inbound Leads'!A:G,7,FALSE)),""))</f>
        <v/>
      </c>
      <c r="D1647" s="387" t="str">
        <f>IF(A1647="","",IFERROR(IF(VLOOKUP(A1647,'1. Inbound Leads'!A:L,12,FALSE)=0,"",VLOOKUP(A1647,'1. Inbound Leads'!A:L,12,FALSE)),""))</f>
        <v/>
      </c>
      <c r="E1647" s="388"/>
      <c r="F1647" s="389"/>
      <c r="G1647" s="387"/>
      <c r="H1647" s="387"/>
      <c r="I1647" s="387"/>
      <c r="J1647" s="387"/>
      <c r="K1647" s="387"/>
      <c r="L1647" s="387"/>
      <c r="M1647" s="388"/>
      <c r="N1647" s="388"/>
      <c r="O1647" s="390"/>
      <c r="P1647" s="391"/>
      <c r="Q1647" s="389"/>
      <c r="R1647" s="390"/>
      <c r="S1647" s="390"/>
      <c r="T1647" s="391"/>
      <c r="U1647" s="392"/>
      <c r="V1647" s="391"/>
      <c r="W1647" s="391"/>
      <c r="X1647" s="388"/>
      <c r="Y1647" s="391"/>
      <c r="Z1647" s="393"/>
      <c r="AA1647" s="355" t="str">
        <f t="shared" si="1"/>
        <v/>
      </c>
      <c r="AB1647" s="391"/>
      <c r="AC1647" s="394" t="str">
        <f t="shared" si="2"/>
        <v/>
      </c>
      <c r="AD1647" s="389"/>
      <c r="AE1647" s="399"/>
      <c r="AF1647" s="395"/>
      <c r="AG1647" s="396" t="str">
        <f t="shared" si="3"/>
        <v/>
      </c>
      <c r="AH1647" s="396" t="str">
        <f t="shared" si="4"/>
        <v/>
      </c>
      <c r="AI1647" s="388"/>
      <c r="AJ1647" s="388"/>
      <c r="AK1647" s="397"/>
    </row>
    <row r="1648">
      <c r="A1648" s="398"/>
      <c r="B1648" s="386"/>
      <c r="C1648" s="387" t="str">
        <f>IF(A1648="","",IFERROR(IF(VLOOKUP(A1648,'1. Inbound Leads'!A:G,7,FALSE)=0,"",VLOOKUP(A1648,'1. Inbound Leads'!A:G,7,FALSE)),""))</f>
        <v/>
      </c>
      <c r="D1648" s="387" t="str">
        <f>IF(A1648="","",IFERROR(IF(VLOOKUP(A1648,'1. Inbound Leads'!A:L,12,FALSE)=0,"",VLOOKUP(A1648,'1. Inbound Leads'!A:L,12,FALSE)),""))</f>
        <v/>
      </c>
      <c r="E1648" s="388"/>
      <c r="F1648" s="389"/>
      <c r="G1648" s="387"/>
      <c r="H1648" s="387"/>
      <c r="I1648" s="387"/>
      <c r="J1648" s="387"/>
      <c r="K1648" s="387"/>
      <c r="L1648" s="387"/>
      <c r="M1648" s="388"/>
      <c r="N1648" s="388"/>
      <c r="O1648" s="390"/>
      <c r="P1648" s="391"/>
      <c r="Q1648" s="389"/>
      <c r="R1648" s="390"/>
      <c r="S1648" s="390"/>
      <c r="T1648" s="391"/>
      <c r="U1648" s="392"/>
      <c r="V1648" s="391"/>
      <c r="W1648" s="391"/>
      <c r="X1648" s="388"/>
      <c r="Y1648" s="391"/>
      <c r="Z1648" s="393"/>
      <c r="AA1648" s="355" t="str">
        <f t="shared" si="1"/>
        <v/>
      </c>
      <c r="AB1648" s="391"/>
      <c r="AC1648" s="394" t="str">
        <f t="shared" si="2"/>
        <v/>
      </c>
      <c r="AD1648" s="389"/>
      <c r="AE1648" s="399"/>
      <c r="AF1648" s="395"/>
      <c r="AG1648" s="396" t="str">
        <f t="shared" si="3"/>
        <v/>
      </c>
      <c r="AH1648" s="396" t="str">
        <f t="shared" si="4"/>
        <v/>
      </c>
      <c r="AI1648" s="388"/>
      <c r="AJ1648" s="388"/>
      <c r="AK1648" s="397"/>
    </row>
    <row r="1649">
      <c r="A1649" s="398"/>
      <c r="B1649" s="386"/>
      <c r="C1649" s="387" t="str">
        <f>IF(A1649="","",IFERROR(IF(VLOOKUP(A1649,'1. Inbound Leads'!A:G,7,FALSE)=0,"",VLOOKUP(A1649,'1. Inbound Leads'!A:G,7,FALSE)),""))</f>
        <v/>
      </c>
      <c r="D1649" s="387" t="str">
        <f>IF(A1649="","",IFERROR(IF(VLOOKUP(A1649,'1. Inbound Leads'!A:L,12,FALSE)=0,"",VLOOKUP(A1649,'1. Inbound Leads'!A:L,12,FALSE)),""))</f>
        <v/>
      </c>
      <c r="E1649" s="388"/>
      <c r="F1649" s="389"/>
      <c r="G1649" s="387"/>
      <c r="H1649" s="387"/>
      <c r="I1649" s="387"/>
      <c r="J1649" s="387"/>
      <c r="K1649" s="387"/>
      <c r="L1649" s="387"/>
      <c r="M1649" s="388"/>
      <c r="N1649" s="388"/>
      <c r="O1649" s="390"/>
      <c r="P1649" s="391"/>
      <c r="Q1649" s="389"/>
      <c r="R1649" s="390"/>
      <c r="S1649" s="390"/>
      <c r="T1649" s="391"/>
      <c r="U1649" s="392"/>
      <c r="V1649" s="391"/>
      <c r="W1649" s="391"/>
      <c r="X1649" s="388"/>
      <c r="Y1649" s="391"/>
      <c r="Z1649" s="393"/>
      <c r="AA1649" s="355" t="str">
        <f t="shared" si="1"/>
        <v/>
      </c>
      <c r="AB1649" s="391"/>
      <c r="AC1649" s="394" t="str">
        <f t="shared" si="2"/>
        <v/>
      </c>
      <c r="AD1649" s="389"/>
      <c r="AE1649" s="399"/>
      <c r="AF1649" s="395"/>
      <c r="AG1649" s="396" t="str">
        <f t="shared" si="3"/>
        <v/>
      </c>
      <c r="AH1649" s="396" t="str">
        <f t="shared" si="4"/>
        <v/>
      </c>
      <c r="AI1649" s="388"/>
      <c r="AJ1649" s="388"/>
      <c r="AK1649" s="397"/>
    </row>
    <row r="1650">
      <c r="A1650" s="398"/>
      <c r="B1650" s="386"/>
      <c r="C1650" s="387" t="str">
        <f>IF(A1650="","",IFERROR(IF(VLOOKUP(A1650,'1. Inbound Leads'!A:G,7,FALSE)=0,"",VLOOKUP(A1650,'1. Inbound Leads'!A:G,7,FALSE)),""))</f>
        <v/>
      </c>
      <c r="D1650" s="387" t="str">
        <f>IF(A1650="","",IFERROR(IF(VLOOKUP(A1650,'1. Inbound Leads'!A:L,12,FALSE)=0,"",VLOOKUP(A1650,'1. Inbound Leads'!A:L,12,FALSE)),""))</f>
        <v/>
      </c>
      <c r="E1650" s="388"/>
      <c r="F1650" s="389"/>
      <c r="G1650" s="387"/>
      <c r="H1650" s="387"/>
      <c r="I1650" s="387"/>
      <c r="J1650" s="387"/>
      <c r="K1650" s="387"/>
      <c r="L1650" s="387"/>
      <c r="M1650" s="388"/>
      <c r="N1650" s="388"/>
      <c r="O1650" s="390"/>
      <c r="P1650" s="391"/>
      <c r="Q1650" s="389"/>
      <c r="R1650" s="390"/>
      <c r="S1650" s="390"/>
      <c r="T1650" s="391"/>
      <c r="U1650" s="392"/>
      <c r="V1650" s="391"/>
      <c r="W1650" s="391"/>
      <c r="X1650" s="388"/>
      <c r="Y1650" s="391"/>
      <c r="Z1650" s="393"/>
      <c r="AA1650" s="355" t="str">
        <f t="shared" si="1"/>
        <v/>
      </c>
      <c r="AB1650" s="391"/>
      <c r="AC1650" s="394" t="str">
        <f t="shared" si="2"/>
        <v/>
      </c>
      <c r="AD1650" s="389"/>
      <c r="AE1650" s="399"/>
      <c r="AF1650" s="395"/>
      <c r="AG1650" s="396" t="str">
        <f t="shared" si="3"/>
        <v/>
      </c>
      <c r="AH1650" s="396" t="str">
        <f t="shared" si="4"/>
        <v/>
      </c>
      <c r="AI1650" s="388"/>
      <c r="AJ1650" s="388"/>
      <c r="AK1650" s="397"/>
    </row>
    <row r="1651">
      <c r="A1651" s="398"/>
      <c r="B1651" s="386"/>
      <c r="C1651" s="387" t="str">
        <f>IF(A1651="","",IFERROR(IF(VLOOKUP(A1651,'1. Inbound Leads'!A:G,7,FALSE)=0,"",VLOOKUP(A1651,'1. Inbound Leads'!A:G,7,FALSE)),""))</f>
        <v/>
      </c>
      <c r="D1651" s="387" t="str">
        <f>IF(A1651="","",IFERROR(IF(VLOOKUP(A1651,'1. Inbound Leads'!A:L,12,FALSE)=0,"",VLOOKUP(A1651,'1. Inbound Leads'!A:L,12,FALSE)),""))</f>
        <v/>
      </c>
      <c r="E1651" s="388"/>
      <c r="F1651" s="389"/>
      <c r="G1651" s="387"/>
      <c r="H1651" s="387"/>
      <c r="I1651" s="387"/>
      <c r="J1651" s="387"/>
      <c r="K1651" s="387"/>
      <c r="L1651" s="387"/>
      <c r="M1651" s="388"/>
      <c r="N1651" s="388"/>
      <c r="O1651" s="390"/>
      <c r="P1651" s="391"/>
      <c r="Q1651" s="389"/>
      <c r="R1651" s="390"/>
      <c r="S1651" s="390"/>
      <c r="T1651" s="391"/>
      <c r="U1651" s="392"/>
      <c r="V1651" s="391"/>
      <c r="W1651" s="391"/>
      <c r="X1651" s="388"/>
      <c r="Y1651" s="391"/>
      <c r="Z1651" s="393"/>
      <c r="AA1651" s="355" t="str">
        <f t="shared" si="1"/>
        <v/>
      </c>
      <c r="AB1651" s="391"/>
      <c r="AC1651" s="394" t="str">
        <f t="shared" si="2"/>
        <v/>
      </c>
      <c r="AD1651" s="389"/>
      <c r="AE1651" s="399"/>
      <c r="AF1651" s="395"/>
      <c r="AG1651" s="396" t="str">
        <f t="shared" si="3"/>
        <v/>
      </c>
      <c r="AH1651" s="396" t="str">
        <f t="shared" si="4"/>
        <v/>
      </c>
      <c r="AI1651" s="388"/>
      <c r="AJ1651" s="388"/>
      <c r="AK1651" s="397"/>
    </row>
    <row r="1652">
      <c r="A1652" s="398"/>
      <c r="B1652" s="386"/>
      <c r="C1652" s="387" t="str">
        <f>IF(A1652="","",IFERROR(IF(VLOOKUP(A1652,'1. Inbound Leads'!A:G,7,FALSE)=0,"",VLOOKUP(A1652,'1. Inbound Leads'!A:G,7,FALSE)),""))</f>
        <v/>
      </c>
      <c r="D1652" s="387" t="str">
        <f>IF(A1652="","",IFERROR(IF(VLOOKUP(A1652,'1. Inbound Leads'!A:L,12,FALSE)=0,"",VLOOKUP(A1652,'1. Inbound Leads'!A:L,12,FALSE)),""))</f>
        <v/>
      </c>
      <c r="E1652" s="388"/>
      <c r="F1652" s="389"/>
      <c r="G1652" s="387"/>
      <c r="H1652" s="387"/>
      <c r="I1652" s="387"/>
      <c r="J1652" s="387"/>
      <c r="K1652" s="387"/>
      <c r="L1652" s="387"/>
      <c r="M1652" s="388"/>
      <c r="N1652" s="388"/>
      <c r="O1652" s="390"/>
      <c r="P1652" s="391"/>
      <c r="Q1652" s="389"/>
      <c r="R1652" s="390"/>
      <c r="S1652" s="390"/>
      <c r="T1652" s="391"/>
      <c r="U1652" s="392"/>
      <c r="V1652" s="391"/>
      <c r="W1652" s="391"/>
      <c r="X1652" s="388"/>
      <c r="Y1652" s="391"/>
      <c r="Z1652" s="393"/>
      <c r="AA1652" s="355" t="str">
        <f t="shared" si="1"/>
        <v/>
      </c>
      <c r="AB1652" s="391"/>
      <c r="AC1652" s="394" t="str">
        <f t="shared" si="2"/>
        <v/>
      </c>
      <c r="AD1652" s="389"/>
      <c r="AE1652" s="399"/>
      <c r="AF1652" s="395"/>
      <c r="AG1652" s="396" t="str">
        <f t="shared" si="3"/>
        <v/>
      </c>
      <c r="AH1652" s="396" t="str">
        <f t="shared" si="4"/>
        <v/>
      </c>
      <c r="AI1652" s="388"/>
      <c r="AJ1652" s="388"/>
      <c r="AK1652" s="397"/>
    </row>
    <row r="1653">
      <c r="A1653" s="398"/>
      <c r="B1653" s="386"/>
      <c r="C1653" s="387" t="str">
        <f>IF(A1653="","",IFERROR(IF(VLOOKUP(A1653,'1. Inbound Leads'!A:G,7,FALSE)=0,"",VLOOKUP(A1653,'1. Inbound Leads'!A:G,7,FALSE)),""))</f>
        <v/>
      </c>
      <c r="D1653" s="387" t="str">
        <f>IF(A1653="","",IFERROR(IF(VLOOKUP(A1653,'1. Inbound Leads'!A:L,12,FALSE)=0,"",VLOOKUP(A1653,'1. Inbound Leads'!A:L,12,FALSE)),""))</f>
        <v/>
      </c>
      <c r="E1653" s="388"/>
      <c r="F1653" s="389"/>
      <c r="G1653" s="387"/>
      <c r="H1653" s="387"/>
      <c r="I1653" s="387"/>
      <c r="J1653" s="387"/>
      <c r="K1653" s="387"/>
      <c r="L1653" s="387"/>
      <c r="M1653" s="388"/>
      <c r="N1653" s="388"/>
      <c r="O1653" s="390"/>
      <c r="P1653" s="391"/>
      <c r="Q1653" s="389"/>
      <c r="R1653" s="390"/>
      <c r="S1653" s="390"/>
      <c r="T1653" s="391"/>
      <c r="U1653" s="392"/>
      <c r="V1653" s="391"/>
      <c r="W1653" s="391"/>
      <c r="X1653" s="388"/>
      <c r="Y1653" s="391"/>
      <c r="Z1653" s="393"/>
      <c r="AA1653" s="355" t="str">
        <f t="shared" si="1"/>
        <v/>
      </c>
      <c r="AB1653" s="391"/>
      <c r="AC1653" s="394" t="str">
        <f t="shared" si="2"/>
        <v/>
      </c>
      <c r="AD1653" s="389"/>
      <c r="AE1653" s="399"/>
      <c r="AF1653" s="395"/>
      <c r="AG1653" s="396" t="str">
        <f t="shared" si="3"/>
        <v/>
      </c>
      <c r="AH1653" s="396" t="str">
        <f t="shared" si="4"/>
        <v/>
      </c>
      <c r="AI1653" s="388"/>
      <c r="AJ1653" s="388"/>
      <c r="AK1653" s="397"/>
    </row>
    <row r="1654">
      <c r="A1654" s="398"/>
      <c r="B1654" s="386"/>
      <c r="C1654" s="387" t="str">
        <f>IF(A1654="","",IFERROR(IF(VLOOKUP(A1654,'1. Inbound Leads'!A:G,7,FALSE)=0,"",VLOOKUP(A1654,'1. Inbound Leads'!A:G,7,FALSE)),""))</f>
        <v/>
      </c>
      <c r="D1654" s="387" t="str">
        <f>IF(A1654="","",IFERROR(IF(VLOOKUP(A1654,'1. Inbound Leads'!A:L,12,FALSE)=0,"",VLOOKUP(A1654,'1. Inbound Leads'!A:L,12,FALSE)),""))</f>
        <v/>
      </c>
      <c r="E1654" s="388"/>
      <c r="F1654" s="389"/>
      <c r="G1654" s="387"/>
      <c r="H1654" s="387"/>
      <c r="I1654" s="387"/>
      <c r="J1654" s="387"/>
      <c r="K1654" s="387"/>
      <c r="L1654" s="387"/>
      <c r="M1654" s="388"/>
      <c r="N1654" s="388"/>
      <c r="O1654" s="390"/>
      <c r="P1654" s="391"/>
      <c r="Q1654" s="389"/>
      <c r="R1654" s="390"/>
      <c r="S1654" s="390"/>
      <c r="T1654" s="391"/>
      <c r="U1654" s="392"/>
      <c r="V1654" s="391"/>
      <c r="W1654" s="391"/>
      <c r="X1654" s="388"/>
      <c r="Y1654" s="391"/>
      <c r="Z1654" s="393"/>
      <c r="AA1654" s="355" t="str">
        <f t="shared" si="1"/>
        <v/>
      </c>
      <c r="AB1654" s="391"/>
      <c r="AC1654" s="394" t="str">
        <f t="shared" si="2"/>
        <v/>
      </c>
      <c r="AD1654" s="389"/>
      <c r="AE1654" s="399"/>
      <c r="AF1654" s="395"/>
      <c r="AG1654" s="396" t="str">
        <f t="shared" si="3"/>
        <v/>
      </c>
      <c r="AH1654" s="396" t="str">
        <f t="shared" si="4"/>
        <v/>
      </c>
      <c r="AI1654" s="388"/>
      <c r="AJ1654" s="388"/>
      <c r="AK1654" s="397"/>
    </row>
    <row r="1655">
      <c r="A1655" s="398"/>
      <c r="B1655" s="386"/>
      <c r="C1655" s="387" t="str">
        <f>IF(A1655="","",IFERROR(IF(VLOOKUP(A1655,'1. Inbound Leads'!A:G,7,FALSE)=0,"",VLOOKUP(A1655,'1. Inbound Leads'!A:G,7,FALSE)),""))</f>
        <v/>
      </c>
      <c r="D1655" s="387" t="str">
        <f>IF(A1655="","",IFERROR(IF(VLOOKUP(A1655,'1. Inbound Leads'!A:L,12,FALSE)=0,"",VLOOKUP(A1655,'1. Inbound Leads'!A:L,12,FALSE)),""))</f>
        <v/>
      </c>
      <c r="E1655" s="388"/>
      <c r="F1655" s="389"/>
      <c r="G1655" s="387"/>
      <c r="H1655" s="387"/>
      <c r="I1655" s="387"/>
      <c r="J1655" s="387"/>
      <c r="K1655" s="387"/>
      <c r="L1655" s="387"/>
      <c r="M1655" s="388"/>
      <c r="N1655" s="388"/>
      <c r="O1655" s="390"/>
      <c r="P1655" s="391"/>
      <c r="Q1655" s="389"/>
      <c r="R1655" s="390"/>
      <c r="S1655" s="390"/>
      <c r="T1655" s="391"/>
      <c r="U1655" s="392"/>
      <c r="V1655" s="391"/>
      <c r="W1655" s="391"/>
      <c r="X1655" s="388"/>
      <c r="Y1655" s="391"/>
      <c r="Z1655" s="393"/>
      <c r="AA1655" s="355" t="str">
        <f t="shared" si="1"/>
        <v/>
      </c>
      <c r="AB1655" s="391"/>
      <c r="AC1655" s="394" t="str">
        <f t="shared" si="2"/>
        <v/>
      </c>
      <c r="AD1655" s="389"/>
      <c r="AE1655" s="399"/>
      <c r="AF1655" s="395"/>
      <c r="AG1655" s="396" t="str">
        <f t="shared" si="3"/>
        <v/>
      </c>
      <c r="AH1655" s="396" t="str">
        <f t="shared" si="4"/>
        <v/>
      </c>
      <c r="AI1655" s="388"/>
      <c r="AJ1655" s="388"/>
      <c r="AK1655" s="397"/>
    </row>
    <row r="1656">
      <c r="A1656" s="398"/>
      <c r="B1656" s="386"/>
      <c r="C1656" s="387" t="str">
        <f>IF(A1656="","",IFERROR(IF(VLOOKUP(A1656,'1. Inbound Leads'!A:G,7,FALSE)=0,"",VLOOKUP(A1656,'1. Inbound Leads'!A:G,7,FALSE)),""))</f>
        <v/>
      </c>
      <c r="D1656" s="387" t="str">
        <f>IF(A1656="","",IFERROR(IF(VLOOKUP(A1656,'1. Inbound Leads'!A:L,12,FALSE)=0,"",VLOOKUP(A1656,'1. Inbound Leads'!A:L,12,FALSE)),""))</f>
        <v/>
      </c>
      <c r="E1656" s="388"/>
      <c r="F1656" s="389"/>
      <c r="G1656" s="387"/>
      <c r="H1656" s="387"/>
      <c r="I1656" s="387"/>
      <c r="J1656" s="387"/>
      <c r="K1656" s="387"/>
      <c r="L1656" s="387"/>
      <c r="M1656" s="388"/>
      <c r="N1656" s="388"/>
      <c r="O1656" s="390"/>
      <c r="P1656" s="391"/>
      <c r="Q1656" s="389"/>
      <c r="R1656" s="390"/>
      <c r="S1656" s="390"/>
      <c r="T1656" s="391"/>
      <c r="U1656" s="392"/>
      <c r="V1656" s="391"/>
      <c r="W1656" s="391"/>
      <c r="X1656" s="388"/>
      <c r="Y1656" s="391"/>
      <c r="Z1656" s="393"/>
      <c r="AA1656" s="355" t="str">
        <f t="shared" si="1"/>
        <v/>
      </c>
      <c r="AB1656" s="391"/>
      <c r="AC1656" s="394" t="str">
        <f t="shared" si="2"/>
        <v/>
      </c>
      <c r="AD1656" s="389"/>
      <c r="AE1656" s="399"/>
      <c r="AF1656" s="395"/>
      <c r="AG1656" s="396" t="str">
        <f t="shared" si="3"/>
        <v/>
      </c>
      <c r="AH1656" s="396" t="str">
        <f t="shared" si="4"/>
        <v/>
      </c>
      <c r="AI1656" s="388"/>
      <c r="AJ1656" s="388"/>
      <c r="AK1656" s="397"/>
    </row>
    <row r="1657">
      <c r="A1657" s="398"/>
      <c r="B1657" s="386"/>
      <c r="C1657" s="387" t="str">
        <f>IF(A1657="","",IFERROR(IF(VLOOKUP(A1657,'1. Inbound Leads'!A:G,7,FALSE)=0,"",VLOOKUP(A1657,'1. Inbound Leads'!A:G,7,FALSE)),""))</f>
        <v/>
      </c>
      <c r="D1657" s="387" t="str">
        <f>IF(A1657="","",IFERROR(IF(VLOOKUP(A1657,'1. Inbound Leads'!A:L,12,FALSE)=0,"",VLOOKUP(A1657,'1. Inbound Leads'!A:L,12,FALSE)),""))</f>
        <v/>
      </c>
      <c r="E1657" s="388"/>
      <c r="F1657" s="389"/>
      <c r="G1657" s="387"/>
      <c r="H1657" s="387"/>
      <c r="I1657" s="387"/>
      <c r="J1657" s="387"/>
      <c r="K1657" s="387"/>
      <c r="L1657" s="387"/>
      <c r="M1657" s="388"/>
      <c r="N1657" s="388"/>
      <c r="O1657" s="390"/>
      <c r="P1657" s="391"/>
      <c r="Q1657" s="389"/>
      <c r="R1657" s="390"/>
      <c r="S1657" s="390"/>
      <c r="T1657" s="391"/>
      <c r="U1657" s="392"/>
      <c r="V1657" s="391"/>
      <c r="W1657" s="391"/>
      <c r="X1657" s="388"/>
      <c r="Y1657" s="391"/>
      <c r="Z1657" s="393"/>
      <c r="AA1657" s="355" t="str">
        <f t="shared" si="1"/>
        <v/>
      </c>
      <c r="AB1657" s="391"/>
      <c r="AC1657" s="394" t="str">
        <f t="shared" si="2"/>
        <v/>
      </c>
      <c r="AD1657" s="389"/>
      <c r="AE1657" s="399"/>
      <c r="AF1657" s="395"/>
      <c r="AG1657" s="396" t="str">
        <f t="shared" si="3"/>
        <v/>
      </c>
      <c r="AH1657" s="396" t="str">
        <f t="shared" si="4"/>
        <v/>
      </c>
      <c r="AI1657" s="388"/>
      <c r="AJ1657" s="388"/>
      <c r="AK1657" s="397"/>
    </row>
    <row r="1658">
      <c r="A1658" s="398"/>
      <c r="B1658" s="386"/>
      <c r="C1658" s="387" t="str">
        <f>IF(A1658="","",IFERROR(IF(VLOOKUP(A1658,'1. Inbound Leads'!A:G,7,FALSE)=0,"",VLOOKUP(A1658,'1. Inbound Leads'!A:G,7,FALSE)),""))</f>
        <v/>
      </c>
      <c r="D1658" s="387" t="str">
        <f>IF(A1658="","",IFERROR(IF(VLOOKUP(A1658,'1. Inbound Leads'!A:L,12,FALSE)=0,"",VLOOKUP(A1658,'1. Inbound Leads'!A:L,12,FALSE)),""))</f>
        <v/>
      </c>
      <c r="E1658" s="388"/>
      <c r="F1658" s="389"/>
      <c r="G1658" s="387"/>
      <c r="H1658" s="387"/>
      <c r="I1658" s="387"/>
      <c r="J1658" s="387"/>
      <c r="K1658" s="387"/>
      <c r="L1658" s="387"/>
      <c r="M1658" s="388"/>
      <c r="N1658" s="388"/>
      <c r="O1658" s="390"/>
      <c r="P1658" s="391"/>
      <c r="Q1658" s="389"/>
      <c r="R1658" s="390"/>
      <c r="S1658" s="390"/>
      <c r="T1658" s="391"/>
      <c r="U1658" s="392"/>
      <c r="V1658" s="391"/>
      <c r="W1658" s="391"/>
      <c r="X1658" s="388"/>
      <c r="Y1658" s="391"/>
      <c r="Z1658" s="393"/>
      <c r="AA1658" s="355" t="str">
        <f t="shared" si="1"/>
        <v/>
      </c>
      <c r="AB1658" s="391"/>
      <c r="AC1658" s="394" t="str">
        <f t="shared" si="2"/>
        <v/>
      </c>
      <c r="AD1658" s="389"/>
      <c r="AE1658" s="399"/>
      <c r="AF1658" s="395"/>
      <c r="AG1658" s="396" t="str">
        <f t="shared" si="3"/>
        <v/>
      </c>
      <c r="AH1658" s="396" t="str">
        <f t="shared" si="4"/>
        <v/>
      </c>
      <c r="AI1658" s="388"/>
      <c r="AJ1658" s="388"/>
      <c r="AK1658" s="397"/>
    </row>
    <row r="1659">
      <c r="A1659" s="398"/>
      <c r="B1659" s="386"/>
      <c r="C1659" s="387" t="str">
        <f>IF(A1659="","",IFERROR(IF(VLOOKUP(A1659,'1. Inbound Leads'!A:G,7,FALSE)=0,"",VLOOKUP(A1659,'1. Inbound Leads'!A:G,7,FALSE)),""))</f>
        <v/>
      </c>
      <c r="D1659" s="387" t="str">
        <f>IF(A1659="","",IFERROR(IF(VLOOKUP(A1659,'1. Inbound Leads'!A:L,12,FALSE)=0,"",VLOOKUP(A1659,'1. Inbound Leads'!A:L,12,FALSE)),""))</f>
        <v/>
      </c>
      <c r="E1659" s="388"/>
      <c r="F1659" s="389"/>
      <c r="G1659" s="387"/>
      <c r="H1659" s="387"/>
      <c r="I1659" s="387"/>
      <c r="J1659" s="387"/>
      <c r="K1659" s="387"/>
      <c r="L1659" s="387"/>
      <c r="M1659" s="388"/>
      <c r="N1659" s="388"/>
      <c r="O1659" s="390"/>
      <c r="P1659" s="391"/>
      <c r="Q1659" s="389"/>
      <c r="R1659" s="390"/>
      <c r="S1659" s="390"/>
      <c r="T1659" s="391"/>
      <c r="U1659" s="392"/>
      <c r="V1659" s="391"/>
      <c r="W1659" s="391"/>
      <c r="X1659" s="388"/>
      <c r="Y1659" s="391"/>
      <c r="Z1659" s="393"/>
      <c r="AA1659" s="355" t="str">
        <f t="shared" si="1"/>
        <v/>
      </c>
      <c r="AB1659" s="391"/>
      <c r="AC1659" s="394" t="str">
        <f t="shared" si="2"/>
        <v/>
      </c>
      <c r="AD1659" s="389"/>
      <c r="AE1659" s="399"/>
      <c r="AF1659" s="395"/>
      <c r="AG1659" s="396" t="str">
        <f t="shared" si="3"/>
        <v/>
      </c>
      <c r="AH1659" s="396" t="str">
        <f t="shared" si="4"/>
        <v/>
      </c>
      <c r="AI1659" s="388"/>
      <c r="AJ1659" s="388"/>
      <c r="AK1659" s="397"/>
    </row>
    <row r="1660">
      <c r="A1660" s="398"/>
      <c r="B1660" s="386"/>
      <c r="C1660" s="387" t="str">
        <f>IF(A1660="","",IFERROR(IF(VLOOKUP(A1660,'1. Inbound Leads'!A:G,7,FALSE)=0,"",VLOOKUP(A1660,'1. Inbound Leads'!A:G,7,FALSE)),""))</f>
        <v/>
      </c>
      <c r="D1660" s="387" t="str">
        <f>IF(A1660="","",IFERROR(IF(VLOOKUP(A1660,'1. Inbound Leads'!A:L,12,FALSE)=0,"",VLOOKUP(A1660,'1. Inbound Leads'!A:L,12,FALSE)),""))</f>
        <v/>
      </c>
      <c r="E1660" s="388"/>
      <c r="F1660" s="389"/>
      <c r="G1660" s="387"/>
      <c r="H1660" s="387"/>
      <c r="I1660" s="387"/>
      <c r="J1660" s="387"/>
      <c r="K1660" s="387"/>
      <c r="L1660" s="387"/>
      <c r="M1660" s="388"/>
      <c r="N1660" s="388"/>
      <c r="O1660" s="390"/>
      <c r="P1660" s="391"/>
      <c r="Q1660" s="389"/>
      <c r="R1660" s="390"/>
      <c r="S1660" s="390"/>
      <c r="T1660" s="391"/>
      <c r="U1660" s="392"/>
      <c r="V1660" s="391"/>
      <c r="W1660" s="391"/>
      <c r="X1660" s="388"/>
      <c r="Y1660" s="391"/>
      <c r="Z1660" s="393"/>
      <c r="AA1660" s="355" t="str">
        <f t="shared" si="1"/>
        <v/>
      </c>
      <c r="AB1660" s="391"/>
      <c r="AC1660" s="394" t="str">
        <f t="shared" si="2"/>
        <v/>
      </c>
      <c r="AD1660" s="389"/>
      <c r="AE1660" s="399"/>
      <c r="AF1660" s="395"/>
      <c r="AG1660" s="396" t="str">
        <f t="shared" si="3"/>
        <v/>
      </c>
      <c r="AH1660" s="396" t="str">
        <f t="shared" si="4"/>
        <v/>
      </c>
      <c r="AI1660" s="388"/>
      <c r="AJ1660" s="388"/>
      <c r="AK1660" s="397"/>
    </row>
    <row r="1661">
      <c r="A1661" s="398"/>
      <c r="B1661" s="386"/>
      <c r="C1661" s="387" t="str">
        <f>IF(A1661="","",IFERROR(IF(VLOOKUP(A1661,'1. Inbound Leads'!A:G,7,FALSE)=0,"",VLOOKUP(A1661,'1. Inbound Leads'!A:G,7,FALSE)),""))</f>
        <v/>
      </c>
      <c r="D1661" s="387" t="str">
        <f>IF(A1661="","",IFERROR(IF(VLOOKUP(A1661,'1. Inbound Leads'!A:L,12,FALSE)=0,"",VLOOKUP(A1661,'1. Inbound Leads'!A:L,12,FALSE)),""))</f>
        <v/>
      </c>
      <c r="E1661" s="388"/>
      <c r="F1661" s="389"/>
      <c r="G1661" s="387"/>
      <c r="H1661" s="387"/>
      <c r="I1661" s="387"/>
      <c r="J1661" s="387"/>
      <c r="K1661" s="387"/>
      <c r="L1661" s="387"/>
      <c r="M1661" s="388"/>
      <c r="N1661" s="388"/>
      <c r="O1661" s="390"/>
      <c r="P1661" s="391"/>
      <c r="Q1661" s="389"/>
      <c r="R1661" s="390"/>
      <c r="S1661" s="390"/>
      <c r="T1661" s="391"/>
      <c r="U1661" s="392"/>
      <c r="V1661" s="391"/>
      <c r="W1661" s="391"/>
      <c r="X1661" s="388"/>
      <c r="Y1661" s="391"/>
      <c r="Z1661" s="393"/>
      <c r="AA1661" s="355" t="str">
        <f t="shared" si="1"/>
        <v/>
      </c>
      <c r="AB1661" s="391"/>
      <c r="AC1661" s="394" t="str">
        <f t="shared" si="2"/>
        <v/>
      </c>
      <c r="AD1661" s="389"/>
      <c r="AE1661" s="399"/>
      <c r="AF1661" s="395"/>
      <c r="AG1661" s="396" t="str">
        <f t="shared" si="3"/>
        <v/>
      </c>
      <c r="AH1661" s="396" t="str">
        <f t="shared" si="4"/>
        <v/>
      </c>
      <c r="AI1661" s="388"/>
      <c r="AJ1661" s="388"/>
      <c r="AK1661" s="397"/>
    </row>
    <row r="1662">
      <c r="A1662" s="398"/>
      <c r="B1662" s="386"/>
      <c r="C1662" s="387" t="str">
        <f>IF(A1662="","",IFERROR(IF(VLOOKUP(A1662,'1. Inbound Leads'!A:G,7,FALSE)=0,"",VLOOKUP(A1662,'1. Inbound Leads'!A:G,7,FALSE)),""))</f>
        <v/>
      </c>
      <c r="D1662" s="387" t="str">
        <f>IF(A1662="","",IFERROR(IF(VLOOKUP(A1662,'1. Inbound Leads'!A:L,12,FALSE)=0,"",VLOOKUP(A1662,'1. Inbound Leads'!A:L,12,FALSE)),""))</f>
        <v/>
      </c>
      <c r="E1662" s="388"/>
      <c r="F1662" s="389"/>
      <c r="G1662" s="387"/>
      <c r="H1662" s="387"/>
      <c r="I1662" s="387"/>
      <c r="J1662" s="387"/>
      <c r="K1662" s="387"/>
      <c r="L1662" s="387"/>
      <c r="M1662" s="388"/>
      <c r="N1662" s="388"/>
      <c r="O1662" s="390"/>
      <c r="P1662" s="391"/>
      <c r="Q1662" s="389"/>
      <c r="R1662" s="390"/>
      <c r="S1662" s="390"/>
      <c r="T1662" s="391"/>
      <c r="U1662" s="392"/>
      <c r="V1662" s="391"/>
      <c r="W1662" s="391"/>
      <c r="X1662" s="388"/>
      <c r="Y1662" s="391"/>
      <c r="Z1662" s="393"/>
      <c r="AA1662" s="355" t="str">
        <f t="shared" si="1"/>
        <v/>
      </c>
      <c r="AB1662" s="391"/>
      <c r="AC1662" s="394" t="str">
        <f t="shared" si="2"/>
        <v/>
      </c>
      <c r="AD1662" s="389"/>
      <c r="AE1662" s="399"/>
      <c r="AF1662" s="395"/>
      <c r="AG1662" s="396" t="str">
        <f t="shared" si="3"/>
        <v/>
      </c>
      <c r="AH1662" s="396" t="str">
        <f t="shared" si="4"/>
        <v/>
      </c>
      <c r="AI1662" s="388"/>
      <c r="AJ1662" s="388"/>
      <c r="AK1662" s="397"/>
    </row>
    <row r="1663">
      <c r="A1663" s="398"/>
      <c r="B1663" s="386"/>
      <c r="C1663" s="387" t="str">
        <f>IF(A1663="","",IFERROR(IF(VLOOKUP(A1663,'1. Inbound Leads'!A:G,7,FALSE)=0,"",VLOOKUP(A1663,'1. Inbound Leads'!A:G,7,FALSE)),""))</f>
        <v/>
      </c>
      <c r="D1663" s="387" t="str">
        <f>IF(A1663="","",IFERROR(IF(VLOOKUP(A1663,'1. Inbound Leads'!A:L,12,FALSE)=0,"",VLOOKUP(A1663,'1. Inbound Leads'!A:L,12,FALSE)),""))</f>
        <v/>
      </c>
      <c r="E1663" s="388"/>
      <c r="F1663" s="389"/>
      <c r="G1663" s="387"/>
      <c r="H1663" s="387"/>
      <c r="I1663" s="387"/>
      <c r="J1663" s="387"/>
      <c r="K1663" s="387"/>
      <c r="L1663" s="387"/>
      <c r="M1663" s="388"/>
      <c r="N1663" s="388"/>
      <c r="O1663" s="390"/>
      <c r="P1663" s="391"/>
      <c r="Q1663" s="389"/>
      <c r="R1663" s="390"/>
      <c r="S1663" s="390"/>
      <c r="T1663" s="391"/>
      <c r="U1663" s="392"/>
      <c r="V1663" s="391"/>
      <c r="W1663" s="391"/>
      <c r="X1663" s="388"/>
      <c r="Y1663" s="391"/>
      <c r="Z1663" s="393"/>
      <c r="AA1663" s="355" t="str">
        <f t="shared" si="1"/>
        <v/>
      </c>
      <c r="AB1663" s="391"/>
      <c r="AC1663" s="394" t="str">
        <f t="shared" si="2"/>
        <v/>
      </c>
      <c r="AD1663" s="389"/>
      <c r="AE1663" s="399"/>
      <c r="AF1663" s="395"/>
      <c r="AG1663" s="396" t="str">
        <f t="shared" si="3"/>
        <v/>
      </c>
      <c r="AH1663" s="396" t="str">
        <f t="shared" si="4"/>
        <v/>
      </c>
      <c r="AI1663" s="388"/>
      <c r="AJ1663" s="388"/>
      <c r="AK1663" s="397"/>
    </row>
    <row r="1664">
      <c r="A1664" s="398"/>
      <c r="B1664" s="386"/>
      <c r="C1664" s="387" t="str">
        <f>IF(A1664="","",IFERROR(IF(VLOOKUP(A1664,'1. Inbound Leads'!A:G,7,FALSE)=0,"",VLOOKUP(A1664,'1. Inbound Leads'!A:G,7,FALSE)),""))</f>
        <v/>
      </c>
      <c r="D1664" s="387" t="str">
        <f>IF(A1664="","",IFERROR(IF(VLOOKUP(A1664,'1. Inbound Leads'!A:L,12,FALSE)=0,"",VLOOKUP(A1664,'1. Inbound Leads'!A:L,12,FALSE)),""))</f>
        <v/>
      </c>
      <c r="E1664" s="388"/>
      <c r="F1664" s="389"/>
      <c r="G1664" s="387"/>
      <c r="H1664" s="387"/>
      <c r="I1664" s="387"/>
      <c r="J1664" s="387"/>
      <c r="K1664" s="387"/>
      <c r="L1664" s="387"/>
      <c r="M1664" s="388"/>
      <c r="N1664" s="388"/>
      <c r="O1664" s="390"/>
      <c r="P1664" s="391"/>
      <c r="Q1664" s="389"/>
      <c r="R1664" s="390"/>
      <c r="S1664" s="390"/>
      <c r="T1664" s="391"/>
      <c r="U1664" s="392"/>
      <c r="V1664" s="391"/>
      <c r="W1664" s="391"/>
      <c r="X1664" s="388"/>
      <c r="Y1664" s="391"/>
      <c r="Z1664" s="393"/>
      <c r="AA1664" s="355" t="str">
        <f t="shared" si="1"/>
        <v/>
      </c>
      <c r="AB1664" s="391"/>
      <c r="AC1664" s="394" t="str">
        <f t="shared" si="2"/>
        <v/>
      </c>
      <c r="AD1664" s="389"/>
      <c r="AE1664" s="399"/>
      <c r="AF1664" s="395"/>
      <c r="AG1664" s="396" t="str">
        <f t="shared" si="3"/>
        <v/>
      </c>
      <c r="AH1664" s="396" t="str">
        <f t="shared" si="4"/>
        <v/>
      </c>
      <c r="AI1664" s="388"/>
      <c r="AJ1664" s="388"/>
      <c r="AK1664" s="397"/>
    </row>
    <row r="1665">
      <c r="A1665" s="398"/>
      <c r="B1665" s="386"/>
      <c r="C1665" s="387" t="str">
        <f>IF(A1665="","",IFERROR(IF(VLOOKUP(A1665,'1. Inbound Leads'!A:G,7,FALSE)=0,"",VLOOKUP(A1665,'1. Inbound Leads'!A:G,7,FALSE)),""))</f>
        <v/>
      </c>
      <c r="D1665" s="387" t="str">
        <f>IF(A1665="","",IFERROR(IF(VLOOKUP(A1665,'1. Inbound Leads'!A:L,12,FALSE)=0,"",VLOOKUP(A1665,'1. Inbound Leads'!A:L,12,FALSE)),""))</f>
        <v/>
      </c>
      <c r="E1665" s="388"/>
      <c r="F1665" s="389"/>
      <c r="G1665" s="387"/>
      <c r="H1665" s="387"/>
      <c r="I1665" s="387"/>
      <c r="J1665" s="387"/>
      <c r="K1665" s="387"/>
      <c r="L1665" s="387"/>
      <c r="M1665" s="388"/>
      <c r="N1665" s="388"/>
      <c r="O1665" s="390"/>
      <c r="P1665" s="391"/>
      <c r="Q1665" s="389"/>
      <c r="R1665" s="390"/>
      <c r="S1665" s="390"/>
      <c r="T1665" s="391"/>
      <c r="U1665" s="392"/>
      <c r="V1665" s="391"/>
      <c r="W1665" s="391"/>
      <c r="X1665" s="388"/>
      <c r="Y1665" s="391"/>
      <c r="Z1665" s="393"/>
      <c r="AA1665" s="355" t="str">
        <f t="shared" si="1"/>
        <v/>
      </c>
      <c r="AB1665" s="391"/>
      <c r="AC1665" s="394" t="str">
        <f t="shared" si="2"/>
        <v/>
      </c>
      <c r="AD1665" s="389"/>
      <c r="AE1665" s="399"/>
      <c r="AF1665" s="395"/>
      <c r="AG1665" s="396" t="str">
        <f t="shared" si="3"/>
        <v/>
      </c>
      <c r="AH1665" s="396" t="str">
        <f t="shared" si="4"/>
        <v/>
      </c>
      <c r="AI1665" s="388"/>
      <c r="AJ1665" s="388"/>
      <c r="AK1665" s="397"/>
    </row>
    <row r="1666">
      <c r="A1666" s="398"/>
      <c r="B1666" s="386"/>
      <c r="C1666" s="387" t="str">
        <f>IF(A1666="","",IFERROR(IF(VLOOKUP(A1666,'1. Inbound Leads'!A:G,7,FALSE)=0,"",VLOOKUP(A1666,'1. Inbound Leads'!A:G,7,FALSE)),""))</f>
        <v/>
      </c>
      <c r="D1666" s="387" t="str">
        <f>IF(A1666="","",IFERROR(IF(VLOOKUP(A1666,'1. Inbound Leads'!A:L,12,FALSE)=0,"",VLOOKUP(A1666,'1. Inbound Leads'!A:L,12,FALSE)),""))</f>
        <v/>
      </c>
      <c r="E1666" s="388"/>
      <c r="F1666" s="389"/>
      <c r="G1666" s="387"/>
      <c r="H1666" s="387"/>
      <c r="I1666" s="387"/>
      <c r="J1666" s="387"/>
      <c r="K1666" s="387"/>
      <c r="L1666" s="387"/>
      <c r="M1666" s="388"/>
      <c r="N1666" s="388"/>
      <c r="O1666" s="390"/>
      <c r="P1666" s="391"/>
      <c r="Q1666" s="389"/>
      <c r="R1666" s="390"/>
      <c r="S1666" s="390"/>
      <c r="T1666" s="391"/>
      <c r="U1666" s="392"/>
      <c r="V1666" s="391"/>
      <c r="W1666" s="391"/>
      <c r="X1666" s="388"/>
      <c r="Y1666" s="391"/>
      <c r="Z1666" s="393"/>
      <c r="AA1666" s="355" t="str">
        <f t="shared" si="1"/>
        <v/>
      </c>
      <c r="AB1666" s="391"/>
      <c r="AC1666" s="394" t="str">
        <f t="shared" si="2"/>
        <v/>
      </c>
      <c r="AD1666" s="389"/>
      <c r="AE1666" s="399"/>
      <c r="AF1666" s="395"/>
      <c r="AG1666" s="396" t="str">
        <f t="shared" si="3"/>
        <v/>
      </c>
      <c r="AH1666" s="396" t="str">
        <f t="shared" si="4"/>
        <v/>
      </c>
      <c r="AI1666" s="388"/>
      <c r="AJ1666" s="388"/>
      <c r="AK1666" s="397"/>
    </row>
    <row r="1667">
      <c r="A1667" s="398"/>
      <c r="B1667" s="386"/>
      <c r="C1667" s="387" t="str">
        <f>IF(A1667="","",IFERROR(IF(VLOOKUP(A1667,'1. Inbound Leads'!A:G,7,FALSE)=0,"",VLOOKUP(A1667,'1. Inbound Leads'!A:G,7,FALSE)),""))</f>
        <v/>
      </c>
      <c r="D1667" s="387" t="str">
        <f>IF(A1667="","",IFERROR(IF(VLOOKUP(A1667,'1. Inbound Leads'!A:L,12,FALSE)=0,"",VLOOKUP(A1667,'1. Inbound Leads'!A:L,12,FALSE)),""))</f>
        <v/>
      </c>
      <c r="E1667" s="388"/>
      <c r="F1667" s="389"/>
      <c r="G1667" s="387"/>
      <c r="H1667" s="387"/>
      <c r="I1667" s="387"/>
      <c r="J1667" s="387"/>
      <c r="K1667" s="387"/>
      <c r="L1667" s="387"/>
      <c r="M1667" s="388"/>
      <c r="N1667" s="388"/>
      <c r="O1667" s="390"/>
      <c r="P1667" s="391"/>
      <c r="Q1667" s="389"/>
      <c r="R1667" s="390"/>
      <c r="S1667" s="390"/>
      <c r="T1667" s="391"/>
      <c r="U1667" s="392"/>
      <c r="V1667" s="391"/>
      <c r="W1667" s="391"/>
      <c r="X1667" s="388"/>
      <c r="Y1667" s="391"/>
      <c r="Z1667" s="393"/>
      <c r="AA1667" s="355" t="str">
        <f t="shared" si="1"/>
        <v/>
      </c>
      <c r="AB1667" s="391"/>
      <c r="AC1667" s="394" t="str">
        <f t="shared" si="2"/>
        <v/>
      </c>
      <c r="AD1667" s="389"/>
      <c r="AE1667" s="399"/>
      <c r="AF1667" s="395"/>
      <c r="AG1667" s="396" t="str">
        <f t="shared" si="3"/>
        <v/>
      </c>
      <c r="AH1667" s="396" t="str">
        <f t="shared" si="4"/>
        <v/>
      </c>
      <c r="AI1667" s="388"/>
      <c r="AJ1667" s="388"/>
      <c r="AK1667" s="397"/>
    </row>
    <row r="1668">
      <c r="A1668" s="398"/>
      <c r="B1668" s="386"/>
      <c r="C1668" s="387" t="str">
        <f>IF(A1668="","",IFERROR(IF(VLOOKUP(A1668,'1. Inbound Leads'!A:G,7,FALSE)=0,"",VLOOKUP(A1668,'1. Inbound Leads'!A:G,7,FALSE)),""))</f>
        <v/>
      </c>
      <c r="D1668" s="387" t="str">
        <f>IF(A1668="","",IFERROR(IF(VLOOKUP(A1668,'1. Inbound Leads'!A:L,12,FALSE)=0,"",VLOOKUP(A1668,'1. Inbound Leads'!A:L,12,FALSE)),""))</f>
        <v/>
      </c>
      <c r="E1668" s="388"/>
      <c r="F1668" s="389"/>
      <c r="G1668" s="387"/>
      <c r="H1668" s="387"/>
      <c r="I1668" s="387"/>
      <c r="J1668" s="387"/>
      <c r="K1668" s="387"/>
      <c r="L1668" s="387"/>
      <c r="M1668" s="388"/>
      <c r="N1668" s="388"/>
      <c r="O1668" s="390"/>
      <c r="P1668" s="391"/>
      <c r="Q1668" s="389"/>
      <c r="R1668" s="390"/>
      <c r="S1668" s="390"/>
      <c r="T1668" s="391"/>
      <c r="U1668" s="392"/>
      <c r="V1668" s="391"/>
      <c r="W1668" s="391"/>
      <c r="X1668" s="388"/>
      <c r="Y1668" s="391"/>
      <c r="Z1668" s="393"/>
      <c r="AA1668" s="355" t="str">
        <f t="shared" si="1"/>
        <v/>
      </c>
      <c r="AB1668" s="391"/>
      <c r="AC1668" s="394" t="str">
        <f t="shared" si="2"/>
        <v/>
      </c>
      <c r="AD1668" s="389"/>
      <c r="AE1668" s="399"/>
      <c r="AF1668" s="395"/>
      <c r="AG1668" s="396" t="str">
        <f t="shared" si="3"/>
        <v/>
      </c>
      <c r="AH1668" s="396" t="str">
        <f t="shared" si="4"/>
        <v/>
      </c>
      <c r="AI1668" s="388"/>
      <c r="AJ1668" s="388"/>
      <c r="AK1668" s="397"/>
    </row>
    <row r="1669">
      <c r="A1669" s="398"/>
      <c r="B1669" s="386"/>
      <c r="C1669" s="387" t="str">
        <f>IF(A1669="","",IFERROR(IF(VLOOKUP(A1669,'1. Inbound Leads'!A:G,7,FALSE)=0,"",VLOOKUP(A1669,'1. Inbound Leads'!A:G,7,FALSE)),""))</f>
        <v/>
      </c>
      <c r="D1669" s="387" t="str">
        <f>IF(A1669="","",IFERROR(IF(VLOOKUP(A1669,'1. Inbound Leads'!A:L,12,FALSE)=0,"",VLOOKUP(A1669,'1. Inbound Leads'!A:L,12,FALSE)),""))</f>
        <v/>
      </c>
      <c r="E1669" s="388"/>
      <c r="F1669" s="389"/>
      <c r="G1669" s="387"/>
      <c r="H1669" s="387"/>
      <c r="I1669" s="387"/>
      <c r="J1669" s="387"/>
      <c r="K1669" s="387"/>
      <c r="L1669" s="387"/>
      <c r="M1669" s="388"/>
      <c r="N1669" s="388"/>
      <c r="O1669" s="390"/>
      <c r="P1669" s="391"/>
      <c r="Q1669" s="389"/>
      <c r="R1669" s="390"/>
      <c r="S1669" s="390"/>
      <c r="T1669" s="391"/>
      <c r="U1669" s="392"/>
      <c r="V1669" s="391"/>
      <c r="W1669" s="391"/>
      <c r="X1669" s="388"/>
      <c r="Y1669" s="391"/>
      <c r="Z1669" s="393"/>
      <c r="AA1669" s="355" t="str">
        <f t="shared" si="1"/>
        <v/>
      </c>
      <c r="AB1669" s="391"/>
      <c r="AC1669" s="394" t="str">
        <f t="shared" si="2"/>
        <v/>
      </c>
      <c r="AD1669" s="389"/>
      <c r="AE1669" s="399"/>
      <c r="AF1669" s="395"/>
      <c r="AG1669" s="396" t="str">
        <f t="shared" si="3"/>
        <v/>
      </c>
      <c r="AH1669" s="396" t="str">
        <f t="shared" si="4"/>
        <v/>
      </c>
      <c r="AI1669" s="388"/>
      <c r="AJ1669" s="388"/>
      <c r="AK1669" s="397"/>
    </row>
    <row r="1670">
      <c r="A1670" s="398"/>
      <c r="B1670" s="386"/>
      <c r="C1670" s="387" t="str">
        <f>IF(A1670="","",IFERROR(IF(VLOOKUP(A1670,'1. Inbound Leads'!A:G,7,FALSE)=0,"",VLOOKUP(A1670,'1. Inbound Leads'!A:G,7,FALSE)),""))</f>
        <v/>
      </c>
      <c r="D1670" s="387" t="str">
        <f>IF(A1670="","",IFERROR(IF(VLOOKUP(A1670,'1. Inbound Leads'!A:L,12,FALSE)=0,"",VLOOKUP(A1670,'1. Inbound Leads'!A:L,12,FALSE)),""))</f>
        <v/>
      </c>
      <c r="E1670" s="388"/>
      <c r="F1670" s="389"/>
      <c r="G1670" s="387"/>
      <c r="H1670" s="387"/>
      <c r="I1670" s="387"/>
      <c r="J1670" s="387"/>
      <c r="K1670" s="387"/>
      <c r="L1670" s="387"/>
      <c r="M1670" s="388"/>
      <c r="N1670" s="388"/>
      <c r="O1670" s="390"/>
      <c r="P1670" s="391"/>
      <c r="Q1670" s="389"/>
      <c r="R1670" s="390"/>
      <c r="S1670" s="390"/>
      <c r="T1670" s="391"/>
      <c r="U1670" s="392"/>
      <c r="V1670" s="391"/>
      <c r="W1670" s="391"/>
      <c r="X1670" s="388"/>
      <c r="Y1670" s="391"/>
      <c r="Z1670" s="393"/>
      <c r="AA1670" s="355" t="str">
        <f t="shared" si="1"/>
        <v/>
      </c>
      <c r="AB1670" s="391"/>
      <c r="AC1670" s="394" t="str">
        <f t="shared" si="2"/>
        <v/>
      </c>
      <c r="AD1670" s="389"/>
      <c r="AE1670" s="399"/>
      <c r="AF1670" s="395"/>
      <c r="AG1670" s="396" t="str">
        <f t="shared" si="3"/>
        <v/>
      </c>
      <c r="AH1670" s="396" t="str">
        <f t="shared" si="4"/>
        <v/>
      </c>
      <c r="AI1670" s="388"/>
      <c r="AJ1670" s="388"/>
      <c r="AK1670" s="397"/>
    </row>
    <row r="1671">
      <c r="A1671" s="398"/>
      <c r="B1671" s="386"/>
      <c r="C1671" s="387" t="str">
        <f>IF(A1671="","",IFERROR(IF(VLOOKUP(A1671,'1. Inbound Leads'!A:G,7,FALSE)=0,"",VLOOKUP(A1671,'1. Inbound Leads'!A:G,7,FALSE)),""))</f>
        <v/>
      </c>
      <c r="D1671" s="387" t="str">
        <f>IF(A1671="","",IFERROR(IF(VLOOKUP(A1671,'1. Inbound Leads'!A:L,12,FALSE)=0,"",VLOOKUP(A1671,'1. Inbound Leads'!A:L,12,FALSE)),""))</f>
        <v/>
      </c>
      <c r="E1671" s="388"/>
      <c r="F1671" s="389"/>
      <c r="G1671" s="387"/>
      <c r="H1671" s="387"/>
      <c r="I1671" s="387"/>
      <c r="J1671" s="387"/>
      <c r="K1671" s="387"/>
      <c r="L1671" s="387"/>
      <c r="M1671" s="388"/>
      <c r="N1671" s="388"/>
      <c r="O1671" s="390"/>
      <c r="P1671" s="391"/>
      <c r="Q1671" s="389"/>
      <c r="R1671" s="390"/>
      <c r="S1671" s="390"/>
      <c r="T1671" s="391"/>
      <c r="U1671" s="392"/>
      <c r="V1671" s="391"/>
      <c r="W1671" s="391"/>
      <c r="X1671" s="388"/>
      <c r="Y1671" s="391"/>
      <c r="Z1671" s="393"/>
      <c r="AA1671" s="355" t="str">
        <f t="shared" si="1"/>
        <v/>
      </c>
      <c r="AB1671" s="391"/>
      <c r="AC1671" s="394" t="str">
        <f t="shared" si="2"/>
        <v/>
      </c>
      <c r="AD1671" s="389"/>
      <c r="AE1671" s="399"/>
      <c r="AF1671" s="395"/>
      <c r="AG1671" s="396" t="str">
        <f t="shared" si="3"/>
        <v/>
      </c>
      <c r="AH1671" s="396" t="str">
        <f t="shared" si="4"/>
        <v/>
      </c>
      <c r="AI1671" s="388"/>
      <c r="AJ1671" s="388"/>
      <c r="AK1671" s="397"/>
    </row>
    <row r="1672">
      <c r="A1672" s="398"/>
      <c r="B1672" s="386"/>
      <c r="C1672" s="387" t="str">
        <f>IF(A1672="","",IFERROR(IF(VLOOKUP(A1672,'1. Inbound Leads'!A:G,7,FALSE)=0,"",VLOOKUP(A1672,'1. Inbound Leads'!A:G,7,FALSE)),""))</f>
        <v/>
      </c>
      <c r="D1672" s="387" t="str">
        <f>IF(A1672="","",IFERROR(IF(VLOOKUP(A1672,'1. Inbound Leads'!A:L,12,FALSE)=0,"",VLOOKUP(A1672,'1. Inbound Leads'!A:L,12,FALSE)),""))</f>
        <v/>
      </c>
      <c r="E1672" s="388"/>
      <c r="F1672" s="389"/>
      <c r="G1672" s="387"/>
      <c r="H1672" s="387"/>
      <c r="I1672" s="387"/>
      <c r="J1672" s="387"/>
      <c r="K1672" s="387"/>
      <c r="L1672" s="387"/>
      <c r="M1672" s="388"/>
      <c r="N1672" s="388"/>
      <c r="O1672" s="390"/>
      <c r="P1672" s="391"/>
      <c r="Q1672" s="389"/>
      <c r="R1672" s="390"/>
      <c r="S1672" s="390"/>
      <c r="T1672" s="391"/>
      <c r="U1672" s="392"/>
      <c r="V1672" s="391"/>
      <c r="W1672" s="391"/>
      <c r="X1672" s="388"/>
      <c r="Y1672" s="391"/>
      <c r="Z1672" s="393"/>
      <c r="AA1672" s="355" t="str">
        <f t="shared" si="1"/>
        <v/>
      </c>
      <c r="AB1672" s="391"/>
      <c r="AC1672" s="394" t="str">
        <f t="shared" si="2"/>
        <v/>
      </c>
      <c r="AD1672" s="389"/>
      <c r="AE1672" s="399"/>
      <c r="AF1672" s="395"/>
      <c r="AG1672" s="396" t="str">
        <f t="shared" si="3"/>
        <v/>
      </c>
      <c r="AH1672" s="396" t="str">
        <f t="shared" si="4"/>
        <v/>
      </c>
      <c r="AI1672" s="388"/>
      <c r="AJ1672" s="388"/>
      <c r="AK1672" s="397"/>
    </row>
    <row r="1673">
      <c r="A1673" s="398"/>
      <c r="B1673" s="386"/>
      <c r="C1673" s="387" t="str">
        <f>IF(A1673="","",IFERROR(IF(VLOOKUP(A1673,'1. Inbound Leads'!A:G,7,FALSE)=0,"",VLOOKUP(A1673,'1. Inbound Leads'!A:G,7,FALSE)),""))</f>
        <v/>
      </c>
      <c r="D1673" s="387" t="str">
        <f>IF(A1673="","",IFERROR(IF(VLOOKUP(A1673,'1. Inbound Leads'!A:L,12,FALSE)=0,"",VLOOKUP(A1673,'1. Inbound Leads'!A:L,12,FALSE)),""))</f>
        <v/>
      </c>
      <c r="E1673" s="388"/>
      <c r="F1673" s="389"/>
      <c r="G1673" s="387"/>
      <c r="H1673" s="387"/>
      <c r="I1673" s="387"/>
      <c r="J1673" s="387"/>
      <c r="K1673" s="387"/>
      <c r="L1673" s="387"/>
      <c r="M1673" s="388"/>
      <c r="N1673" s="388"/>
      <c r="O1673" s="390"/>
      <c r="P1673" s="391"/>
      <c r="Q1673" s="389"/>
      <c r="R1673" s="390"/>
      <c r="S1673" s="390"/>
      <c r="T1673" s="391"/>
      <c r="U1673" s="392"/>
      <c r="V1673" s="391"/>
      <c r="W1673" s="391"/>
      <c r="X1673" s="388"/>
      <c r="Y1673" s="391"/>
      <c r="Z1673" s="393"/>
      <c r="AA1673" s="355" t="str">
        <f t="shared" si="1"/>
        <v/>
      </c>
      <c r="AB1673" s="391"/>
      <c r="AC1673" s="394" t="str">
        <f t="shared" si="2"/>
        <v/>
      </c>
      <c r="AD1673" s="389"/>
      <c r="AE1673" s="399"/>
      <c r="AF1673" s="395"/>
      <c r="AG1673" s="396" t="str">
        <f t="shared" si="3"/>
        <v/>
      </c>
      <c r="AH1673" s="396" t="str">
        <f t="shared" si="4"/>
        <v/>
      </c>
      <c r="AI1673" s="388"/>
      <c r="AJ1673" s="388"/>
      <c r="AK1673" s="397"/>
    </row>
    <row r="1674">
      <c r="A1674" s="398"/>
      <c r="B1674" s="386"/>
      <c r="C1674" s="387" t="str">
        <f>IF(A1674="","",IFERROR(IF(VLOOKUP(A1674,'1. Inbound Leads'!A:G,7,FALSE)=0,"",VLOOKUP(A1674,'1. Inbound Leads'!A:G,7,FALSE)),""))</f>
        <v/>
      </c>
      <c r="D1674" s="387" t="str">
        <f>IF(A1674="","",IFERROR(IF(VLOOKUP(A1674,'1. Inbound Leads'!A:L,12,FALSE)=0,"",VLOOKUP(A1674,'1. Inbound Leads'!A:L,12,FALSE)),""))</f>
        <v/>
      </c>
      <c r="E1674" s="388"/>
      <c r="F1674" s="389"/>
      <c r="G1674" s="387"/>
      <c r="H1674" s="387"/>
      <c r="I1674" s="387"/>
      <c r="J1674" s="387"/>
      <c r="K1674" s="387"/>
      <c r="L1674" s="387"/>
      <c r="M1674" s="388"/>
      <c r="N1674" s="388"/>
      <c r="O1674" s="390"/>
      <c r="P1674" s="391"/>
      <c r="Q1674" s="389"/>
      <c r="R1674" s="390"/>
      <c r="S1674" s="390"/>
      <c r="T1674" s="391"/>
      <c r="U1674" s="392"/>
      <c r="V1674" s="391"/>
      <c r="W1674" s="391"/>
      <c r="X1674" s="388"/>
      <c r="Y1674" s="391"/>
      <c r="Z1674" s="393"/>
      <c r="AA1674" s="355" t="str">
        <f t="shared" si="1"/>
        <v/>
      </c>
      <c r="AB1674" s="391"/>
      <c r="AC1674" s="394" t="str">
        <f t="shared" si="2"/>
        <v/>
      </c>
      <c r="AD1674" s="389"/>
      <c r="AE1674" s="399"/>
      <c r="AF1674" s="395"/>
      <c r="AG1674" s="396" t="str">
        <f t="shared" si="3"/>
        <v/>
      </c>
      <c r="AH1674" s="396" t="str">
        <f t="shared" si="4"/>
        <v/>
      </c>
      <c r="AI1674" s="388"/>
      <c r="AJ1674" s="388"/>
      <c r="AK1674" s="397"/>
    </row>
    <row r="1675">
      <c r="A1675" s="398"/>
      <c r="B1675" s="386"/>
      <c r="C1675" s="387" t="str">
        <f>IF(A1675="","",IFERROR(IF(VLOOKUP(A1675,'1. Inbound Leads'!A:G,7,FALSE)=0,"",VLOOKUP(A1675,'1. Inbound Leads'!A:G,7,FALSE)),""))</f>
        <v/>
      </c>
      <c r="D1675" s="387" t="str">
        <f>IF(A1675="","",IFERROR(IF(VLOOKUP(A1675,'1. Inbound Leads'!A:L,12,FALSE)=0,"",VLOOKUP(A1675,'1. Inbound Leads'!A:L,12,FALSE)),""))</f>
        <v/>
      </c>
      <c r="E1675" s="388"/>
      <c r="F1675" s="389"/>
      <c r="G1675" s="387"/>
      <c r="H1675" s="387"/>
      <c r="I1675" s="387"/>
      <c r="J1675" s="387"/>
      <c r="K1675" s="387"/>
      <c r="L1675" s="387"/>
      <c r="M1675" s="388"/>
      <c r="N1675" s="388"/>
      <c r="O1675" s="390"/>
      <c r="P1675" s="391"/>
      <c r="Q1675" s="389"/>
      <c r="R1675" s="390"/>
      <c r="S1675" s="390"/>
      <c r="T1675" s="391"/>
      <c r="U1675" s="392"/>
      <c r="V1675" s="391"/>
      <c r="W1675" s="391"/>
      <c r="X1675" s="388"/>
      <c r="Y1675" s="391"/>
      <c r="Z1675" s="393"/>
      <c r="AA1675" s="355" t="str">
        <f t="shared" si="1"/>
        <v/>
      </c>
      <c r="AB1675" s="391"/>
      <c r="AC1675" s="394" t="str">
        <f t="shared" si="2"/>
        <v/>
      </c>
      <c r="AD1675" s="389"/>
      <c r="AE1675" s="399"/>
      <c r="AF1675" s="395"/>
      <c r="AG1675" s="396" t="str">
        <f t="shared" si="3"/>
        <v/>
      </c>
      <c r="AH1675" s="396" t="str">
        <f t="shared" si="4"/>
        <v/>
      </c>
      <c r="AI1675" s="388"/>
      <c r="AJ1675" s="388"/>
      <c r="AK1675" s="397"/>
    </row>
    <row r="1676">
      <c r="A1676" s="398"/>
      <c r="B1676" s="386"/>
      <c r="C1676" s="387" t="str">
        <f>IF(A1676="","",IFERROR(IF(VLOOKUP(A1676,'1. Inbound Leads'!A:G,7,FALSE)=0,"",VLOOKUP(A1676,'1. Inbound Leads'!A:G,7,FALSE)),""))</f>
        <v/>
      </c>
      <c r="D1676" s="387" t="str">
        <f>IF(A1676="","",IFERROR(IF(VLOOKUP(A1676,'1. Inbound Leads'!A:L,12,FALSE)=0,"",VLOOKUP(A1676,'1. Inbound Leads'!A:L,12,FALSE)),""))</f>
        <v/>
      </c>
      <c r="E1676" s="388"/>
      <c r="F1676" s="389"/>
      <c r="G1676" s="387"/>
      <c r="H1676" s="387"/>
      <c r="I1676" s="387"/>
      <c r="J1676" s="387"/>
      <c r="K1676" s="387"/>
      <c r="L1676" s="387"/>
      <c r="M1676" s="388"/>
      <c r="N1676" s="388"/>
      <c r="O1676" s="390"/>
      <c r="P1676" s="391"/>
      <c r="Q1676" s="389"/>
      <c r="R1676" s="390"/>
      <c r="S1676" s="390"/>
      <c r="T1676" s="391"/>
      <c r="U1676" s="392"/>
      <c r="V1676" s="391"/>
      <c r="W1676" s="391"/>
      <c r="X1676" s="388"/>
      <c r="Y1676" s="391"/>
      <c r="Z1676" s="393"/>
      <c r="AA1676" s="355" t="str">
        <f t="shared" si="1"/>
        <v/>
      </c>
      <c r="AB1676" s="391"/>
      <c r="AC1676" s="394" t="str">
        <f t="shared" si="2"/>
        <v/>
      </c>
      <c r="AD1676" s="389"/>
      <c r="AE1676" s="399"/>
      <c r="AF1676" s="395"/>
      <c r="AG1676" s="396" t="str">
        <f t="shared" si="3"/>
        <v/>
      </c>
      <c r="AH1676" s="396" t="str">
        <f t="shared" si="4"/>
        <v/>
      </c>
      <c r="AI1676" s="388"/>
      <c r="AJ1676" s="388"/>
      <c r="AK1676" s="397"/>
    </row>
    <row r="1677">
      <c r="A1677" s="398"/>
      <c r="B1677" s="386"/>
      <c r="C1677" s="387" t="str">
        <f>IF(A1677="","",IFERROR(IF(VLOOKUP(A1677,'1. Inbound Leads'!A:G,7,FALSE)=0,"",VLOOKUP(A1677,'1. Inbound Leads'!A:G,7,FALSE)),""))</f>
        <v/>
      </c>
      <c r="D1677" s="387" t="str">
        <f>IF(A1677="","",IFERROR(IF(VLOOKUP(A1677,'1. Inbound Leads'!A:L,12,FALSE)=0,"",VLOOKUP(A1677,'1. Inbound Leads'!A:L,12,FALSE)),""))</f>
        <v/>
      </c>
      <c r="E1677" s="388"/>
      <c r="F1677" s="389"/>
      <c r="G1677" s="387"/>
      <c r="H1677" s="387"/>
      <c r="I1677" s="387"/>
      <c r="J1677" s="387"/>
      <c r="K1677" s="387"/>
      <c r="L1677" s="387"/>
      <c r="M1677" s="388"/>
      <c r="N1677" s="388"/>
      <c r="O1677" s="390"/>
      <c r="P1677" s="391"/>
      <c r="Q1677" s="389"/>
      <c r="R1677" s="390"/>
      <c r="S1677" s="390"/>
      <c r="T1677" s="391"/>
      <c r="U1677" s="392"/>
      <c r="V1677" s="391"/>
      <c r="W1677" s="391"/>
      <c r="X1677" s="388"/>
      <c r="Y1677" s="391"/>
      <c r="Z1677" s="393"/>
      <c r="AA1677" s="355" t="str">
        <f t="shared" si="1"/>
        <v/>
      </c>
      <c r="AB1677" s="391"/>
      <c r="AC1677" s="394" t="str">
        <f t="shared" si="2"/>
        <v/>
      </c>
      <c r="AD1677" s="389"/>
      <c r="AE1677" s="399"/>
      <c r="AF1677" s="395"/>
      <c r="AG1677" s="396" t="str">
        <f t="shared" si="3"/>
        <v/>
      </c>
      <c r="AH1677" s="396" t="str">
        <f t="shared" si="4"/>
        <v/>
      </c>
      <c r="AI1677" s="388"/>
      <c r="AJ1677" s="388"/>
      <c r="AK1677" s="397"/>
    </row>
    <row r="1678">
      <c r="A1678" s="398"/>
      <c r="B1678" s="386"/>
      <c r="C1678" s="387" t="str">
        <f>IF(A1678="","",IFERROR(IF(VLOOKUP(A1678,'1. Inbound Leads'!A:G,7,FALSE)=0,"",VLOOKUP(A1678,'1. Inbound Leads'!A:G,7,FALSE)),""))</f>
        <v/>
      </c>
      <c r="D1678" s="387" t="str">
        <f>IF(A1678="","",IFERROR(IF(VLOOKUP(A1678,'1. Inbound Leads'!A:L,12,FALSE)=0,"",VLOOKUP(A1678,'1. Inbound Leads'!A:L,12,FALSE)),""))</f>
        <v/>
      </c>
      <c r="E1678" s="388"/>
      <c r="F1678" s="389"/>
      <c r="G1678" s="387"/>
      <c r="H1678" s="387"/>
      <c r="I1678" s="387"/>
      <c r="J1678" s="387"/>
      <c r="K1678" s="387"/>
      <c r="L1678" s="387"/>
      <c r="M1678" s="388"/>
      <c r="N1678" s="388"/>
      <c r="O1678" s="390"/>
      <c r="P1678" s="391"/>
      <c r="Q1678" s="389"/>
      <c r="R1678" s="390"/>
      <c r="S1678" s="390"/>
      <c r="T1678" s="391"/>
      <c r="U1678" s="392"/>
      <c r="V1678" s="391"/>
      <c r="W1678" s="391"/>
      <c r="X1678" s="388"/>
      <c r="Y1678" s="391"/>
      <c r="Z1678" s="393"/>
      <c r="AA1678" s="355" t="str">
        <f t="shared" si="1"/>
        <v/>
      </c>
      <c r="AB1678" s="391"/>
      <c r="AC1678" s="394" t="str">
        <f t="shared" si="2"/>
        <v/>
      </c>
      <c r="AD1678" s="389"/>
      <c r="AE1678" s="399"/>
      <c r="AF1678" s="395"/>
      <c r="AG1678" s="396" t="str">
        <f t="shared" si="3"/>
        <v/>
      </c>
      <c r="AH1678" s="396" t="str">
        <f t="shared" si="4"/>
        <v/>
      </c>
      <c r="AI1678" s="388"/>
      <c r="AJ1678" s="388"/>
      <c r="AK1678" s="397"/>
    </row>
    <row r="1679">
      <c r="A1679" s="398"/>
      <c r="B1679" s="386"/>
      <c r="C1679" s="387" t="str">
        <f>IF(A1679="","",IFERROR(IF(VLOOKUP(A1679,'1. Inbound Leads'!A:G,7,FALSE)=0,"",VLOOKUP(A1679,'1. Inbound Leads'!A:G,7,FALSE)),""))</f>
        <v/>
      </c>
      <c r="D1679" s="387" t="str">
        <f>IF(A1679="","",IFERROR(IF(VLOOKUP(A1679,'1. Inbound Leads'!A:L,12,FALSE)=0,"",VLOOKUP(A1679,'1. Inbound Leads'!A:L,12,FALSE)),""))</f>
        <v/>
      </c>
      <c r="E1679" s="388"/>
      <c r="F1679" s="389"/>
      <c r="G1679" s="387"/>
      <c r="H1679" s="387"/>
      <c r="I1679" s="387"/>
      <c r="J1679" s="387"/>
      <c r="K1679" s="387"/>
      <c r="L1679" s="387"/>
      <c r="M1679" s="388"/>
      <c r="N1679" s="388"/>
      <c r="O1679" s="390"/>
      <c r="P1679" s="391"/>
      <c r="Q1679" s="389"/>
      <c r="R1679" s="390"/>
      <c r="S1679" s="390"/>
      <c r="T1679" s="391"/>
      <c r="U1679" s="392"/>
      <c r="V1679" s="391"/>
      <c r="W1679" s="391"/>
      <c r="X1679" s="388"/>
      <c r="Y1679" s="391"/>
      <c r="Z1679" s="393"/>
      <c r="AA1679" s="355" t="str">
        <f t="shared" si="1"/>
        <v/>
      </c>
      <c r="AB1679" s="391"/>
      <c r="AC1679" s="394" t="str">
        <f t="shared" si="2"/>
        <v/>
      </c>
      <c r="AD1679" s="389"/>
      <c r="AE1679" s="399"/>
      <c r="AF1679" s="395"/>
      <c r="AG1679" s="396" t="str">
        <f t="shared" si="3"/>
        <v/>
      </c>
      <c r="AH1679" s="396" t="str">
        <f t="shared" si="4"/>
        <v/>
      </c>
      <c r="AI1679" s="388"/>
      <c r="AJ1679" s="388"/>
      <c r="AK1679" s="397"/>
    </row>
    <row r="1680">
      <c r="A1680" s="398"/>
      <c r="B1680" s="386"/>
      <c r="C1680" s="387" t="str">
        <f>IF(A1680="","",IFERROR(IF(VLOOKUP(A1680,'1. Inbound Leads'!A:G,7,FALSE)=0,"",VLOOKUP(A1680,'1. Inbound Leads'!A:G,7,FALSE)),""))</f>
        <v/>
      </c>
      <c r="D1680" s="387" t="str">
        <f>IF(A1680="","",IFERROR(IF(VLOOKUP(A1680,'1. Inbound Leads'!A:L,12,FALSE)=0,"",VLOOKUP(A1680,'1. Inbound Leads'!A:L,12,FALSE)),""))</f>
        <v/>
      </c>
      <c r="E1680" s="388"/>
      <c r="F1680" s="389"/>
      <c r="G1680" s="387"/>
      <c r="H1680" s="387"/>
      <c r="I1680" s="387"/>
      <c r="J1680" s="387"/>
      <c r="K1680" s="387"/>
      <c r="L1680" s="387"/>
      <c r="M1680" s="388"/>
      <c r="N1680" s="388"/>
      <c r="O1680" s="390"/>
      <c r="P1680" s="391"/>
      <c r="Q1680" s="389"/>
      <c r="R1680" s="390"/>
      <c r="S1680" s="390"/>
      <c r="T1680" s="391"/>
      <c r="U1680" s="392"/>
      <c r="V1680" s="391"/>
      <c r="W1680" s="391"/>
      <c r="X1680" s="388"/>
      <c r="Y1680" s="391"/>
      <c r="Z1680" s="393"/>
      <c r="AA1680" s="355" t="str">
        <f t="shared" si="1"/>
        <v/>
      </c>
      <c r="AB1680" s="391"/>
      <c r="AC1680" s="394" t="str">
        <f t="shared" si="2"/>
        <v/>
      </c>
      <c r="AD1680" s="389"/>
      <c r="AE1680" s="399"/>
      <c r="AF1680" s="395"/>
      <c r="AG1680" s="396" t="str">
        <f t="shared" si="3"/>
        <v/>
      </c>
      <c r="AH1680" s="396" t="str">
        <f t="shared" si="4"/>
        <v/>
      </c>
      <c r="AI1680" s="388"/>
      <c r="AJ1680" s="388"/>
      <c r="AK1680" s="397"/>
    </row>
    <row r="1681">
      <c r="A1681" s="398"/>
      <c r="B1681" s="386"/>
      <c r="C1681" s="387" t="str">
        <f>IF(A1681="","",IFERROR(IF(VLOOKUP(A1681,'1. Inbound Leads'!A:G,7,FALSE)=0,"",VLOOKUP(A1681,'1. Inbound Leads'!A:G,7,FALSE)),""))</f>
        <v/>
      </c>
      <c r="D1681" s="387" t="str">
        <f>IF(A1681="","",IFERROR(IF(VLOOKUP(A1681,'1. Inbound Leads'!A:L,12,FALSE)=0,"",VLOOKUP(A1681,'1. Inbound Leads'!A:L,12,FALSE)),""))</f>
        <v/>
      </c>
      <c r="E1681" s="388"/>
      <c r="F1681" s="389"/>
      <c r="G1681" s="387"/>
      <c r="H1681" s="387"/>
      <c r="I1681" s="387"/>
      <c r="J1681" s="387"/>
      <c r="K1681" s="387"/>
      <c r="L1681" s="387"/>
      <c r="M1681" s="388"/>
      <c r="N1681" s="388"/>
      <c r="O1681" s="390"/>
      <c r="P1681" s="391"/>
      <c r="Q1681" s="389"/>
      <c r="R1681" s="390"/>
      <c r="S1681" s="390"/>
      <c r="T1681" s="391"/>
      <c r="U1681" s="392"/>
      <c r="V1681" s="391"/>
      <c r="W1681" s="391"/>
      <c r="X1681" s="388"/>
      <c r="Y1681" s="391"/>
      <c r="Z1681" s="393"/>
      <c r="AA1681" s="355" t="str">
        <f t="shared" si="1"/>
        <v/>
      </c>
      <c r="AB1681" s="391"/>
      <c r="AC1681" s="394" t="str">
        <f t="shared" si="2"/>
        <v/>
      </c>
      <c r="AD1681" s="389"/>
      <c r="AE1681" s="399"/>
      <c r="AF1681" s="395"/>
      <c r="AG1681" s="396" t="str">
        <f t="shared" si="3"/>
        <v/>
      </c>
      <c r="AH1681" s="396" t="str">
        <f t="shared" si="4"/>
        <v/>
      </c>
      <c r="AI1681" s="388"/>
      <c r="AJ1681" s="388"/>
      <c r="AK1681" s="397"/>
    </row>
    <row r="1682">
      <c r="A1682" s="398"/>
      <c r="B1682" s="386"/>
      <c r="C1682" s="387" t="str">
        <f>IF(A1682="","",IFERROR(IF(VLOOKUP(A1682,'1. Inbound Leads'!A:G,7,FALSE)=0,"",VLOOKUP(A1682,'1. Inbound Leads'!A:G,7,FALSE)),""))</f>
        <v/>
      </c>
      <c r="D1682" s="387" t="str">
        <f>IF(A1682="","",IFERROR(IF(VLOOKUP(A1682,'1. Inbound Leads'!A:L,12,FALSE)=0,"",VLOOKUP(A1682,'1. Inbound Leads'!A:L,12,FALSE)),""))</f>
        <v/>
      </c>
      <c r="E1682" s="388"/>
      <c r="F1682" s="389"/>
      <c r="G1682" s="387"/>
      <c r="H1682" s="387"/>
      <c r="I1682" s="387"/>
      <c r="J1682" s="387"/>
      <c r="K1682" s="387"/>
      <c r="L1682" s="387"/>
      <c r="M1682" s="388"/>
      <c r="N1682" s="388"/>
      <c r="O1682" s="390"/>
      <c r="P1682" s="391"/>
      <c r="Q1682" s="389"/>
      <c r="R1682" s="390"/>
      <c r="S1682" s="390"/>
      <c r="T1682" s="391"/>
      <c r="U1682" s="392"/>
      <c r="V1682" s="391"/>
      <c r="W1682" s="391"/>
      <c r="X1682" s="388"/>
      <c r="Y1682" s="391"/>
      <c r="Z1682" s="393"/>
      <c r="AA1682" s="355" t="str">
        <f t="shared" si="1"/>
        <v/>
      </c>
      <c r="AB1682" s="391"/>
      <c r="AC1682" s="394" t="str">
        <f t="shared" si="2"/>
        <v/>
      </c>
      <c r="AD1682" s="389"/>
      <c r="AE1682" s="399"/>
      <c r="AF1682" s="395"/>
      <c r="AG1682" s="396" t="str">
        <f t="shared" si="3"/>
        <v/>
      </c>
      <c r="AH1682" s="396" t="str">
        <f t="shared" si="4"/>
        <v/>
      </c>
      <c r="AI1682" s="388"/>
      <c r="AJ1682" s="388"/>
      <c r="AK1682" s="397"/>
    </row>
    <row r="1683">
      <c r="A1683" s="398"/>
      <c r="B1683" s="386"/>
      <c r="C1683" s="387" t="str">
        <f>IF(A1683="","",IFERROR(IF(VLOOKUP(A1683,'1. Inbound Leads'!A:G,7,FALSE)=0,"",VLOOKUP(A1683,'1. Inbound Leads'!A:G,7,FALSE)),""))</f>
        <v/>
      </c>
      <c r="D1683" s="387" t="str">
        <f>IF(A1683="","",IFERROR(IF(VLOOKUP(A1683,'1. Inbound Leads'!A:L,12,FALSE)=0,"",VLOOKUP(A1683,'1. Inbound Leads'!A:L,12,FALSE)),""))</f>
        <v/>
      </c>
      <c r="E1683" s="388"/>
      <c r="F1683" s="389"/>
      <c r="G1683" s="387"/>
      <c r="H1683" s="387"/>
      <c r="I1683" s="387"/>
      <c r="J1683" s="387"/>
      <c r="K1683" s="387"/>
      <c r="L1683" s="387"/>
      <c r="M1683" s="388"/>
      <c r="N1683" s="388"/>
      <c r="O1683" s="390"/>
      <c r="P1683" s="391"/>
      <c r="Q1683" s="389"/>
      <c r="R1683" s="390"/>
      <c r="S1683" s="390"/>
      <c r="T1683" s="391"/>
      <c r="U1683" s="392"/>
      <c r="V1683" s="391"/>
      <c r="W1683" s="391"/>
      <c r="X1683" s="388"/>
      <c r="Y1683" s="391"/>
      <c r="Z1683" s="393"/>
      <c r="AA1683" s="355" t="str">
        <f t="shared" si="1"/>
        <v/>
      </c>
      <c r="AB1683" s="391"/>
      <c r="AC1683" s="394" t="str">
        <f t="shared" si="2"/>
        <v/>
      </c>
      <c r="AD1683" s="389"/>
      <c r="AE1683" s="399"/>
      <c r="AF1683" s="395"/>
      <c r="AG1683" s="396" t="str">
        <f t="shared" si="3"/>
        <v/>
      </c>
      <c r="AH1683" s="396" t="str">
        <f t="shared" si="4"/>
        <v/>
      </c>
      <c r="AI1683" s="388"/>
      <c r="AJ1683" s="388"/>
      <c r="AK1683" s="397"/>
    </row>
    <row r="1684">
      <c r="A1684" s="398"/>
      <c r="B1684" s="386"/>
      <c r="C1684" s="387" t="str">
        <f>IF(A1684="","",IFERROR(IF(VLOOKUP(A1684,'1. Inbound Leads'!A:G,7,FALSE)=0,"",VLOOKUP(A1684,'1. Inbound Leads'!A:G,7,FALSE)),""))</f>
        <v/>
      </c>
      <c r="D1684" s="387" t="str">
        <f>IF(A1684="","",IFERROR(IF(VLOOKUP(A1684,'1. Inbound Leads'!A:L,12,FALSE)=0,"",VLOOKUP(A1684,'1. Inbound Leads'!A:L,12,FALSE)),""))</f>
        <v/>
      </c>
      <c r="E1684" s="388"/>
      <c r="F1684" s="389"/>
      <c r="G1684" s="387"/>
      <c r="H1684" s="387"/>
      <c r="I1684" s="387"/>
      <c r="J1684" s="387"/>
      <c r="K1684" s="387"/>
      <c r="L1684" s="387"/>
      <c r="M1684" s="388"/>
      <c r="N1684" s="388"/>
      <c r="O1684" s="390"/>
      <c r="P1684" s="391"/>
      <c r="Q1684" s="389"/>
      <c r="R1684" s="390"/>
      <c r="S1684" s="390"/>
      <c r="T1684" s="391"/>
      <c r="U1684" s="392"/>
      <c r="V1684" s="391"/>
      <c r="W1684" s="391"/>
      <c r="X1684" s="388"/>
      <c r="Y1684" s="391"/>
      <c r="Z1684" s="393"/>
      <c r="AA1684" s="355" t="str">
        <f t="shared" si="1"/>
        <v/>
      </c>
      <c r="AB1684" s="391"/>
      <c r="AC1684" s="394" t="str">
        <f t="shared" si="2"/>
        <v/>
      </c>
      <c r="AD1684" s="389"/>
      <c r="AE1684" s="399"/>
      <c r="AF1684" s="395"/>
      <c r="AG1684" s="396" t="str">
        <f t="shared" si="3"/>
        <v/>
      </c>
      <c r="AH1684" s="396" t="str">
        <f t="shared" si="4"/>
        <v/>
      </c>
      <c r="AI1684" s="388"/>
      <c r="AJ1684" s="388"/>
      <c r="AK1684" s="397"/>
    </row>
    <row r="1685">
      <c r="A1685" s="398"/>
      <c r="B1685" s="386"/>
      <c r="C1685" s="387" t="str">
        <f>IF(A1685="","",IFERROR(IF(VLOOKUP(A1685,'1. Inbound Leads'!A:G,7,FALSE)=0,"",VLOOKUP(A1685,'1. Inbound Leads'!A:G,7,FALSE)),""))</f>
        <v/>
      </c>
      <c r="D1685" s="387" t="str">
        <f>IF(A1685="","",IFERROR(IF(VLOOKUP(A1685,'1. Inbound Leads'!A:L,12,FALSE)=0,"",VLOOKUP(A1685,'1. Inbound Leads'!A:L,12,FALSE)),""))</f>
        <v/>
      </c>
      <c r="E1685" s="388"/>
      <c r="F1685" s="389"/>
      <c r="G1685" s="387"/>
      <c r="H1685" s="387"/>
      <c r="I1685" s="387"/>
      <c r="J1685" s="387"/>
      <c r="K1685" s="387"/>
      <c r="L1685" s="387"/>
      <c r="M1685" s="388"/>
      <c r="N1685" s="388"/>
      <c r="O1685" s="390"/>
      <c r="P1685" s="391"/>
      <c r="Q1685" s="389"/>
      <c r="R1685" s="390"/>
      <c r="S1685" s="390"/>
      <c r="T1685" s="391"/>
      <c r="U1685" s="392"/>
      <c r="V1685" s="391"/>
      <c r="W1685" s="391"/>
      <c r="X1685" s="388"/>
      <c r="Y1685" s="391"/>
      <c r="Z1685" s="393"/>
      <c r="AA1685" s="355" t="str">
        <f t="shared" si="1"/>
        <v/>
      </c>
      <c r="AB1685" s="391"/>
      <c r="AC1685" s="394" t="str">
        <f t="shared" si="2"/>
        <v/>
      </c>
      <c r="AD1685" s="389"/>
      <c r="AE1685" s="399"/>
      <c r="AF1685" s="395"/>
      <c r="AG1685" s="396" t="str">
        <f t="shared" si="3"/>
        <v/>
      </c>
      <c r="AH1685" s="396" t="str">
        <f t="shared" si="4"/>
        <v/>
      </c>
      <c r="AI1685" s="388"/>
      <c r="AJ1685" s="388"/>
      <c r="AK1685" s="397"/>
    </row>
    <row r="1686">
      <c r="A1686" s="398"/>
      <c r="B1686" s="386"/>
      <c r="C1686" s="387" t="str">
        <f>IF(A1686="","",IFERROR(IF(VLOOKUP(A1686,'1. Inbound Leads'!A:G,7,FALSE)=0,"",VLOOKUP(A1686,'1. Inbound Leads'!A:G,7,FALSE)),""))</f>
        <v/>
      </c>
      <c r="D1686" s="387" t="str">
        <f>IF(A1686="","",IFERROR(IF(VLOOKUP(A1686,'1. Inbound Leads'!A:L,12,FALSE)=0,"",VLOOKUP(A1686,'1. Inbound Leads'!A:L,12,FALSE)),""))</f>
        <v/>
      </c>
      <c r="E1686" s="388"/>
      <c r="F1686" s="389"/>
      <c r="G1686" s="387"/>
      <c r="H1686" s="387"/>
      <c r="I1686" s="387"/>
      <c r="J1686" s="387"/>
      <c r="K1686" s="387"/>
      <c r="L1686" s="387"/>
      <c r="M1686" s="388"/>
      <c r="N1686" s="388"/>
      <c r="O1686" s="390"/>
      <c r="P1686" s="391"/>
      <c r="Q1686" s="389"/>
      <c r="R1686" s="390"/>
      <c r="S1686" s="390"/>
      <c r="T1686" s="391"/>
      <c r="U1686" s="392"/>
      <c r="V1686" s="391"/>
      <c r="W1686" s="391"/>
      <c r="X1686" s="388"/>
      <c r="Y1686" s="391"/>
      <c r="Z1686" s="393"/>
      <c r="AA1686" s="355" t="str">
        <f t="shared" si="1"/>
        <v/>
      </c>
      <c r="AB1686" s="391"/>
      <c r="AC1686" s="394" t="str">
        <f t="shared" si="2"/>
        <v/>
      </c>
      <c r="AD1686" s="389"/>
      <c r="AE1686" s="399"/>
      <c r="AF1686" s="395"/>
      <c r="AG1686" s="396" t="str">
        <f t="shared" si="3"/>
        <v/>
      </c>
      <c r="AH1686" s="396" t="str">
        <f t="shared" si="4"/>
        <v/>
      </c>
      <c r="AI1686" s="388"/>
      <c r="AJ1686" s="388"/>
      <c r="AK1686" s="397"/>
    </row>
    <row r="1687">
      <c r="A1687" s="398"/>
      <c r="B1687" s="386"/>
      <c r="C1687" s="387" t="str">
        <f>IF(A1687="","",IFERROR(IF(VLOOKUP(A1687,'1. Inbound Leads'!A:G,7,FALSE)=0,"",VLOOKUP(A1687,'1. Inbound Leads'!A:G,7,FALSE)),""))</f>
        <v/>
      </c>
      <c r="D1687" s="387" t="str">
        <f>IF(A1687="","",IFERROR(IF(VLOOKUP(A1687,'1. Inbound Leads'!A:L,12,FALSE)=0,"",VLOOKUP(A1687,'1. Inbound Leads'!A:L,12,FALSE)),""))</f>
        <v/>
      </c>
      <c r="E1687" s="388"/>
      <c r="F1687" s="389"/>
      <c r="G1687" s="387"/>
      <c r="H1687" s="387"/>
      <c r="I1687" s="387"/>
      <c r="J1687" s="387"/>
      <c r="K1687" s="387"/>
      <c r="L1687" s="387"/>
      <c r="M1687" s="388"/>
      <c r="N1687" s="388"/>
      <c r="O1687" s="390"/>
      <c r="P1687" s="391"/>
      <c r="Q1687" s="389"/>
      <c r="R1687" s="390"/>
      <c r="S1687" s="390"/>
      <c r="T1687" s="391"/>
      <c r="U1687" s="392"/>
      <c r="V1687" s="391"/>
      <c r="W1687" s="391"/>
      <c r="X1687" s="388"/>
      <c r="Y1687" s="391"/>
      <c r="Z1687" s="393"/>
      <c r="AA1687" s="355" t="str">
        <f t="shared" si="1"/>
        <v/>
      </c>
      <c r="AB1687" s="391"/>
      <c r="AC1687" s="394" t="str">
        <f t="shared" si="2"/>
        <v/>
      </c>
      <c r="AD1687" s="389"/>
      <c r="AE1687" s="399"/>
      <c r="AF1687" s="395"/>
      <c r="AG1687" s="396" t="str">
        <f t="shared" si="3"/>
        <v/>
      </c>
      <c r="AH1687" s="396" t="str">
        <f t="shared" si="4"/>
        <v/>
      </c>
      <c r="AI1687" s="388"/>
      <c r="AJ1687" s="388"/>
      <c r="AK1687" s="397"/>
    </row>
    <row r="1688">
      <c r="A1688" s="398"/>
      <c r="B1688" s="386"/>
      <c r="C1688" s="387" t="str">
        <f>IF(A1688="","",IFERROR(IF(VLOOKUP(A1688,'1. Inbound Leads'!A:G,7,FALSE)=0,"",VLOOKUP(A1688,'1. Inbound Leads'!A:G,7,FALSE)),""))</f>
        <v/>
      </c>
      <c r="D1688" s="387" t="str">
        <f>IF(A1688="","",IFERROR(IF(VLOOKUP(A1688,'1. Inbound Leads'!A:L,12,FALSE)=0,"",VLOOKUP(A1688,'1. Inbound Leads'!A:L,12,FALSE)),""))</f>
        <v/>
      </c>
      <c r="E1688" s="388"/>
      <c r="F1688" s="389"/>
      <c r="G1688" s="387"/>
      <c r="H1688" s="387"/>
      <c r="I1688" s="387"/>
      <c r="J1688" s="387"/>
      <c r="K1688" s="387"/>
      <c r="L1688" s="387"/>
      <c r="M1688" s="388"/>
      <c r="N1688" s="388"/>
      <c r="O1688" s="390"/>
      <c r="P1688" s="391"/>
      <c r="Q1688" s="389"/>
      <c r="R1688" s="390"/>
      <c r="S1688" s="390"/>
      <c r="T1688" s="391"/>
      <c r="U1688" s="392"/>
      <c r="V1688" s="391"/>
      <c r="W1688" s="391"/>
      <c r="X1688" s="388"/>
      <c r="Y1688" s="391"/>
      <c r="Z1688" s="393"/>
      <c r="AA1688" s="355" t="str">
        <f t="shared" si="1"/>
        <v/>
      </c>
      <c r="AB1688" s="391"/>
      <c r="AC1688" s="394" t="str">
        <f t="shared" si="2"/>
        <v/>
      </c>
      <c r="AD1688" s="389"/>
      <c r="AE1688" s="399"/>
      <c r="AF1688" s="395"/>
      <c r="AG1688" s="396" t="str">
        <f t="shared" si="3"/>
        <v/>
      </c>
      <c r="AH1688" s="396" t="str">
        <f t="shared" si="4"/>
        <v/>
      </c>
      <c r="AI1688" s="388"/>
      <c r="AJ1688" s="388"/>
      <c r="AK1688" s="397"/>
    </row>
    <row r="1689">
      <c r="A1689" s="398"/>
      <c r="B1689" s="386"/>
      <c r="C1689" s="387" t="str">
        <f>IF(A1689="","",IFERROR(IF(VLOOKUP(A1689,'1. Inbound Leads'!A:G,7,FALSE)=0,"",VLOOKUP(A1689,'1. Inbound Leads'!A:G,7,FALSE)),""))</f>
        <v/>
      </c>
      <c r="D1689" s="387" t="str">
        <f>IF(A1689="","",IFERROR(IF(VLOOKUP(A1689,'1. Inbound Leads'!A:L,12,FALSE)=0,"",VLOOKUP(A1689,'1. Inbound Leads'!A:L,12,FALSE)),""))</f>
        <v/>
      </c>
      <c r="E1689" s="388"/>
      <c r="F1689" s="389"/>
      <c r="G1689" s="387"/>
      <c r="H1689" s="387"/>
      <c r="I1689" s="387"/>
      <c r="J1689" s="387"/>
      <c r="K1689" s="387"/>
      <c r="L1689" s="387"/>
      <c r="M1689" s="388"/>
      <c r="N1689" s="388"/>
      <c r="O1689" s="390"/>
      <c r="P1689" s="391"/>
      <c r="Q1689" s="389"/>
      <c r="R1689" s="390"/>
      <c r="S1689" s="390"/>
      <c r="T1689" s="391"/>
      <c r="U1689" s="392"/>
      <c r="V1689" s="391"/>
      <c r="W1689" s="391"/>
      <c r="X1689" s="388"/>
      <c r="Y1689" s="391"/>
      <c r="Z1689" s="393"/>
      <c r="AA1689" s="355" t="str">
        <f t="shared" si="1"/>
        <v/>
      </c>
      <c r="AB1689" s="391"/>
      <c r="AC1689" s="394" t="str">
        <f t="shared" si="2"/>
        <v/>
      </c>
      <c r="AD1689" s="389"/>
      <c r="AE1689" s="399"/>
      <c r="AF1689" s="395"/>
      <c r="AG1689" s="396" t="str">
        <f t="shared" si="3"/>
        <v/>
      </c>
      <c r="AH1689" s="396" t="str">
        <f t="shared" si="4"/>
        <v/>
      </c>
      <c r="AI1689" s="388"/>
      <c r="AJ1689" s="388"/>
      <c r="AK1689" s="397"/>
    </row>
    <row r="1690">
      <c r="A1690" s="398"/>
      <c r="B1690" s="386"/>
      <c r="C1690" s="387" t="str">
        <f>IF(A1690="","",IFERROR(IF(VLOOKUP(A1690,'1. Inbound Leads'!A:G,7,FALSE)=0,"",VLOOKUP(A1690,'1. Inbound Leads'!A:G,7,FALSE)),""))</f>
        <v/>
      </c>
      <c r="D1690" s="387" t="str">
        <f>IF(A1690="","",IFERROR(IF(VLOOKUP(A1690,'1. Inbound Leads'!A:L,12,FALSE)=0,"",VLOOKUP(A1690,'1. Inbound Leads'!A:L,12,FALSE)),""))</f>
        <v/>
      </c>
      <c r="E1690" s="388"/>
      <c r="F1690" s="389"/>
      <c r="G1690" s="387"/>
      <c r="H1690" s="387"/>
      <c r="I1690" s="387"/>
      <c r="J1690" s="387"/>
      <c r="K1690" s="387"/>
      <c r="L1690" s="387"/>
      <c r="M1690" s="388"/>
      <c r="N1690" s="388"/>
      <c r="O1690" s="390"/>
      <c r="P1690" s="391"/>
      <c r="Q1690" s="389"/>
      <c r="R1690" s="390"/>
      <c r="S1690" s="390"/>
      <c r="T1690" s="391"/>
      <c r="U1690" s="392"/>
      <c r="V1690" s="391"/>
      <c r="W1690" s="391"/>
      <c r="X1690" s="388"/>
      <c r="Y1690" s="391"/>
      <c r="Z1690" s="393"/>
      <c r="AA1690" s="355" t="str">
        <f t="shared" si="1"/>
        <v/>
      </c>
      <c r="AB1690" s="391"/>
      <c r="AC1690" s="394" t="str">
        <f t="shared" si="2"/>
        <v/>
      </c>
      <c r="AD1690" s="389"/>
      <c r="AE1690" s="399"/>
      <c r="AF1690" s="395"/>
      <c r="AG1690" s="396" t="str">
        <f t="shared" si="3"/>
        <v/>
      </c>
      <c r="AH1690" s="396" t="str">
        <f t="shared" si="4"/>
        <v/>
      </c>
      <c r="AI1690" s="388"/>
      <c r="AJ1690" s="388"/>
      <c r="AK1690" s="397"/>
    </row>
    <row r="1691">
      <c r="A1691" s="398"/>
      <c r="B1691" s="386"/>
      <c r="C1691" s="387" t="str">
        <f>IF(A1691="","",IFERROR(IF(VLOOKUP(A1691,'1. Inbound Leads'!A:G,7,FALSE)=0,"",VLOOKUP(A1691,'1. Inbound Leads'!A:G,7,FALSE)),""))</f>
        <v/>
      </c>
      <c r="D1691" s="387" t="str">
        <f>IF(A1691="","",IFERROR(IF(VLOOKUP(A1691,'1. Inbound Leads'!A:L,12,FALSE)=0,"",VLOOKUP(A1691,'1. Inbound Leads'!A:L,12,FALSE)),""))</f>
        <v/>
      </c>
      <c r="E1691" s="388"/>
      <c r="F1691" s="389"/>
      <c r="G1691" s="387"/>
      <c r="H1691" s="387"/>
      <c r="I1691" s="387"/>
      <c r="J1691" s="387"/>
      <c r="K1691" s="387"/>
      <c r="L1691" s="387"/>
      <c r="M1691" s="388"/>
      <c r="N1691" s="388"/>
      <c r="O1691" s="390"/>
      <c r="P1691" s="391"/>
      <c r="Q1691" s="389"/>
      <c r="R1691" s="390"/>
      <c r="S1691" s="390"/>
      <c r="T1691" s="391"/>
      <c r="U1691" s="392"/>
      <c r="V1691" s="391"/>
      <c r="W1691" s="391"/>
      <c r="X1691" s="388"/>
      <c r="Y1691" s="391"/>
      <c r="Z1691" s="393"/>
      <c r="AA1691" s="355" t="str">
        <f t="shared" si="1"/>
        <v/>
      </c>
      <c r="AB1691" s="391"/>
      <c r="AC1691" s="394" t="str">
        <f t="shared" si="2"/>
        <v/>
      </c>
      <c r="AD1691" s="389"/>
      <c r="AE1691" s="399"/>
      <c r="AF1691" s="395"/>
      <c r="AG1691" s="396" t="str">
        <f t="shared" si="3"/>
        <v/>
      </c>
      <c r="AH1691" s="396" t="str">
        <f t="shared" si="4"/>
        <v/>
      </c>
      <c r="AI1691" s="388"/>
      <c r="AJ1691" s="388"/>
      <c r="AK1691" s="397"/>
    </row>
    <row r="1692">
      <c r="A1692" s="398"/>
      <c r="B1692" s="386"/>
      <c r="C1692" s="387" t="str">
        <f>IF(A1692="","",IFERROR(IF(VLOOKUP(A1692,'1. Inbound Leads'!A:G,7,FALSE)=0,"",VLOOKUP(A1692,'1. Inbound Leads'!A:G,7,FALSE)),""))</f>
        <v/>
      </c>
      <c r="D1692" s="387" t="str">
        <f>IF(A1692="","",IFERROR(IF(VLOOKUP(A1692,'1. Inbound Leads'!A:L,12,FALSE)=0,"",VLOOKUP(A1692,'1. Inbound Leads'!A:L,12,FALSE)),""))</f>
        <v/>
      </c>
      <c r="E1692" s="388"/>
      <c r="F1692" s="389"/>
      <c r="G1692" s="387"/>
      <c r="H1692" s="387"/>
      <c r="I1692" s="387"/>
      <c r="J1692" s="387"/>
      <c r="K1692" s="387"/>
      <c r="L1692" s="387"/>
      <c r="M1692" s="388"/>
      <c r="N1692" s="388"/>
      <c r="O1692" s="390"/>
      <c r="P1692" s="391"/>
      <c r="Q1692" s="389"/>
      <c r="R1692" s="390"/>
      <c r="S1692" s="390"/>
      <c r="T1692" s="391"/>
      <c r="U1692" s="392"/>
      <c r="V1692" s="391"/>
      <c r="W1692" s="391"/>
      <c r="X1692" s="388"/>
      <c r="Y1692" s="391"/>
      <c r="Z1692" s="393"/>
      <c r="AA1692" s="355" t="str">
        <f t="shared" si="1"/>
        <v/>
      </c>
      <c r="AB1692" s="391"/>
      <c r="AC1692" s="394" t="str">
        <f t="shared" si="2"/>
        <v/>
      </c>
      <c r="AD1692" s="389"/>
      <c r="AE1692" s="399"/>
      <c r="AF1692" s="395"/>
      <c r="AG1692" s="396" t="str">
        <f t="shared" si="3"/>
        <v/>
      </c>
      <c r="AH1692" s="396" t="str">
        <f t="shared" si="4"/>
        <v/>
      </c>
      <c r="AI1692" s="388"/>
      <c r="AJ1692" s="388"/>
      <c r="AK1692" s="397"/>
    </row>
    <row r="1693">
      <c r="A1693" s="398"/>
      <c r="B1693" s="386"/>
      <c r="C1693" s="387" t="str">
        <f>IF(A1693="","",IFERROR(IF(VLOOKUP(A1693,'1. Inbound Leads'!A:G,7,FALSE)=0,"",VLOOKUP(A1693,'1. Inbound Leads'!A:G,7,FALSE)),""))</f>
        <v/>
      </c>
      <c r="D1693" s="387" t="str">
        <f>IF(A1693="","",IFERROR(IF(VLOOKUP(A1693,'1. Inbound Leads'!A:L,12,FALSE)=0,"",VLOOKUP(A1693,'1. Inbound Leads'!A:L,12,FALSE)),""))</f>
        <v/>
      </c>
      <c r="E1693" s="388"/>
      <c r="F1693" s="389"/>
      <c r="G1693" s="387"/>
      <c r="H1693" s="387"/>
      <c r="I1693" s="387"/>
      <c r="J1693" s="387"/>
      <c r="K1693" s="387"/>
      <c r="L1693" s="387"/>
      <c r="M1693" s="388"/>
      <c r="N1693" s="388"/>
      <c r="O1693" s="390"/>
      <c r="P1693" s="391"/>
      <c r="Q1693" s="389"/>
      <c r="R1693" s="390"/>
      <c r="S1693" s="390"/>
      <c r="T1693" s="391"/>
      <c r="U1693" s="392"/>
      <c r="V1693" s="391"/>
      <c r="W1693" s="391"/>
      <c r="X1693" s="388"/>
      <c r="Y1693" s="391"/>
      <c r="Z1693" s="393"/>
      <c r="AA1693" s="355" t="str">
        <f t="shared" si="1"/>
        <v/>
      </c>
      <c r="AB1693" s="391"/>
      <c r="AC1693" s="394" t="str">
        <f t="shared" si="2"/>
        <v/>
      </c>
      <c r="AD1693" s="389"/>
      <c r="AE1693" s="399"/>
      <c r="AF1693" s="395"/>
      <c r="AG1693" s="396" t="str">
        <f t="shared" si="3"/>
        <v/>
      </c>
      <c r="AH1693" s="396" t="str">
        <f t="shared" si="4"/>
        <v/>
      </c>
      <c r="AI1693" s="388"/>
      <c r="AJ1693" s="388"/>
      <c r="AK1693" s="397"/>
    </row>
    <row r="1694">
      <c r="A1694" s="398"/>
      <c r="B1694" s="386"/>
      <c r="C1694" s="387" t="str">
        <f>IF(A1694="","",IFERROR(IF(VLOOKUP(A1694,'1. Inbound Leads'!A:G,7,FALSE)=0,"",VLOOKUP(A1694,'1. Inbound Leads'!A:G,7,FALSE)),""))</f>
        <v/>
      </c>
      <c r="D1694" s="387" t="str">
        <f>IF(A1694="","",IFERROR(IF(VLOOKUP(A1694,'1. Inbound Leads'!A:L,12,FALSE)=0,"",VLOOKUP(A1694,'1. Inbound Leads'!A:L,12,FALSE)),""))</f>
        <v/>
      </c>
      <c r="E1694" s="388"/>
      <c r="F1694" s="389"/>
      <c r="G1694" s="387"/>
      <c r="H1694" s="387"/>
      <c r="I1694" s="387"/>
      <c r="J1694" s="387"/>
      <c r="K1694" s="387"/>
      <c r="L1694" s="387"/>
      <c r="M1694" s="388"/>
      <c r="N1694" s="388"/>
      <c r="O1694" s="390"/>
      <c r="P1694" s="391"/>
      <c r="Q1694" s="389"/>
      <c r="R1694" s="390"/>
      <c r="S1694" s="390"/>
      <c r="T1694" s="391"/>
      <c r="U1694" s="392"/>
      <c r="V1694" s="391"/>
      <c r="W1694" s="391"/>
      <c r="X1694" s="388"/>
      <c r="Y1694" s="391"/>
      <c r="Z1694" s="393"/>
      <c r="AA1694" s="355" t="str">
        <f t="shared" si="1"/>
        <v/>
      </c>
      <c r="AB1694" s="391"/>
      <c r="AC1694" s="394" t="str">
        <f t="shared" si="2"/>
        <v/>
      </c>
      <c r="AD1694" s="389"/>
      <c r="AE1694" s="399"/>
      <c r="AF1694" s="395"/>
      <c r="AG1694" s="396" t="str">
        <f t="shared" si="3"/>
        <v/>
      </c>
      <c r="AH1694" s="396" t="str">
        <f t="shared" si="4"/>
        <v/>
      </c>
      <c r="AI1694" s="388"/>
      <c r="AJ1694" s="388"/>
      <c r="AK1694" s="397"/>
    </row>
    <row r="1695">
      <c r="A1695" s="398"/>
      <c r="B1695" s="386"/>
      <c r="C1695" s="387" t="str">
        <f>IF(A1695="","",IFERROR(IF(VLOOKUP(A1695,'1. Inbound Leads'!A:G,7,FALSE)=0,"",VLOOKUP(A1695,'1. Inbound Leads'!A:G,7,FALSE)),""))</f>
        <v/>
      </c>
      <c r="D1695" s="387" t="str">
        <f>IF(A1695="","",IFERROR(IF(VLOOKUP(A1695,'1. Inbound Leads'!A:L,12,FALSE)=0,"",VLOOKUP(A1695,'1. Inbound Leads'!A:L,12,FALSE)),""))</f>
        <v/>
      </c>
      <c r="E1695" s="388"/>
      <c r="F1695" s="389"/>
      <c r="G1695" s="387"/>
      <c r="H1695" s="387"/>
      <c r="I1695" s="387"/>
      <c r="J1695" s="387"/>
      <c r="K1695" s="387"/>
      <c r="L1695" s="387"/>
      <c r="M1695" s="388"/>
      <c r="N1695" s="388"/>
      <c r="O1695" s="390"/>
      <c r="P1695" s="391"/>
      <c r="Q1695" s="389"/>
      <c r="R1695" s="390"/>
      <c r="S1695" s="390"/>
      <c r="T1695" s="391"/>
      <c r="U1695" s="392"/>
      <c r="V1695" s="391"/>
      <c r="W1695" s="391"/>
      <c r="X1695" s="388"/>
      <c r="Y1695" s="391"/>
      <c r="Z1695" s="393"/>
      <c r="AA1695" s="355" t="str">
        <f t="shared" si="1"/>
        <v/>
      </c>
      <c r="AB1695" s="391"/>
      <c r="AC1695" s="394" t="str">
        <f t="shared" si="2"/>
        <v/>
      </c>
      <c r="AD1695" s="389"/>
      <c r="AE1695" s="399"/>
      <c r="AF1695" s="395"/>
      <c r="AG1695" s="396" t="str">
        <f t="shared" si="3"/>
        <v/>
      </c>
      <c r="AH1695" s="396" t="str">
        <f t="shared" si="4"/>
        <v/>
      </c>
      <c r="AI1695" s="388"/>
      <c r="AJ1695" s="388"/>
      <c r="AK1695" s="397"/>
    </row>
    <row r="1696">
      <c r="A1696" s="398"/>
      <c r="B1696" s="386"/>
      <c r="C1696" s="387" t="str">
        <f>IF(A1696="","",IFERROR(IF(VLOOKUP(A1696,'1. Inbound Leads'!A:G,7,FALSE)=0,"",VLOOKUP(A1696,'1. Inbound Leads'!A:G,7,FALSE)),""))</f>
        <v/>
      </c>
      <c r="D1696" s="387" t="str">
        <f>IF(A1696="","",IFERROR(IF(VLOOKUP(A1696,'1. Inbound Leads'!A:L,12,FALSE)=0,"",VLOOKUP(A1696,'1. Inbound Leads'!A:L,12,FALSE)),""))</f>
        <v/>
      </c>
      <c r="E1696" s="388"/>
      <c r="F1696" s="389"/>
      <c r="G1696" s="387"/>
      <c r="H1696" s="387"/>
      <c r="I1696" s="387"/>
      <c r="J1696" s="387"/>
      <c r="K1696" s="387"/>
      <c r="L1696" s="387"/>
      <c r="M1696" s="388"/>
      <c r="N1696" s="388"/>
      <c r="O1696" s="390"/>
      <c r="P1696" s="391"/>
      <c r="Q1696" s="389"/>
      <c r="R1696" s="390"/>
      <c r="S1696" s="390"/>
      <c r="T1696" s="391"/>
      <c r="U1696" s="392"/>
      <c r="V1696" s="391"/>
      <c r="W1696" s="391"/>
      <c r="X1696" s="388"/>
      <c r="Y1696" s="391"/>
      <c r="Z1696" s="393"/>
      <c r="AA1696" s="355" t="str">
        <f t="shared" si="1"/>
        <v/>
      </c>
      <c r="AB1696" s="391"/>
      <c r="AC1696" s="394" t="str">
        <f t="shared" si="2"/>
        <v/>
      </c>
      <c r="AD1696" s="389"/>
      <c r="AE1696" s="399"/>
      <c r="AF1696" s="395"/>
      <c r="AG1696" s="396" t="str">
        <f t="shared" si="3"/>
        <v/>
      </c>
      <c r="AH1696" s="396" t="str">
        <f t="shared" si="4"/>
        <v/>
      </c>
      <c r="AI1696" s="388"/>
      <c r="AJ1696" s="388"/>
      <c r="AK1696" s="397"/>
    </row>
    <row r="1697">
      <c r="A1697" s="398"/>
      <c r="B1697" s="386"/>
      <c r="C1697" s="387" t="str">
        <f>IF(A1697="","",IFERROR(IF(VLOOKUP(A1697,'1. Inbound Leads'!A:G,7,FALSE)=0,"",VLOOKUP(A1697,'1. Inbound Leads'!A:G,7,FALSE)),""))</f>
        <v/>
      </c>
      <c r="D1697" s="387" t="str">
        <f>IF(A1697="","",IFERROR(IF(VLOOKUP(A1697,'1. Inbound Leads'!A:L,12,FALSE)=0,"",VLOOKUP(A1697,'1. Inbound Leads'!A:L,12,FALSE)),""))</f>
        <v/>
      </c>
      <c r="E1697" s="388"/>
      <c r="F1697" s="389"/>
      <c r="G1697" s="387"/>
      <c r="H1697" s="387"/>
      <c r="I1697" s="387"/>
      <c r="J1697" s="387"/>
      <c r="K1697" s="387"/>
      <c r="L1697" s="387"/>
      <c r="M1697" s="388"/>
      <c r="N1697" s="388"/>
      <c r="O1697" s="390"/>
      <c r="P1697" s="391"/>
      <c r="Q1697" s="389"/>
      <c r="R1697" s="390"/>
      <c r="S1697" s="390"/>
      <c r="T1697" s="391"/>
      <c r="U1697" s="392"/>
      <c r="V1697" s="391"/>
      <c r="W1697" s="391"/>
      <c r="X1697" s="388"/>
      <c r="Y1697" s="391"/>
      <c r="Z1697" s="393"/>
      <c r="AA1697" s="355" t="str">
        <f t="shared" si="1"/>
        <v/>
      </c>
      <c r="AB1697" s="391"/>
      <c r="AC1697" s="394" t="str">
        <f t="shared" si="2"/>
        <v/>
      </c>
      <c r="AD1697" s="389"/>
      <c r="AE1697" s="399"/>
      <c r="AF1697" s="395"/>
      <c r="AG1697" s="396" t="str">
        <f t="shared" si="3"/>
        <v/>
      </c>
      <c r="AH1697" s="396" t="str">
        <f t="shared" si="4"/>
        <v/>
      </c>
      <c r="AI1697" s="388"/>
      <c r="AJ1697" s="388"/>
      <c r="AK1697" s="397"/>
    </row>
    <row r="1698">
      <c r="A1698" s="398"/>
      <c r="B1698" s="386"/>
      <c r="C1698" s="387" t="str">
        <f>IF(A1698="","",IFERROR(IF(VLOOKUP(A1698,'1. Inbound Leads'!A:G,7,FALSE)=0,"",VLOOKUP(A1698,'1. Inbound Leads'!A:G,7,FALSE)),""))</f>
        <v/>
      </c>
      <c r="D1698" s="387" t="str">
        <f>IF(A1698="","",IFERROR(IF(VLOOKUP(A1698,'1. Inbound Leads'!A:L,12,FALSE)=0,"",VLOOKUP(A1698,'1. Inbound Leads'!A:L,12,FALSE)),""))</f>
        <v/>
      </c>
      <c r="E1698" s="388"/>
      <c r="F1698" s="389"/>
      <c r="G1698" s="387"/>
      <c r="H1698" s="387"/>
      <c r="I1698" s="387"/>
      <c r="J1698" s="387"/>
      <c r="K1698" s="387"/>
      <c r="L1698" s="387"/>
      <c r="M1698" s="388"/>
      <c r="N1698" s="388"/>
      <c r="O1698" s="390"/>
      <c r="P1698" s="391"/>
      <c r="Q1698" s="389"/>
      <c r="R1698" s="390"/>
      <c r="S1698" s="390"/>
      <c r="T1698" s="391"/>
      <c r="U1698" s="392"/>
      <c r="V1698" s="391"/>
      <c r="W1698" s="391"/>
      <c r="X1698" s="388"/>
      <c r="Y1698" s="391"/>
      <c r="Z1698" s="393"/>
      <c r="AA1698" s="355" t="str">
        <f t="shared" si="1"/>
        <v/>
      </c>
      <c r="AB1698" s="391"/>
      <c r="AC1698" s="394" t="str">
        <f t="shared" si="2"/>
        <v/>
      </c>
      <c r="AD1698" s="389"/>
      <c r="AE1698" s="399"/>
      <c r="AF1698" s="395"/>
      <c r="AG1698" s="396" t="str">
        <f t="shared" si="3"/>
        <v/>
      </c>
      <c r="AH1698" s="396" t="str">
        <f t="shared" si="4"/>
        <v/>
      </c>
      <c r="AI1698" s="388"/>
      <c r="AJ1698" s="388"/>
      <c r="AK1698" s="397"/>
    </row>
    <row r="1699">
      <c r="A1699" s="398"/>
      <c r="B1699" s="386"/>
      <c r="C1699" s="387" t="str">
        <f>IF(A1699="","",IFERROR(IF(VLOOKUP(A1699,'1. Inbound Leads'!A:G,7,FALSE)=0,"",VLOOKUP(A1699,'1. Inbound Leads'!A:G,7,FALSE)),""))</f>
        <v/>
      </c>
      <c r="D1699" s="387" t="str">
        <f>IF(A1699="","",IFERROR(IF(VLOOKUP(A1699,'1. Inbound Leads'!A:L,12,FALSE)=0,"",VLOOKUP(A1699,'1. Inbound Leads'!A:L,12,FALSE)),""))</f>
        <v/>
      </c>
      <c r="E1699" s="388"/>
      <c r="F1699" s="389"/>
      <c r="G1699" s="387"/>
      <c r="H1699" s="387"/>
      <c r="I1699" s="387"/>
      <c r="J1699" s="387"/>
      <c r="K1699" s="387"/>
      <c r="L1699" s="387"/>
      <c r="M1699" s="388"/>
      <c r="N1699" s="388"/>
      <c r="O1699" s="390"/>
      <c r="P1699" s="391"/>
      <c r="Q1699" s="389"/>
      <c r="R1699" s="390"/>
      <c r="S1699" s="390"/>
      <c r="T1699" s="391"/>
      <c r="U1699" s="392"/>
      <c r="V1699" s="391"/>
      <c r="W1699" s="391"/>
      <c r="X1699" s="388"/>
      <c r="Y1699" s="391"/>
      <c r="Z1699" s="393"/>
      <c r="AA1699" s="355" t="str">
        <f t="shared" si="1"/>
        <v/>
      </c>
      <c r="AB1699" s="391"/>
      <c r="AC1699" s="394" t="str">
        <f t="shared" si="2"/>
        <v/>
      </c>
      <c r="AD1699" s="389"/>
      <c r="AE1699" s="399"/>
      <c r="AF1699" s="395"/>
      <c r="AG1699" s="396" t="str">
        <f t="shared" si="3"/>
        <v/>
      </c>
      <c r="AH1699" s="396" t="str">
        <f t="shared" si="4"/>
        <v/>
      </c>
      <c r="AI1699" s="388"/>
      <c r="AJ1699" s="388"/>
      <c r="AK1699" s="397"/>
    </row>
    <row r="1700">
      <c r="A1700" s="398"/>
      <c r="B1700" s="386"/>
      <c r="C1700" s="387" t="str">
        <f>IF(A1700="","",IFERROR(IF(VLOOKUP(A1700,'1. Inbound Leads'!A:G,7,FALSE)=0,"",VLOOKUP(A1700,'1. Inbound Leads'!A:G,7,FALSE)),""))</f>
        <v/>
      </c>
      <c r="D1700" s="387" t="str">
        <f>IF(A1700="","",IFERROR(IF(VLOOKUP(A1700,'1. Inbound Leads'!A:L,12,FALSE)=0,"",VLOOKUP(A1700,'1. Inbound Leads'!A:L,12,FALSE)),""))</f>
        <v/>
      </c>
      <c r="E1700" s="388"/>
      <c r="F1700" s="389"/>
      <c r="G1700" s="387"/>
      <c r="H1700" s="387"/>
      <c r="I1700" s="387"/>
      <c r="J1700" s="387"/>
      <c r="K1700" s="387"/>
      <c r="L1700" s="387"/>
      <c r="M1700" s="388"/>
      <c r="N1700" s="388"/>
      <c r="O1700" s="390"/>
      <c r="P1700" s="391"/>
      <c r="Q1700" s="389"/>
      <c r="R1700" s="390"/>
      <c r="S1700" s="390"/>
      <c r="T1700" s="391"/>
      <c r="U1700" s="392"/>
      <c r="V1700" s="391"/>
      <c r="W1700" s="391"/>
      <c r="X1700" s="388"/>
      <c r="Y1700" s="391"/>
      <c r="Z1700" s="393"/>
      <c r="AA1700" s="355" t="str">
        <f t="shared" si="1"/>
        <v/>
      </c>
      <c r="AB1700" s="391"/>
      <c r="AC1700" s="394" t="str">
        <f t="shared" si="2"/>
        <v/>
      </c>
      <c r="AD1700" s="389"/>
      <c r="AE1700" s="399"/>
      <c r="AF1700" s="395"/>
      <c r="AG1700" s="396" t="str">
        <f t="shared" si="3"/>
        <v/>
      </c>
      <c r="AH1700" s="396" t="str">
        <f t="shared" si="4"/>
        <v/>
      </c>
      <c r="AI1700" s="388"/>
      <c r="AJ1700" s="388"/>
      <c r="AK1700" s="397"/>
    </row>
    <row r="1701">
      <c r="A1701" s="398"/>
      <c r="B1701" s="386"/>
      <c r="C1701" s="387" t="str">
        <f>IF(A1701="","",IFERROR(IF(VLOOKUP(A1701,'1. Inbound Leads'!A:G,7,FALSE)=0,"",VLOOKUP(A1701,'1. Inbound Leads'!A:G,7,FALSE)),""))</f>
        <v/>
      </c>
      <c r="D1701" s="387" t="str">
        <f>IF(A1701="","",IFERROR(IF(VLOOKUP(A1701,'1. Inbound Leads'!A:L,12,FALSE)=0,"",VLOOKUP(A1701,'1. Inbound Leads'!A:L,12,FALSE)),""))</f>
        <v/>
      </c>
      <c r="E1701" s="388"/>
      <c r="F1701" s="389"/>
      <c r="G1701" s="387"/>
      <c r="H1701" s="387"/>
      <c r="I1701" s="387"/>
      <c r="J1701" s="387"/>
      <c r="K1701" s="387"/>
      <c r="L1701" s="387"/>
      <c r="M1701" s="388"/>
      <c r="N1701" s="388"/>
      <c r="O1701" s="390"/>
      <c r="P1701" s="391"/>
      <c r="Q1701" s="389"/>
      <c r="R1701" s="390"/>
      <c r="S1701" s="390"/>
      <c r="T1701" s="391"/>
      <c r="U1701" s="392"/>
      <c r="V1701" s="391"/>
      <c r="W1701" s="391"/>
      <c r="X1701" s="388"/>
      <c r="Y1701" s="391"/>
      <c r="Z1701" s="393"/>
      <c r="AA1701" s="355" t="str">
        <f t="shared" si="1"/>
        <v/>
      </c>
      <c r="AB1701" s="391"/>
      <c r="AC1701" s="394" t="str">
        <f t="shared" si="2"/>
        <v/>
      </c>
      <c r="AD1701" s="389"/>
      <c r="AE1701" s="399"/>
      <c r="AF1701" s="395"/>
      <c r="AG1701" s="396" t="str">
        <f t="shared" si="3"/>
        <v/>
      </c>
      <c r="AH1701" s="396" t="str">
        <f t="shared" si="4"/>
        <v/>
      </c>
      <c r="AI1701" s="388"/>
      <c r="AJ1701" s="388"/>
      <c r="AK1701" s="397"/>
    </row>
    <row r="1702">
      <c r="A1702" s="398"/>
      <c r="B1702" s="386"/>
      <c r="C1702" s="387" t="str">
        <f>IF(A1702="","",IFERROR(IF(VLOOKUP(A1702,'1. Inbound Leads'!A:G,7,FALSE)=0,"",VLOOKUP(A1702,'1. Inbound Leads'!A:G,7,FALSE)),""))</f>
        <v/>
      </c>
      <c r="D1702" s="387" t="str">
        <f>IF(A1702="","",IFERROR(IF(VLOOKUP(A1702,'1. Inbound Leads'!A:L,12,FALSE)=0,"",VLOOKUP(A1702,'1. Inbound Leads'!A:L,12,FALSE)),""))</f>
        <v/>
      </c>
      <c r="E1702" s="388"/>
      <c r="F1702" s="389"/>
      <c r="G1702" s="387"/>
      <c r="H1702" s="387"/>
      <c r="I1702" s="387"/>
      <c r="J1702" s="387"/>
      <c r="K1702" s="387"/>
      <c r="L1702" s="387"/>
      <c r="M1702" s="388"/>
      <c r="N1702" s="388"/>
      <c r="O1702" s="390"/>
      <c r="P1702" s="391"/>
      <c r="Q1702" s="389"/>
      <c r="R1702" s="390"/>
      <c r="S1702" s="390"/>
      <c r="T1702" s="391"/>
      <c r="U1702" s="392"/>
      <c r="V1702" s="391"/>
      <c r="W1702" s="391"/>
      <c r="X1702" s="388"/>
      <c r="Y1702" s="391"/>
      <c r="Z1702" s="393"/>
      <c r="AA1702" s="355" t="str">
        <f t="shared" si="1"/>
        <v/>
      </c>
      <c r="AB1702" s="391"/>
      <c r="AC1702" s="394" t="str">
        <f t="shared" si="2"/>
        <v/>
      </c>
      <c r="AD1702" s="389"/>
      <c r="AE1702" s="399"/>
      <c r="AF1702" s="395"/>
      <c r="AG1702" s="396" t="str">
        <f t="shared" si="3"/>
        <v/>
      </c>
      <c r="AH1702" s="396" t="str">
        <f t="shared" si="4"/>
        <v/>
      </c>
      <c r="AI1702" s="388"/>
      <c r="AJ1702" s="388"/>
      <c r="AK1702" s="397"/>
    </row>
    <row r="1703">
      <c r="A1703" s="398"/>
      <c r="B1703" s="386"/>
      <c r="C1703" s="387" t="str">
        <f>IF(A1703="","",IFERROR(IF(VLOOKUP(A1703,'1. Inbound Leads'!A:G,7,FALSE)=0,"",VLOOKUP(A1703,'1. Inbound Leads'!A:G,7,FALSE)),""))</f>
        <v/>
      </c>
      <c r="D1703" s="387" t="str">
        <f>IF(A1703="","",IFERROR(IF(VLOOKUP(A1703,'1. Inbound Leads'!A:L,12,FALSE)=0,"",VLOOKUP(A1703,'1. Inbound Leads'!A:L,12,FALSE)),""))</f>
        <v/>
      </c>
      <c r="E1703" s="388"/>
      <c r="F1703" s="389"/>
      <c r="G1703" s="387"/>
      <c r="H1703" s="387"/>
      <c r="I1703" s="387"/>
      <c r="J1703" s="387"/>
      <c r="K1703" s="387"/>
      <c r="L1703" s="387"/>
      <c r="M1703" s="388"/>
      <c r="N1703" s="388"/>
      <c r="O1703" s="390"/>
      <c r="P1703" s="391"/>
      <c r="Q1703" s="389"/>
      <c r="R1703" s="390"/>
      <c r="S1703" s="390"/>
      <c r="T1703" s="391"/>
      <c r="U1703" s="392"/>
      <c r="V1703" s="391"/>
      <c r="W1703" s="391"/>
      <c r="X1703" s="388"/>
      <c r="Y1703" s="391"/>
      <c r="Z1703" s="393"/>
      <c r="AA1703" s="355" t="str">
        <f t="shared" si="1"/>
        <v/>
      </c>
      <c r="AB1703" s="391"/>
      <c r="AC1703" s="394" t="str">
        <f t="shared" si="2"/>
        <v/>
      </c>
      <c r="AD1703" s="389"/>
      <c r="AE1703" s="399"/>
      <c r="AF1703" s="395"/>
      <c r="AG1703" s="396" t="str">
        <f t="shared" si="3"/>
        <v/>
      </c>
      <c r="AH1703" s="396" t="str">
        <f t="shared" si="4"/>
        <v/>
      </c>
      <c r="AI1703" s="388"/>
      <c r="AJ1703" s="388"/>
      <c r="AK1703" s="397"/>
    </row>
    <row r="1704">
      <c r="A1704" s="398"/>
      <c r="B1704" s="386"/>
      <c r="C1704" s="387" t="str">
        <f>IF(A1704="","",IFERROR(IF(VLOOKUP(A1704,'1. Inbound Leads'!A:G,7,FALSE)=0,"",VLOOKUP(A1704,'1. Inbound Leads'!A:G,7,FALSE)),""))</f>
        <v/>
      </c>
      <c r="D1704" s="387" t="str">
        <f>IF(A1704="","",IFERROR(IF(VLOOKUP(A1704,'1. Inbound Leads'!A:L,12,FALSE)=0,"",VLOOKUP(A1704,'1. Inbound Leads'!A:L,12,FALSE)),""))</f>
        <v/>
      </c>
      <c r="E1704" s="388"/>
      <c r="F1704" s="389"/>
      <c r="G1704" s="387"/>
      <c r="H1704" s="387"/>
      <c r="I1704" s="387"/>
      <c r="J1704" s="387"/>
      <c r="K1704" s="387"/>
      <c r="L1704" s="387"/>
      <c r="M1704" s="388"/>
      <c r="N1704" s="388"/>
      <c r="O1704" s="390"/>
      <c r="P1704" s="391"/>
      <c r="Q1704" s="389"/>
      <c r="R1704" s="390"/>
      <c r="S1704" s="390"/>
      <c r="T1704" s="391"/>
      <c r="U1704" s="392"/>
      <c r="V1704" s="391"/>
      <c r="W1704" s="391"/>
      <c r="X1704" s="388"/>
      <c r="Y1704" s="391"/>
      <c r="Z1704" s="393"/>
      <c r="AA1704" s="355" t="str">
        <f t="shared" si="1"/>
        <v/>
      </c>
      <c r="AB1704" s="391"/>
      <c r="AC1704" s="394" t="str">
        <f t="shared" si="2"/>
        <v/>
      </c>
      <c r="AD1704" s="389"/>
      <c r="AE1704" s="399"/>
      <c r="AF1704" s="395"/>
      <c r="AG1704" s="396" t="str">
        <f t="shared" si="3"/>
        <v/>
      </c>
      <c r="AH1704" s="396" t="str">
        <f t="shared" si="4"/>
        <v/>
      </c>
      <c r="AI1704" s="388"/>
      <c r="AJ1704" s="388"/>
      <c r="AK1704" s="397"/>
    </row>
    <row r="1705">
      <c r="A1705" s="398"/>
      <c r="B1705" s="386"/>
      <c r="C1705" s="387" t="str">
        <f>IF(A1705="","",IFERROR(IF(VLOOKUP(A1705,'1. Inbound Leads'!A:G,7,FALSE)=0,"",VLOOKUP(A1705,'1. Inbound Leads'!A:G,7,FALSE)),""))</f>
        <v/>
      </c>
      <c r="D1705" s="387" t="str">
        <f>IF(A1705="","",IFERROR(IF(VLOOKUP(A1705,'1. Inbound Leads'!A:L,12,FALSE)=0,"",VLOOKUP(A1705,'1. Inbound Leads'!A:L,12,FALSE)),""))</f>
        <v/>
      </c>
      <c r="E1705" s="388"/>
      <c r="F1705" s="389"/>
      <c r="G1705" s="387"/>
      <c r="H1705" s="387"/>
      <c r="I1705" s="387"/>
      <c r="J1705" s="387"/>
      <c r="K1705" s="387"/>
      <c r="L1705" s="387"/>
      <c r="M1705" s="388"/>
      <c r="N1705" s="388"/>
      <c r="O1705" s="390"/>
      <c r="P1705" s="391"/>
      <c r="Q1705" s="389"/>
      <c r="R1705" s="390"/>
      <c r="S1705" s="390"/>
      <c r="T1705" s="391"/>
      <c r="U1705" s="392"/>
      <c r="V1705" s="391"/>
      <c r="W1705" s="391"/>
      <c r="X1705" s="388"/>
      <c r="Y1705" s="391"/>
      <c r="Z1705" s="393"/>
      <c r="AA1705" s="355" t="str">
        <f t="shared" si="1"/>
        <v/>
      </c>
      <c r="AB1705" s="391"/>
      <c r="AC1705" s="394" t="str">
        <f t="shared" si="2"/>
        <v/>
      </c>
      <c r="AD1705" s="389"/>
      <c r="AE1705" s="399"/>
      <c r="AF1705" s="395"/>
      <c r="AG1705" s="396" t="str">
        <f t="shared" si="3"/>
        <v/>
      </c>
      <c r="AH1705" s="396" t="str">
        <f t="shared" si="4"/>
        <v/>
      </c>
      <c r="AI1705" s="388"/>
      <c r="AJ1705" s="388"/>
      <c r="AK1705" s="397"/>
    </row>
    <row r="1706">
      <c r="A1706" s="398"/>
      <c r="B1706" s="386"/>
      <c r="C1706" s="387" t="str">
        <f>IF(A1706="","",IFERROR(IF(VLOOKUP(A1706,'1. Inbound Leads'!A:G,7,FALSE)=0,"",VLOOKUP(A1706,'1. Inbound Leads'!A:G,7,FALSE)),""))</f>
        <v/>
      </c>
      <c r="D1706" s="387" t="str">
        <f>IF(A1706="","",IFERROR(IF(VLOOKUP(A1706,'1. Inbound Leads'!A:L,12,FALSE)=0,"",VLOOKUP(A1706,'1. Inbound Leads'!A:L,12,FALSE)),""))</f>
        <v/>
      </c>
      <c r="E1706" s="388"/>
      <c r="F1706" s="389"/>
      <c r="G1706" s="387"/>
      <c r="H1706" s="387"/>
      <c r="I1706" s="387"/>
      <c r="J1706" s="387"/>
      <c r="K1706" s="387"/>
      <c r="L1706" s="387"/>
      <c r="M1706" s="388"/>
      <c r="N1706" s="388"/>
      <c r="O1706" s="390"/>
      <c r="P1706" s="391"/>
      <c r="Q1706" s="389"/>
      <c r="R1706" s="390"/>
      <c r="S1706" s="390"/>
      <c r="T1706" s="391"/>
      <c r="U1706" s="392"/>
      <c r="V1706" s="391"/>
      <c r="W1706" s="391"/>
      <c r="X1706" s="388"/>
      <c r="Y1706" s="391"/>
      <c r="Z1706" s="393"/>
      <c r="AA1706" s="355" t="str">
        <f t="shared" si="1"/>
        <v/>
      </c>
      <c r="AB1706" s="391"/>
      <c r="AC1706" s="394" t="str">
        <f t="shared" si="2"/>
        <v/>
      </c>
      <c r="AD1706" s="389"/>
      <c r="AE1706" s="399"/>
      <c r="AF1706" s="395"/>
      <c r="AG1706" s="396" t="str">
        <f t="shared" si="3"/>
        <v/>
      </c>
      <c r="AH1706" s="396" t="str">
        <f t="shared" si="4"/>
        <v/>
      </c>
      <c r="AI1706" s="388"/>
      <c r="AJ1706" s="388"/>
      <c r="AK1706" s="397"/>
    </row>
    <row r="1707">
      <c r="A1707" s="398"/>
      <c r="B1707" s="386"/>
      <c r="C1707" s="387" t="str">
        <f>IF(A1707="","",IFERROR(IF(VLOOKUP(A1707,'1. Inbound Leads'!A:G,7,FALSE)=0,"",VLOOKUP(A1707,'1. Inbound Leads'!A:G,7,FALSE)),""))</f>
        <v/>
      </c>
      <c r="D1707" s="387" t="str">
        <f>IF(A1707="","",IFERROR(IF(VLOOKUP(A1707,'1. Inbound Leads'!A:L,12,FALSE)=0,"",VLOOKUP(A1707,'1. Inbound Leads'!A:L,12,FALSE)),""))</f>
        <v/>
      </c>
      <c r="E1707" s="388"/>
      <c r="F1707" s="389"/>
      <c r="G1707" s="387"/>
      <c r="H1707" s="387"/>
      <c r="I1707" s="387"/>
      <c r="J1707" s="387"/>
      <c r="K1707" s="387"/>
      <c r="L1707" s="387"/>
      <c r="M1707" s="388"/>
      <c r="N1707" s="388"/>
      <c r="O1707" s="390"/>
      <c r="P1707" s="391"/>
      <c r="Q1707" s="389"/>
      <c r="R1707" s="390"/>
      <c r="S1707" s="390"/>
      <c r="T1707" s="391"/>
      <c r="U1707" s="392"/>
      <c r="V1707" s="391"/>
      <c r="W1707" s="391"/>
      <c r="X1707" s="388"/>
      <c r="Y1707" s="391"/>
      <c r="Z1707" s="393"/>
      <c r="AA1707" s="355" t="str">
        <f t="shared" si="1"/>
        <v/>
      </c>
      <c r="AB1707" s="391"/>
      <c r="AC1707" s="394" t="str">
        <f t="shared" si="2"/>
        <v/>
      </c>
      <c r="AD1707" s="389"/>
      <c r="AE1707" s="399"/>
      <c r="AF1707" s="395"/>
      <c r="AG1707" s="396" t="str">
        <f t="shared" si="3"/>
        <v/>
      </c>
      <c r="AH1707" s="396" t="str">
        <f t="shared" si="4"/>
        <v/>
      </c>
      <c r="AI1707" s="388"/>
      <c r="AJ1707" s="388"/>
      <c r="AK1707" s="397"/>
    </row>
    <row r="1708">
      <c r="A1708" s="398"/>
      <c r="B1708" s="386"/>
      <c r="C1708" s="387" t="str">
        <f>IF(A1708="","",IFERROR(IF(VLOOKUP(A1708,'1. Inbound Leads'!A:G,7,FALSE)=0,"",VLOOKUP(A1708,'1. Inbound Leads'!A:G,7,FALSE)),""))</f>
        <v/>
      </c>
      <c r="D1708" s="387" t="str">
        <f>IF(A1708="","",IFERROR(IF(VLOOKUP(A1708,'1. Inbound Leads'!A:L,12,FALSE)=0,"",VLOOKUP(A1708,'1. Inbound Leads'!A:L,12,FALSE)),""))</f>
        <v/>
      </c>
      <c r="E1708" s="388"/>
      <c r="F1708" s="389"/>
      <c r="G1708" s="387"/>
      <c r="H1708" s="387"/>
      <c r="I1708" s="387"/>
      <c r="J1708" s="387"/>
      <c r="K1708" s="387"/>
      <c r="L1708" s="387"/>
      <c r="M1708" s="388"/>
      <c r="N1708" s="388"/>
      <c r="O1708" s="390"/>
      <c r="P1708" s="391"/>
      <c r="Q1708" s="389"/>
      <c r="R1708" s="390"/>
      <c r="S1708" s="390"/>
      <c r="T1708" s="391"/>
      <c r="U1708" s="392"/>
      <c r="V1708" s="391"/>
      <c r="W1708" s="391"/>
      <c r="X1708" s="388"/>
      <c r="Y1708" s="391"/>
      <c r="Z1708" s="393"/>
      <c r="AA1708" s="355" t="str">
        <f t="shared" si="1"/>
        <v/>
      </c>
      <c r="AB1708" s="391"/>
      <c r="AC1708" s="394" t="str">
        <f t="shared" si="2"/>
        <v/>
      </c>
      <c r="AD1708" s="389"/>
      <c r="AE1708" s="399"/>
      <c r="AF1708" s="395"/>
      <c r="AG1708" s="396" t="str">
        <f t="shared" si="3"/>
        <v/>
      </c>
      <c r="AH1708" s="396" t="str">
        <f t="shared" si="4"/>
        <v/>
      </c>
      <c r="AI1708" s="388"/>
      <c r="AJ1708" s="388"/>
      <c r="AK1708" s="397"/>
    </row>
    <row r="1709">
      <c r="A1709" s="398"/>
      <c r="B1709" s="386"/>
      <c r="C1709" s="387" t="str">
        <f>IF(A1709="","",IFERROR(IF(VLOOKUP(A1709,'1. Inbound Leads'!A:G,7,FALSE)=0,"",VLOOKUP(A1709,'1. Inbound Leads'!A:G,7,FALSE)),""))</f>
        <v/>
      </c>
      <c r="D1709" s="387" t="str">
        <f>IF(A1709="","",IFERROR(IF(VLOOKUP(A1709,'1. Inbound Leads'!A:L,12,FALSE)=0,"",VLOOKUP(A1709,'1. Inbound Leads'!A:L,12,FALSE)),""))</f>
        <v/>
      </c>
      <c r="E1709" s="388"/>
      <c r="F1709" s="389"/>
      <c r="G1709" s="387"/>
      <c r="H1709" s="387"/>
      <c r="I1709" s="387"/>
      <c r="J1709" s="387"/>
      <c r="K1709" s="387"/>
      <c r="L1709" s="387"/>
      <c r="M1709" s="388"/>
      <c r="N1709" s="388"/>
      <c r="O1709" s="390"/>
      <c r="P1709" s="391"/>
      <c r="Q1709" s="389"/>
      <c r="R1709" s="390"/>
      <c r="S1709" s="390"/>
      <c r="T1709" s="391"/>
      <c r="U1709" s="392"/>
      <c r="V1709" s="391"/>
      <c r="W1709" s="391"/>
      <c r="X1709" s="388"/>
      <c r="Y1709" s="391"/>
      <c r="Z1709" s="393"/>
      <c r="AA1709" s="355" t="str">
        <f t="shared" si="1"/>
        <v/>
      </c>
      <c r="AB1709" s="391"/>
      <c r="AC1709" s="394" t="str">
        <f t="shared" si="2"/>
        <v/>
      </c>
      <c r="AD1709" s="389"/>
      <c r="AE1709" s="399"/>
      <c r="AF1709" s="395"/>
      <c r="AG1709" s="396" t="str">
        <f t="shared" si="3"/>
        <v/>
      </c>
      <c r="AH1709" s="396" t="str">
        <f t="shared" si="4"/>
        <v/>
      </c>
      <c r="AI1709" s="388"/>
      <c r="AJ1709" s="388"/>
      <c r="AK1709" s="397"/>
    </row>
    <row r="1710">
      <c r="A1710" s="398"/>
      <c r="B1710" s="386"/>
      <c r="C1710" s="387" t="str">
        <f>IF(A1710="","",IFERROR(IF(VLOOKUP(A1710,'1. Inbound Leads'!A:G,7,FALSE)=0,"",VLOOKUP(A1710,'1. Inbound Leads'!A:G,7,FALSE)),""))</f>
        <v/>
      </c>
      <c r="D1710" s="387" t="str">
        <f>IF(A1710="","",IFERROR(IF(VLOOKUP(A1710,'1. Inbound Leads'!A:L,12,FALSE)=0,"",VLOOKUP(A1710,'1. Inbound Leads'!A:L,12,FALSE)),""))</f>
        <v/>
      </c>
      <c r="E1710" s="388"/>
      <c r="F1710" s="389"/>
      <c r="G1710" s="387"/>
      <c r="H1710" s="387"/>
      <c r="I1710" s="387"/>
      <c r="J1710" s="387"/>
      <c r="K1710" s="387"/>
      <c r="L1710" s="387"/>
      <c r="M1710" s="388"/>
      <c r="N1710" s="388"/>
      <c r="O1710" s="390"/>
      <c r="P1710" s="391"/>
      <c r="Q1710" s="389"/>
      <c r="R1710" s="390"/>
      <c r="S1710" s="390"/>
      <c r="T1710" s="391"/>
      <c r="U1710" s="392"/>
      <c r="V1710" s="391"/>
      <c r="W1710" s="391"/>
      <c r="X1710" s="388"/>
      <c r="Y1710" s="391"/>
      <c r="Z1710" s="393"/>
      <c r="AA1710" s="355" t="str">
        <f t="shared" si="1"/>
        <v/>
      </c>
      <c r="AB1710" s="391"/>
      <c r="AC1710" s="394" t="str">
        <f t="shared" si="2"/>
        <v/>
      </c>
      <c r="AD1710" s="389"/>
      <c r="AE1710" s="399"/>
      <c r="AF1710" s="395"/>
      <c r="AG1710" s="396" t="str">
        <f t="shared" si="3"/>
        <v/>
      </c>
      <c r="AH1710" s="396" t="str">
        <f t="shared" si="4"/>
        <v/>
      </c>
      <c r="AI1710" s="388"/>
      <c r="AJ1710" s="388"/>
      <c r="AK1710" s="397"/>
    </row>
    <row r="1711">
      <c r="A1711" s="398"/>
      <c r="B1711" s="386"/>
      <c r="C1711" s="387" t="str">
        <f>IF(A1711="","",IFERROR(IF(VLOOKUP(A1711,'1. Inbound Leads'!A:G,7,FALSE)=0,"",VLOOKUP(A1711,'1. Inbound Leads'!A:G,7,FALSE)),""))</f>
        <v/>
      </c>
      <c r="D1711" s="387" t="str">
        <f>IF(A1711="","",IFERROR(IF(VLOOKUP(A1711,'1. Inbound Leads'!A:L,12,FALSE)=0,"",VLOOKUP(A1711,'1. Inbound Leads'!A:L,12,FALSE)),""))</f>
        <v/>
      </c>
      <c r="E1711" s="388"/>
      <c r="F1711" s="389"/>
      <c r="G1711" s="387"/>
      <c r="H1711" s="387"/>
      <c r="I1711" s="387"/>
      <c r="J1711" s="387"/>
      <c r="K1711" s="387"/>
      <c r="L1711" s="387"/>
      <c r="M1711" s="388"/>
      <c r="N1711" s="388"/>
      <c r="O1711" s="390"/>
      <c r="P1711" s="391"/>
      <c r="Q1711" s="389"/>
      <c r="R1711" s="390"/>
      <c r="S1711" s="390"/>
      <c r="T1711" s="391"/>
      <c r="U1711" s="392"/>
      <c r="V1711" s="391"/>
      <c r="W1711" s="391"/>
      <c r="X1711" s="388"/>
      <c r="Y1711" s="391"/>
      <c r="Z1711" s="393"/>
      <c r="AA1711" s="355" t="str">
        <f t="shared" si="1"/>
        <v/>
      </c>
      <c r="AB1711" s="391"/>
      <c r="AC1711" s="394" t="str">
        <f t="shared" si="2"/>
        <v/>
      </c>
      <c r="AD1711" s="389"/>
      <c r="AE1711" s="399"/>
      <c r="AF1711" s="395"/>
      <c r="AG1711" s="396" t="str">
        <f t="shared" si="3"/>
        <v/>
      </c>
      <c r="AH1711" s="396" t="str">
        <f t="shared" si="4"/>
        <v/>
      </c>
      <c r="AI1711" s="388"/>
      <c r="AJ1711" s="388"/>
      <c r="AK1711" s="397"/>
    </row>
    <row r="1712">
      <c r="A1712" s="398"/>
      <c r="B1712" s="386"/>
      <c r="C1712" s="387" t="str">
        <f>IF(A1712="","",IFERROR(IF(VLOOKUP(A1712,'1. Inbound Leads'!A:G,7,FALSE)=0,"",VLOOKUP(A1712,'1. Inbound Leads'!A:G,7,FALSE)),""))</f>
        <v/>
      </c>
      <c r="D1712" s="387" t="str">
        <f>IF(A1712="","",IFERROR(IF(VLOOKUP(A1712,'1. Inbound Leads'!A:L,12,FALSE)=0,"",VLOOKUP(A1712,'1. Inbound Leads'!A:L,12,FALSE)),""))</f>
        <v/>
      </c>
      <c r="E1712" s="388"/>
      <c r="F1712" s="389"/>
      <c r="G1712" s="387"/>
      <c r="H1712" s="387"/>
      <c r="I1712" s="387"/>
      <c r="J1712" s="387"/>
      <c r="K1712" s="387"/>
      <c r="L1712" s="387"/>
      <c r="M1712" s="388"/>
      <c r="N1712" s="388"/>
      <c r="O1712" s="390"/>
      <c r="P1712" s="391"/>
      <c r="Q1712" s="389"/>
      <c r="R1712" s="390"/>
      <c r="S1712" s="390"/>
      <c r="T1712" s="391"/>
      <c r="U1712" s="392"/>
      <c r="V1712" s="391"/>
      <c r="W1712" s="391"/>
      <c r="X1712" s="388"/>
      <c r="Y1712" s="391"/>
      <c r="Z1712" s="393"/>
      <c r="AA1712" s="355" t="str">
        <f t="shared" si="1"/>
        <v/>
      </c>
      <c r="AB1712" s="391"/>
      <c r="AC1712" s="394" t="str">
        <f t="shared" si="2"/>
        <v/>
      </c>
      <c r="AD1712" s="389"/>
      <c r="AE1712" s="399"/>
      <c r="AF1712" s="395"/>
      <c r="AG1712" s="396" t="str">
        <f t="shared" si="3"/>
        <v/>
      </c>
      <c r="AH1712" s="396" t="str">
        <f t="shared" si="4"/>
        <v/>
      </c>
      <c r="AI1712" s="388"/>
      <c r="AJ1712" s="388"/>
      <c r="AK1712" s="397"/>
    </row>
    <row r="1713">
      <c r="A1713" s="398"/>
      <c r="B1713" s="386"/>
      <c r="C1713" s="387" t="str">
        <f>IF(A1713="","",IFERROR(IF(VLOOKUP(A1713,'1. Inbound Leads'!A:G,7,FALSE)=0,"",VLOOKUP(A1713,'1. Inbound Leads'!A:G,7,FALSE)),""))</f>
        <v/>
      </c>
      <c r="D1713" s="387" t="str">
        <f>IF(A1713="","",IFERROR(IF(VLOOKUP(A1713,'1. Inbound Leads'!A:L,12,FALSE)=0,"",VLOOKUP(A1713,'1. Inbound Leads'!A:L,12,FALSE)),""))</f>
        <v/>
      </c>
      <c r="E1713" s="388"/>
      <c r="F1713" s="389"/>
      <c r="G1713" s="387"/>
      <c r="H1713" s="387"/>
      <c r="I1713" s="387"/>
      <c r="J1713" s="387"/>
      <c r="K1713" s="387"/>
      <c r="L1713" s="387"/>
      <c r="M1713" s="388"/>
      <c r="N1713" s="388"/>
      <c r="O1713" s="390"/>
      <c r="P1713" s="391"/>
      <c r="Q1713" s="389"/>
      <c r="R1713" s="390"/>
      <c r="S1713" s="390"/>
      <c r="T1713" s="391"/>
      <c r="U1713" s="392"/>
      <c r="V1713" s="391"/>
      <c r="W1713" s="391"/>
      <c r="X1713" s="388"/>
      <c r="Y1713" s="391"/>
      <c r="Z1713" s="393"/>
      <c r="AA1713" s="355" t="str">
        <f t="shared" si="1"/>
        <v/>
      </c>
      <c r="AB1713" s="391"/>
      <c r="AC1713" s="394" t="str">
        <f t="shared" si="2"/>
        <v/>
      </c>
      <c r="AD1713" s="389"/>
      <c r="AE1713" s="399"/>
      <c r="AF1713" s="395"/>
      <c r="AG1713" s="396" t="str">
        <f t="shared" si="3"/>
        <v/>
      </c>
      <c r="AH1713" s="396" t="str">
        <f t="shared" si="4"/>
        <v/>
      </c>
      <c r="AI1713" s="388"/>
      <c r="AJ1713" s="388"/>
      <c r="AK1713" s="397"/>
    </row>
    <row r="1714">
      <c r="A1714" s="398"/>
      <c r="B1714" s="386"/>
      <c r="C1714" s="387" t="str">
        <f>IF(A1714="","",IFERROR(IF(VLOOKUP(A1714,'1. Inbound Leads'!A:G,7,FALSE)=0,"",VLOOKUP(A1714,'1. Inbound Leads'!A:G,7,FALSE)),""))</f>
        <v/>
      </c>
      <c r="D1714" s="387" t="str">
        <f>IF(A1714="","",IFERROR(IF(VLOOKUP(A1714,'1. Inbound Leads'!A:L,12,FALSE)=0,"",VLOOKUP(A1714,'1. Inbound Leads'!A:L,12,FALSE)),""))</f>
        <v/>
      </c>
      <c r="E1714" s="388"/>
      <c r="F1714" s="389"/>
      <c r="G1714" s="387"/>
      <c r="H1714" s="387"/>
      <c r="I1714" s="387"/>
      <c r="J1714" s="387"/>
      <c r="K1714" s="387"/>
      <c r="L1714" s="387"/>
      <c r="M1714" s="388"/>
      <c r="N1714" s="388"/>
      <c r="O1714" s="390"/>
      <c r="P1714" s="391"/>
      <c r="Q1714" s="389"/>
      <c r="R1714" s="390"/>
      <c r="S1714" s="390"/>
      <c r="T1714" s="391"/>
      <c r="U1714" s="392"/>
      <c r="V1714" s="391"/>
      <c r="W1714" s="391"/>
      <c r="X1714" s="388"/>
      <c r="Y1714" s="391"/>
      <c r="Z1714" s="393"/>
      <c r="AA1714" s="355" t="str">
        <f t="shared" si="1"/>
        <v/>
      </c>
      <c r="AB1714" s="391"/>
      <c r="AC1714" s="394" t="str">
        <f t="shared" si="2"/>
        <v/>
      </c>
      <c r="AD1714" s="389"/>
      <c r="AE1714" s="399"/>
      <c r="AF1714" s="395"/>
      <c r="AG1714" s="396" t="str">
        <f t="shared" si="3"/>
        <v/>
      </c>
      <c r="AH1714" s="396" t="str">
        <f t="shared" si="4"/>
        <v/>
      </c>
      <c r="AI1714" s="388"/>
      <c r="AJ1714" s="388"/>
      <c r="AK1714" s="397"/>
    </row>
    <row r="1715">
      <c r="A1715" s="398"/>
      <c r="B1715" s="386"/>
      <c r="C1715" s="387" t="str">
        <f>IF(A1715="","",IFERROR(IF(VLOOKUP(A1715,'1. Inbound Leads'!A:G,7,FALSE)=0,"",VLOOKUP(A1715,'1. Inbound Leads'!A:G,7,FALSE)),""))</f>
        <v/>
      </c>
      <c r="D1715" s="387" t="str">
        <f>IF(A1715="","",IFERROR(IF(VLOOKUP(A1715,'1. Inbound Leads'!A:L,12,FALSE)=0,"",VLOOKUP(A1715,'1. Inbound Leads'!A:L,12,FALSE)),""))</f>
        <v/>
      </c>
      <c r="E1715" s="388"/>
      <c r="F1715" s="389"/>
      <c r="G1715" s="387"/>
      <c r="H1715" s="387"/>
      <c r="I1715" s="387"/>
      <c r="J1715" s="387"/>
      <c r="K1715" s="387"/>
      <c r="L1715" s="387"/>
      <c r="M1715" s="388"/>
      <c r="N1715" s="388"/>
      <c r="O1715" s="390"/>
      <c r="P1715" s="391"/>
      <c r="Q1715" s="389"/>
      <c r="R1715" s="390"/>
      <c r="S1715" s="390"/>
      <c r="T1715" s="391"/>
      <c r="U1715" s="392"/>
      <c r="V1715" s="391"/>
      <c r="W1715" s="391"/>
      <c r="X1715" s="388"/>
      <c r="Y1715" s="391"/>
      <c r="Z1715" s="393"/>
      <c r="AA1715" s="355" t="str">
        <f t="shared" si="1"/>
        <v/>
      </c>
      <c r="AB1715" s="391"/>
      <c r="AC1715" s="394" t="str">
        <f t="shared" si="2"/>
        <v/>
      </c>
      <c r="AD1715" s="389"/>
      <c r="AE1715" s="399"/>
      <c r="AF1715" s="395"/>
      <c r="AG1715" s="396" t="str">
        <f t="shared" si="3"/>
        <v/>
      </c>
      <c r="AH1715" s="396" t="str">
        <f t="shared" si="4"/>
        <v/>
      </c>
      <c r="AI1715" s="388"/>
      <c r="AJ1715" s="388"/>
      <c r="AK1715" s="397"/>
    </row>
    <row r="1716">
      <c r="A1716" s="398"/>
      <c r="B1716" s="386"/>
      <c r="C1716" s="387" t="str">
        <f>IF(A1716="","",IFERROR(IF(VLOOKUP(A1716,'1. Inbound Leads'!A:G,7,FALSE)=0,"",VLOOKUP(A1716,'1. Inbound Leads'!A:G,7,FALSE)),""))</f>
        <v/>
      </c>
      <c r="D1716" s="387" t="str">
        <f>IF(A1716="","",IFERROR(IF(VLOOKUP(A1716,'1. Inbound Leads'!A:L,12,FALSE)=0,"",VLOOKUP(A1716,'1. Inbound Leads'!A:L,12,FALSE)),""))</f>
        <v/>
      </c>
      <c r="E1716" s="388"/>
      <c r="F1716" s="389"/>
      <c r="G1716" s="387"/>
      <c r="H1716" s="387"/>
      <c r="I1716" s="387"/>
      <c r="J1716" s="387"/>
      <c r="K1716" s="387"/>
      <c r="L1716" s="387"/>
      <c r="M1716" s="388"/>
      <c r="N1716" s="388"/>
      <c r="O1716" s="390"/>
      <c r="P1716" s="391"/>
      <c r="Q1716" s="389"/>
      <c r="R1716" s="390"/>
      <c r="S1716" s="390"/>
      <c r="T1716" s="391"/>
      <c r="U1716" s="392"/>
      <c r="V1716" s="391"/>
      <c r="W1716" s="391"/>
      <c r="X1716" s="388"/>
      <c r="Y1716" s="391"/>
      <c r="Z1716" s="393"/>
      <c r="AA1716" s="355" t="str">
        <f t="shared" si="1"/>
        <v/>
      </c>
      <c r="AB1716" s="391"/>
      <c r="AC1716" s="394" t="str">
        <f t="shared" si="2"/>
        <v/>
      </c>
      <c r="AD1716" s="389"/>
      <c r="AE1716" s="399"/>
      <c r="AF1716" s="395"/>
      <c r="AG1716" s="396" t="str">
        <f t="shared" si="3"/>
        <v/>
      </c>
      <c r="AH1716" s="396" t="str">
        <f t="shared" si="4"/>
        <v/>
      </c>
      <c r="AI1716" s="388"/>
      <c r="AJ1716" s="388"/>
      <c r="AK1716" s="397"/>
    </row>
    <row r="1717">
      <c r="A1717" s="398"/>
      <c r="B1717" s="386"/>
      <c r="C1717" s="387" t="str">
        <f>IF(A1717="","",IFERROR(IF(VLOOKUP(A1717,'1. Inbound Leads'!A:G,7,FALSE)=0,"",VLOOKUP(A1717,'1. Inbound Leads'!A:G,7,FALSE)),""))</f>
        <v/>
      </c>
      <c r="D1717" s="387" t="str">
        <f>IF(A1717="","",IFERROR(IF(VLOOKUP(A1717,'1. Inbound Leads'!A:L,12,FALSE)=0,"",VLOOKUP(A1717,'1. Inbound Leads'!A:L,12,FALSE)),""))</f>
        <v/>
      </c>
      <c r="E1717" s="388"/>
      <c r="F1717" s="389"/>
      <c r="G1717" s="387"/>
      <c r="H1717" s="387"/>
      <c r="I1717" s="387"/>
      <c r="J1717" s="387"/>
      <c r="K1717" s="387"/>
      <c r="L1717" s="387"/>
      <c r="M1717" s="388"/>
      <c r="N1717" s="388"/>
      <c r="O1717" s="390"/>
      <c r="P1717" s="391"/>
      <c r="Q1717" s="389"/>
      <c r="R1717" s="390"/>
      <c r="S1717" s="390"/>
      <c r="T1717" s="391"/>
      <c r="U1717" s="392"/>
      <c r="V1717" s="391"/>
      <c r="W1717" s="391"/>
      <c r="X1717" s="388"/>
      <c r="Y1717" s="391"/>
      <c r="Z1717" s="393"/>
      <c r="AA1717" s="355" t="str">
        <f t="shared" si="1"/>
        <v/>
      </c>
      <c r="AB1717" s="391"/>
      <c r="AC1717" s="394" t="str">
        <f t="shared" si="2"/>
        <v/>
      </c>
      <c r="AD1717" s="389"/>
      <c r="AE1717" s="399"/>
      <c r="AF1717" s="395"/>
      <c r="AG1717" s="396" t="str">
        <f t="shared" si="3"/>
        <v/>
      </c>
      <c r="AH1717" s="396" t="str">
        <f t="shared" si="4"/>
        <v/>
      </c>
      <c r="AI1717" s="388"/>
      <c r="AJ1717" s="388"/>
      <c r="AK1717" s="397"/>
    </row>
    <row r="1718">
      <c r="A1718" s="398"/>
      <c r="B1718" s="386"/>
      <c r="C1718" s="387" t="str">
        <f>IF(A1718="","",IFERROR(IF(VLOOKUP(A1718,'1. Inbound Leads'!A:G,7,FALSE)=0,"",VLOOKUP(A1718,'1. Inbound Leads'!A:G,7,FALSE)),""))</f>
        <v/>
      </c>
      <c r="D1718" s="387" t="str">
        <f>IF(A1718="","",IFERROR(IF(VLOOKUP(A1718,'1. Inbound Leads'!A:L,12,FALSE)=0,"",VLOOKUP(A1718,'1. Inbound Leads'!A:L,12,FALSE)),""))</f>
        <v/>
      </c>
      <c r="E1718" s="388"/>
      <c r="F1718" s="389"/>
      <c r="G1718" s="387"/>
      <c r="H1718" s="387"/>
      <c r="I1718" s="387"/>
      <c r="J1718" s="387"/>
      <c r="K1718" s="387"/>
      <c r="L1718" s="387"/>
      <c r="M1718" s="388"/>
      <c r="N1718" s="388"/>
      <c r="O1718" s="390"/>
      <c r="P1718" s="391"/>
      <c r="Q1718" s="389"/>
      <c r="R1718" s="390"/>
      <c r="S1718" s="390"/>
      <c r="T1718" s="391"/>
      <c r="U1718" s="392"/>
      <c r="V1718" s="391"/>
      <c r="W1718" s="391"/>
      <c r="X1718" s="388"/>
      <c r="Y1718" s="391"/>
      <c r="Z1718" s="393"/>
      <c r="AA1718" s="355" t="str">
        <f t="shared" si="1"/>
        <v/>
      </c>
      <c r="AB1718" s="391"/>
      <c r="AC1718" s="394" t="str">
        <f t="shared" si="2"/>
        <v/>
      </c>
      <c r="AD1718" s="389"/>
      <c r="AE1718" s="399"/>
      <c r="AF1718" s="395"/>
      <c r="AG1718" s="396" t="str">
        <f t="shared" si="3"/>
        <v/>
      </c>
      <c r="AH1718" s="396" t="str">
        <f t="shared" si="4"/>
        <v/>
      </c>
      <c r="AI1718" s="388"/>
      <c r="AJ1718" s="388"/>
      <c r="AK1718" s="397"/>
    </row>
    <row r="1719">
      <c r="A1719" s="398"/>
      <c r="B1719" s="386"/>
      <c r="C1719" s="387" t="str">
        <f>IF(A1719="","",IFERROR(IF(VLOOKUP(A1719,'1. Inbound Leads'!A:G,7,FALSE)=0,"",VLOOKUP(A1719,'1. Inbound Leads'!A:G,7,FALSE)),""))</f>
        <v/>
      </c>
      <c r="D1719" s="387" t="str">
        <f>IF(A1719="","",IFERROR(IF(VLOOKUP(A1719,'1. Inbound Leads'!A:L,12,FALSE)=0,"",VLOOKUP(A1719,'1. Inbound Leads'!A:L,12,FALSE)),""))</f>
        <v/>
      </c>
      <c r="E1719" s="388"/>
      <c r="F1719" s="389"/>
      <c r="G1719" s="387"/>
      <c r="H1719" s="387"/>
      <c r="I1719" s="387"/>
      <c r="J1719" s="387"/>
      <c r="K1719" s="387"/>
      <c r="L1719" s="387"/>
      <c r="M1719" s="388"/>
      <c r="N1719" s="388"/>
      <c r="O1719" s="390"/>
      <c r="P1719" s="391"/>
      <c r="Q1719" s="389"/>
      <c r="R1719" s="390"/>
      <c r="S1719" s="390"/>
      <c r="T1719" s="391"/>
      <c r="U1719" s="392"/>
      <c r="V1719" s="391"/>
      <c r="W1719" s="391"/>
      <c r="X1719" s="388"/>
      <c r="Y1719" s="391"/>
      <c r="Z1719" s="393"/>
      <c r="AA1719" s="355" t="str">
        <f t="shared" si="1"/>
        <v/>
      </c>
      <c r="AB1719" s="391"/>
      <c r="AC1719" s="394" t="str">
        <f t="shared" si="2"/>
        <v/>
      </c>
      <c r="AD1719" s="389"/>
      <c r="AE1719" s="399"/>
      <c r="AF1719" s="395"/>
      <c r="AG1719" s="396" t="str">
        <f t="shared" si="3"/>
        <v/>
      </c>
      <c r="AH1719" s="396" t="str">
        <f t="shared" si="4"/>
        <v/>
      </c>
      <c r="AI1719" s="388"/>
      <c r="AJ1719" s="388"/>
      <c r="AK1719" s="397"/>
    </row>
    <row r="1720">
      <c r="A1720" s="398"/>
      <c r="B1720" s="386"/>
      <c r="C1720" s="387" t="str">
        <f>IF(A1720="","",IFERROR(IF(VLOOKUP(A1720,'1. Inbound Leads'!A:G,7,FALSE)=0,"",VLOOKUP(A1720,'1. Inbound Leads'!A:G,7,FALSE)),""))</f>
        <v/>
      </c>
      <c r="D1720" s="387" t="str">
        <f>IF(A1720="","",IFERROR(IF(VLOOKUP(A1720,'1. Inbound Leads'!A:L,12,FALSE)=0,"",VLOOKUP(A1720,'1. Inbound Leads'!A:L,12,FALSE)),""))</f>
        <v/>
      </c>
      <c r="E1720" s="388"/>
      <c r="F1720" s="389"/>
      <c r="G1720" s="387"/>
      <c r="H1720" s="387"/>
      <c r="I1720" s="387"/>
      <c r="J1720" s="387"/>
      <c r="K1720" s="387"/>
      <c r="L1720" s="387"/>
      <c r="M1720" s="388"/>
      <c r="N1720" s="388"/>
      <c r="O1720" s="390"/>
      <c r="P1720" s="391"/>
      <c r="Q1720" s="389"/>
      <c r="R1720" s="390"/>
      <c r="S1720" s="390"/>
      <c r="T1720" s="391"/>
      <c r="U1720" s="392"/>
      <c r="V1720" s="391"/>
      <c r="W1720" s="391"/>
      <c r="X1720" s="388"/>
      <c r="Y1720" s="391"/>
      <c r="Z1720" s="393"/>
      <c r="AA1720" s="355" t="str">
        <f t="shared" si="1"/>
        <v/>
      </c>
      <c r="AB1720" s="391"/>
      <c r="AC1720" s="394" t="str">
        <f t="shared" si="2"/>
        <v/>
      </c>
      <c r="AD1720" s="389"/>
      <c r="AE1720" s="399"/>
      <c r="AF1720" s="395"/>
      <c r="AG1720" s="396" t="str">
        <f t="shared" si="3"/>
        <v/>
      </c>
      <c r="AH1720" s="396" t="str">
        <f t="shared" si="4"/>
        <v/>
      </c>
      <c r="AI1720" s="388"/>
      <c r="AJ1720" s="388"/>
      <c r="AK1720" s="397"/>
    </row>
    <row r="1721">
      <c r="A1721" s="398"/>
      <c r="B1721" s="386"/>
      <c r="C1721" s="387" t="str">
        <f>IF(A1721="","",IFERROR(IF(VLOOKUP(A1721,'1. Inbound Leads'!A:G,7,FALSE)=0,"",VLOOKUP(A1721,'1. Inbound Leads'!A:G,7,FALSE)),""))</f>
        <v/>
      </c>
      <c r="D1721" s="387" t="str">
        <f>IF(A1721="","",IFERROR(IF(VLOOKUP(A1721,'1. Inbound Leads'!A:L,12,FALSE)=0,"",VLOOKUP(A1721,'1. Inbound Leads'!A:L,12,FALSE)),""))</f>
        <v/>
      </c>
      <c r="E1721" s="388"/>
      <c r="F1721" s="389"/>
      <c r="G1721" s="387"/>
      <c r="H1721" s="387"/>
      <c r="I1721" s="387"/>
      <c r="J1721" s="387"/>
      <c r="K1721" s="387"/>
      <c r="L1721" s="387"/>
      <c r="M1721" s="388"/>
      <c r="N1721" s="388"/>
      <c r="O1721" s="390"/>
      <c r="P1721" s="391"/>
      <c r="Q1721" s="389"/>
      <c r="R1721" s="390"/>
      <c r="S1721" s="390"/>
      <c r="T1721" s="391"/>
      <c r="U1721" s="392"/>
      <c r="V1721" s="391"/>
      <c r="W1721" s="391"/>
      <c r="X1721" s="388"/>
      <c r="Y1721" s="391"/>
      <c r="Z1721" s="393"/>
      <c r="AA1721" s="355" t="str">
        <f t="shared" si="1"/>
        <v/>
      </c>
      <c r="AB1721" s="391"/>
      <c r="AC1721" s="394" t="str">
        <f t="shared" si="2"/>
        <v/>
      </c>
      <c r="AD1721" s="389"/>
      <c r="AE1721" s="399"/>
      <c r="AF1721" s="395"/>
      <c r="AG1721" s="396" t="str">
        <f t="shared" si="3"/>
        <v/>
      </c>
      <c r="AH1721" s="396" t="str">
        <f t="shared" si="4"/>
        <v/>
      </c>
      <c r="AI1721" s="388"/>
      <c r="AJ1721" s="388"/>
      <c r="AK1721" s="397"/>
    </row>
    <row r="1722">
      <c r="A1722" s="398"/>
      <c r="B1722" s="386"/>
      <c r="C1722" s="387" t="str">
        <f>IF(A1722="","",IFERROR(IF(VLOOKUP(A1722,'1. Inbound Leads'!A:G,7,FALSE)=0,"",VLOOKUP(A1722,'1. Inbound Leads'!A:G,7,FALSE)),""))</f>
        <v/>
      </c>
      <c r="D1722" s="387" t="str">
        <f>IF(A1722="","",IFERROR(IF(VLOOKUP(A1722,'1. Inbound Leads'!A:L,12,FALSE)=0,"",VLOOKUP(A1722,'1. Inbound Leads'!A:L,12,FALSE)),""))</f>
        <v/>
      </c>
      <c r="E1722" s="388"/>
      <c r="F1722" s="389"/>
      <c r="G1722" s="387"/>
      <c r="H1722" s="387"/>
      <c r="I1722" s="387"/>
      <c r="J1722" s="387"/>
      <c r="K1722" s="387"/>
      <c r="L1722" s="387"/>
      <c r="M1722" s="388"/>
      <c r="N1722" s="388"/>
      <c r="O1722" s="390"/>
      <c r="P1722" s="391"/>
      <c r="Q1722" s="389"/>
      <c r="R1722" s="390"/>
      <c r="S1722" s="390"/>
      <c r="T1722" s="391"/>
      <c r="U1722" s="392"/>
      <c r="V1722" s="391"/>
      <c r="W1722" s="391"/>
      <c r="X1722" s="388"/>
      <c r="Y1722" s="391"/>
      <c r="Z1722" s="393"/>
      <c r="AA1722" s="355" t="str">
        <f t="shared" si="1"/>
        <v/>
      </c>
      <c r="AB1722" s="391"/>
      <c r="AC1722" s="394" t="str">
        <f t="shared" si="2"/>
        <v/>
      </c>
      <c r="AD1722" s="389"/>
      <c r="AE1722" s="399"/>
      <c r="AF1722" s="395"/>
      <c r="AG1722" s="396" t="str">
        <f t="shared" si="3"/>
        <v/>
      </c>
      <c r="AH1722" s="396" t="str">
        <f t="shared" si="4"/>
        <v/>
      </c>
      <c r="AI1722" s="388"/>
      <c r="AJ1722" s="388"/>
      <c r="AK1722" s="397"/>
    </row>
    <row r="1723">
      <c r="A1723" s="398"/>
      <c r="B1723" s="386"/>
      <c r="C1723" s="387" t="str">
        <f>IF(A1723="","",IFERROR(IF(VLOOKUP(A1723,'1. Inbound Leads'!A:G,7,FALSE)=0,"",VLOOKUP(A1723,'1. Inbound Leads'!A:G,7,FALSE)),""))</f>
        <v/>
      </c>
      <c r="D1723" s="387" t="str">
        <f>IF(A1723="","",IFERROR(IF(VLOOKUP(A1723,'1. Inbound Leads'!A:L,12,FALSE)=0,"",VLOOKUP(A1723,'1. Inbound Leads'!A:L,12,FALSE)),""))</f>
        <v/>
      </c>
      <c r="E1723" s="388"/>
      <c r="F1723" s="389"/>
      <c r="G1723" s="387"/>
      <c r="H1723" s="387"/>
      <c r="I1723" s="387"/>
      <c r="J1723" s="387"/>
      <c r="K1723" s="387"/>
      <c r="L1723" s="387"/>
      <c r="M1723" s="388"/>
      <c r="N1723" s="388"/>
      <c r="O1723" s="390"/>
      <c r="P1723" s="391"/>
      <c r="Q1723" s="389"/>
      <c r="R1723" s="390"/>
      <c r="S1723" s="390"/>
      <c r="T1723" s="391"/>
      <c r="U1723" s="392"/>
      <c r="V1723" s="391"/>
      <c r="W1723" s="391"/>
      <c r="X1723" s="388"/>
      <c r="Y1723" s="391"/>
      <c r="Z1723" s="393"/>
      <c r="AA1723" s="355" t="str">
        <f t="shared" si="1"/>
        <v/>
      </c>
      <c r="AB1723" s="391"/>
      <c r="AC1723" s="394" t="str">
        <f t="shared" si="2"/>
        <v/>
      </c>
      <c r="AD1723" s="389"/>
      <c r="AE1723" s="399"/>
      <c r="AF1723" s="395"/>
      <c r="AG1723" s="396" t="str">
        <f t="shared" si="3"/>
        <v/>
      </c>
      <c r="AH1723" s="396" t="str">
        <f t="shared" si="4"/>
        <v/>
      </c>
      <c r="AI1723" s="388"/>
      <c r="AJ1723" s="388"/>
      <c r="AK1723" s="397"/>
    </row>
    <row r="1724">
      <c r="A1724" s="398"/>
      <c r="B1724" s="386"/>
      <c r="C1724" s="387" t="str">
        <f>IF(A1724="","",IFERROR(IF(VLOOKUP(A1724,'1. Inbound Leads'!A:G,7,FALSE)=0,"",VLOOKUP(A1724,'1. Inbound Leads'!A:G,7,FALSE)),""))</f>
        <v/>
      </c>
      <c r="D1724" s="387" t="str">
        <f>IF(A1724="","",IFERROR(IF(VLOOKUP(A1724,'1. Inbound Leads'!A:L,12,FALSE)=0,"",VLOOKUP(A1724,'1. Inbound Leads'!A:L,12,FALSE)),""))</f>
        <v/>
      </c>
      <c r="E1724" s="388"/>
      <c r="F1724" s="389"/>
      <c r="G1724" s="387"/>
      <c r="H1724" s="387"/>
      <c r="I1724" s="387"/>
      <c r="J1724" s="387"/>
      <c r="K1724" s="387"/>
      <c r="L1724" s="387"/>
      <c r="M1724" s="388"/>
      <c r="N1724" s="388"/>
      <c r="O1724" s="390"/>
      <c r="P1724" s="391"/>
      <c r="Q1724" s="389"/>
      <c r="R1724" s="390"/>
      <c r="S1724" s="390"/>
      <c r="T1724" s="391"/>
      <c r="U1724" s="392"/>
      <c r="V1724" s="391"/>
      <c r="W1724" s="391"/>
      <c r="X1724" s="388"/>
      <c r="Y1724" s="391"/>
      <c r="Z1724" s="393"/>
      <c r="AA1724" s="355" t="str">
        <f t="shared" si="1"/>
        <v/>
      </c>
      <c r="AB1724" s="391"/>
      <c r="AC1724" s="394" t="str">
        <f t="shared" si="2"/>
        <v/>
      </c>
      <c r="AD1724" s="389"/>
      <c r="AE1724" s="399"/>
      <c r="AF1724" s="395"/>
      <c r="AG1724" s="396" t="str">
        <f t="shared" si="3"/>
        <v/>
      </c>
      <c r="AH1724" s="396" t="str">
        <f t="shared" si="4"/>
        <v/>
      </c>
      <c r="AI1724" s="388"/>
      <c r="AJ1724" s="388"/>
      <c r="AK1724" s="397"/>
    </row>
    <row r="1725">
      <c r="A1725" s="398"/>
      <c r="B1725" s="386"/>
      <c r="C1725" s="387" t="str">
        <f>IF(A1725="","",IFERROR(IF(VLOOKUP(A1725,'1. Inbound Leads'!A:G,7,FALSE)=0,"",VLOOKUP(A1725,'1. Inbound Leads'!A:G,7,FALSE)),""))</f>
        <v/>
      </c>
      <c r="D1725" s="387" t="str">
        <f>IF(A1725="","",IFERROR(IF(VLOOKUP(A1725,'1. Inbound Leads'!A:L,12,FALSE)=0,"",VLOOKUP(A1725,'1. Inbound Leads'!A:L,12,FALSE)),""))</f>
        <v/>
      </c>
      <c r="E1725" s="388"/>
      <c r="F1725" s="389"/>
      <c r="G1725" s="387"/>
      <c r="H1725" s="387"/>
      <c r="I1725" s="387"/>
      <c r="J1725" s="387"/>
      <c r="K1725" s="387"/>
      <c r="L1725" s="387"/>
      <c r="M1725" s="388"/>
      <c r="N1725" s="388"/>
      <c r="O1725" s="390"/>
      <c r="P1725" s="391"/>
      <c r="Q1725" s="389"/>
      <c r="R1725" s="390"/>
      <c r="S1725" s="390"/>
      <c r="T1725" s="391"/>
      <c r="U1725" s="392"/>
      <c r="V1725" s="391"/>
      <c r="W1725" s="391"/>
      <c r="X1725" s="388"/>
      <c r="Y1725" s="391"/>
      <c r="Z1725" s="393"/>
      <c r="AA1725" s="355" t="str">
        <f t="shared" si="1"/>
        <v/>
      </c>
      <c r="AB1725" s="391"/>
      <c r="AC1725" s="394" t="str">
        <f t="shared" si="2"/>
        <v/>
      </c>
      <c r="AD1725" s="389"/>
      <c r="AE1725" s="399"/>
      <c r="AF1725" s="395"/>
      <c r="AG1725" s="396" t="str">
        <f t="shared" si="3"/>
        <v/>
      </c>
      <c r="AH1725" s="396" t="str">
        <f t="shared" si="4"/>
        <v/>
      </c>
      <c r="AI1725" s="388"/>
      <c r="AJ1725" s="388"/>
      <c r="AK1725" s="397"/>
    </row>
    <row r="1726">
      <c r="A1726" s="398"/>
      <c r="B1726" s="386"/>
      <c r="C1726" s="387" t="str">
        <f>IF(A1726="","",IFERROR(IF(VLOOKUP(A1726,'1. Inbound Leads'!A:G,7,FALSE)=0,"",VLOOKUP(A1726,'1. Inbound Leads'!A:G,7,FALSE)),""))</f>
        <v/>
      </c>
      <c r="D1726" s="387" t="str">
        <f>IF(A1726="","",IFERROR(IF(VLOOKUP(A1726,'1. Inbound Leads'!A:L,12,FALSE)=0,"",VLOOKUP(A1726,'1. Inbound Leads'!A:L,12,FALSE)),""))</f>
        <v/>
      </c>
      <c r="E1726" s="388"/>
      <c r="F1726" s="389"/>
      <c r="G1726" s="387"/>
      <c r="H1726" s="387"/>
      <c r="I1726" s="387"/>
      <c r="J1726" s="387"/>
      <c r="K1726" s="387"/>
      <c r="L1726" s="387"/>
      <c r="M1726" s="388"/>
      <c r="N1726" s="388"/>
      <c r="O1726" s="390"/>
      <c r="P1726" s="391"/>
      <c r="Q1726" s="389"/>
      <c r="R1726" s="390"/>
      <c r="S1726" s="390"/>
      <c r="T1726" s="391"/>
      <c r="U1726" s="392"/>
      <c r="V1726" s="391"/>
      <c r="W1726" s="391"/>
      <c r="X1726" s="388"/>
      <c r="Y1726" s="391"/>
      <c r="Z1726" s="393"/>
      <c r="AA1726" s="355" t="str">
        <f t="shared" si="1"/>
        <v/>
      </c>
      <c r="AB1726" s="391"/>
      <c r="AC1726" s="394" t="str">
        <f t="shared" si="2"/>
        <v/>
      </c>
      <c r="AD1726" s="389"/>
      <c r="AE1726" s="399"/>
      <c r="AF1726" s="395"/>
      <c r="AG1726" s="396" t="str">
        <f t="shared" si="3"/>
        <v/>
      </c>
      <c r="AH1726" s="396" t="str">
        <f t="shared" si="4"/>
        <v/>
      </c>
      <c r="AI1726" s="388"/>
      <c r="AJ1726" s="388"/>
      <c r="AK1726" s="397"/>
    </row>
    <row r="1727">
      <c r="A1727" s="398"/>
      <c r="B1727" s="386"/>
      <c r="C1727" s="387" t="str">
        <f>IF(A1727="","",IFERROR(IF(VLOOKUP(A1727,'1. Inbound Leads'!A:G,7,FALSE)=0,"",VLOOKUP(A1727,'1. Inbound Leads'!A:G,7,FALSE)),""))</f>
        <v/>
      </c>
      <c r="D1727" s="387" t="str">
        <f>IF(A1727="","",IFERROR(IF(VLOOKUP(A1727,'1. Inbound Leads'!A:L,12,FALSE)=0,"",VLOOKUP(A1727,'1. Inbound Leads'!A:L,12,FALSE)),""))</f>
        <v/>
      </c>
      <c r="E1727" s="388"/>
      <c r="F1727" s="389"/>
      <c r="G1727" s="387"/>
      <c r="H1727" s="387"/>
      <c r="I1727" s="387"/>
      <c r="J1727" s="387"/>
      <c r="K1727" s="387"/>
      <c r="L1727" s="387"/>
      <c r="M1727" s="388"/>
      <c r="N1727" s="388"/>
      <c r="O1727" s="390"/>
      <c r="P1727" s="391"/>
      <c r="Q1727" s="389"/>
      <c r="R1727" s="390"/>
      <c r="S1727" s="390"/>
      <c r="T1727" s="391"/>
      <c r="U1727" s="392"/>
      <c r="V1727" s="391"/>
      <c r="W1727" s="391"/>
      <c r="X1727" s="388"/>
      <c r="Y1727" s="391"/>
      <c r="Z1727" s="393"/>
      <c r="AA1727" s="355" t="str">
        <f t="shared" si="1"/>
        <v/>
      </c>
      <c r="AB1727" s="391"/>
      <c r="AC1727" s="394" t="str">
        <f t="shared" si="2"/>
        <v/>
      </c>
      <c r="AD1727" s="389"/>
      <c r="AE1727" s="399"/>
      <c r="AF1727" s="395"/>
      <c r="AG1727" s="396" t="str">
        <f t="shared" si="3"/>
        <v/>
      </c>
      <c r="AH1727" s="396" t="str">
        <f t="shared" si="4"/>
        <v/>
      </c>
      <c r="AI1727" s="388"/>
      <c r="AJ1727" s="388"/>
      <c r="AK1727" s="397"/>
    </row>
    <row r="1728">
      <c r="A1728" s="398"/>
      <c r="B1728" s="386"/>
      <c r="C1728" s="387" t="str">
        <f>IF(A1728="","",IFERROR(IF(VLOOKUP(A1728,'1. Inbound Leads'!A:G,7,FALSE)=0,"",VLOOKUP(A1728,'1. Inbound Leads'!A:G,7,FALSE)),""))</f>
        <v/>
      </c>
      <c r="D1728" s="387" t="str">
        <f>IF(A1728="","",IFERROR(IF(VLOOKUP(A1728,'1. Inbound Leads'!A:L,12,FALSE)=0,"",VLOOKUP(A1728,'1. Inbound Leads'!A:L,12,FALSE)),""))</f>
        <v/>
      </c>
      <c r="E1728" s="388"/>
      <c r="F1728" s="389"/>
      <c r="G1728" s="387"/>
      <c r="H1728" s="387"/>
      <c r="I1728" s="387"/>
      <c r="J1728" s="387"/>
      <c r="K1728" s="387"/>
      <c r="L1728" s="387"/>
      <c r="M1728" s="388"/>
      <c r="N1728" s="388"/>
      <c r="O1728" s="390"/>
      <c r="P1728" s="391"/>
      <c r="Q1728" s="389"/>
      <c r="R1728" s="390"/>
      <c r="S1728" s="390"/>
      <c r="T1728" s="391"/>
      <c r="U1728" s="392"/>
      <c r="V1728" s="391"/>
      <c r="W1728" s="391"/>
      <c r="X1728" s="388"/>
      <c r="Y1728" s="391"/>
      <c r="Z1728" s="393"/>
      <c r="AA1728" s="355" t="str">
        <f t="shared" si="1"/>
        <v/>
      </c>
      <c r="AB1728" s="391"/>
      <c r="AC1728" s="394" t="str">
        <f t="shared" si="2"/>
        <v/>
      </c>
      <c r="AD1728" s="389"/>
      <c r="AE1728" s="399"/>
      <c r="AF1728" s="395"/>
      <c r="AG1728" s="396" t="str">
        <f t="shared" si="3"/>
        <v/>
      </c>
      <c r="AH1728" s="396" t="str">
        <f t="shared" si="4"/>
        <v/>
      </c>
      <c r="AI1728" s="388"/>
      <c r="AJ1728" s="388"/>
      <c r="AK1728" s="397"/>
    </row>
    <row r="1729">
      <c r="A1729" s="398"/>
      <c r="B1729" s="386"/>
      <c r="C1729" s="387" t="str">
        <f>IF(A1729="","",IFERROR(IF(VLOOKUP(A1729,'1. Inbound Leads'!A:G,7,FALSE)=0,"",VLOOKUP(A1729,'1. Inbound Leads'!A:G,7,FALSE)),""))</f>
        <v/>
      </c>
      <c r="D1729" s="387" t="str">
        <f>IF(A1729="","",IFERROR(IF(VLOOKUP(A1729,'1. Inbound Leads'!A:L,12,FALSE)=0,"",VLOOKUP(A1729,'1. Inbound Leads'!A:L,12,FALSE)),""))</f>
        <v/>
      </c>
      <c r="E1729" s="388"/>
      <c r="F1729" s="389"/>
      <c r="G1729" s="387"/>
      <c r="H1729" s="387"/>
      <c r="I1729" s="387"/>
      <c r="J1729" s="387"/>
      <c r="K1729" s="387"/>
      <c r="L1729" s="387"/>
      <c r="M1729" s="388"/>
      <c r="N1729" s="388"/>
      <c r="O1729" s="390"/>
      <c r="P1729" s="391"/>
      <c r="Q1729" s="389"/>
      <c r="R1729" s="390"/>
      <c r="S1729" s="390"/>
      <c r="T1729" s="391"/>
      <c r="U1729" s="392"/>
      <c r="V1729" s="391"/>
      <c r="W1729" s="391"/>
      <c r="X1729" s="388"/>
      <c r="Y1729" s="391"/>
      <c r="Z1729" s="393"/>
      <c r="AA1729" s="355" t="str">
        <f t="shared" si="1"/>
        <v/>
      </c>
      <c r="AB1729" s="391"/>
      <c r="AC1729" s="394" t="str">
        <f t="shared" si="2"/>
        <v/>
      </c>
      <c r="AD1729" s="389"/>
      <c r="AE1729" s="399"/>
      <c r="AF1729" s="395"/>
      <c r="AG1729" s="396" t="str">
        <f t="shared" si="3"/>
        <v/>
      </c>
      <c r="AH1729" s="396" t="str">
        <f t="shared" si="4"/>
        <v/>
      </c>
      <c r="AI1729" s="388"/>
      <c r="AJ1729" s="388"/>
      <c r="AK1729" s="397"/>
    </row>
    <row r="1730">
      <c r="A1730" s="398"/>
      <c r="B1730" s="386"/>
      <c r="C1730" s="387" t="str">
        <f>IF(A1730="","",IFERROR(IF(VLOOKUP(A1730,'1. Inbound Leads'!A:G,7,FALSE)=0,"",VLOOKUP(A1730,'1. Inbound Leads'!A:G,7,FALSE)),""))</f>
        <v/>
      </c>
      <c r="D1730" s="387" t="str">
        <f>IF(A1730="","",IFERROR(IF(VLOOKUP(A1730,'1. Inbound Leads'!A:L,12,FALSE)=0,"",VLOOKUP(A1730,'1. Inbound Leads'!A:L,12,FALSE)),""))</f>
        <v/>
      </c>
      <c r="E1730" s="388"/>
      <c r="F1730" s="389"/>
      <c r="G1730" s="387"/>
      <c r="H1730" s="387"/>
      <c r="I1730" s="387"/>
      <c r="J1730" s="387"/>
      <c r="K1730" s="387"/>
      <c r="L1730" s="387"/>
      <c r="M1730" s="388"/>
      <c r="N1730" s="388"/>
      <c r="O1730" s="390"/>
      <c r="P1730" s="391"/>
      <c r="Q1730" s="389"/>
      <c r="R1730" s="390"/>
      <c r="S1730" s="390"/>
      <c r="T1730" s="391"/>
      <c r="U1730" s="392"/>
      <c r="V1730" s="391"/>
      <c r="W1730" s="391"/>
      <c r="X1730" s="388"/>
      <c r="Y1730" s="391"/>
      <c r="Z1730" s="393"/>
      <c r="AA1730" s="355" t="str">
        <f t="shared" si="1"/>
        <v/>
      </c>
      <c r="AB1730" s="391"/>
      <c r="AC1730" s="394" t="str">
        <f t="shared" si="2"/>
        <v/>
      </c>
      <c r="AD1730" s="389"/>
      <c r="AE1730" s="399"/>
      <c r="AF1730" s="395"/>
      <c r="AG1730" s="396" t="str">
        <f t="shared" si="3"/>
        <v/>
      </c>
      <c r="AH1730" s="396" t="str">
        <f t="shared" si="4"/>
        <v/>
      </c>
      <c r="AI1730" s="388"/>
      <c r="AJ1730" s="388"/>
      <c r="AK1730" s="397"/>
    </row>
    <row r="1731">
      <c r="A1731" s="398"/>
      <c r="B1731" s="386"/>
      <c r="C1731" s="387" t="str">
        <f>IF(A1731="","",IFERROR(IF(VLOOKUP(A1731,'1. Inbound Leads'!A:G,7,FALSE)=0,"",VLOOKUP(A1731,'1. Inbound Leads'!A:G,7,FALSE)),""))</f>
        <v/>
      </c>
      <c r="D1731" s="387" t="str">
        <f>IF(A1731="","",IFERROR(IF(VLOOKUP(A1731,'1. Inbound Leads'!A:L,12,FALSE)=0,"",VLOOKUP(A1731,'1. Inbound Leads'!A:L,12,FALSE)),""))</f>
        <v/>
      </c>
      <c r="E1731" s="388"/>
      <c r="F1731" s="389"/>
      <c r="G1731" s="387"/>
      <c r="H1731" s="387"/>
      <c r="I1731" s="387"/>
      <c r="J1731" s="387"/>
      <c r="K1731" s="387"/>
      <c r="L1731" s="387"/>
      <c r="M1731" s="388"/>
      <c r="N1731" s="388"/>
      <c r="O1731" s="390"/>
      <c r="P1731" s="391"/>
      <c r="Q1731" s="389"/>
      <c r="R1731" s="390"/>
      <c r="S1731" s="390"/>
      <c r="T1731" s="391"/>
      <c r="U1731" s="392"/>
      <c r="V1731" s="391"/>
      <c r="W1731" s="391"/>
      <c r="X1731" s="388"/>
      <c r="Y1731" s="391"/>
      <c r="Z1731" s="393"/>
      <c r="AA1731" s="355" t="str">
        <f t="shared" si="1"/>
        <v/>
      </c>
      <c r="AB1731" s="391"/>
      <c r="AC1731" s="394" t="str">
        <f t="shared" si="2"/>
        <v/>
      </c>
      <c r="AD1731" s="389"/>
      <c r="AE1731" s="399"/>
      <c r="AF1731" s="395"/>
      <c r="AG1731" s="396" t="str">
        <f t="shared" si="3"/>
        <v/>
      </c>
      <c r="AH1731" s="396" t="str">
        <f t="shared" si="4"/>
        <v/>
      </c>
      <c r="AI1731" s="388"/>
      <c r="AJ1731" s="388"/>
      <c r="AK1731" s="397"/>
    </row>
    <row r="1732">
      <c r="A1732" s="398"/>
      <c r="B1732" s="386"/>
      <c r="C1732" s="387" t="str">
        <f>IF(A1732="","",IFERROR(IF(VLOOKUP(A1732,'1. Inbound Leads'!A:G,7,FALSE)=0,"",VLOOKUP(A1732,'1. Inbound Leads'!A:G,7,FALSE)),""))</f>
        <v/>
      </c>
      <c r="D1732" s="387" t="str">
        <f>IF(A1732="","",IFERROR(IF(VLOOKUP(A1732,'1. Inbound Leads'!A:L,12,FALSE)=0,"",VLOOKUP(A1732,'1. Inbound Leads'!A:L,12,FALSE)),""))</f>
        <v/>
      </c>
      <c r="E1732" s="388"/>
      <c r="F1732" s="389"/>
      <c r="G1732" s="387"/>
      <c r="H1732" s="387"/>
      <c r="I1732" s="387"/>
      <c r="J1732" s="387"/>
      <c r="K1732" s="387"/>
      <c r="L1732" s="387"/>
      <c r="M1732" s="388"/>
      <c r="N1732" s="388"/>
      <c r="O1732" s="390"/>
      <c r="P1732" s="391"/>
      <c r="Q1732" s="389"/>
      <c r="R1732" s="390"/>
      <c r="S1732" s="390"/>
      <c r="T1732" s="391"/>
      <c r="U1732" s="392"/>
      <c r="V1732" s="391"/>
      <c r="W1732" s="391"/>
      <c r="X1732" s="388"/>
      <c r="Y1732" s="391"/>
      <c r="Z1732" s="393"/>
      <c r="AA1732" s="355" t="str">
        <f t="shared" si="1"/>
        <v/>
      </c>
      <c r="AB1732" s="391"/>
      <c r="AC1732" s="394" t="str">
        <f t="shared" si="2"/>
        <v/>
      </c>
      <c r="AD1732" s="389"/>
      <c r="AE1732" s="399"/>
      <c r="AF1732" s="395"/>
      <c r="AG1732" s="396" t="str">
        <f t="shared" si="3"/>
        <v/>
      </c>
      <c r="AH1732" s="396" t="str">
        <f t="shared" si="4"/>
        <v/>
      </c>
      <c r="AI1732" s="388"/>
      <c r="AJ1732" s="388"/>
      <c r="AK1732" s="397"/>
    </row>
    <row r="1733">
      <c r="A1733" s="398"/>
      <c r="B1733" s="386"/>
      <c r="C1733" s="387" t="str">
        <f>IF(A1733="","",IFERROR(IF(VLOOKUP(A1733,'1. Inbound Leads'!A:G,7,FALSE)=0,"",VLOOKUP(A1733,'1. Inbound Leads'!A:G,7,FALSE)),""))</f>
        <v/>
      </c>
      <c r="D1733" s="387" t="str">
        <f>IF(A1733="","",IFERROR(IF(VLOOKUP(A1733,'1. Inbound Leads'!A:L,12,FALSE)=0,"",VLOOKUP(A1733,'1. Inbound Leads'!A:L,12,FALSE)),""))</f>
        <v/>
      </c>
      <c r="E1733" s="388"/>
      <c r="F1733" s="389"/>
      <c r="G1733" s="387"/>
      <c r="H1733" s="387"/>
      <c r="I1733" s="387"/>
      <c r="J1733" s="387"/>
      <c r="K1733" s="387"/>
      <c r="L1733" s="387"/>
      <c r="M1733" s="388"/>
      <c r="N1733" s="388"/>
      <c r="O1733" s="390"/>
      <c r="P1733" s="391"/>
      <c r="Q1733" s="389"/>
      <c r="R1733" s="390"/>
      <c r="S1733" s="390"/>
      <c r="T1733" s="391"/>
      <c r="U1733" s="392"/>
      <c r="V1733" s="391"/>
      <c r="W1733" s="391"/>
      <c r="X1733" s="388"/>
      <c r="Y1733" s="391"/>
      <c r="Z1733" s="393"/>
      <c r="AA1733" s="355" t="str">
        <f t="shared" si="1"/>
        <v/>
      </c>
      <c r="AB1733" s="391"/>
      <c r="AC1733" s="394" t="str">
        <f t="shared" si="2"/>
        <v/>
      </c>
      <c r="AD1733" s="389"/>
      <c r="AE1733" s="399"/>
      <c r="AF1733" s="395"/>
      <c r="AG1733" s="396" t="str">
        <f t="shared" si="3"/>
        <v/>
      </c>
      <c r="AH1733" s="396" t="str">
        <f t="shared" si="4"/>
        <v/>
      </c>
      <c r="AI1733" s="388"/>
      <c r="AJ1733" s="388"/>
      <c r="AK1733" s="397"/>
    </row>
    <row r="1734">
      <c r="A1734" s="398"/>
      <c r="B1734" s="386"/>
      <c r="C1734" s="387" t="str">
        <f>IF(A1734="","",IFERROR(IF(VLOOKUP(A1734,'1. Inbound Leads'!A:G,7,FALSE)=0,"",VLOOKUP(A1734,'1. Inbound Leads'!A:G,7,FALSE)),""))</f>
        <v/>
      </c>
      <c r="D1734" s="387" t="str">
        <f>IF(A1734="","",IFERROR(IF(VLOOKUP(A1734,'1. Inbound Leads'!A:L,12,FALSE)=0,"",VLOOKUP(A1734,'1. Inbound Leads'!A:L,12,FALSE)),""))</f>
        <v/>
      </c>
      <c r="E1734" s="388"/>
      <c r="F1734" s="389"/>
      <c r="G1734" s="387"/>
      <c r="H1734" s="387"/>
      <c r="I1734" s="387"/>
      <c r="J1734" s="387"/>
      <c r="K1734" s="387"/>
      <c r="L1734" s="387"/>
      <c r="M1734" s="388"/>
      <c r="N1734" s="388"/>
      <c r="O1734" s="390"/>
      <c r="P1734" s="391"/>
      <c r="Q1734" s="389"/>
      <c r="R1734" s="390"/>
      <c r="S1734" s="390"/>
      <c r="T1734" s="391"/>
      <c r="U1734" s="392"/>
      <c r="V1734" s="391"/>
      <c r="W1734" s="391"/>
      <c r="X1734" s="388"/>
      <c r="Y1734" s="391"/>
      <c r="Z1734" s="393"/>
      <c r="AA1734" s="355" t="str">
        <f t="shared" si="1"/>
        <v/>
      </c>
      <c r="AB1734" s="391"/>
      <c r="AC1734" s="394" t="str">
        <f t="shared" si="2"/>
        <v/>
      </c>
      <c r="AD1734" s="389"/>
      <c r="AE1734" s="399"/>
      <c r="AF1734" s="395"/>
      <c r="AG1734" s="396" t="str">
        <f t="shared" si="3"/>
        <v/>
      </c>
      <c r="AH1734" s="396" t="str">
        <f t="shared" si="4"/>
        <v/>
      </c>
      <c r="AI1734" s="388"/>
      <c r="AJ1734" s="388"/>
      <c r="AK1734" s="397"/>
    </row>
    <row r="1735">
      <c r="A1735" s="398"/>
      <c r="B1735" s="386"/>
      <c r="C1735" s="387" t="str">
        <f>IF(A1735="","",IFERROR(IF(VLOOKUP(A1735,'1. Inbound Leads'!A:G,7,FALSE)=0,"",VLOOKUP(A1735,'1. Inbound Leads'!A:G,7,FALSE)),""))</f>
        <v/>
      </c>
      <c r="D1735" s="387" t="str">
        <f>IF(A1735="","",IFERROR(IF(VLOOKUP(A1735,'1. Inbound Leads'!A:L,12,FALSE)=0,"",VLOOKUP(A1735,'1. Inbound Leads'!A:L,12,FALSE)),""))</f>
        <v/>
      </c>
      <c r="E1735" s="388"/>
      <c r="F1735" s="389"/>
      <c r="G1735" s="387"/>
      <c r="H1735" s="387"/>
      <c r="I1735" s="387"/>
      <c r="J1735" s="387"/>
      <c r="K1735" s="387"/>
      <c r="L1735" s="387"/>
      <c r="M1735" s="388"/>
      <c r="N1735" s="388"/>
      <c r="O1735" s="390"/>
      <c r="P1735" s="391"/>
      <c r="Q1735" s="389"/>
      <c r="R1735" s="390"/>
      <c r="S1735" s="390"/>
      <c r="T1735" s="391"/>
      <c r="U1735" s="392"/>
      <c r="V1735" s="391"/>
      <c r="W1735" s="391"/>
      <c r="X1735" s="388"/>
      <c r="Y1735" s="391"/>
      <c r="Z1735" s="393"/>
      <c r="AA1735" s="355" t="str">
        <f t="shared" si="1"/>
        <v/>
      </c>
      <c r="AB1735" s="391"/>
      <c r="AC1735" s="394" t="str">
        <f t="shared" si="2"/>
        <v/>
      </c>
      <c r="AD1735" s="389"/>
      <c r="AE1735" s="399"/>
      <c r="AF1735" s="395"/>
      <c r="AG1735" s="396" t="str">
        <f t="shared" si="3"/>
        <v/>
      </c>
      <c r="AH1735" s="396" t="str">
        <f t="shared" si="4"/>
        <v/>
      </c>
      <c r="AI1735" s="388"/>
      <c r="AJ1735" s="388"/>
      <c r="AK1735" s="397"/>
    </row>
    <row r="1736">
      <c r="A1736" s="398"/>
      <c r="B1736" s="386"/>
      <c r="C1736" s="387" t="str">
        <f>IF(A1736="","",IFERROR(IF(VLOOKUP(A1736,'1. Inbound Leads'!A:G,7,FALSE)=0,"",VLOOKUP(A1736,'1. Inbound Leads'!A:G,7,FALSE)),""))</f>
        <v/>
      </c>
      <c r="D1736" s="387" t="str">
        <f>IF(A1736="","",IFERROR(IF(VLOOKUP(A1736,'1. Inbound Leads'!A:L,12,FALSE)=0,"",VLOOKUP(A1736,'1. Inbound Leads'!A:L,12,FALSE)),""))</f>
        <v/>
      </c>
      <c r="E1736" s="388"/>
      <c r="F1736" s="389"/>
      <c r="G1736" s="387"/>
      <c r="H1736" s="387"/>
      <c r="I1736" s="387"/>
      <c r="J1736" s="387"/>
      <c r="K1736" s="387"/>
      <c r="L1736" s="387"/>
      <c r="M1736" s="388"/>
      <c r="N1736" s="388"/>
      <c r="O1736" s="390"/>
      <c r="P1736" s="391"/>
      <c r="Q1736" s="389"/>
      <c r="R1736" s="390"/>
      <c r="S1736" s="390"/>
      <c r="T1736" s="391"/>
      <c r="U1736" s="392"/>
      <c r="V1736" s="391"/>
      <c r="W1736" s="391"/>
      <c r="X1736" s="388"/>
      <c r="Y1736" s="391"/>
      <c r="Z1736" s="393"/>
      <c r="AA1736" s="355" t="str">
        <f t="shared" si="1"/>
        <v/>
      </c>
      <c r="AB1736" s="391"/>
      <c r="AC1736" s="394" t="str">
        <f t="shared" si="2"/>
        <v/>
      </c>
      <c r="AD1736" s="389"/>
      <c r="AE1736" s="399"/>
      <c r="AF1736" s="395"/>
      <c r="AG1736" s="396" t="str">
        <f t="shared" si="3"/>
        <v/>
      </c>
      <c r="AH1736" s="396" t="str">
        <f t="shared" si="4"/>
        <v/>
      </c>
      <c r="AI1736" s="388"/>
      <c r="AJ1736" s="388"/>
      <c r="AK1736" s="397"/>
    </row>
    <row r="1737">
      <c r="A1737" s="398"/>
      <c r="B1737" s="386"/>
      <c r="C1737" s="387" t="str">
        <f>IF(A1737="","",IFERROR(IF(VLOOKUP(A1737,'1. Inbound Leads'!A:G,7,FALSE)=0,"",VLOOKUP(A1737,'1. Inbound Leads'!A:G,7,FALSE)),""))</f>
        <v/>
      </c>
      <c r="D1737" s="387" t="str">
        <f>IF(A1737="","",IFERROR(IF(VLOOKUP(A1737,'1. Inbound Leads'!A:L,12,FALSE)=0,"",VLOOKUP(A1737,'1. Inbound Leads'!A:L,12,FALSE)),""))</f>
        <v/>
      </c>
      <c r="E1737" s="388"/>
      <c r="F1737" s="389"/>
      <c r="G1737" s="387"/>
      <c r="H1737" s="387"/>
      <c r="I1737" s="387"/>
      <c r="J1737" s="387"/>
      <c r="K1737" s="387"/>
      <c r="L1737" s="387"/>
      <c r="M1737" s="388"/>
      <c r="N1737" s="388"/>
      <c r="O1737" s="390"/>
      <c r="P1737" s="391"/>
      <c r="Q1737" s="389"/>
      <c r="R1737" s="390"/>
      <c r="S1737" s="390"/>
      <c r="T1737" s="391"/>
      <c r="U1737" s="392"/>
      <c r="V1737" s="391"/>
      <c r="W1737" s="391"/>
      <c r="X1737" s="388"/>
      <c r="Y1737" s="391"/>
      <c r="Z1737" s="393"/>
      <c r="AA1737" s="355" t="str">
        <f t="shared" si="1"/>
        <v/>
      </c>
      <c r="AB1737" s="391"/>
      <c r="AC1737" s="394" t="str">
        <f t="shared" si="2"/>
        <v/>
      </c>
      <c r="AD1737" s="389"/>
      <c r="AE1737" s="399"/>
      <c r="AF1737" s="395"/>
      <c r="AG1737" s="396" t="str">
        <f t="shared" si="3"/>
        <v/>
      </c>
      <c r="AH1737" s="396" t="str">
        <f t="shared" si="4"/>
        <v/>
      </c>
      <c r="AI1737" s="388"/>
      <c r="AJ1737" s="388"/>
      <c r="AK1737" s="397"/>
    </row>
    <row r="1738">
      <c r="A1738" s="398"/>
      <c r="B1738" s="386"/>
      <c r="C1738" s="387" t="str">
        <f>IF(A1738="","",IFERROR(IF(VLOOKUP(A1738,'1. Inbound Leads'!A:G,7,FALSE)=0,"",VLOOKUP(A1738,'1. Inbound Leads'!A:G,7,FALSE)),""))</f>
        <v/>
      </c>
      <c r="D1738" s="387" t="str">
        <f>IF(A1738="","",IFERROR(IF(VLOOKUP(A1738,'1. Inbound Leads'!A:L,12,FALSE)=0,"",VLOOKUP(A1738,'1. Inbound Leads'!A:L,12,FALSE)),""))</f>
        <v/>
      </c>
      <c r="E1738" s="388"/>
      <c r="F1738" s="389"/>
      <c r="G1738" s="387"/>
      <c r="H1738" s="387"/>
      <c r="I1738" s="387"/>
      <c r="J1738" s="387"/>
      <c r="K1738" s="387"/>
      <c r="L1738" s="387"/>
      <c r="M1738" s="388"/>
      <c r="N1738" s="388"/>
      <c r="O1738" s="390"/>
      <c r="P1738" s="391"/>
      <c r="Q1738" s="389"/>
      <c r="R1738" s="390"/>
      <c r="S1738" s="390"/>
      <c r="T1738" s="391"/>
      <c r="U1738" s="392"/>
      <c r="V1738" s="391"/>
      <c r="W1738" s="391"/>
      <c r="X1738" s="388"/>
      <c r="Y1738" s="391"/>
      <c r="Z1738" s="393"/>
      <c r="AA1738" s="355" t="str">
        <f t="shared" si="1"/>
        <v/>
      </c>
      <c r="AB1738" s="391"/>
      <c r="AC1738" s="394" t="str">
        <f t="shared" si="2"/>
        <v/>
      </c>
      <c r="AD1738" s="389"/>
      <c r="AE1738" s="399"/>
      <c r="AF1738" s="395"/>
      <c r="AG1738" s="396" t="str">
        <f t="shared" si="3"/>
        <v/>
      </c>
      <c r="AH1738" s="396" t="str">
        <f t="shared" si="4"/>
        <v/>
      </c>
      <c r="AI1738" s="388"/>
      <c r="AJ1738" s="388"/>
      <c r="AK1738" s="397"/>
    </row>
    <row r="1739">
      <c r="A1739" s="398"/>
      <c r="B1739" s="386"/>
      <c r="C1739" s="387" t="str">
        <f>IF(A1739="","",IFERROR(IF(VLOOKUP(A1739,'1. Inbound Leads'!A:G,7,FALSE)=0,"",VLOOKUP(A1739,'1. Inbound Leads'!A:G,7,FALSE)),""))</f>
        <v/>
      </c>
      <c r="D1739" s="387" t="str">
        <f>IF(A1739="","",IFERROR(IF(VLOOKUP(A1739,'1. Inbound Leads'!A:L,12,FALSE)=0,"",VLOOKUP(A1739,'1. Inbound Leads'!A:L,12,FALSE)),""))</f>
        <v/>
      </c>
      <c r="E1739" s="388"/>
      <c r="F1739" s="389"/>
      <c r="G1739" s="387"/>
      <c r="H1739" s="387"/>
      <c r="I1739" s="387"/>
      <c r="J1739" s="387"/>
      <c r="K1739" s="387"/>
      <c r="L1739" s="387"/>
      <c r="M1739" s="388"/>
      <c r="N1739" s="388"/>
      <c r="O1739" s="390"/>
      <c r="P1739" s="391"/>
      <c r="Q1739" s="389"/>
      <c r="R1739" s="390"/>
      <c r="S1739" s="390"/>
      <c r="T1739" s="391"/>
      <c r="U1739" s="392"/>
      <c r="V1739" s="391"/>
      <c r="W1739" s="391"/>
      <c r="X1739" s="388"/>
      <c r="Y1739" s="391"/>
      <c r="Z1739" s="393"/>
      <c r="AA1739" s="355" t="str">
        <f t="shared" si="1"/>
        <v/>
      </c>
      <c r="AB1739" s="391"/>
      <c r="AC1739" s="394" t="str">
        <f t="shared" si="2"/>
        <v/>
      </c>
      <c r="AD1739" s="389"/>
      <c r="AE1739" s="399"/>
      <c r="AF1739" s="395"/>
      <c r="AG1739" s="396" t="str">
        <f t="shared" si="3"/>
        <v/>
      </c>
      <c r="AH1739" s="396" t="str">
        <f t="shared" si="4"/>
        <v/>
      </c>
      <c r="AI1739" s="388"/>
      <c r="AJ1739" s="388"/>
      <c r="AK1739" s="397"/>
    </row>
    <row r="1740">
      <c r="A1740" s="398"/>
      <c r="B1740" s="386"/>
      <c r="C1740" s="387" t="str">
        <f>IF(A1740="","",IFERROR(IF(VLOOKUP(A1740,'1. Inbound Leads'!A:G,7,FALSE)=0,"",VLOOKUP(A1740,'1. Inbound Leads'!A:G,7,FALSE)),""))</f>
        <v/>
      </c>
      <c r="D1740" s="387" t="str">
        <f>IF(A1740="","",IFERROR(IF(VLOOKUP(A1740,'1. Inbound Leads'!A:L,12,FALSE)=0,"",VLOOKUP(A1740,'1. Inbound Leads'!A:L,12,FALSE)),""))</f>
        <v/>
      </c>
      <c r="E1740" s="388"/>
      <c r="F1740" s="389"/>
      <c r="G1740" s="387"/>
      <c r="H1740" s="387"/>
      <c r="I1740" s="387"/>
      <c r="J1740" s="387"/>
      <c r="K1740" s="387"/>
      <c r="L1740" s="387"/>
      <c r="M1740" s="388"/>
      <c r="N1740" s="388"/>
      <c r="O1740" s="390"/>
      <c r="P1740" s="391"/>
      <c r="Q1740" s="389"/>
      <c r="R1740" s="390"/>
      <c r="S1740" s="390"/>
      <c r="T1740" s="391"/>
      <c r="U1740" s="392"/>
      <c r="V1740" s="391"/>
      <c r="W1740" s="391"/>
      <c r="X1740" s="388"/>
      <c r="Y1740" s="391"/>
      <c r="Z1740" s="393"/>
      <c r="AA1740" s="355" t="str">
        <f t="shared" si="1"/>
        <v/>
      </c>
      <c r="AB1740" s="391"/>
      <c r="AC1740" s="394" t="str">
        <f t="shared" si="2"/>
        <v/>
      </c>
      <c r="AD1740" s="389"/>
      <c r="AE1740" s="399"/>
      <c r="AF1740" s="395"/>
      <c r="AG1740" s="396" t="str">
        <f t="shared" si="3"/>
        <v/>
      </c>
      <c r="AH1740" s="396" t="str">
        <f t="shared" si="4"/>
        <v/>
      </c>
      <c r="AI1740" s="388"/>
      <c r="AJ1740" s="388"/>
      <c r="AK1740" s="397"/>
    </row>
    <row r="1741">
      <c r="A1741" s="398"/>
      <c r="B1741" s="386"/>
      <c r="C1741" s="387" t="str">
        <f>IF(A1741="","",IFERROR(IF(VLOOKUP(A1741,'1. Inbound Leads'!A:G,7,FALSE)=0,"",VLOOKUP(A1741,'1. Inbound Leads'!A:G,7,FALSE)),""))</f>
        <v/>
      </c>
      <c r="D1741" s="387" t="str">
        <f>IF(A1741="","",IFERROR(IF(VLOOKUP(A1741,'1. Inbound Leads'!A:L,12,FALSE)=0,"",VLOOKUP(A1741,'1. Inbound Leads'!A:L,12,FALSE)),""))</f>
        <v/>
      </c>
      <c r="E1741" s="388"/>
      <c r="F1741" s="389"/>
      <c r="G1741" s="387"/>
      <c r="H1741" s="387"/>
      <c r="I1741" s="387"/>
      <c r="J1741" s="387"/>
      <c r="K1741" s="387"/>
      <c r="L1741" s="387"/>
      <c r="M1741" s="388"/>
      <c r="N1741" s="388"/>
      <c r="O1741" s="390"/>
      <c r="P1741" s="391"/>
      <c r="Q1741" s="389"/>
      <c r="R1741" s="390"/>
      <c r="S1741" s="390"/>
      <c r="T1741" s="391"/>
      <c r="U1741" s="392"/>
      <c r="V1741" s="391"/>
      <c r="W1741" s="391"/>
      <c r="X1741" s="388"/>
      <c r="Y1741" s="391"/>
      <c r="Z1741" s="393"/>
      <c r="AA1741" s="355" t="str">
        <f t="shared" si="1"/>
        <v/>
      </c>
      <c r="AB1741" s="391"/>
      <c r="AC1741" s="394" t="str">
        <f t="shared" si="2"/>
        <v/>
      </c>
      <c r="AD1741" s="389"/>
      <c r="AE1741" s="399"/>
      <c r="AF1741" s="395"/>
      <c r="AG1741" s="396" t="str">
        <f t="shared" si="3"/>
        <v/>
      </c>
      <c r="AH1741" s="396" t="str">
        <f t="shared" si="4"/>
        <v/>
      </c>
      <c r="AI1741" s="388"/>
      <c r="AJ1741" s="388"/>
      <c r="AK1741" s="397"/>
    </row>
    <row r="1742">
      <c r="A1742" s="398"/>
      <c r="B1742" s="386"/>
      <c r="C1742" s="387" t="str">
        <f>IF(A1742="","",IFERROR(IF(VLOOKUP(A1742,'1. Inbound Leads'!A:G,7,FALSE)=0,"",VLOOKUP(A1742,'1. Inbound Leads'!A:G,7,FALSE)),""))</f>
        <v/>
      </c>
      <c r="D1742" s="387" t="str">
        <f>IF(A1742="","",IFERROR(IF(VLOOKUP(A1742,'1. Inbound Leads'!A:L,12,FALSE)=0,"",VLOOKUP(A1742,'1. Inbound Leads'!A:L,12,FALSE)),""))</f>
        <v/>
      </c>
      <c r="E1742" s="388"/>
      <c r="F1742" s="389"/>
      <c r="G1742" s="387"/>
      <c r="H1742" s="387"/>
      <c r="I1742" s="387"/>
      <c r="J1742" s="387"/>
      <c r="K1742" s="387"/>
      <c r="L1742" s="387"/>
      <c r="M1742" s="388"/>
      <c r="N1742" s="388"/>
      <c r="O1742" s="390"/>
      <c r="P1742" s="391"/>
      <c r="Q1742" s="389"/>
      <c r="R1742" s="390"/>
      <c r="S1742" s="390"/>
      <c r="T1742" s="391"/>
      <c r="U1742" s="392"/>
      <c r="V1742" s="391"/>
      <c r="W1742" s="391"/>
      <c r="X1742" s="388"/>
      <c r="Y1742" s="391"/>
      <c r="Z1742" s="393"/>
      <c r="AA1742" s="355" t="str">
        <f t="shared" si="1"/>
        <v/>
      </c>
      <c r="AB1742" s="391"/>
      <c r="AC1742" s="394" t="str">
        <f t="shared" si="2"/>
        <v/>
      </c>
      <c r="AD1742" s="389"/>
      <c r="AE1742" s="399"/>
      <c r="AF1742" s="395"/>
      <c r="AG1742" s="396" t="str">
        <f t="shared" si="3"/>
        <v/>
      </c>
      <c r="AH1742" s="396" t="str">
        <f t="shared" si="4"/>
        <v/>
      </c>
      <c r="AI1742" s="388"/>
      <c r="AJ1742" s="388"/>
      <c r="AK1742" s="397"/>
    </row>
    <row r="1743">
      <c r="A1743" s="398"/>
      <c r="B1743" s="386"/>
      <c r="C1743" s="387" t="str">
        <f>IF(A1743="","",IFERROR(IF(VLOOKUP(A1743,'1. Inbound Leads'!A:G,7,FALSE)=0,"",VLOOKUP(A1743,'1. Inbound Leads'!A:G,7,FALSE)),""))</f>
        <v/>
      </c>
      <c r="D1743" s="387" t="str">
        <f>IF(A1743="","",IFERROR(IF(VLOOKUP(A1743,'1. Inbound Leads'!A:L,12,FALSE)=0,"",VLOOKUP(A1743,'1. Inbound Leads'!A:L,12,FALSE)),""))</f>
        <v/>
      </c>
      <c r="E1743" s="388"/>
      <c r="F1743" s="389"/>
      <c r="G1743" s="387"/>
      <c r="H1743" s="387"/>
      <c r="I1743" s="387"/>
      <c r="J1743" s="387"/>
      <c r="K1743" s="387"/>
      <c r="L1743" s="387"/>
      <c r="M1743" s="388"/>
      <c r="N1743" s="388"/>
      <c r="O1743" s="390"/>
      <c r="P1743" s="391"/>
      <c r="Q1743" s="389"/>
      <c r="R1743" s="390"/>
      <c r="S1743" s="390"/>
      <c r="T1743" s="391"/>
      <c r="U1743" s="392"/>
      <c r="V1743" s="391"/>
      <c r="W1743" s="391"/>
      <c r="X1743" s="388"/>
      <c r="Y1743" s="391"/>
      <c r="Z1743" s="393"/>
      <c r="AA1743" s="355" t="str">
        <f t="shared" si="1"/>
        <v/>
      </c>
      <c r="AB1743" s="391"/>
      <c r="AC1743" s="394" t="str">
        <f t="shared" si="2"/>
        <v/>
      </c>
      <c r="AD1743" s="389"/>
      <c r="AE1743" s="399"/>
      <c r="AF1743" s="395"/>
      <c r="AG1743" s="396" t="str">
        <f t="shared" si="3"/>
        <v/>
      </c>
      <c r="AH1743" s="396" t="str">
        <f t="shared" si="4"/>
        <v/>
      </c>
      <c r="AI1743" s="388"/>
      <c r="AJ1743" s="388"/>
      <c r="AK1743" s="397"/>
    </row>
    <row r="1744">
      <c r="A1744" s="398"/>
      <c r="B1744" s="386"/>
      <c r="C1744" s="387" t="str">
        <f>IF(A1744="","",IFERROR(IF(VLOOKUP(A1744,'1. Inbound Leads'!A:G,7,FALSE)=0,"",VLOOKUP(A1744,'1. Inbound Leads'!A:G,7,FALSE)),""))</f>
        <v/>
      </c>
      <c r="D1744" s="387" t="str">
        <f>IF(A1744="","",IFERROR(IF(VLOOKUP(A1744,'1. Inbound Leads'!A:L,12,FALSE)=0,"",VLOOKUP(A1744,'1. Inbound Leads'!A:L,12,FALSE)),""))</f>
        <v/>
      </c>
      <c r="E1744" s="388"/>
      <c r="F1744" s="389"/>
      <c r="G1744" s="387"/>
      <c r="H1744" s="387"/>
      <c r="I1744" s="387"/>
      <c r="J1744" s="387"/>
      <c r="K1744" s="387"/>
      <c r="L1744" s="387"/>
      <c r="M1744" s="388"/>
      <c r="N1744" s="388"/>
      <c r="O1744" s="390"/>
      <c r="P1744" s="391"/>
      <c r="Q1744" s="389"/>
      <c r="R1744" s="390"/>
      <c r="S1744" s="390"/>
      <c r="T1744" s="391"/>
      <c r="U1744" s="392"/>
      <c r="V1744" s="391"/>
      <c r="W1744" s="391"/>
      <c r="X1744" s="388"/>
      <c r="Y1744" s="391"/>
      <c r="Z1744" s="393"/>
      <c r="AA1744" s="355" t="str">
        <f t="shared" si="1"/>
        <v/>
      </c>
      <c r="AB1744" s="391"/>
      <c r="AC1744" s="394" t="str">
        <f t="shared" si="2"/>
        <v/>
      </c>
      <c r="AD1744" s="389"/>
      <c r="AE1744" s="399"/>
      <c r="AF1744" s="395"/>
      <c r="AG1744" s="396" t="str">
        <f t="shared" si="3"/>
        <v/>
      </c>
      <c r="AH1744" s="396" t="str">
        <f t="shared" si="4"/>
        <v/>
      </c>
      <c r="AI1744" s="388"/>
      <c r="AJ1744" s="388"/>
      <c r="AK1744" s="397"/>
    </row>
    <row r="1745">
      <c r="A1745" s="398"/>
      <c r="B1745" s="386"/>
      <c r="C1745" s="387" t="str">
        <f>IF(A1745="","",IFERROR(IF(VLOOKUP(A1745,'1. Inbound Leads'!A:G,7,FALSE)=0,"",VLOOKUP(A1745,'1. Inbound Leads'!A:G,7,FALSE)),""))</f>
        <v/>
      </c>
      <c r="D1745" s="387" t="str">
        <f>IF(A1745="","",IFERROR(IF(VLOOKUP(A1745,'1. Inbound Leads'!A:L,12,FALSE)=0,"",VLOOKUP(A1745,'1. Inbound Leads'!A:L,12,FALSE)),""))</f>
        <v/>
      </c>
      <c r="E1745" s="388"/>
      <c r="F1745" s="389"/>
      <c r="G1745" s="387"/>
      <c r="H1745" s="387"/>
      <c r="I1745" s="387"/>
      <c r="J1745" s="387"/>
      <c r="K1745" s="387"/>
      <c r="L1745" s="387"/>
      <c r="M1745" s="388"/>
      <c r="N1745" s="388"/>
      <c r="O1745" s="390"/>
      <c r="P1745" s="391"/>
      <c r="Q1745" s="389"/>
      <c r="R1745" s="390"/>
      <c r="S1745" s="390"/>
      <c r="T1745" s="391"/>
      <c r="U1745" s="392"/>
      <c r="V1745" s="391"/>
      <c r="W1745" s="391"/>
      <c r="X1745" s="388"/>
      <c r="Y1745" s="391"/>
      <c r="Z1745" s="393"/>
      <c r="AA1745" s="355" t="str">
        <f t="shared" si="1"/>
        <v/>
      </c>
      <c r="AB1745" s="391"/>
      <c r="AC1745" s="394" t="str">
        <f t="shared" si="2"/>
        <v/>
      </c>
      <c r="AD1745" s="389"/>
      <c r="AE1745" s="399"/>
      <c r="AF1745" s="395"/>
      <c r="AG1745" s="396" t="str">
        <f t="shared" si="3"/>
        <v/>
      </c>
      <c r="AH1745" s="396" t="str">
        <f t="shared" si="4"/>
        <v/>
      </c>
      <c r="AI1745" s="388"/>
      <c r="AJ1745" s="388"/>
      <c r="AK1745" s="397"/>
    </row>
    <row r="1746">
      <c r="A1746" s="398"/>
      <c r="B1746" s="386"/>
      <c r="C1746" s="387" t="str">
        <f>IF(A1746="","",IFERROR(IF(VLOOKUP(A1746,'1. Inbound Leads'!A:G,7,FALSE)=0,"",VLOOKUP(A1746,'1. Inbound Leads'!A:G,7,FALSE)),""))</f>
        <v/>
      </c>
      <c r="D1746" s="387" t="str">
        <f>IF(A1746="","",IFERROR(IF(VLOOKUP(A1746,'1. Inbound Leads'!A:L,12,FALSE)=0,"",VLOOKUP(A1746,'1. Inbound Leads'!A:L,12,FALSE)),""))</f>
        <v/>
      </c>
      <c r="E1746" s="388"/>
      <c r="F1746" s="389"/>
      <c r="G1746" s="387"/>
      <c r="H1746" s="387"/>
      <c r="I1746" s="387"/>
      <c r="J1746" s="387"/>
      <c r="K1746" s="387"/>
      <c r="L1746" s="387"/>
      <c r="M1746" s="388"/>
      <c r="N1746" s="388"/>
      <c r="O1746" s="390"/>
      <c r="P1746" s="391"/>
      <c r="Q1746" s="389"/>
      <c r="R1746" s="390"/>
      <c r="S1746" s="390"/>
      <c r="T1746" s="391"/>
      <c r="U1746" s="392"/>
      <c r="V1746" s="391"/>
      <c r="W1746" s="391"/>
      <c r="X1746" s="388"/>
      <c r="Y1746" s="391"/>
      <c r="Z1746" s="393"/>
      <c r="AA1746" s="355" t="str">
        <f t="shared" si="1"/>
        <v/>
      </c>
      <c r="AB1746" s="391"/>
      <c r="AC1746" s="394" t="str">
        <f t="shared" si="2"/>
        <v/>
      </c>
      <c r="AD1746" s="389"/>
      <c r="AE1746" s="399"/>
      <c r="AF1746" s="395"/>
      <c r="AG1746" s="396" t="str">
        <f t="shared" si="3"/>
        <v/>
      </c>
      <c r="AH1746" s="396" t="str">
        <f t="shared" si="4"/>
        <v/>
      </c>
      <c r="AI1746" s="388"/>
      <c r="AJ1746" s="388"/>
      <c r="AK1746" s="397"/>
    </row>
    <row r="1747">
      <c r="A1747" s="398"/>
      <c r="B1747" s="386"/>
      <c r="C1747" s="387" t="str">
        <f>IF(A1747="","",IFERROR(IF(VLOOKUP(A1747,'1. Inbound Leads'!A:G,7,FALSE)=0,"",VLOOKUP(A1747,'1. Inbound Leads'!A:G,7,FALSE)),""))</f>
        <v/>
      </c>
      <c r="D1747" s="387" t="str">
        <f>IF(A1747="","",IFERROR(IF(VLOOKUP(A1747,'1. Inbound Leads'!A:L,12,FALSE)=0,"",VLOOKUP(A1747,'1. Inbound Leads'!A:L,12,FALSE)),""))</f>
        <v/>
      </c>
      <c r="E1747" s="388"/>
      <c r="F1747" s="389"/>
      <c r="G1747" s="387"/>
      <c r="H1747" s="387"/>
      <c r="I1747" s="387"/>
      <c r="J1747" s="387"/>
      <c r="K1747" s="387"/>
      <c r="L1747" s="387"/>
      <c r="M1747" s="388"/>
      <c r="N1747" s="388"/>
      <c r="O1747" s="390"/>
      <c r="P1747" s="391"/>
      <c r="Q1747" s="389"/>
      <c r="R1747" s="390"/>
      <c r="S1747" s="390"/>
      <c r="T1747" s="391"/>
      <c r="U1747" s="392"/>
      <c r="V1747" s="391"/>
      <c r="W1747" s="391"/>
      <c r="X1747" s="388"/>
      <c r="Y1747" s="391"/>
      <c r="Z1747" s="393"/>
      <c r="AA1747" s="355" t="str">
        <f t="shared" si="1"/>
        <v/>
      </c>
      <c r="AB1747" s="391"/>
      <c r="AC1747" s="394" t="str">
        <f t="shared" si="2"/>
        <v/>
      </c>
      <c r="AD1747" s="389"/>
      <c r="AE1747" s="399"/>
      <c r="AF1747" s="395"/>
      <c r="AG1747" s="396" t="str">
        <f t="shared" si="3"/>
        <v/>
      </c>
      <c r="AH1747" s="396" t="str">
        <f t="shared" si="4"/>
        <v/>
      </c>
      <c r="AI1747" s="388"/>
      <c r="AJ1747" s="388"/>
      <c r="AK1747" s="397"/>
    </row>
    <row r="1748">
      <c r="A1748" s="398"/>
      <c r="B1748" s="386"/>
      <c r="C1748" s="387" t="str">
        <f>IF(A1748="","",IFERROR(IF(VLOOKUP(A1748,'1. Inbound Leads'!A:G,7,FALSE)=0,"",VLOOKUP(A1748,'1. Inbound Leads'!A:G,7,FALSE)),""))</f>
        <v/>
      </c>
      <c r="D1748" s="387" t="str">
        <f>IF(A1748="","",IFERROR(IF(VLOOKUP(A1748,'1. Inbound Leads'!A:L,12,FALSE)=0,"",VLOOKUP(A1748,'1. Inbound Leads'!A:L,12,FALSE)),""))</f>
        <v/>
      </c>
      <c r="E1748" s="388"/>
      <c r="F1748" s="389"/>
      <c r="G1748" s="387"/>
      <c r="H1748" s="387"/>
      <c r="I1748" s="387"/>
      <c r="J1748" s="387"/>
      <c r="K1748" s="387"/>
      <c r="L1748" s="387"/>
      <c r="M1748" s="388"/>
      <c r="N1748" s="388"/>
      <c r="O1748" s="390"/>
      <c r="P1748" s="391"/>
      <c r="Q1748" s="389"/>
      <c r="R1748" s="390"/>
      <c r="S1748" s="390"/>
      <c r="T1748" s="391"/>
      <c r="U1748" s="392"/>
      <c r="V1748" s="391"/>
      <c r="W1748" s="391"/>
      <c r="X1748" s="388"/>
      <c r="Y1748" s="391"/>
      <c r="Z1748" s="393"/>
      <c r="AA1748" s="355" t="str">
        <f t="shared" si="1"/>
        <v/>
      </c>
      <c r="AB1748" s="391"/>
      <c r="AC1748" s="394" t="str">
        <f t="shared" si="2"/>
        <v/>
      </c>
      <c r="AD1748" s="389"/>
      <c r="AE1748" s="399"/>
      <c r="AF1748" s="395"/>
      <c r="AG1748" s="396" t="str">
        <f t="shared" si="3"/>
        <v/>
      </c>
      <c r="AH1748" s="396" t="str">
        <f t="shared" si="4"/>
        <v/>
      </c>
      <c r="AI1748" s="388"/>
      <c r="AJ1748" s="388"/>
      <c r="AK1748" s="397"/>
    </row>
    <row r="1749">
      <c r="A1749" s="398"/>
      <c r="B1749" s="386"/>
      <c r="C1749" s="387" t="str">
        <f>IF(A1749="","",IFERROR(IF(VLOOKUP(A1749,'1. Inbound Leads'!A:G,7,FALSE)=0,"",VLOOKUP(A1749,'1. Inbound Leads'!A:G,7,FALSE)),""))</f>
        <v/>
      </c>
      <c r="D1749" s="387" t="str">
        <f>IF(A1749="","",IFERROR(IF(VLOOKUP(A1749,'1. Inbound Leads'!A:L,12,FALSE)=0,"",VLOOKUP(A1749,'1. Inbound Leads'!A:L,12,FALSE)),""))</f>
        <v/>
      </c>
      <c r="E1749" s="388"/>
      <c r="F1749" s="389"/>
      <c r="G1749" s="387"/>
      <c r="H1749" s="387"/>
      <c r="I1749" s="387"/>
      <c r="J1749" s="387"/>
      <c r="K1749" s="387"/>
      <c r="L1749" s="387"/>
      <c r="M1749" s="388"/>
      <c r="N1749" s="388"/>
      <c r="O1749" s="390"/>
      <c r="P1749" s="391"/>
      <c r="Q1749" s="389"/>
      <c r="R1749" s="390"/>
      <c r="S1749" s="390"/>
      <c r="T1749" s="391"/>
      <c r="U1749" s="392"/>
      <c r="V1749" s="391"/>
      <c r="W1749" s="391"/>
      <c r="X1749" s="388"/>
      <c r="Y1749" s="391"/>
      <c r="Z1749" s="393"/>
      <c r="AA1749" s="355" t="str">
        <f t="shared" si="1"/>
        <v/>
      </c>
      <c r="AB1749" s="391"/>
      <c r="AC1749" s="394" t="str">
        <f t="shared" si="2"/>
        <v/>
      </c>
      <c r="AD1749" s="389"/>
      <c r="AE1749" s="399"/>
      <c r="AF1749" s="395"/>
      <c r="AG1749" s="396" t="str">
        <f t="shared" si="3"/>
        <v/>
      </c>
      <c r="AH1749" s="396" t="str">
        <f t="shared" si="4"/>
        <v/>
      </c>
      <c r="AI1749" s="388"/>
      <c r="AJ1749" s="388"/>
      <c r="AK1749" s="397"/>
    </row>
    <row r="1750">
      <c r="A1750" s="398"/>
      <c r="B1750" s="386"/>
      <c r="C1750" s="387" t="str">
        <f>IF(A1750="","",IFERROR(IF(VLOOKUP(A1750,'1. Inbound Leads'!A:G,7,FALSE)=0,"",VLOOKUP(A1750,'1. Inbound Leads'!A:G,7,FALSE)),""))</f>
        <v/>
      </c>
      <c r="D1750" s="387" t="str">
        <f>IF(A1750="","",IFERROR(IF(VLOOKUP(A1750,'1. Inbound Leads'!A:L,12,FALSE)=0,"",VLOOKUP(A1750,'1. Inbound Leads'!A:L,12,FALSE)),""))</f>
        <v/>
      </c>
      <c r="E1750" s="388"/>
      <c r="F1750" s="389"/>
      <c r="G1750" s="387"/>
      <c r="H1750" s="387"/>
      <c r="I1750" s="387"/>
      <c r="J1750" s="387"/>
      <c r="K1750" s="387"/>
      <c r="L1750" s="387"/>
      <c r="M1750" s="388"/>
      <c r="N1750" s="388"/>
      <c r="O1750" s="390"/>
      <c r="P1750" s="391"/>
      <c r="Q1750" s="389"/>
      <c r="R1750" s="390"/>
      <c r="S1750" s="390"/>
      <c r="T1750" s="391"/>
      <c r="U1750" s="392"/>
      <c r="V1750" s="391"/>
      <c r="W1750" s="391"/>
      <c r="X1750" s="388"/>
      <c r="Y1750" s="391"/>
      <c r="Z1750" s="393"/>
      <c r="AA1750" s="355" t="str">
        <f t="shared" si="1"/>
        <v/>
      </c>
      <c r="AB1750" s="391"/>
      <c r="AC1750" s="394" t="str">
        <f t="shared" si="2"/>
        <v/>
      </c>
      <c r="AD1750" s="389"/>
      <c r="AE1750" s="399"/>
      <c r="AF1750" s="395"/>
      <c r="AG1750" s="396" t="str">
        <f t="shared" si="3"/>
        <v/>
      </c>
      <c r="AH1750" s="396" t="str">
        <f t="shared" si="4"/>
        <v/>
      </c>
      <c r="AI1750" s="388"/>
      <c r="AJ1750" s="388"/>
      <c r="AK1750" s="397"/>
    </row>
    <row r="1751">
      <c r="A1751" s="398"/>
      <c r="B1751" s="386"/>
      <c r="C1751" s="387" t="str">
        <f>IF(A1751="","",IFERROR(IF(VLOOKUP(A1751,'1. Inbound Leads'!A:G,7,FALSE)=0,"",VLOOKUP(A1751,'1. Inbound Leads'!A:G,7,FALSE)),""))</f>
        <v/>
      </c>
      <c r="D1751" s="387" t="str">
        <f>IF(A1751="","",IFERROR(IF(VLOOKUP(A1751,'1. Inbound Leads'!A:L,12,FALSE)=0,"",VLOOKUP(A1751,'1. Inbound Leads'!A:L,12,FALSE)),""))</f>
        <v/>
      </c>
      <c r="E1751" s="388"/>
      <c r="F1751" s="389"/>
      <c r="G1751" s="387"/>
      <c r="H1751" s="387"/>
      <c r="I1751" s="387"/>
      <c r="J1751" s="387"/>
      <c r="K1751" s="387"/>
      <c r="L1751" s="387"/>
      <c r="M1751" s="388"/>
      <c r="N1751" s="388"/>
      <c r="O1751" s="390"/>
      <c r="P1751" s="391"/>
      <c r="Q1751" s="389"/>
      <c r="R1751" s="390"/>
      <c r="S1751" s="390"/>
      <c r="T1751" s="391"/>
      <c r="U1751" s="392"/>
      <c r="V1751" s="391"/>
      <c r="W1751" s="391"/>
      <c r="X1751" s="388"/>
      <c r="Y1751" s="391"/>
      <c r="Z1751" s="393"/>
      <c r="AA1751" s="355" t="str">
        <f t="shared" si="1"/>
        <v/>
      </c>
      <c r="AB1751" s="391"/>
      <c r="AC1751" s="394" t="str">
        <f t="shared" si="2"/>
        <v/>
      </c>
      <c r="AD1751" s="389"/>
      <c r="AE1751" s="399"/>
      <c r="AF1751" s="395"/>
      <c r="AG1751" s="396" t="str">
        <f t="shared" si="3"/>
        <v/>
      </c>
      <c r="AH1751" s="396" t="str">
        <f t="shared" si="4"/>
        <v/>
      </c>
      <c r="AI1751" s="388"/>
      <c r="AJ1751" s="388"/>
      <c r="AK1751" s="397"/>
    </row>
    <row r="1752">
      <c r="A1752" s="398"/>
      <c r="B1752" s="386"/>
      <c r="C1752" s="387" t="str">
        <f>IF(A1752="","",IFERROR(IF(VLOOKUP(A1752,'1. Inbound Leads'!A:G,7,FALSE)=0,"",VLOOKUP(A1752,'1. Inbound Leads'!A:G,7,FALSE)),""))</f>
        <v/>
      </c>
      <c r="D1752" s="387" t="str">
        <f>IF(A1752="","",IFERROR(IF(VLOOKUP(A1752,'1. Inbound Leads'!A:L,12,FALSE)=0,"",VLOOKUP(A1752,'1. Inbound Leads'!A:L,12,FALSE)),""))</f>
        <v/>
      </c>
      <c r="E1752" s="388"/>
      <c r="F1752" s="389"/>
      <c r="G1752" s="387"/>
      <c r="H1752" s="387"/>
      <c r="I1752" s="387"/>
      <c r="J1752" s="387"/>
      <c r="K1752" s="387"/>
      <c r="L1752" s="387"/>
      <c r="M1752" s="388"/>
      <c r="N1752" s="388"/>
      <c r="O1752" s="390"/>
      <c r="P1752" s="391"/>
      <c r="Q1752" s="389"/>
      <c r="R1752" s="390"/>
      <c r="S1752" s="390"/>
      <c r="T1752" s="391"/>
      <c r="U1752" s="392"/>
      <c r="V1752" s="391"/>
      <c r="W1752" s="391"/>
      <c r="X1752" s="388"/>
      <c r="Y1752" s="391"/>
      <c r="Z1752" s="393"/>
      <c r="AA1752" s="355" t="str">
        <f t="shared" si="1"/>
        <v/>
      </c>
      <c r="AB1752" s="391"/>
      <c r="AC1752" s="394" t="str">
        <f t="shared" si="2"/>
        <v/>
      </c>
      <c r="AD1752" s="389"/>
      <c r="AE1752" s="399"/>
      <c r="AF1752" s="395"/>
      <c r="AG1752" s="396" t="str">
        <f t="shared" si="3"/>
        <v/>
      </c>
      <c r="AH1752" s="396" t="str">
        <f t="shared" si="4"/>
        <v/>
      </c>
      <c r="AI1752" s="388"/>
      <c r="AJ1752" s="388"/>
      <c r="AK1752" s="397"/>
    </row>
    <row r="1753">
      <c r="A1753" s="398"/>
      <c r="B1753" s="386"/>
      <c r="C1753" s="387" t="str">
        <f>IF(A1753="","",IFERROR(IF(VLOOKUP(A1753,'1. Inbound Leads'!A:G,7,FALSE)=0,"",VLOOKUP(A1753,'1. Inbound Leads'!A:G,7,FALSE)),""))</f>
        <v/>
      </c>
      <c r="D1753" s="387" t="str">
        <f>IF(A1753="","",IFERROR(IF(VLOOKUP(A1753,'1. Inbound Leads'!A:L,12,FALSE)=0,"",VLOOKUP(A1753,'1. Inbound Leads'!A:L,12,FALSE)),""))</f>
        <v/>
      </c>
      <c r="E1753" s="388"/>
      <c r="F1753" s="389"/>
      <c r="G1753" s="387"/>
      <c r="H1753" s="387"/>
      <c r="I1753" s="387"/>
      <c r="J1753" s="387"/>
      <c r="K1753" s="387"/>
      <c r="L1753" s="387"/>
      <c r="M1753" s="388"/>
      <c r="N1753" s="388"/>
      <c r="O1753" s="390"/>
      <c r="P1753" s="391"/>
      <c r="Q1753" s="389"/>
      <c r="R1753" s="390"/>
      <c r="S1753" s="390"/>
      <c r="T1753" s="391"/>
      <c r="U1753" s="392"/>
      <c r="V1753" s="391"/>
      <c r="W1753" s="391"/>
      <c r="X1753" s="388"/>
      <c r="Y1753" s="391"/>
      <c r="Z1753" s="393"/>
      <c r="AA1753" s="355" t="str">
        <f t="shared" si="1"/>
        <v/>
      </c>
      <c r="AB1753" s="391"/>
      <c r="AC1753" s="394" t="str">
        <f t="shared" si="2"/>
        <v/>
      </c>
      <c r="AD1753" s="389"/>
      <c r="AE1753" s="399"/>
      <c r="AF1753" s="395"/>
      <c r="AG1753" s="396" t="str">
        <f t="shared" si="3"/>
        <v/>
      </c>
      <c r="AH1753" s="396" t="str">
        <f t="shared" si="4"/>
        <v/>
      </c>
      <c r="AI1753" s="388"/>
      <c r="AJ1753" s="388"/>
      <c r="AK1753" s="397"/>
    </row>
    <row r="1754">
      <c r="A1754" s="398"/>
      <c r="B1754" s="386"/>
      <c r="C1754" s="387" t="str">
        <f>IF(A1754="","",IFERROR(IF(VLOOKUP(A1754,'1. Inbound Leads'!A:G,7,FALSE)=0,"",VLOOKUP(A1754,'1. Inbound Leads'!A:G,7,FALSE)),""))</f>
        <v/>
      </c>
      <c r="D1754" s="387" t="str">
        <f>IF(A1754="","",IFERROR(IF(VLOOKUP(A1754,'1. Inbound Leads'!A:L,12,FALSE)=0,"",VLOOKUP(A1754,'1. Inbound Leads'!A:L,12,FALSE)),""))</f>
        <v/>
      </c>
      <c r="E1754" s="388"/>
      <c r="F1754" s="389"/>
      <c r="G1754" s="387"/>
      <c r="H1754" s="387"/>
      <c r="I1754" s="387"/>
      <c r="J1754" s="387"/>
      <c r="K1754" s="387"/>
      <c r="L1754" s="387"/>
      <c r="M1754" s="388"/>
      <c r="N1754" s="388"/>
      <c r="O1754" s="390"/>
      <c r="P1754" s="391"/>
      <c r="Q1754" s="389"/>
      <c r="R1754" s="390"/>
      <c r="S1754" s="390"/>
      <c r="T1754" s="391"/>
      <c r="U1754" s="392"/>
      <c r="V1754" s="391"/>
      <c r="W1754" s="391"/>
      <c r="X1754" s="388"/>
      <c r="Y1754" s="391"/>
      <c r="Z1754" s="393"/>
      <c r="AA1754" s="355" t="str">
        <f t="shared" si="1"/>
        <v/>
      </c>
      <c r="AB1754" s="391"/>
      <c r="AC1754" s="394" t="str">
        <f t="shared" si="2"/>
        <v/>
      </c>
      <c r="AD1754" s="389"/>
      <c r="AE1754" s="399"/>
      <c r="AF1754" s="395"/>
      <c r="AG1754" s="396" t="str">
        <f t="shared" si="3"/>
        <v/>
      </c>
      <c r="AH1754" s="396" t="str">
        <f t="shared" si="4"/>
        <v/>
      </c>
      <c r="AI1754" s="388"/>
      <c r="AJ1754" s="388"/>
      <c r="AK1754" s="397"/>
    </row>
    <row r="1755">
      <c r="A1755" s="398"/>
      <c r="B1755" s="386"/>
      <c r="C1755" s="387" t="str">
        <f>IF(A1755="","",IFERROR(IF(VLOOKUP(A1755,'1. Inbound Leads'!A:G,7,FALSE)=0,"",VLOOKUP(A1755,'1. Inbound Leads'!A:G,7,FALSE)),""))</f>
        <v/>
      </c>
      <c r="D1755" s="387" t="str">
        <f>IF(A1755="","",IFERROR(IF(VLOOKUP(A1755,'1. Inbound Leads'!A:L,12,FALSE)=0,"",VLOOKUP(A1755,'1. Inbound Leads'!A:L,12,FALSE)),""))</f>
        <v/>
      </c>
      <c r="E1755" s="388"/>
      <c r="F1755" s="389"/>
      <c r="G1755" s="387"/>
      <c r="H1755" s="387"/>
      <c r="I1755" s="387"/>
      <c r="J1755" s="387"/>
      <c r="K1755" s="387"/>
      <c r="L1755" s="387"/>
      <c r="M1755" s="388"/>
      <c r="N1755" s="388"/>
      <c r="O1755" s="390"/>
      <c r="P1755" s="391"/>
      <c r="Q1755" s="389"/>
      <c r="R1755" s="390"/>
      <c r="S1755" s="390"/>
      <c r="T1755" s="391"/>
      <c r="U1755" s="392"/>
      <c r="V1755" s="391"/>
      <c r="W1755" s="391"/>
      <c r="X1755" s="388"/>
      <c r="Y1755" s="391"/>
      <c r="Z1755" s="393"/>
      <c r="AA1755" s="355" t="str">
        <f t="shared" si="1"/>
        <v/>
      </c>
      <c r="AB1755" s="391"/>
      <c r="AC1755" s="394" t="str">
        <f t="shared" si="2"/>
        <v/>
      </c>
      <c r="AD1755" s="389"/>
      <c r="AE1755" s="399"/>
      <c r="AF1755" s="395"/>
      <c r="AG1755" s="396" t="str">
        <f t="shared" si="3"/>
        <v/>
      </c>
      <c r="AH1755" s="396" t="str">
        <f t="shared" si="4"/>
        <v/>
      </c>
      <c r="AI1755" s="388"/>
      <c r="AJ1755" s="388"/>
      <c r="AK1755" s="397"/>
    </row>
    <row r="1756">
      <c r="A1756" s="398"/>
      <c r="B1756" s="386"/>
      <c r="C1756" s="387" t="str">
        <f>IF(A1756="","",IFERROR(IF(VLOOKUP(A1756,'1. Inbound Leads'!A:G,7,FALSE)=0,"",VLOOKUP(A1756,'1. Inbound Leads'!A:G,7,FALSE)),""))</f>
        <v/>
      </c>
      <c r="D1756" s="387" t="str">
        <f>IF(A1756="","",IFERROR(IF(VLOOKUP(A1756,'1. Inbound Leads'!A:L,12,FALSE)=0,"",VLOOKUP(A1756,'1. Inbound Leads'!A:L,12,FALSE)),""))</f>
        <v/>
      </c>
      <c r="E1756" s="388"/>
      <c r="F1756" s="389"/>
      <c r="G1756" s="387"/>
      <c r="H1756" s="387"/>
      <c r="I1756" s="387"/>
      <c r="J1756" s="387"/>
      <c r="K1756" s="387"/>
      <c r="L1756" s="387"/>
      <c r="M1756" s="388"/>
      <c r="N1756" s="388"/>
      <c r="O1756" s="390"/>
      <c r="P1756" s="391"/>
      <c r="Q1756" s="389"/>
      <c r="R1756" s="390"/>
      <c r="S1756" s="390"/>
      <c r="T1756" s="391"/>
      <c r="U1756" s="392"/>
      <c r="V1756" s="391"/>
      <c r="W1756" s="391"/>
      <c r="X1756" s="388"/>
      <c r="Y1756" s="391"/>
      <c r="Z1756" s="393"/>
      <c r="AA1756" s="355" t="str">
        <f t="shared" si="1"/>
        <v/>
      </c>
      <c r="AB1756" s="391"/>
      <c r="AC1756" s="394" t="str">
        <f t="shared" si="2"/>
        <v/>
      </c>
      <c r="AD1756" s="389"/>
      <c r="AE1756" s="399"/>
      <c r="AF1756" s="395"/>
      <c r="AG1756" s="396" t="str">
        <f t="shared" si="3"/>
        <v/>
      </c>
      <c r="AH1756" s="396" t="str">
        <f t="shared" si="4"/>
        <v/>
      </c>
      <c r="AI1756" s="388"/>
      <c r="AJ1756" s="388"/>
      <c r="AK1756" s="397"/>
    </row>
    <row r="1757">
      <c r="A1757" s="398"/>
      <c r="B1757" s="386"/>
      <c r="C1757" s="387" t="str">
        <f>IF(A1757="","",IFERROR(IF(VLOOKUP(A1757,'1. Inbound Leads'!A:G,7,FALSE)=0,"",VLOOKUP(A1757,'1. Inbound Leads'!A:G,7,FALSE)),""))</f>
        <v/>
      </c>
      <c r="D1757" s="387" t="str">
        <f>IF(A1757="","",IFERROR(IF(VLOOKUP(A1757,'1. Inbound Leads'!A:L,12,FALSE)=0,"",VLOOKUP(A1757,'1. Inbound Leads'!A:L,12,FALSE)),""))</f>
        <v/>
      </c>
      <c r="E1757" s="388"/>
      <c r="F1757" s="389"/>
      <c r="G1757" s="387"/>
      <c r="H1757" s="387"/>
      <c r="I1757" s="387"/>
      <c r="J1757" s="387"/>
      <c r="K1757" s="387"/>
      <c r="L1757" s="387"/>
      <c r="M1757" s="388"/>
      <c r="N1757" s="388"/>
      <c r="O1757" s="390"/>
      <c r="P1757" s="391"/>
      <c r="Q1757" s="389"/>
      <c r="R1757" s="390"/>
      <c r="S1757" s="390"/>
      <c r="T1757" s="391"/>
      <c r="U1757" s="392"/>
      <c r="V1757" s="391"/>
      <c r="W1757" s="391"/>
      <c r="X1757" s="388"/>
      <c r="Y1757" s="391"/>
      <c r="Z1757" s="393"/>
      <c r="AA1757" s="355" t="str">
        <f t="shared" si="1"/>
        <v/>
      </c>
      <c r="AB1757" s="391"/>
      <c r="AC1757" s="394" t="str">
        <f t="shared" si="2"/>
        <v/>
      </c>
      <c r="AD1757" s="389"/>
      <c r="AE1757" s="399"/>
      <c r="AF1757" s="395"/>
      <c r="AG1757" s="396" t="str">
        <f t="shared" si="3"/>
        <v/>
      </c>
      <c r="AH1757" s="396" t="str">
        <f t="shared" si="4"/>
        <v/>
      </c>
      <c r="AI1757" s="388"/>
      <c r="AJ1757" s="388"/>
      <c r="AK1757" s="397"/>
    </row>
    <row r="1758">
      <c r="A1758" s="398"/>
      <c r="B1758" s="386"/>
      <c r="C1758" s="387" t="str">
        <f>IF(A1758="","",IFERROR(IF(VLOOKUP(A1758,'1. Inbound Leads'!A:G,7,FALSE)=0,"",VLOOKUP(A1758,'1. Inbound Leads'!A:G,7,FALSE)),""))</f>
        <v/>
      </c>
      <c r="D1758" s="387" t="str">
        <f>IF(A1758="","",IFERROR(IF(VLOOKUP(A1758,'1. Inbound Leads'!A:L,12,FALSE)=0,"",VLOOKUP(A1758,'1. Inbound Leads'!A:L,12,FALSE)),""))</f>
        <v/>
      </c>
      <c r="E1758" s="388"/>
      <c r="F1758" s="389"/>
      <c r="G1758" s="387"/>
      <c r="H1758" s="387"/>
      <c r="I1758" s="387"/>
      <c r="J1758" s="387"/>
      <c r="K1758" s="387"/>
      <c r="L1758" s="387"/>
      <c r="M1758" s="388"/>
      <c r="N1758" s="388"/>
      <c r="O1758" s="390"/>
      <c r="P1758" s="391"/>
      <c r="Q1758" s="389"/>
      <c r="R1758" s="390"/>
      <c r="S1758" s="390"/>
      <c r="T1758" s="391"/>
      <c r="U1758" s="392"/>
      <c r="V1758" s="391"/>
      <c r="W1758" s="391"/>
      <c r="X1758" s="388"/>
      <c r="Y1758" s="391"/>
      <c r="Z1758" s="393"/>
      <c r="AA1758" s="355" t="str">
        <f t="shared" si="1"/>
        <v/>
      </c>
      <c r="AB1758" s="391"/>
      <c r="AC1758" s="394" t="str">
        <f t="shared" si="2"/>
        <v/>
      </c>
      <c r="AD1758" s="389"/>
      <c r="AE1758" s="399"/>
      <c r="AF1758" s="395"/>
      <c r="AG1758" s="396" t="str">
        <f t="shared" si="3"/>
        <v/>
      </c>
      <c r="AH1758" s="396" t="str">
        <f t="shared" si="4"/>
        <v/>
      </c>
      <c r="AI1758" s="388"/>
      <c r="AJ1758" s="388"/>
      <c r="AK1758" s="397"/>
    </row>
    <row r="1759">
      <c r="A1759" s="398"/>
      <c r="B1759" s="386"/>
      <c r="C1759" s="387" t="str">
        <f>IF(A1759="","",IFERROR(IF(VLOOKUP(A1759,'1. Inbound Leads'!A:G,7,FALSE)=0,"",VLOOKUP(A1759,'1. Inbound Leads'!A:G,7,FALSE)),""))</f>
        <v/>
      </c>
      <c r="D1759" s="387" t="str">
        <f>IF(A1759="","",IFERROR(IF(VLOOKUP(A1759,'1. Inbound Leads'!A:L,12,FALSE)=0,"",VLOOKUP(A1759,'1. Inbound Leads'!A:L,12,FALSE)),""))</f>
        <v/>
      </c>
      <c r="E1759" s="388"/>
      <c r="F1759" s="389"/>
      <c r="G1759" s="387"/>
      <c r="H1759" s="387"/>
      <c r="I1759" s="387"/>
      <c r="J1759" s="387"/>
      <c r="K1759" s="387"/>
      <c r="L1759" s="387"/>
      <c r="M1759" s="388"/>
      <c r="N1759" s="388"/>
      <c r="O1759" s="390"/>
      <c r="P1759" s="391"/>
      <c r="Q1759" s="389"/>
      <c r="R1759" s="390"/>
      <c r="S1759" s="390"/>
      <c r="T1759" s="391"/>
      <c r="U1759" s="392"/>
      <c r="V1759" s="391"/>
      <c r="W1759" s="391"/>
      <c r="X1759" s="388"/>
      <c r="Y1759" s="391"/>
      <c r="Z1759" s="393"/>
      <c r="AA1759" s="355" t="str">
        <f t="shared" si="1"/>
        <v/>
      </c>
      <c r="AB1759" s="391"/>
      <c r="AC1759" s="394" t="str">
        <f t="shared" si="2"/>
        <v/>
      </c>
      <c r="AD1759" s="389"/>
      <c r="AE1759" s="399"/>
      <c r="AF1759" s="395"/>
      <c r="AG1759" s="396" t="str">
        <f t="shared" si="3"/>
        <v/>
      </c>
      <c r="AH1759" s="396" t="str">
        <f t="shared" si="4"/>
        <v/>
      </c>
      <c r="AI1759" s="388"/>
      <c r="AJ1759" s="388"/>
      <c r="AK1759" s="397"/>
    </row>
    <row r="1760">
      <c r="A1760" s="398"/>
      <c r="B1760" s="386"/>
      <c r="C1760" s="387" t="str">
        <f>IF(A1760="","",IFERROR(IF(VLOOKUP(A1760,'1. Inbound Leads'!A:G,7,FALSE)=0,"",VLOOKUP(A1760,'1. Inbound Leads'!A:G,7,FALSE)),""))</f>
        <v/>
      </c>
      <c r="D1760" s="387" t="str">
        <f>IF(A1760="","",IFERROR(IF(VLOOKUP(A1760,'1. Inbound Leads'!A:L,12,FALSE)=0,"",VLOOKUP(A1760,'1. Inbound Leads'!A:L,12,FALSE)),""))</f>
        <v/>
      </c>
      <c r="E1760" s="388"/>
      <c r="F1760" s="389"/>
      <c r="G1760" s="387"/>
      <c r="H1760" s="387"/>
      <c r="I1760" s="387"/>
      <c r="J1760" s="387"/>
      <c r="K1760" s="387"/>
      <c r="L1760" s="387"/>
      <c r="M1760" s="388"/>
      <c r="N1760" s="388"/>
      <c r="O1760" s="390"/>
      <c r="P1760" s="391"/>
      <c r="Q1760" s="389"/>
      <c r="R1760" s="390"/>
      <c r="S1760" s="390"/>
      <c r="T1760" s="391"/>
      <c r="U1760" s="392"/>
      <c r="V1760" s="391"/>
      <c r="W1760" s="391"/>
      <c r="X1760" s="388"/>
      <c r="Y1760" s="391"/>
      <c r="Z1760" s="393"/>
      <c r="AA1760" s="355" t="str">
        <f t="shared" si="1"/>
        <v/>
      </c>
      <c r="AB1760" s="391"/>
      <c r="AC1760" s="394" t="str">
        <f t="shared" si="2"/>
        <v/>
      </c>
      <c r="AD1760" s="389"/>
      <c r="AE1760" s="399"/>
      <c r="AF1760" s="395"/>
      <c r="AG1760" s="396" t="str">
        <f t="shared" si="3"/>
        <v/>
      </c>
      <c r="AH1760" s="396" t="str">
        <f t="shared" si="4"/>
        <v/>
      </c>
      <c r="AI1760" s="388"/>
      <c r="AJ1760" s="388"/>
      <c r="AK1760" s="397"/>
    </row>
    <row r="1761">
      <c r="A1761" s="398"/>
      <c r="B1761" s="386"/>
      <c r="C1761" s="387" t="str">
        <f>IF(A1761="","",IFERROR(IF(VLOOKUP(A1761,'1. Inbound Leads'!A:G,7,FALSE)=0,"",VLOOKUP(A1761,'1. Inbound Leads'!A:G,7,FALSE)),""))</f>
        <v/>
      </c>
      <c r="D1761" s="387" t="str">
        <f>IF(A1761="","",IFERROR(IF(VLOOKUP(A1761,'1. Inbound Leads'!A:L,12,FALSE)=0,"",VLOOKUP(A1761,'1. Inbound Leads'!A:L,12,FALSE)),""))</f>
        <v/>
      </c>
      <c r="E1761" s="388"/>
      <c r="F1761" s="389"/>
      <c r="G1761" s="387"/>
      <c r="H1761" s="387"/>
      <c r="I1761" s="387"/>
      <c r="J1761" s="387"/>
      <c r="K1761" s="387"/>
      <c r="L1761" s="387"/>
      <c r="M1761" s="388"/>
      <c r="N1761" s="388"/>
      <c r="O1761" s="390"/>
      <c r="P1761" s="391"/>
      <c r="Q1761" s="389"/>
      <c r="R1761" s="390"/>
      <c r="S1761" s="390"/>
      <c r="T1761" s="391"/>
      <c r="U1761" s="392"/>
      <c r="V1761" s="391"/>
      <c r="W1761" s="391"/>
      <c r="X1761" s="388"/>
      <c r="Y1761" s="391"/>
      <c r="Z1761" s="393"/>
      <c r="AA1761" s="355" t="str">
        <f t="shared" si="1"/>
        <v/>
      </c>
      <c r="AB1761" s="391"/>
      <c r="AC1761" s="394" t="str">
        <f t="shared" si="2"/>
        <v/>
      </c>
      <c r="AD1761" s="389"/>
      <c r="AE1761" s="399"/>
      <c r="AF1761" s="395"/>
      <c r="AG1761" s="396" t="str">
        <f t="shared" si="3"/>
        <v/>
      </c>
      <c r="AH1761" s="396" t="str">
        <f t="shared" si="4"/>
        <v/>
      </c>
      <c r="AI1761" s="388"/>
      <c r="AJ1761" s="388"/>
      <c r="AK1761" s="397"/>
    </row>
    <row r="1762">
      <c r="A1762" s="398"/>
      <c r="B1762" s="386"/>
      <c r="C1762" s="387" t="str">
        <f>IF(A1762="","",IFERROR(IF(VLOOKUP(A1762,'1. Inbound Leads'!A:G,7,FALSE)=0,"",VLOOKUP(A1762,'1. Inbound Leads'!A:G,7,FALSE)),""))</f>
        <v/>
      </c>
      <c r="D1762" s="387" t="str">
        <f>IF(A1762="","",IFERROR(IF(VLOOKUP(A1762,'1. Inbound Leads'!A:L,12,FALSE)=0,"",VLOOKUP(A1762,'1. Inbound Leads'!A:L,12,FALSE)),""))</f>
        <v/>
      </c>
      <c r="E1762" s="388"/>
      <c r="F1762" s="389"/>
      <c r="G1762" s="387"/>
      <c r="H1762" s="387"/>
      <c r="I1762" s="387"/>
      <c r="J1762" s="387"/>
      <c r="K1762" s="387"/>
      <c r="L1762" s="387"/>
      <c r="M1762" s="388"/>
      <c r="N1762" s="388"/>
      <c r="O1762" s="390"/>
      <c r="P1762" s="391"/>
      <c r="Q1762" s="389"/>
      <c r="R1762" s="390"/>
      <c r="S1762" s="390"/>
      <c r="T1762" s="391"/>
      <c r="U1762" s="392"/>
      <c r="V1762" s="391"/>
      <c r="W1762" s="391"/>
      <c r="X1762" s="388"/>
      <c r="Y1762" s="391"/>
      <c r="Z1762" s="393"/>
      <c r="AA1762" s="355" t="str">
        <f t="shared" si="1"/>
        <v/>
      </c>
      <c r="AB1762" s="391"/>
      <c r="AC1762" s="394" t="str">
        <f t="shared" si="2"/>
        <v/>
      </c>
      <c r="AD1762" s="389"/>
      <c r="AE1762" s="399"/>
      <c r="AF1762" s="395"/>
      <c r="AG1762" s="396" t="str">
        <f t="shared" si="3"/>
        <v/>
      </c>
      <c r="AH1762" s="396" t="str">
        <f t="shared" si="4"/>
        <v/>
      </c>
      <c r="AI1762" s="388"/>
      <c r="AJ1762" s="388"/>
      <c r="AK1762" s="397"/>
    </row>
    <row r="1763">
      <c r="A1763" s="398"/>
      <c r="B1763" s="386"/>
      <c r="C1763" s="387" t="str">
        <f>IF(A1763="","",IFERROR(IF(VLOOKUP(A1763,'1. Inbound Leads'!A:G,7,FALSE)=0,"",VLOOKUP(A1763,'1. Inbound Leads'!A:G,7,FALSE)),""))</f>
        <v/>
      </c>
      <c r="D1763" s="387" t="str">
        <f>IF(A1763="","",IFERROR(IF(VLOOKUP(A1763,'1. Inbound Leads'!A:L,12,FALSE)=0,"",VLOOKUP(A1763,'1. Inbound Leads'!A:L,12,FALSE)),""))</f>
        <v/>
      </c>
      <c r="E1763" s="388"/>
      <c r="F1763" s="389"/>
      <c r="G1763" s="387"/>
      <c r="H1763" s="387"/>
      <c r="I1763" s="387"/>
      <c r="J1763" s="387"/>
      <c r="K1763" s="387"/>
      <c r="L1763" s="387"/>
      <c r="M1763" s="388"/>
      <c r="N1763" s="388"/>
      <c r="O1763" s="390"/>
      <c r="P1763" s="391"/>
      <c r="Q1763" s="389"/>
      <c r="R1763" s="390"/>
      <c r="S1763" s="390"/>
      <c r="T1763" s="391"/>
      <c r="U1763" s="392"/>
      <c r="V1763" s="391"/>
      <c r="W1763" s="391"/>
      <c r="X1763" s="388"/>
      <c r="Y1763" s="391"/>
      <c r="Z1763" s="393"/>
      <c r="AA1763" s="355" t="str">
        <f t="shared" si="1"/>
        <v/>
      </c>
      <c r="AB1763" s="391"/>
      <c r="AC1763" s="394" t="str">
        <f t="shared" si="2"/>
        <v/>
      </c>
      <c r="AD1763" s="389"/>
      <c r="AE1763" s="399"/>
      <c r="AF1763" s="395"/>
      <c r="AG1763" s="396" t="str">
        <f t="shared" si="3"/>
        <v/>
      </c>
      <c r="AH1763" s="396" t="str">
        <f t="shared" si="4"/>
        <v/>
      </c>
      <c r="AI1763" s="388"/>
      <c r="AJ1763" s="388"/>
      <c r="AK1763" s="397"/>
    </row>
    <row r="1764">
      <c r="A1764" s="398"/>
      <c r="B1764" s="386"/>
      <c r="C1764" s="387" t="str">
        <f>IF(A1764="","",IFERROR(IF(VLOOKUP(A1764,'1. Inbound Leads'!A:G,7,FALSE)=0,"",VLOOKUP(A1764,'1. Inbound Leads'!A:G,7,FALSE)),""))</f>
        <v/>
      </c>
      <c r="D1764" s="387" t="str">
        <f>IF(A1764="","",IFERROR(IF(VLOOKUP(A1764,'1. Inbound Leads'!A:L,12,FALSE)=0,"",VLOOKUP(A1764,'1. Inbound Leads'!A:L,12,FALSE)),""))</f>
        <v/>
      </c>
      <c r="E1764" s="388"/>
      <c r="F1764" s="389"/>
      <c r="G1764" s="387"/>
      <c r="H1764" s="387"/>
      <c r="I1764" s="387"/>
      <c r="J1764" s="387"/>
      <c r="K1764" s="387"/>
      <c r="L1764" s="387"/>
      <c r="M1764" s="388"/>
      <c r="N1764" s="388"/>
      <c r="O1764" s="390"/>
      <c r="P1764" s="391"/>
      <c r="Q1764" s="389"/>
      <c r="R1764" s="390"/>
      <c r="S1764" s="390"/>
      <c r="T1764" s="391"/>
      <c r="U1764" s="392"/>
      <c r="V1764" s="391"/>
      <c r="W1764" s="391"/>
      <c r="X1764" s="388"/>
      <c r="Y1764" s="391"/>
      <c r="Z1764" s="393"/>
      <c r="AA1764" s="355" t="str">
        <f t="shared" si="1"/>
        <v/>
      </c>
      <c r="AB1764" s="391"/>
      <c r="AC1764" s="394" t="str">
        <f t="shared" si="2"/>
        <v/>
      </c>
      <c r="AD1764" s="389"/>
      <c r="AE1764" s="399"/>
      <c r="AF1764" s="395"/>
      <c r="AG1764" s="396" t="str">
        <f t="shared" si="3"/>
        <v/>
      </c>
      <c r="AH1764" s="396" t="str">
        <f t="shared" si="4"/>
        <v/>
      </c>
      <c r="AI1764" s="388"/>
      <c r="AJ1764" s="388"/>
      <c r="AK1764" s="397"/>
    </row>
    <row r="1765">
      <c r="A1765" s="398"/>
      <c r="B1765" s="386"/>
      <c r="C1765" s="387" t="str">
        <f>IF(A1765="","",IFERROR(IF(VLOOKUP(A1765,'1. Inbound Leads'!A:G,7,FALSE)=0,"",VLOOKUP(A1765,'1. Inbound Leads'!A:G,7,FALSE)),""))</f>
        <v/>
      </c>
      <c r="D1765" s="387" t="str">
        <f>IF(A1765="","",IFERROR(IF(VLOOKUP(A1765,'1. Inbound Leads'!A:L,12,FALSE)=0,"",VLOOKUP(A1765,'1. Inbound Leads'!A:L,12,FALSE)),""))</f>
        <v/>
      </c>
      <c r="E1765" s="388"/>
      <c r="F1765" s="389"/>
      <c r="G1765" s="387"/>
      <c r="H1765" s="387"/>
      <c r="I1765" s="387"/>
      <c r="J1765" s="387"/>
      <c r="K1765" s="387"/>
      <c r="L1765" s="387"/>
      <c r="M1765" s="388"/>
      <c r="N1765" s="388"/>
      <c r="O1765" s="390"/>
      <c r="P1765" s="391"/>
      <c r="Q1765" s="389"/>
      <c r="R1765" s="390"/>
      <c r="S1765" s="390"/>
      <c r="T1765" s="391"/>
      <c r="U1765" s="392"/>
      <c r="V1765" s="391"/>
      <c r="W1765" s="391"/>
      <c r="X1765" s="388"/>
      <c r="Y1765" s="391"/>
      <c r="Z1765" s="393"/>
      <c r="AA1765" s="355" t="str">
        <f t="shared" si="1"/>
        <v/>
      </c>
      <c r="AB1765" s="391"/>
      <c r="AC1765" s="394" t="str">
        <f t="shared" si="2"/>
        <v/>
      </c>
      <c r="AD1765" s="389"/>
      <c r="AE1765" s="399"/>
      <c r="AF1765" s="395"/>
      <c r="AG1765" s="396" t="str">
        <f t="shared" si="3"/>
        <v/>
      </c>
      <c r="AH1765" s="396" t="str">
        <f t="shared" si="4"/>
        <v/>
      </c>
      <c r="AI1765" s="388"/>
      <c r="AJ1765" s="388"/>
      <c r="AK1765" s="397"/>
    </row>
    <row r="1766">
      <c r="A1766" s="398"/>
      <c r="B1766" s="386"/>
      <c r="C1766" s="387" t="str">
        <f>IF(A1766="","",IFERROR(IF(VLOOKUP(A1766,'1. Inbound Leads'!A:G,7,FALSE)=0,"",VLOOKUP(A1766,'1. Inbound Leads'!A:G,7,FALSE)),""))</f>
        <v/>
      </c>
      <c r="D1766" s="387" t="str">
        <f>IF(A1766="","",IFERROR(IF(VLOOKUP(A1766,'1. Inbound Leads'!A:L,12,FALSE)=0,"",VLOOKUP(A1766,'1. Inbound Leads'!A:L,12,FALSE)),""))</f>
        <v/>
      </c>
      <c r="E1766" s="388"/>
      <c r="F1766" s="389"/>
      <c r="G1766" s="387"/>
      <c r="H1766" s="387"/>
      <c r="I1766" s="387"/>
      <c r="J1766" s="387"/>
      <c r="K1766" s="387"/>
      <c r="L1766" s="387"/>
      <c r="M1766" s="388"/>
      <c r="N1766" s="388"/>
      <c r="O1766" s="390"/>
      <c r="P1766" s="391"/>
      <c r="Q1766" s="389"/>
      <c r="R1766" s="390"/>
      <c r="S1766" s="390"/>
      <c r="T1766" s="391"/>
      <c r="U1766" s="392"/>
      <c r="V1766" s="391"/>
      <c r="W1766" s="391"/>
      <c r="X1766" s="388"/>
      <c r="Y1766" s="391"/>
      <c r="Z1766" s="393"/>
      <c r="AA1766" s="355" t="str">
        <f t="shared" si="1"/>
        <v/>
      </c>
      <c r="AB1766" s="391"/>
      <c r="AC1766" s="394" t="str">
        <f t="shared" si="2"/>
        <v/>
      </c>
      <c r="AD1766" s="389"/>
      <c r="AE1766" s="399"/>
      <c r="AF1766" s="395"/>
      <c r="AG1766" s="396" t="str">
        <f t="shared" si="3"/>
        <v/>
      </c>
      <c r="AH1766" s="396" t="str">
        <f t="shared" si="4"/>
        <v/>
      </c>
      <c r="AI1766" s="388"/>
      <c r="AJ1766" s="388"/>
      <c r="AK1766" s="397"/>
    </row>
    <row r="1767">
      <c r="A1767" s="398"/>
      <c r="B1767" s="386"/>
      <c r="C1767" s="387" t="str">
        <f>IF(A1767="","",IFERROR(IF(VLOOKUP(A1767,'1. Inbound Leads'!A:G,7,FALSE)=0,"",VLOOKUP(A1767,'1. Inbound Leads'!A:G,7,FALSE)),""))</f>
        <v/>
      </c>
      <c r="D1767" s="387" t="str">
        <f>IF(A1767="","",IFERROR(IF(VLOOKUP(A1767,'1. Inbound Leads'!A:L,12,FALSE)=0,"",VLOOKUP(A1767,'1. Inbound Leads'!A:L,12,FALSE)),""))</f>
        <v/>
      </c>
      <c r="E1767" s="388"/>
      <c r="F1767" s="389"/>
      <c r="G1767" s="387"/>
      <c r="H1767" s="387"/>
      <c r="I1767" s="387"/>
      <c r="J1767" s="387"/>
      <c r="K1767" s="387"/>
      <c r="L1767" s="387"/>
      <c r="M1767" s="388"/>
      <c r="N1767" s="388"/>
      <c r="O1767" s="390"/>
      <c r="P1767" s="391"/>
      <c r="Q1767" s="389"/>
      <c r="R1767" s="390"/>
      <c r="S1767" s="390"/>
      <c r="T1767" s="391"/>
      <c r="U1767" s="392"/>
      <c r="V1767" s="391"/>
      <c r="W1767" s="391"/>
      <c r="X1767" s="388"/>
      <c r="Y1767" s="391"/>
      <c r="Z1767" s="393"/>
      <c r="AA1767" s="355" t="str">
        <f t="shared" si="1"/>
        <v/>
      </c>
      <c r="AB1767" s="391"/>
      <c r="AC1767" s="394" t="str">
        <f t="shared" si="2"/>
        <v/>
      </c>
      <c r="AD1767" s="389"/>
      <c r="AE1767" s="399"/>
      <c r="AF1767" s="395"/>
      <c r="AG1767" s="396" t="str">
        <f t="shared" si="3"/>
        <v/>
      </c>
      <c r="AH1767" s="396" t="str">
        <f t="shared" si="4"/>
        <v/>
      </c>
      <c r="AI1767" s="388"/>
      <c r="AJ1767" s="388"/>
      <c r="AK1767" s="397"/>
    </row>
    <row r="1768">
      <c r="A1768" s="398"/>
      <c r="B1768" s="386"/>
      <c r="C1768" s="387" t="str">
        <f>IF(A1768="","",IFERROR(IF(VLOOKUP(A1768,'1. Inbound Leads'!A:G,7,FALSE)=0,"",VLOOKUP(A1768,'1. Inbound Leads'!A:G,7,FALSE)),""))</f>
        <v/>
      </c>
      <c r="D1768" s="387" t="str">
        <f>IF(A1768="","",IFERROR(IF(VLOOKUP(A1768,'1. Inbound Leads'!A:L,12,FALSE)=0,"",VLOOKUP(A1768,'1. Inbound Leads'!A:L,12,FALSE)),""))</f>
        <v/>
      </c>
      <c r="E1768" s="388"/>
      <c r="F1768" s="389"/>
      <c r="G1768" s="387"/>
      <c r="H1768" s="387"/>
      <c r="I1768" s="387"/>
      <c r="J1768" s="387"/>
      <c r="K1768" s="387"/>
      <c r="L1768" s="387"/>
      <c r="M1768" s="388"/>
      <c r="N1768" s="388"/>
      <c r="O1768" s="390"/>
      <c r="P1768" s="391"/>
      <c r="Q1768" s="389"/>
      <c r="R1768" s="390"/>
      <c r="S1768" s="390"/>
      <c r="T1768" s="391"/>
      <c r="U1768" s="392"/>
      <c r="V1768" s="391"/>
      <c r="W1768" s="391"/>
      <c r="X1768" s="388"/>
      <c r="Y1768" s="391"/>
      <c r="Z1768" s="393"/>
      <c r="AA1768" s="355" t="str">
        <f t="shared" si="1"/>
        <v/>
      </c>
      <c r="AB1768" s="391"/>
      <c r="AC1768" s="394" t="str">
        <f t="shared" si="2"/>
        <v/>
      </c>
      <c r="AD1768" s="389"/>
      <c r="AE1768" s="399"/>
      <c r="AF1768" s="395"/>
      <c r="AG1768" s="396" t="str">
        <f t="shared" si="3"/>
        <v/>
      </c>
      <c r="AH1768" s="396" t="str">
        <f t="shared" si="4"/>
        <v/>
      </c>
      <c r="AI1768" s="388"/>
      <c r="AJ1768" s="388"/>
      <c r="AK1768" s="397"/>
    </row>
    <row r="1769">
      <c r="A1769" s="398"/>
      <c r="B1769" s="386"/>
      <c r="C1769" s="387" t="str">
        <f>IF(A1769="","",IFERROR(IF(VLOOKUP(A1769,'1. Inbound Leads'!A:G,7,FALSE)=0,"",VLOOKUP(A1769,'1. Inbound Leads'!A:G,7,FALSE)),""))</f>
        <v/>
      </c>
      <c r="D1769" s="387" t="str">
        <f>IF(A1769="","",IFERROR(IF(VLOOKUP(A1769,'1. Inbound Leads'!A:L,12,FALSE)=0,"",VLOOKUP(A1769,'1. Inbound Leads'!A:L,12,FALSE)),""))</f>
        <v/>
      </c>
      <c r="E1769" s="388"/>
      <c r="F1769" s="389"/>
      <c r="G1769" s="387"/>
      <c r="H1769" s="387"/>
      <c r="I1769" s="387"/>
      <c r="J1769" s="387"/>
      <c r="K1769" s="387"/>
      <c r="L1769" s="387"/>
      <c r="M1769" s="388"/>
      <c r="N1769" s="388"/>
      <c r="O1769" s="390"/>
      <c r="P1769" s="391"/>
      <c r="Q1769" s="389"/>
      <c r="R1769" s="390"/>
      <c r="S1769" s="390"/>
      <c r="T1769" s="391"/>
      <c r="U1769" s="392"/>
      <c r="V1769" s="391"/>
      <c r="W1769" s="391"/>
      <c r="X1769" s="388"/>
      <c r="Y1769" s="391"/>
      <c r="Z1769" s="393"/>
      <c r="AA1769" s="355" t="str">
        <f t="shared" si="1"/>
        <v/>
      </c>
      <c r="AB1769" s="391"/>
      <c r="AC1769" s="394" t="str">
        <f t="shared" si="2"/>
        <v/>
      </c>
      <c r="AD1769" s="389"/>
      <c r="AE1769" s="399"/>
      <c r="AF1769" s="395"/>
      <c r="AG1769" s="396" t="str">
        <f t="shared" si="3"/>
        <v/>
      </c>
      <c r="AH1769" s="396" t="str">
        <f t="shared" si="4"/>
        <v/>
      </c>
      <c r="AI1769" s="388"/>
      <c r="AJ1769" s="388"/>
      <c r="AK1769" s="397"/>
    </row>
    <row r="1770">
      <c r="A1770" s="398"/>
      <c r="B1770" s="386"/>
      <c r="C1770" s="387" t="str">
        <f>IF(A1770="","",IFERROR(IF(VLOOKUP(A1770,'1. Inbound Leads'!A:G,7,FALSE)=0,"",VLOOKUP(A1770,'1. Inbound Leads'!A:G,7,FALSE)),""))</f>
        <v/>
      </c>
      <c r="D1770" s="387" t="str">
        <f>IF(A1770="","",IFERROR(IF(VLOOKUP(A1770,'1. Inbound Leads'!A:L,12,FALSE)=0,"",VLOOKUP(A1770,'1. Inbound Leads'!A:L,12,FALSE)),""))</f>
        <v/>
      </c>
      <c r="E1770" s="388"/>
      <c r="F1770" s="389"/>
      <c r="G1770" s="387"/>
      <c r="H1770" s="387"/>
      <c r="I1770" s="387"/>
      <c r="J1770" s="387"/>
      <c r="K1770" s="387"/>
      <c r="L1770" s="387"/>
      <c r="M1770" s="388"/>
      <c r="N1770" s="388"/>
      <c r="O1770" s="390"/>
      <c r="P1770" s="391"/>
      <c r="Q1770" s="389"/>
      <c r="R1770" s="390"/>
      <c r="S1770" s="390"/>
      <c r="T1770" s="391"/>
      <c r="U1770" s="392"/>
      <c r="V1770" s="391"/>
      <c r="W1770" s="391"/>
      <c r="X1770" s="388"/>
      <c r="Y1770" s="391"/>
      <c r="Z1770" s="393"/>
      <c r="AA1770" s="355" t="str">
        <f t="shared" si="1"/>
        <v/>
      </c>
      <c r="AB1770" s="391"/>
      <c r="AC1770" s="394" t="str">
        <f t="shared" si="2"/>
        <v/>
      </c>
      <c r="AD1770" s="389"/>
      <c r="AE1770" s="399"/>
      <c r="AF1770" s="395"/>
      <c r="AG1770" s="396" t="str">
        <f t="shared" si="3"/>
        <v/>
      </c>
      <c r="AH1770" s="396" t="str">
        <f t="shared" si="4"/>
        <v/>
      </c>
      <c r="AI1770" s="388"/>
      <c r="AJ1770" s="388"/>
      <c r="AK1770" s="397"/>
    </row>
    <row r="1771">
      <c r="A1771" s="398"/>
      <c r="B1771" s="386"/>
      <c r="C1771" s="387" t="str">
        <f>IF(A1771="","",IFERROR(IF(VLOOKUP(A1771,'1. Inbound Leads'!A:G,7,FALSE)=0,"",VLOOKUP(A1771,'1. Inbound Leads'!A:G,7,FALSE)),""))</f>
        <v/>
      </c>
      <c r="D1771" s="387" t="str">
        <f>IF(A1771="","",IFERROR(IF(VLOOKUP(A1771,'1. Inbound Leads'!A:L,12,FALSE)=0,"",VLOOKUP(A1771,'1. Inbound Leads'!A:L,12,FALSE)),""))</f>
        <v/>
      </c>
      <c r="E1771" s="388"/>
      <c r="F1771" s="389"/>
      <c r="G1771" s="387"/>
      <c r="H1771" s="387"/>
      <c r="I1771" s="387"/>
      <c r="J1771" s="387"/>
      <c r="K1771" s="387"/>
      <c r="L1771" s="387"/>
      <c r="M1771" s="388"/>
      <c r="N1771" s="388"/>
      <c r="O1771" s="390"/>
      <c r="P1771" s="391"/>
      <c r="Q1771" s="389"/>
      <c r="R1771" s="390"/>
      <c r="S1771" s="390"/>
      <c r="T1771" s="391"/>
      <c r="U1771" s="392"/>
      <c r="V1771" s="391"/>
      <c r="W1771" s="391"/>
      <c r="X1771" s="388"/>
      <c r="Y1771" s="391"/>
      <c r="Z1771" s="393"/>
      <c r="AA1771" s="355" t="str">
        <f t="shared" si="1"/>
        <v/>
      </c>
      <c r="AB1771" s="391"/>
      <c r="AC1771" s="394" t="str">
        <f t="shared" si="2"/>
        <v/>
      </c>
      <c r="AD1771" s="389"/>
      <c r="AE1771" s="399"/>
      <c r="AF1771" s="395"/>
      <c r="AG1771" s="396" t="str">
        <f t="shared" si="3"/>
        <v/>
      </c>
      <c r="AH1771" s="396" t="str">
        <f t="shared" si="4"/>
        <v/>
      </c>
      <c r="AI1771" s="388"/>
      <c r="AJ1771" s="388"/>
      <c r="AK1771" s="397"/>
    </row>
    <row r="1772">
      <c r="A1772" s="398"/>
      <c r="B1772" s="386"/>
      <c r="C1772" s="387" t="str">
        <f>IF(A1772="","",IFERROR(IF(VLOOKUP(A1772,'1. Inbound Leads'!A:G,7,FALSE)=0,"",VLOOKUP(A1772,'1. Inbound Leads'!A:G,7,FALSE)),""))</f>
        <v/>
      </c>
      <c r="D1772" s="387" t="str">
        <f>IF(A1772="","",IFERROR(IF(VLOOKUP(A1772,'1. Inbound Leads'!A:L,12,FALSE)=0,"",VLOOKUP(A1772,'1. Inbound Leads'!A:L,12,FALSE)),""))</f>
        <v/>
      </c>
      <c r="E1772" s="388"/>
      <c r="F1772" s="389"/>
      <c r="G1772" s="387"/>
      <c r="H1772" s="387"/>
      <c r="I1772" s="387"/>
      <c r="J1772" s="387"/>
      <c r="K1772" s="387"/>
      <c r="L1772" s="387"/>
      <c r="M1772" s="388"/>
      <c r="N1772" s="388"/>
      <c r="O1772" s="390"/>
      <c r="P1772" s="391"/>
      <c r="Q1772" s="389"/>
      <c r="R1772" s="390"/>
      <c r="S1772" s="390"/>
      <c r="T1772" s="391"/>
      <c r="U1772" s="392"/>
      <c r="V1772" s="391"/>
      <c r="W1772" s="391"/>
      <c r="X1772" s="388"/>
      <c r="Y1772" s="391"/>
      <c r="Z1772" s="393"/>
      <c r="AA1772" s="355" t="str">
        <f t="shared" si="1"/>
        <v/>
      </c>
      <c r="AB1772" s="391"/>
      <c r="AC1772" s="394" t="str">
        <f t="shared" si="2"/>
        <v/>
      </c>
      <c r="AD1772" s="389"/>
      <c r="AE1772" s="399"/>
      <c r="AF1772" s="395"/>
      <c r="AG1772" s="396" t="str">
        <f t="shared" si="3"/>
        <v/>
      </c>
      <c r="AH1772" s="396" t="str">
        <f t="shared" si="4"/>
        <v/>
      </c>
      <c r="AI1772" s="388"/>
      <c r="AJ1772" s="388"/>
      <c r="AK1772" s="397"/>
    </row>
    <row r="1773">
      <c r="A1773" s="398"/>
      <c r="B1773" s="386"/>
      <c r="C1773" s="387" t="str">
        <f>IF(A1773="","",IFERROR(IF(VLOOKUP(A1773,'1. Inbound Leads'!A:G,7,FALSE)=0,"",VLOOKUP(A1773,'1. Inbound Leads'!A:G,7,FALSE)),""))</f>
        <v/>
      </c>
      <c r="D1773" s="387" t="str">
        <f>IF(A1773="","",IFERROR(IF(VLOOKUP(A1773,'1. Inbound Leads'!A:L,12,FALSE)=0,"",VLOOKUP(A1773,'1. Inbound Leads'!A:L,12,FALSE)),""))</f>
        <v/>
      </c>
      <c r="E1773" s="388"/>
      <c r="F1773" s="389"/>
      <c r="G1773" s="387"/>
      <c r="H1773" s="387"/>
      <c r="I1773" s="387"/>
      <c r="J1773" s="387"/>
      <c r="K1773" s="387"/>
      <c r="L1773" s="387"/>
      <c r="M1773" s="388"/>
      <c r="N1773" s="388"/>
      <c r="O1773" s="390"/>
      <c r="P1773" s="391"/>
      <c r="Q1773" s="389"/>
      <c r="R1773" s="390"/>
      <c r="S1773" s="390"/>
      <c r="T1773" s="391"/>
      <c r="U1773" s="392"/>
      <c r="V1773" s="391"/>
      <c r="W1773" s="391"/>
      <c r="X1773" s="388"/>
      <c r="Y1773" s="391"/>
      <c r="Z1773" s="393"/>
      <c r="AA1773" s="355" t="str">
        <f t="shared" si="1"/>
        <v/>
      </c>
      <c r="AB1773" s="391"/>
      <c r="AC1773" s="394" t="str">
        <f t="shared" si="2"/>
        <v/>
      </c>
      <c r="AD1773" s="389"/>
      <c r="AE1773" s="399"/>
      <c r="AF1773" s="395"/>
      <c r="AG1773" s="396" t="str">
        <f t="shared" si="3"/>
        <v/>
      </c>
      <c r="AH1773" s="396" t="str">
        <f t="shared" si="4"/>
        <v/>
      </c>
      <c r="AI1773" s="388"/>
      <c r="AJ1773" s="388"/>
      <c r="AK1773" s="397"/>
    </row>
    <row r="1774">
      <c r="A1774" s="398"/>
      <c r="B1774" s="386"/>
      <c r="C1774" s="387" t="str">
        <f>IF(A1774="","",IFERROR(IF(VLOOKUP(A1774,'1. Inbound Leads'!A:G,7,FALSE)=0,"",VLOOKUP(A1774,'1. Inbound Leads'!A:G,7,FALSE)),""))</f>
        <v/>
      </c>
      <c r="D1774" s="387" t="str">
        <f>IF(A1774="","",IFERROR(IF(VLOOKUP(A1774,'1. Inbound Leads'!A:L,12,FALSE)=0,"",VLOOKUP(A1774,'1. Inbound Leads'!A:L,12,FALSE)),""))</f>
        <v/>
      </c>
      <c r="E1774" s="388"/>
      <c r="F1774" s="389"/>
      <c r="G1774" s="387"/>
      <c r="H1774" s="387"/>
      <c r="I1774" s="387"/>
      <c r="J1774" s="387"/>
      <c r="K1774" s="387"/>
      <c r="L1774" s="387"/>
      <c r="M1774" s="388"/>
      <c r="N1774" s="388"/>
      <c r="O1774" s="390"/>
      <c r="P1774" s="391"/>
      <c r="Q1774" s="389"/>
      <c r="R1774" s="390"/>
      <c r="S1774" s="390"/>
      <c r="T1774" s="391"/>
      <c r="U1774" s="392"/>
      <c r="V1774" s="391"/>
      <c r="W1774" s="391"/>
      <c r="X1774" s="388"/>
      <c r="Y1774" s="391"/>
      <c r="Z1774" s="393"/>
      <c r="AA1774" s="355" t="str">
        <f t="shared" si="1"/>
        <v/>
      </c>
      <c r="AB1774" s="391"/>
      <c r="AC1774" s="394" t="str">
        <f t="shared" si="2"/>
        <v/>
      </c>
      <c r="AD1774" s="389"/>
      <c r="AE1774" s="399"/>
      <c r="AF1774" s="395"/>
      <c r="AG1774" s="396" t="str">
        <f t="shared" si="3"/>
        <v/>
      </c>
      <c r="AH1774" s="396" t="str">
        <f t="shared" si="4"/>
        <v/>
      </c>
      <c r="AI1774" s="388"/>
      <c r="AJ1774" s="388"/>
      <c r="AK1774" s="397"/>
    </row>
    <row r="1775">
      <c r="A1775" s="398"/>
      <c r="B1775" s="386"/>
      <c r="C1775" s="387" t="str">
        <f>IF(A1775="","",IFERROR(IF(VLOOKUP(A1775,'1. Inbound Leads'!A:G,7,FALSE)=0,"",VLOOKUP(A1775,'1. Inbound Leads'!A:G,7,FALSE)),""))</f>
        <v/>
      </c>
      <c r="D1775" s="387" t="str">
        <f>IF(A1775="","",IFERROR(IF(VLOOKUP(A1775,'1. Inbound Leads'!A:L,12,FALSE)=0,"",VLOOKUP(A1775,'1. Inbound Leads'!A:L,12,FALSE)),""))</f>
        <v/>
      </c>
      <c r="E1775" s="388"/>
      <c r="F1775" s="389"/>
      <c r="G1775" s="387"/>
      <c r="H1775" s="387"/>
      <c r="I1775" s="387"/>
      <c r="J1775" s="387"/>
      <c r="K1775" s="387"/>
      <c r="L1775" s="387"/>
      <c r="M1775" s="388"/>
      <c r="N1775" s="388"/>
      <c r="O1775" s="390"/>
      <c r="P1775" s="391"/>
      <c r="Q1775" s="389"/>
      <c r="R1775" s="390"/>
      <c r="S1775" s="390"/>
      <c r="T1775" s="391"/>
      <c r="U1775" s="392"/>
      <c r="V1775" s="391"/>
      <c r="W1775" s="391"/>
      <c r="X1775" s="388"/>
      <c r="Y1775" s="391"/>
      <c r="Z1775" s="393"/>
      <c r="AA1775" s="355" t="str">
        <f t="shared" si="1"/>
        <v/>
      </c>
      <c r="AB1775" s="391"/>
      <c r="AC1775" s="394" t="str">
        <f t="shared" si="2"/>
        <v/>
      </c>
      <c r="AD1775" s="389"/>
      <c r="AE1775" s="399"/>
      <c r="AF1775" s="395"/>
      <c r="AG1775" s="396" t="str">
        <f t="shared" si="3"/>
        <v/>
      </c>
      <c r="AH1775" s="396" t="str">
        <f t="shared" si="4"/>
        <v/>
      </c>
      <c r="AI1775" s="388"/>
      <c r="AJ1775" s="388"/>
      <c r="AK1775" s="397"/>
    </row>
    <row r="1776">
      <c r="A1776" s="398"/>
      <c r="B1776" s="386"/>
      <c r="C1776" s="387" t="str">
        <f>IF(A1776="","",IFERROR(IF(VLOOKUP(A1776,'1. Inbound Leads'!A:G,7,FALSE)=0,"",VLOOKUP(A1776,'1. Inbound Leads'!A:G,7,FALSE)),""))</f>
        <v/>
      </c>
      <c r="D1776" s="387" t="str">
        <f>IF(A1776="","",IFERROR(IF(VLOOKUP(A1776,'1. Inbound Leads'!A:L,12,FALSE)=0,"",VLOOKUP(A1776,'1. Inbound Leads'!A:L,12,FALSE)),""))</f>
        <v/>
      </c>
      <c r="E1776" s="388"/>
      <c r="F1776" s="389"/>
      <c r="G1776" s="387"/>
      <c r="H1776" s="387"/>
      <c r="I1776" s="387"/>
      <c r="J1776" s="387"/>
      <c r="K1776" s="387"/>
      <c r="L1776" s="387"/>
      <c r="M1776" s="388"/>
      <c r="N1776" s="388"/>
      <c r="O1776" s="390"/>
      <c r="P1776" s="391"/>
      <c r="Q1776" s="389"/>
      <c r="R1776" s="390"/>
      <c r="S1776" s="390"/>
      <c r="T1776" s="391"/>
      <c r="U1776" s="392"/>
      <c r="V1776" s="391"/>
      <c r="W1776" s="391"/>
      <c r="X1776" s="388"/>
      <c r="Y1776" s="391"/>
      <c r="Z1776" s="393"/>
      <c r="AA1776" s="355" t="str">
        <f t="shared" si="1"/>
        <v/>
      </c>
      <c r="AB1776" s="391"/>
      <c r="AC1776" s="394" t="str">
        <f t="shared" si="2"/>
        <v/>
      </c>
      <c r="AD1776" s="389"/>
      <c r="AE1776" s="399"/>
      <c r="AF1776" s="395"/>
      <c r="AG1776" s="396" t="str">
        <f t="shared" si="3"/>
        <v/>
      </c>
      <c r="AH1776" s="396" t="str">
        <f t="shared" si="4"/>
        <v/>
      </c>
      <c r="AI1776" s="388"/>
      <c r="AJ1776" s="388"/>
      <c r="AK1776" s="397"/>
    </row>
    <row r="1777">
      <c r="A1777" s="398"/>
      <c r="B1777" s="386"/>
      <c r="C1777" s="387" t="str">
        <f>IF(A1777="","",IFERROR(IF(VLOOKUP(A1777,'1. Inbound Leads'!A:G,7,FALSE)=0,"",VLOOKUP(A1777,'1. Inbound Leads'!A:G,7,FALSE)),""))</f>
        <v/>
      </c>
      <c r="D1777" s="387" t="str">
        <f>IF(A1777="","",IFERROR(IF(VLOOKUP(A1777,'1. Inbound Leads'!A:L,12,FALSE)=0,"",VLOOKUP(A1777,'1. Inbound Leads'!A:L,12,FALSE)),""))</f>
        <v/>
      </c>
      <c r="E1777" s="388"/>
      <c r="F1777" s="389"/>
      <c r="G1777" s="387"/>
      <c r="H1777" s="387"/>
      <c r="I1777" s="387"/>
      <c r="J1777" s="387"/>
      <c r="K1777" s="387"/>
      <c r="L1777" s="387"/>
      <c r="M1777" s="388"/>
      <c r="N1777" s="388"/>
      <c r="O1777" s="390"/>
      <c r="P1777" s="391"/>
      <c r="Q1777" s="389"/>
      <c r="R1777" s="390"/>
      <c r="S1777" s="390"/>
      <c r="T1777" s="391"/>
      <c r="U1777" s="392"/>
      <c r="V1777" s="391"/>
      <c r="W1777" s="391"/>
      <c r="X1777" s="388"/>
      <c r="Y1777" s="391"/>
      <c r="Z1777" s="393"/>
      <c r="AA1777" s="355" t="str">
        <f t="shared" si="1"/>
        <v/>
      </c>
      <c r="AB1777" s="391"/>
      <c r="AC1777" s="394" t="str">
        <f t="shared" si="2"/>
        <v/>
      </c>
      <c r="AD1777" s="389"/>
      <c r="AE1777" s="399"/>
      <c r="AF1777" s="395"/>
      <c r="AG1777" s="396" t="str">
        <f t="shared" si="3"/>
        <v/>
      </c>
      <c r="AH1777" s="396" t="str">
        <f t="shared" si="4"/>
        <v/>
      </c>
      <c r="AI1777" s="388"/>
      <c r="AJ1777" s="388"/>
      <c r="AK1777" s="397"/>
    </row>
    <row r="1778">
      <c r="A1778" s="398"/>
      <c r="B1778" s="386"/>
      <c r="C1778" s="387" t="str">
        <f>IF(A1778="","",IFERROR(IF(VLOOKUP(A1778,'1. Inbound Leads'!A:G,7,FALSE)=0,"",VLOOKUP(A1778,'1. Inbound Leads'!A:G,7,FALSE)),""))</f>
        <v/>
      </c>
      <c r="D1778" s="387" t="str">
        <f>IF(A1778="","",IFERROR(IF(VLOOKUP(A1778,'1. Inbound Leads'!A:L,12,FALSE)=0,"",VLOOKUP(A1778,'1. Inbound Leads'!A:L,12,FALSE)),""))</f>
        <v/>
      </c>
      <c r="E1778" s="388"/>
      <c r="F1778" s="389"/>
      <c r="G1778" s="387"/>
      <c r="H1778" s="387"/>
      <c r="I1778" s="387"/>
      <c r="J1778" s="387"/>
      <c r="K1778" s="387"/>
      <c r="L1778" s="387"/>
      <c r="M1778" s="388"/>
      <c r="N1778" s="388"/>
      <c r="O1778" s="390"/>
      <c r="P1778" s="391"/>
      <c r="Q1778" s="389"/>
      <c r="R1778" s="390"/>
      <c r="S1778" s="390"/>
      <c r="T1778" s="391"/>
      <c r="U1778" s="392"/>
      <c r="V1778" s="391"/>
      <c r="W1778" s="391"/>
      <c r="X1778" s="388"/>
      <c r="Y1778" s="391"/>
      <c r="Z1778" s="393"/>
      <c r="AA1778" s="355" t="str">
        <f t="shared" si="1"/>
        <v/>
      </c>
      <c r="AB1778" s="391"/>
      <c r="AC1778" s="394" t="str">
        <f t="shared" si="2"/>
        <v/>
      </c>
      <c r="AD1778" s="389"/>
      <c r="AE1778" s="399"/>
      <c r="AF1778" s="395"/>
      <c r="AG1778" s="396" t="str">
        <f t="shared" si="3"/>
        <v/>
      </c>
      <c r="AH1778" s="396" t="str">
        <f t="shared" si="4"/>
        <v/>
      </c>
      <c r="AI1778" s="388"/>
      <c r="AJ1778" s="388"/>
      <c r="AK1778" s="397"/>
    </row>
    <row r="1779">
      <c r="A1779" s="398"/>
      <c r="B1779" s="386"/>
      <c r="C1779" s="387" t="str">
        <f>IF(A1779="","",IFERROR(IF(VLOOKUP(A1779,'1. Inbound Leads'!A:G,7,FALSE)=0,"",VLOOKUP(A1779,'1. Inbound Leads'!A:G,7,FALSE)),""))</f>
        <v/>
      </c>
      <c r="D1779" s="387" t="str">
        <f>IF(A1779="","",IFERROR(IF(VLOOKUP(A1779,'1. Inbound Leads'!A:L,12,FALSE)=0,"",VLOOKUP(A1779,'1. Inbound Leads'!A:L,12,FALSE)),""))</f>
        <v/>
      </c>
      <c r="E1779" s="388"/>
      <c r="F1779" s="389"/>
      <c r="G1779" s="387"/>
      <c r="H1779" s="387"/>
      <c r="I1779" s="387"/>
      <c r="J1779" s="387"/>
      <c r="K1779" s="387"/>
      <c r="L1779" s="387"/>
      <c r="M1779" s="388"/>
      <c r="N1779" s="388"/>
      <c r="O1779" s="390"/>
      <c r="P1779" s="391"/>
      <c r="Q1779" s="389"/>
      <c r="R1779" s="390"/>
      <c r="S1779" s="390"/>
      <c r="T1779" s="391"/>
      <c r="U1779" s="392"/>
      <c r="V1779" s="391"/>
      <c r="W1779" s="391"/>
      <c r="X1779" s="388"/>
      <c r="Y1779" s="391"/>
      <c r="Z1779" s="393"/>
      <c r="AA1779" s="355" t="str">
        <f t="shared" si="1"/>
        <v/>
      </c>
      <c r="AB1779" s="391"/>
      <c r="AC1779" s="394" t="str">
        <f t="shared" si="2"/>
        <v/>
      </c>
      <c r="AD1779" s="389"/>
      <c r="AE1779" s="399"/>
      <c r="AF1779" s="395"/>
      <c r="AG1779" s="396" t="str">
        <f t="shared" si="3"/>
        <v/>
      </c>
      <c r="AH1779" s="396" t="str">
        <f t="shared" si="4"/>
        <v/>
      </c>
      <c r="AI1779" s="388"/>
      <c r="AJ1779" s="388"/>
      <c r="AK1779" s="397"/>
    </row>
    <row r="1780">
      <c r="A1780" s="398"/>
      <c r="B1780" s="386"/>
      <c r="C1780" s="387" t="str">
        <f>IF(A1780="","",IFERROR(IF(VLOOKUP(A1780,'1. Inbound Leads'!A:G,7,FALSE)=0,"",VLOOKUP(A1780,'1. Inbound Leads'!A:G,7,FALSE)),""))</f>
        <v/>
      </c>
      <c r="D1780" s="387" t="str">
        <f>IF(A1780="","",IFERROR(IF(VLOOKUP(A1780,'1. Inbound Leads'!A:L,12,FALSE)=0,"",VLOOKUP(A1780,'1. Inbound Leads'!A:L,12,FALSE)),""))</f>
        <v/>
      </c>
      <c r="E1780" s="388"/>
      <c r="F1780" s="389"/>
      <c r="G1780" s="387"/>
      <c r="H1780" s="387"/>
      <c r="I1780" s="387"/>
      <c r="J1780" s="387"/>
      <c r="K1780" s="387"/>
      <c r="L1780" s="387"/>
      <c r="M1780" s="388"/>
      <c r="N1780" s="388"/>
      <c r="O1780" s="390"/>
      <c r="P1780" s="391"/>
      <c r="Q1780" s="389"/>
      <c r="R1780" s="390"/>
      <c r="S1780" s="390"/>
      <c r="T1780" s="391"/>
      <c r="U1780" s="392"/>
      <c r="V1780" s="391"/>
      <c r="W1780" s="391"/>
      <c r="X1780" s="388"/>
      <c r="Y1780" s="391"/>
      <c r="Z1780" s="393"/>
      <c r="AA1780" s="355" t="str">
        <f t="shared" si="1"/>
        <v/>
      </c>
      <c r="AB1780" s="391"/>
      <c r="AC1780" s="394" t="str">
        <f t="shared" si="2"/>
        <v/>
      </c>
      <c r="AD1780" s="389"/>
      <c r="AE1780" s="399"/>
      <c r="AF1780" s="395"/>
      <c r="AG1780" s="396" t="str">
        <f t="shared" si="3"/>
        <v/>
      </c>
      <c r="AH1780" s="396" t="str">
        <f t="shared" si="4"/>
        <v/>
      </c>
      <c r="AI1780" s="388"/>
      <c r="AJ1780" s="388"/>
      <c r="AK1780" s="397"/>
    </row>
    <row r="1781">
      <c r="A1781" s="398"/>
      <c r="B1781" s="386"/>
      <c r="C1781" s="387" t="str">
        <f>IF(A1781="","",IFERROR(IF(VLOOKUP(A1781,'1. Inbound Leads'!A:G,7,FALSE)=0,"",VLOOKUP(A1781,'1. Inbound Leads'!A:G,7,FALSE)),""))</f>
        <v/>
      </c>
      <c r="D1781" s="387" t="str">
        <f>IF(A1781="","",IFERROR(IF(VLOOKUP(A1781,'1. Inbound Leads'!A:L,12,FALSE)=0,"",VLOOKUP(A1781,'1. Inbound Leads'!A:L,12,FALSE)),""))</f>
        <v/>
      </c>
      <c r="E1781" s="388"/>
      <c r="F1781" s="389"/>
      <c r="G1781" s="387"/>
      <c r="H1781" s="387"/>
      <c r="I1781" s="387"/>
      <c r="J1781" s="387"/>
      <c r="K1781" s="387"/>
      <c r="L1781" s="387"/>
      <c r="M1781" s="388"/>
      <c r="N1781" s="388"/>
      <c r="O1781" s="390"/>
      <c r="P1781" s="391"/>
      <c r="Q1781" s="389"/>
      <c r="R1781" s="390"/>
      <c r="S1781" s="390"/>
      <c r="T1781" s="391"/>
      <c r="U1781" s="392"/>
      <c r="V1781" s="391"/>
      <c r="W1781" s="391"/>
      <c r="X1781" s="388"/>
      <c r="Y1781" s="391"/>
      <c r="Z1781" s="393"/>
      <c r="AA1781" s="355" t="str">
        <f t="shared" si="1"/>
        <v/>
      </c>
      <c r="AB1781" s="391"/>
      <c r="AC1781" s="394" t="str">
        <f t="shared" si="2"/>
        <v/>
      </c>
      <c r="AD1781" s="389"/>
      <c r="AE1781" s="399"/>
      <c r="AF1781" s="395"/>
      <c r="AG1781" s="396" t="str">
        <f t="shared" si="3"/>
        <v/>
      </c>
      <c r="AH1781" s="396" t="str">
        <f t="shared" si="4"/>
        <v/>
      </c>
      <c r="AI1781" s="388"/>
      <c r="AJ1781" s="388"/>
      <c r="AK1781" s="397"/>
    </row>
    <row r="1782">
      <c r="A1782" s="398"/>
      <c r="B1782" s="386"/>
      <c r="C1782" s="387" t="str">
        <f>IF(A1782="","",IFERROR(IF(VLOOKUP(A1782,'1. Inbound Leads'!A:G,7,FALSE)=0,"",VLOOKUP(A1782,'1. Inbound Leads'!A:G,7,FALSE)),""))</f>
        <v/>
      </c>
      <c r="D1782" s="387" t="str">
        <f>IF(A1782="","",IFERROR(IF(VLOOKUP(A1782,'1. Inbound Leads'!A:L,12,FALSE)=0,"",VLOOKUP(A1782,'1. Inbound Leads'!A:L,12,FALSE)),""))</f>
        <v/>
      </c>
      <c r="E1782" s="388"/>
      <c r="F1782" s="389"/>
      <c r="G1782" s="387"/>
      <c r="H1782" s="387"/>
      <c r="I1782" s="387"/>
      <c r="J1782" s="387"/>
      <c r="K1782" s="387"/>
      <c r="L1782" s="387"/>
      <c r="M1782" s="388"/>
      <c r="N1782" s="388"/>
      <c r="O1782" s="390"/>
      <c r="P1782" s="391"/>
      <c r="Q1782" s="389"/>
      <c r="R1782" s="390"/>
      <c r="S1782" s="390"/>
      <c r="T1782" s="391"/>
      <c r="U1782" s="392"/>
      <c r="V1782" s="391"/>
      <c r="W1782" s="391"/>
      <c r="X1782" s="388"/>
      <c r="Y1782" s="391"/>
      <c r="Z1782" s="393"/>
      <c r="AA1782" s="355" t="str">
        <f t="shared" si="1"/>
        <v/>
      </c>
      <c r="AB1782" s="391"/>
      <c r="AC1782" s="394" t="str">
        <f t="shared" si="2"/>
        <v/>
      </c>
      <c r="AD1782" s="389"/>
      <c r="AE1782" s="399"/>
      <c r="AF1782" s="395"/>
      <c r="AG1782" s="396" t="str">
        <f t="shared" si="3"/>
        <v/>
      </c>
      <c r="AH1782" s="396" t="str">
        <f t="shared" si="4"/>
        <v/>
      </c>
      <c r="AI1782" s="388"/>
      <c r="AJ1782" s="388"/>
      <c r="AK1782" s="397"/>
    </row>
    <row r="1783">
      <c r="A1783" s="398"/>
      <c r="B1783" s="386"/>
      <c r="C1783" s="387" t="str">
        <f>IF(A1783="","",IFERROR(IF(VLOOKUP(A1783,'1. Inbound Leads'!A:G,7,FALSE)=0,"",VLOOKUP(A1783,'1. Inbound Leads'!A:G,7,FALSE)),""))</f>
        <v/>
      </c>
      <c r="D1783" s="387" t="str">
        <f>IF(A1783="","",IFERROR(IF(VLOOKUP(A1783,'1. Inbound Leads'!A:L,12,FALSE)=0,"",VLOOKUP(A1783,'1. Inbound Leads'!A:L,12,FALSE)),""))</f>
        <v/>
      </c>
      <c r="E1783" s="388"/>
      <c r="F1783" s="389"/>
      <c r="G1783" s="387"/>
      <c r="H1783" s="387"/>
      <c r="I1783" s="387"/>
      <c r="J1783" s="387"/>
      <c r="K1783" s="387"/>
      <c r="L1783" s="387"/>
      <c r="M1783" s="388"/>
      <c r="N1783" s="388"/>
      <c r="O1783" s="390"/>
      <c r="P1783" s="391"/>
      <c r="Q1783" s="389"/>
      <c r="R1783" s="390"/>
      <c r="S1783" s="390"/>
      <c r="T1783" s="391"/>
      <c r="U1783" s="392"/>
      <c r="V1783" s="391"/>
      <c r="W1783" s="391"/>
      <c r="X1783" s="388"/>
      <c r="Y1783" s="391"/>
      <c r="Z1783" s="393"/>
      <c r="AA1783" s="355" t="str">
        <f t="shared" si="1"/>
        <v/>
      </c>
      <c r="AB1783" s="391"/>
      <c r="AC1783" s="394" t="str">
        <f t="shared" si="2"/>
        <v/>
      </c>
      <c r="AD1783" s="389"/>
      <c r="AE1783" s="399"/>
      <c r="AF1783" s="395"/>
      <c r="AG1783" s="396" t="str">
        <f t="shared" si="3"/>
        <v/>
      </c>
      <c r="AH1783" s="396" t="str">
        <f t="shared" si="4"/>
        <v/>
      </c>
      <c r="AI1783" s="388"/>
      <c r="AJ1783" s="388"/>
      <c r="AK1783" s="397"/>
    </row>
    <row r="1784">
      <c r="A1784" s="398"/>
      <c r="B1784" s="386"/>
      <c r="C1784" s="387" t="str">
        <f>IF(A1784="","",IFERROR(IF(VLOOKUP(A1784,'1. Inbound Leads'!A:G,7,FALSE)=0,"",VLOOKUP(A1784,'1. Inbound Leads'!A:G,7,FALSE)),""))</f>
        <v/>
      </c>
      <c r="D1784" s="387" t="str">
        <f>IF(A1784="","",IFERROR(IF(VLOOKUP(A1784,'1. Inbound Leads'!A:L,12,FALSE)=0,"",VLOOKUP(A1784,'1. Inbound Leads'!A:L,12,FALSE)),""))</f>
        <v/>
      </c>
      <c r="E1784" s="388"/>
      <c r="F1784" s="389"/>
      <c r="G1784" s="387"/>
      <c r="H1784" s="387"/>
      <c r="I1784" s="387"/>
      <c r="J1784" s="387"/>
      <c r="K1784" s="387"/>
      <c r="L1784" s="387"/>
      <c r="M1784" s="388"/>
      <c r="N1784" s="388"/>
      <c r="O1784" s="390"/>
      <c r="P1784" s="391"/>
      <c r="Q1784" s="389"/>
      <c r="R1784" s="390"/>
      <c r="S1784" s="390"/>
      <c r="T1784" s="391"/>
      <c r="U1784" s="392"/>
      <c r="V1784" s="391"/>
      <c r="W1784" s="391"/>
      <c r="X1784" s="388"/>
      <c r="Y1784" s="391"/>
      <c r="Z1784" s="393"/>
      <c r="AA1784" s="355" t="str">
        <f t="shared" si="1"/>
        <v/>
      </c>
      <c r="AB1784" s="391"/>
      <c r="AC1784" s="394" t="str">
        <f t="shared" si="2"/>
        <v/>
      </c>
      <c r="AD1784" s="389"/>
      <c r="AE1784" s="399"/>
      <c r="AF1784" s="395"/>
      <c r="AG1784" s="396" t="str">
        <f t="shared" si="3"/>
        <v/>
      </c>
      <c r="AH1784" s="396" t="str">
        <f t="shared" si="4"/>
        <v/>
      </c>
      <c r="AI1784" s="388"/>
      <c r="AJ1784" s="388"/>
      <c r="AK1784" s="397"/>
    </row>
    <row r="1785">
      <c r="A1785" s="398"/>
      <c r="B1785" s="386"/>
      <c r="C1785" s="387" t="str">
        <f>IF(A1785="","",IFERROR(IF(VLOOKUP(A1785,'1. Inbound Leads'!A:G,7,FALSE)=0,"",VLOOKUP(A1785,'1. Inbound Leads'!A:G,7,FALSE)),""))</f>
        <v/>
      </c>
      <c r="D1785" s="387" t="str">
        <f>IF(A1785="","",IFERROR(IF(VLOOKUP(A1785,'1. Inbound Leads'!A:L,12,FALSE)=0,"",VLOOKUP(A1785,'1. Inbound Leads'!A:L,12,FALSE)),""))</f>
        <v/>
      </c>
      <c r="E1785" s="388"/>
      <c r="F1785" s="389"/>
      <c r="G1785" s="387"/>
      <c r="H1785" s="387"/>
      <c r="I1785" s="387"/>
      <c r="J1785" s="387"/>
      <c r="K1785" s="387"/>
      <c r="L1785" s="387"/>
      <c r="M1785" s="388"/>
      <c r="N1785" s="388"/>
      <c r="O1785" s="390"/>
      <c r="P1785" s="391"/>
      <c r="Q1785" s="389"/>
      <c r="R1785" s="390"/>
      <c r="S1785" s="390"/>
      <c r="T1785" s="391"/>
      <c r="U1785" s="392"/>
      <c r="V1785" s="391"/>
      <c r="W1785" s="391"/>
      <c r="X1785" s="388"/>
      <c r="Y1785" s="391"/>
      <c r="Z1785" s="393"/>
      <c r="AA1785" s="355" t="str">
        <f t="shared" si="1"/>
        <v/>
      </c>
      <c r="AB1785" s="391"/>
      <c r="AC1785" s="394" t="str">
        <f t="shared" si="2"/>
        <v/>
      </c>
      <c r="AD1785" s="389"/>
      <c r="AE1785" s="399"/>
      <c r="AF1785" s="395"/>
      <c r="AG1785" s="396" t="str">
        <f t="shared" si="3"/>
        <v/>
      </c>
      <c r="AH1785" s="396" t="str">
        <f t="shared" si="4"/>
        <v/>
      </c>
      <c r="AI1785" s="388"/>
      <c r="AJ1785" s="388"/>
      <c r="AK1785" s="397"/>
    </row>
    <row r="1786">
      <c r="A1786" s="398"/>
      <c r="B1786" s="386"/>
      <c r="C1786" s="387" t="str">
        <f>IF(A1786="","",IFERROR(IF(VLOOKUP(A1786,'1. Inbound Leads'!A:G,7,FALSE)=0,"",VLOOKUP(A1786,'1. Inbound Leads'!A:G,7,FALSE)),""))</f>
        <v/>
      </c>
      <c r="D1786" s="387" t="str">
        <f>IF(A1786="","",IFERROR(IF(VLOOKUP(A1786,'1. Inbound Leads'!A:L,12,FALSE)=0,"",VLOOKUP(A1786,'1. Inbound Leads'!A:L,12,FALSE)),""))</f>
        <v/>
      </c>
      <c r="E1786" s="388"/>
      <c r="F1786" s="389"/>
      <c r="G1786" s="387"/>
      <c r="H1786" s="387"/>
      <c r="I1786" s="387"/>
      <c r="J1786" s="387"/>
      <c r="K1786" s="387"/>
      <c r="L1786" s="387"/>
      <c r="M1786" s="388"/>
      <c r="N1786" s="388"/>
      <c r="O1786" s="390"/>
      <c r="P1786" s="391"/>
      <c r="Q1786" s="389"/>
      <c r="R1786" s="390"/>
      <c r="S1786" s="390"/>
      <c r="T1786" s="391"/>
      <c r="U1786" s="392"/>
      <c r="V1786" s="391"/>
      <c r="W1786" s="391"/>
      <c r="X1786" s="388"/>
      <c r="Y1786" s="391"/>
      <c r="Z1786" s="393"/>
      <c r="AA1786" s="355" t="str">
        <f t="shared" si="1"/>
        <v/>
      </c>
      <c r="AB1786" s="391"/>
      <c r="AC1786" s="394" t="str">
        <f t="shared" si="2"/>
        <v/>
      </c>
      <c r="AD1786" s="389"/>
      <c r="AE1786" s="399"/>
      <c r="AF1786" s="395"/>
      <c r="AG1786" s="396" t="str">
        <f t="shared" si="3"/>
        <v/>
      </c>
      <c r="AH1786" s="396" t="str">
        <f t="shared" si="4"/>
        <v/>
      </c>
      <c r="AI1786" s="388"/>
      <c r="AJ1786" s="388"/>
      <c r="AK1786" s="397"/>
    </row>
    <row r="1787">
      <c r="A1787" s="398"/>
      <c r="B1787" s="386"/>
      <c r="C1787" s="387" t="str">
        <f>IF(A1787="","",IFERROR(IF(VLOOKUP(A1787,'1. Inbound Leads'!A:G,7,FALSE)=0,"",VLOOKUP(A1787,'1. Inbound Leads'!A:G,7,FALSE)),""))</f>
        <v/>
      </c>
      <c r="D1787" s="387" t="str">
        <f>IF(A1787="","",IFERROR(IF(VLOOKUP(A1787,'1. Inbound Leads'!A:L,12,FALSE)=0,"",VLOOKUP(A1787,'1. Inbound Leads'!A:L,12,FALSE)),""))</f>
        <v/>
      </c>
      <c r="E1787" s="388"/>
      <c r="F1787" s="389"/>
      <c r="G1787" s="387"/>
      <c r="H1787" s="387"/>
      <c r="I1787" s="387"/>
      <c r="J1787" s="387"/>
      <c r="K1787" s="387"/>
      <c r="L1787" s="387"/>
      <c r="M1787" s="388"/>
      <c r="N1787" s="388"/>
      <c r="O1787" s="390"/>
      <c r="P1787" s="391"/>
      <c r="Q1787" s="389"/>
      <c r="R1787" s="390"/>
      <c r="S1787" s="390"/>
      <c r="T1787" s="391"/>
      <c r="U1787" s="392"/>
      <c r="V1787" s="391"/>
      <c r="W1787" s="391"/>
      <c r="X1787" s="388"/>
      <c r="Y1787" s="391"/>
      <c r="Z1787" s="393"/>
      <c r="AA1787" s="355" t="str">
        <f t="shared" si="1"/>
        <v/>
      </c>
      <c r="AB1787" s="391"/>
      <c r="AC1787" s="394" t="str">
        <f t="shared" si="2"/>
        <v/>
      </c>
      <c r="AD1787" s="389"/>
      <c r="AE1787" s="399"/>
      <c r="AF1787" s="395"/>
      <c r="AG1787" s="396" t="str">
        <f t="shared" si="3"/>
        <v/>
      </c>
      <c r="AH1787" s="396" t="str">
        <f t="shared" si="4"/>
        <v/>
      </c>
      <c r="AI1787" s="388"/>
      <c r="AJ1787" s="388"/>
      <c r="AK1787" s="397"/>
    </row>
    <row r="1788">
      <c r="A1788" s="398"/>
      <c r="B1788" s="386"/>
      <c r="C1788" s="387" t="str">
        <f>IF(A1788="","",IFERROR(IF(VLOOKUP(A1788,'1. Inbound Leads'!A:G,7,FALSE)=0,"",VLOOKUP(A1788,'1. Inbound Leads'!A:G,7,FALSE)),""))</f>
        <v/>
      </c>
      <c r="D1788" s="387" t="str">
        <f>IF(A1788="","",IFERROR(IF(VLOOKUP(A1788,'1. Inbound Leads'!A:L,12,FALSE)=0,"",VLOOKUP(A1788,'1. Inbound Leads'!A:L,12,FALSE)),""))</f>
        <v/>
      </c>
      <c r="E1788" s="388"/>
      <c r="F1788" s="389"/>
      <c r="G1788" s="387"/>
      <c r="H1788" s="387"/>
      <c r="I1788" s="387"/>
      <c r="J1788" s="387"/>
      <c r="K1788" s="387"/>
      <c r="L1788" s="387"/>
      <c r="M1788" s="388"/>
      <c r="N1788" s="388"/>
      <c r="O1788" s="390"/>
      <c r="P1788" s="391"/>
      <c r="Q1788" s="389"/>
      <c r="R1788" s="390"/>
      <c r="S1788" s="390"/>
      <c r="T1788" s="391"/>
      <c r="U1788" s="392"/>
      <c r="V1788" s="391"/>
      <c r="W1788" s="391"/>
      <c r="X1788" s="388"/>
      <c r="Y1788" s="391"/>
      <c r="Z1788" s="393"/>
      <c r="AA1788" s="355" t="str">
        <f t="shared" si="1"/>
        <v/>
      </c>
      <c r="AB1788" s="391"/>
      <c r="AC1788" s="394" t="str">
        <f t="shared" si="2"/>
        <v/>
      </c>
      <c r="AD1788" s="389"/>
      <c r="AE1788" s="399"/>
      <c r="AF1788" s="395"/>
      <c r="AG1788" s="396" t="str">
        <f t="shared" si="3"/>
        <v/>
      </c>
      <c r="AH1788" s="396" t="str">
        <f t="shared" si="4"/>
        <v/>
      </c>
      <c r="AI1788" s="388"/>
      <c r="AJ1788" s="388"/>
      <c r="AK1788" s="397"/>
    </row>
    <row r="1789">
      <c r="A1789" s="398"/>
      <c r="B1789" s="386"/>
      <c r="C1789" s="387" t="str">
        <f>IF(A1789="","",IFERROR(IF(VLOOKUP(A1789,'1. Inbound Leads'!A:G,7,FALSE)=0,"",VLOOKUP(A1789,'1. Inbound Leads'!A:G,7,FALSE)),""))</f>
        <v/>
      </c>
      <c r="D1789" s="387" t="str">
        <f>IF(A1789="","",IFERROR(IF(VLOOKUP(A1789,'1. Inbound Leads'!A:L,12,FALSE)=0,"",VLOOKUP(A1789,'1. Inbound Leads'!A:L,12,FALSE)),""))</f>
        <v/>
      </c>
      <c r="E1789" s="388"/>
      <c r="F1789" s="389"/>
      <c r="G1789" s="387"/>
      <c r="H1789" s="387"/>
      <c r="I1789" s="387"/>
      <c r="J1789" s="387"/>
      <c r="K1789" s="387"/>
      <c r="L1789" s="387"/>
      <c r="M1789" s="388"/>
      <c r="N1789" s="388"/>
      <c r="O1789" s="390"/>
      <c r="P1789" s="391"/>
      <c r="Q1789" s="389"/>
      <c r="R1789" s="390"/>
      <c r="S1789" s="390"/>
      <c r="T1789" s="391"/>
      <c r="U1789" s="392"/>
      <c r="V1789" s="391"/>
      <c r="W1789" s="391"/>
      <c r="X1789" s="388"/>
      <c r="Y1789" s="391"/>
      <c r="Z1789" s="393"/>
      <c r="AA1789" s="355" t="str">
        <f t="shared" si="1"/>
        <v/>
      </c>
      <c r="AB1789" s="391"/>
      <c r="AC1789" s="394" t="str">
        <f t="shared" si="2"/>
        <v/>
      </c>
      <c r="AD1789" s="389"/>
      <c r="AE1789" s="399"/>
      <c r="AF1789" s="395"/>
      <c r="AG1789" s="396" t="str">
        <f t="shared" si="3"/>
        <v/>
      </c>
      <c r="AH1789" s="396" t="str">
        <f t="shared" si="4"/>
        <v/>
      </c>
      <c r="AI1789" s="388"/>
      <c r="AJ1789" s="388"/>
      <c r="AK1789" s="397"/>
    </row>
    <row r="1790">
      <c r="A1790" s="398"/>
      <c r="B1790" s="386"/>
      <c r="C1790" s="387" t="str">
        <f>IF(A1790="","",IFERROR(IF(VLOOKUP(A1790,'1. Inbound Leads'!A:G,7,FALSE)=0,"",VLOOKUP(A1790,'1. Inbound Leads'!A:G,7,FALSE)),""))</f>
        <v/>
      </c>
      <c r="D1790" s="387" t="str">
        <f>IF(A1790="","",IFERROR(IF(VLOOKUP(A1790,'1. Inbound Leads'!A:L,12,FALSE)=0,"",VLOOKUP(A1790,'1. Inbound Leads'!A:L,12,FALSE)),""))</f>
        <v/>
      </c>
      <c r="E1790" s="388"/>
      <c r="F1790" s="389"/>
      <c r="G1790" s="387"/>
      <c r="H1790" s="387"/>
      <c r="I1790" s="387"/>
      <c r="J1790" s="387"/>
      <c r="K1790" s="387"/>
      <c r="L1790" s="387"/>
      <c r="M1790" s="388"/>
      <c r="N1790" s="388"/>
      <c r="O1790" s="390"/>
      <c r="P1790" s="391"/>
      <c r="Q1790" s="389"/>
      <c r="R1790" s="390"/>
      <c r="S1790" s="390"/>
      <c r="T1790" s="391"/>
      <c r="U1790" s="392"/>
      <c r="V1790" s="391"/>
      <c r="W1790" s="391"/>
      <c r="X1790" s="388"/>
      <c r="Y1790" s="391"/>
      <c r="Z1790" s="393"/>
      <c r="AA1790" s="355" t="str">
        <f t="shared" si="1"/>
        <v/>
      </c>
      <c r="AB1790" s="391"/>
      <c r="AC1790" s="394" t="str">
        <f t="shared" si="2"/>
        <v/>
      </c>
      <c r="AD1790" s="389"/>
      <c r="AE1790" s="399"/>
      <c r="AF1790" s="395"/>
      <c r="AG1790" s="396" t="str">
        <f t="shared" si="3"/>
        <v/>
      </c>
      <c r="AH1790" s="396" t="str">
        <f t="shared" si="4"/>
        <v/>
      </c>
      <c r="AI1790" s="388"/>
      <c r="AJ1790" s="388"/>
      <c r="AK1790" s="397"/>
    </row>
    <row r="1791">
      <c r="A1791" s="398"/>
      <c r="B1791" s="386"/>
      <c r="C1791" s="387" t="str">
        <f>IF(A1791="","",IFERROR(IF(VLOOKUP(A1791,'1. Inbound Leads'!A:G,7,FALSE)=0,"",VLOOKUP(A1791,'1. Inbound Leads'!A:G,7,FALSE)),""))</f>
        <v/>
      </c>
      <c r="D1791" s="387" t="str">
        <f>IF(A1791="","",IFERROR(IF(VLOOKUP(A1791,'1. Inbound Leads'!A:L,12,FALSE)=0,"",VLOOKUP(A1791,'1. Inbound Leads'!A:L,12,FALSE)),""))</f>
        <v/>
      </c>
      <c r="E1791" s="388"/>
      <c r="F1791" s="389"/>
      <c r="G1791" s="387"/>
      <c r="H1791" s="387"/>
      <c r="I1791" s="387"/>
      <c r="J1791" s="387"/>
      <c r="K1791" s="387"/>
      <c r="L1791" s="387"/>
      <c r="M1791" s="388"/>
      <c r="N1791" s="388"/>
      <c r="O1791" s="390"/>
      <c r="P1791" s="391"/>
      <c r="Q1791" s="389"/>
      <c r="R1791" s="390"/>
      <c r="S1791" s="390"/>
      <c r="T1791" s="391"/>
      <c r="U1791" s="392"/>
      <c r="V1791" s="391"/>
      <c r="W1791" s="391"/>
      <c r="X1791" s="388"/>
      <c r="Y1791" s="391"/>
      <c r="Z1791" s="393"/>
      <c r="AA1791" s="355" t="str">
        <f t="shared" si="1"/>
        <v/>
      </c>
      <c r="AB1791" s="391"/>
      <c r="AC1791" s="394" t="str">
        <f t="shared" si="2"/>
        <v/>
      </c>
      <c r="AD1791" s="389"/>
      <c r="AE1791" s="399"/>
      <c r="AF1791" s="395"/>
      <c r="AG1791" s="396" t="str">
        <f t="shared" si="3"/>
        <v/>
      </c>
      <c r="AH1791" s="396" t="str">
        <f t="shared" si="4"/>
        <v/>
      </c>
      <c r="AI1791" s="388"/>
      <c r="AJ1791" s="388"/>
      <c r="AK1791" s="397"/>
    </row>
    <row r="1792">
      <c r="A1792" s="398"/>
      <c r="B1792" s="386"/>
      <c r="C1792" s="387" t="str">
        <f>IF(A1792="","",IFERROR(IF(VLOOKUP(A1792,'1. Inbound Leads'!A:G,7,FALSE)=0,"",VLOOKUP(A1792,'1. Inbound Leads'!A:G,7,FALSE)),""))</f>
        <v/>
      </c>
      <c r="D1792" s="387" t="str">
        <f>IF(A1792="","",IFERROR(IF(VLOOKUP(A1792,'1. Inbound Leads'!A:L,12,FALSE)=0,"",VLOOKUP(A1792,'1. Inbound Leads'!A:L,12,FALSE)),""))</f>
        <v/>
      </c>
      <c r="E1792" s="388"/>
      <c r="F1792" s="389"/>
      <c r="G1792" s="387"/>
      <c r="H1792" s="387"/>
      <c r="I1792" s="387"/>
      <c r="J1792" s="387"/>
      <c r="K1792" s="387"/>
      <c r="L1792" s="387"/>
      <c r="M1792" s="388"/>
      <c r="N1792" s="388"/>
      <c r="O1792" s="390"/>
      <c r="P1792" s="391"/>
      <c r="Q1792" s="389"/>
      <c r="R1792" s="390"/>
      <c r="S1792" s="390"/>
      <c r="T1792" s="391"/>
      <c r="U1792" s="392"/>
      <c r="V1792" s="391"/>
      <c r="W1792" s="391"/>
      <c r="X1792" s="388"/>
      <c r="Y1792" s="391"/>
      <c r="Z1792" s="393"/>
      <c r="AA1792" s="355" t="str">
        <f t="shared" si="1"/>
        <v/>
      </c>
      <c r="AB1792" s="391"/>
      <c r="AC1792" s="394" t="str">
        <f t="shared" si="2"/>
        <v/>
      </c>
      <c r="AD1792" s="389"/>
      <c r="AE1792" s="399"/>
      <c r="AF1792" s="395"/>
      <c r="AG1792" s="396" t="str">
        <f t="shared" si="3"/>
        <v/>
      </c>
      <c r="AH1792" s="396" t="str">
        <f t="shared" si="4"/>
        <v/>
      </c>
      <c r="AI1792" s="388"/>
      <c r="AJ1792" s="388"/>
      <c r="AK1792" s="397"/>
    </row>
    <row r="1793">
      <c r="A1793" s="398"/>
      <c r="B1793" s="386"/>
      <c r="C1793" s="387" t="str">
        <f>IF(A1793="","",IFERROR(IF(VLOOKUP(A1793,'1. Inbound Leads'!A:G,7,FALSE)=0,"",VLOOKUP(A1793,'1. Inbound Leads'!A:G,7,FALSE)),""))</f>
        <v/>
      </c>
      <c r="D1793" s="387" t="str">
        <f>IF(A1793="","",IFERROR(IF(VLOOKUP(A1793,'1. Inbound Leads'!A:L,12,FALSE)=0,"",VLOOKUP(A1793,'1. Inbound Leads'!A:L,12,FALSE)),""))</f>
        <v/>
      </c>
      <c r="E1793" s="388"/>
      <c r="F1793" s="389"/>
      <c r="G1793" s="387"/>
      <c r="H1793" s="387"/>
      <c r="I1793" s="387"/>
      <c r="J1793" s="387"/>
      <c r="K1793" s="387"/>
      <c r="L1793" s="387"/>
      <c r="M1793" s="388"/>
      <c r="N1793" s="388"/>
      <c r="O1793" s="390"/>
      <c r="P1793" s="391"/>
      <c r="Q1793" s="389"/>
      <c r="R1793" s="390"/>
      <c r="S1793" s="390"/>
      <c r="T1793" s="391"/>
      <c r="U1793" s="392"/>
      <c r="V1793" s="391"/>
      <c r="W1793" s="391"/>
      <c r="X1793" s="388"/>
      <c r="Y1793" s="391"/>
      <c r="Z1793" s="393"/>
      <c r="AA1793" s="355" t="str">
        <f t="shared" si="1"/>
        <v/>
      </c>
      <c r="AB1793" s="391"/>
      <c r="AC1793" s="394" t="str">
        <f t="shared" si="2"/>
        <v/>
      </c>
      <c r="AD1793" s="389"/>
      <c r="AE1793" s="399"/>
      <c r="AF1793" s="395"/>
      <c r="AG1793" s="396" t="str">
        <f t="shared" si="3"/>
        <v/>
      </c>
      <c r="AH1793" s="396" t="str">
        <f t="shared" si="4"/>
        <v/>
      </c>
      <c r="AI1793" s="388"/>
      <c r="AJ1793" s="388"/>
      <c r="AK1793" s="397"/>
    </row>
    <row r="1794">
      <c r="A1794" s="398"/>
      <c r="B1794" s="386"/>
      <c r="C1794" s="387" t="str">
        <f>IF(A1794="","",IFERROR(IF(VLOOKUP(A1794,'1. Inbound Leads'!A:G,7,FALSE)=0,"",VLOOKUP(A1794,'1. Inbound Leads'!A:G,7,FALSE)),""))</f>
        <v/>
      </c>
      <c r="D1794" s="387" t="str">
        <f>IF(A1794="","",IFERROR(IF(VLOOKUP(A1794,'1. Inbound Leads'!A:L,12,FALSE)=0,"",VLOOKUP(A1794,'1. Inbound Leads'!A:L,12,FALSE)),""))</f>
        <v/>
      </c>
      <c r="E1794" s="388"/>
      <c r="F1794" s="389"/>
      <c r="G1794" s="387"/>
      <c r="H1794" s="387"/>
      <c r="I1794" s="387"/>
      <c r="J1794" s="387"/>
      <c r="K1794" s="387"/>
      <c r="L1794" s="387"/>
      <c r="M1794" s="388"/>
      <c r="N1794" s="388"/>
      <c r="O1794" s="390"/>
      <c r="P1794" s="391"/>
      <c r="Q1794" s="389"/>
      <c r="R1794" s="390"/>
      <c r="S1794" s="390"/>
      <c r="T1794" s="391"/>
      <c r="U1794" s="392"/>
      <c r="V1794" s="391"/>
      <c r="W1794" s="391"/>
      <c r="X1794" s="388"/>
      <c r="Y1794" s="391"/>
      <c r="Z1794" s="393"/>
      <c r="AA1794" s="355" t="str">
        <f t="shared" si="1"/>
        <v/>
      </c>
      <c r="AB1794" s="391"/>
      <c r="AC1794" s="394" t="str">
        <f t="shared" si="2"/>
        <v/>
      </c>
      <c r="AD1794" s="389"/>
      <c r="AE1794" s="399"/>
      <c r="AF1794" s="395"/>
      <c r="AG1794" s="396" t="str">
        <f t="shared" si="3"/>
        <v/>
      </c>
      <c r="AH1794" s="396" t="str">
        <f t="shared" si="4"/>
        <v/>
      </c>
      <c r="AI1794" s="388"/>
      <c r="AJ1794" s="388"/>
      <c r="AK1794" s="397"/>
    </row>
    <row r="1795">
      <c r="A1795" s="398"/>
      <c r="B1795" s="386"/>
      <c r="C1795" s="387" t="str">
        <f>IF(A1795="","",IFERROR(IF(VLOOKUP(A1795,'1. Inbound Leads'!A:G,7,FALSE)=0,"",VLOOKUP(A1795,'1. Inbound Leads'!A:G,7,FALSE)),""))</f>
        <v/>
      </c>
      <c r="D1795" s="387" t="str">
        <f>IF(A1795="","",IFERROR(IF(VLOOKUP(A1795,'1. Inbound Leads'!A:L,12,FALSE)=0,"",VLOOKUP(A1795,'1. Inbound Leads'!A:L,12,FALSE)),""))</f>
        <v/>
      </c>
      <c r="E1795" s="388"/>
      <c r="F1795" s="389"/>
      <c r="G1795" s="387"/>
      <c r="H1795" s="387"/>
      <c r="I1795" s="387"/>
      <c r="J1795" s="387"/>
      <c r="K1795" s="387"/>
      <c r="L1795" s="387"/>
      <c r="M1795" s="388"/>
      <c r="N1795" s="388"/>
      <c r="O1795" s="390"/>
      <c r="P1795" s="391"/>
      <c r="Q1795" s="389"/>
      <c r="R1795" s="390"/>
      <c r="S1795" s="390"/>
      <c r="T1795" s="391"/>
      <c r="U1795" s="392"/>
      <c r="V1795" s="391"/>
      <c r="W1795" s="391"/>
      <c r="X1795" s="388"/>
      <c r="Y1795" s="391"/>
      <c r="Z1795" s="393"/>
      <c r="AA1795" s="355" t="str">
        <f t="shared" si="1"/>
        <v/>
      </c>
      <c r="AB1795" s="391"/>
      <c r="AC1795" s="394" t="str">
        <f t="shared" si="2"/>
        <v/>
      </c>
      <c r="AD1795" s="389"/>
      <c r="AE1795" s="399"/>
      <c r="AF1795" s="395"/>
      <c r="AG1795" s="396" t="str">
        <f t="shared" si="3"/>
        <v/>
      </c>
      <c r="AH1795" s="396" t="str">
        <f t="shared" si="4"/>
        <v/>
      </c>
      <c r="AI1795" s="388"/>
      <c r="AJ1795" s="388"/>
      <c r="AK1795" s="397"/>
    </row>
    <row r="1796">
      <c r="A1796" s="398"/>
      <c r="B1796" s="386"/>
      <c r="C1796" s="387" t="str">
        <f>IF(A1796="","",IFERROR(IF(VLOOKUP(A1796,'1. Inbound Leads'!A:G,7,FALSE)=0,"",VLOOKUP(A1796,'1. Inbound Leads'!A:G,7,FALSE)),""))</f>
        <v/>
      </c>
      <c r="D1796" s="387" t="str">
        <f>IF(A1796="","",IFERROR(IF(VLOOKUP(A1796,'1. Inbound Leads'!A:L,12,FALSE)=0,"",VLOOKUP(A1796,'1. Inbound Leads'!A:L,12,FALSE)),""))</f>
        <v/>
      </c>
      <c r="E1796" s="388"/>
      <c r="F1796" s="389"/>
      <c r="G1796" s="387"/>
      <c r="H1796" s="387"/>
      <c r="I1796" s="387"/>
      <c r="J1796" s="387"/>
      <c r="K1796" s="387"/>
      <c r="L1796" s="387"/>
      <c r="M1796" s="388"/>
      <c r="N1796" s="388"/>
      <c r="O1796" s="390"/>
      <c r="P1796" s="391"/>
      <c r="Q1796" s="389"/>
      <c r="R1796" s="390"/>
      <c r="S1796" s="390"/>
      <c r="T1796" s="391"/>
      <c r="U1796" s="392"/>
      <c r="V1796" s="391"/>
      <c r="W1796" s="391"/>
      <c r="X1796" s="388"/>
      <c r="Y1796" s="391"/>
      <c r="Z1796" s="393"/>
      <c r="AA1796" s="355" t="str">
        <f t="shared" si="1"/>
        <v/>
      </c>
      <c r="AB1796" s="391"/>
      <c r="AC1796" s="394" t="str">
        <f t="shared" si="2"/>
        <v/>
      </c>
      <c r="AD1796" s="389"/>
      <c r="AE1796" s="399"/>
      <c r="AF1796" s="395"/>
      <c r="AG1796" s="396" t="str">
        <f t="shared" si="3"/>
        <v/>
      </c>
      <c r="AH1796" s="396" t="str">
        <f t="shared" si="4"/>
        <v/>
      </c>
      <c r="AI1796" s="388"/>
      <c r="AJ1796" s="388"/>
      <c r="AK1796" s="397"/>
    </row>
    <row r="1797">
      <c r="A1797" s="398"/>
      <c r="B1797" s="386"/>
      <c r="C1797" s="387" t="str">
        <f>IF(A1797="","",IFERROR(IF(VLOOKUP(A1797,'1. Inbound Leads'!A:G,7,FALSE)=0,"",VLOOKUP(A1797,'1. Inbound Leads'!A:G,7,FALSE)),""))</f>
        <v/>
      </c>
      <c r="D1797" s="387" t="str">
        <f>IF(A1797="","",IFERROR(IF(VLOOKUP(A1797,'1. Inbound Leads'!A:L,12,FALSE)=0,"",VLOOKUP(A1797,'1. Inbound Leads'!A:L,12,FALSE)),""))</f>
        <v/>
      </c>
      <c r="E1797" s="388"/>
      <c r="F1797" s="389"/>
      <c r="G1797" s="387"/>
      <c r="H1797" s="387"/>
      <c r="I1797" s="387"/>
      <c r="J1797" s="387"/>
      <c r="K1797" s="387"/>
      <c r="L1797" s="387"/>
      <c r="M1797" s="388"/>
      <c r="N1797" s="388"/>
      <c r="O1797" s="390"/>
      <c r="P1797" s="391"/>
      <c r="Q1797" s="389"/>
      <c r="R1797" s="390"/>
      <c r="S1797" s="390"/>
      <c r="T1797" s="391"/>
      <c r="U1797" s="392"/>
      <c r="V1797" s="391"/>
      <c r="W1797" s="391"/>
      <c r="X1797" s="388"/>
      <c r="Y1797" s="391"/>
      <c r="Z1797" s="393"/>
      <c r="AA1797" s="355" t="str">
        <f t="shared" si="1"/>
        <v/>
      </c>
      <c r="AB1797" s="391"/>
      <c r="AC1797" s="394" t="str">
        <f t="shared" si="2"/>
        <v/>
      </c>
      <c r="AD1797" s="389"/>
      <c r="AE1797" s="399"/>
      <c r="AF1797" s="395"/>
      <c r="AG1797" s="396" t="str">
        <f t="shared" si="3"/>
        <v/>
      </c>
      <c r="AH1797" s="396" t="str">
        <f t="shared" si="4"/>
        <v/>
      </c>
      <c r="AI1797" s="388"/>
      <c r="AJ1797" s="388"/>
      <c r="AK1797" s="397"/>
    </row>
    <row r="1798">
      <c r="A1798" s="398"/>
      <c r="B1798" s="386"/>
      <c r="C1798" s="387" t="str">
        <f>IF(A1798="","",IFERROR(IF(VLOOKUP(A1798,'1. Inbound Leads'!A:G,7,FALSE)=0,"",VLOOKUP(A1798,'1. Inbound Leads'!A:G,7,FALSE)),""))</f>
        <v/>
      </c>
      <c r="D1798" s="387" t="str">
        <f>IF(A1798="","",IFERROR(IF(VLOOKUP(A1798,'1. Inbound Leads'!A:L,12,FALSE)=0,"",VLOOKUP(A1798,'1. Inbound Leads'!A:L,12,FALSE)),""))</f>
        <v/>
      </c>
      <c r="E1798" s="388"/>
      <c r="F1798" s="389"/>
      <c r="G1798" s="387"/>
      <c r="H1798" s="387"/>
      <c r="I1798" s="387"/>
      <c r="J1798" s="387"/>
      <c r="K1798" s="387"/>
      <c r="L1798" s="387"/>
      <c r="M1798" s="388"/>
      <c r="N1798" s="388"/>
      <c r="O1798" s="390"/>
      <c r="P1798" s="391"/>
      <c r="Q1798" s="389"/>
      <c r="R1798" s="390"/>
      <c r="S1798" s="390"/>
      <c r="T1798" s="391"/>
      <c r="U1798" s="392"/>
      <c r="V1798" s="391"/>
      <c r="W1798" s="391"/>
      <c r="X1798" s="388"/>
      <c r="Y1798" s="391"/>
      <c r="Z1798" s="393"/>
      <c r="AA1798" s="355" t="str">
        <f t="shared" si="1"/>
        <v/>
      </c>
      <c r="AB1798" s="391"/>
      <c r="AC1798" s="394" t="str">
        <f t="shared" si="2"/>
        <v/>
      </c>
      <c r="AD1798" s="389"/>
      <c r="AE1798" s="399"/>
      <c r="AF1798" s="395"/>
      <c r="AG1798" s="396" t="str">
        <f t="shared" si="3"/>
        <v/>
      </c>
      <c r="AH1798" s="396" t="str">
        <f t="shared" si="4"/>
        <v/>
      </c>
      <c r="AI1798" s="388"/>
      <c r="AJ1798" s="388"/>
      <c r="AK1798" s="397"/>
    </row>
    <row r="1799">
      <c r="A1799" s="398"/>
      <c r="B1799" s="386"/>
      <c r="C1799" s="387" t="str">
        <f>IF(A1799="","",IFERROR(IF(VLOOKUP(A1799,'1. Inbound Leads'!A:G,7,FALSE)=0,"",VLOOKUP(A1799,'1. Inbound Leads'!A:G,7,FALSE)),""))</f>
        <v/>
      </c>
      <c r="D1799" s="387" t="str">
        <f>IF(A1799="","",IFERROR(IF(VLOOKUP(A1799,'1. Inbound Leads'!A:L,12,FALSE)=0,"",VLOOKUP(A1799,'1. Inbound Leads'!A:L,12,FALSE)),""))</f>
        <v/>
      </c>
      <c r="E1799" s="388"/>
      <c r="F1799" s="389"/>
      <c r="G1799" s="387"/>
      <c r="H1799" s="387"/>
      <c r="I1799" s="387"/>
      <c r="J1799" s="387"/>
      <c r="K1799" s="387"/>
      <c r="L1799" s="387"/>
      <c r="M1799" s="388"/>
      <c r="N1799" s="388"/>
      <c r="O1799" s="390"/>
      <c r="P1799" s="391"/>
      <c r="Q1799" s="389"/>
      <c r="R1799" s="390"/>
      <c r="S1799" s="390"/>
      <c r="T1799" s="391"/>
      <c r="U1799" s="392"/>
      <c r="V1799" s="391"/>
      <c r="W1799" s="391"/>
      <c r="X1799" s="388"/>
      <c r="Y1799" s="391"/>
      <c r="Z1799" s="393"/>
      <c r="AA1799" s="355" t="str">
        <f t="shared" si="1"/>
        <v/>
      </c>
      <c r="AB1799" s="391"/>
      <c r="AC1799" s="394" t="str">
        <f t="shared" si="2"/>
        <v/>
      </c>
      <c r="AD1799" s="389"/>
      <c r="AE1799" s="399"/>
      <c r="AF1799" s="395"/>
      <c r="AG1799" s="396" t="str">
        <f t="shared" si="3"/>
        <v/>
      </c>
      <c r="AH1799" s="396" t="str">
        <f t="shared" si="4"/>
        <v/>
      </c>
      <c r="AI1799" s="388"/>
      <c r="AJ1799" s="388"/>
      <c r="AK1799" s="397"/>
    </row>
    <row r="1800">
      <c r="A1800" s="398"/>
      <c r="B1800" s="386"/>
      <c r="C1800" s="387" t="str">
        <f>IF(A1800="","",IFERROR(IF(VLOOKUP(A1800,'1. Inbound Leads'!A:G,7,FALSE)=0,"",VLOOKUP(A1800,'1. Inbound Leads'!A:G,7,FALSE)),""))</f>
        <v/>
      </c>
      <c r="D1800" s="387" t="str">
        <f>IF(A1800="","",IFERROR(IF(VLOOKUP(A1800,'1. Inbound Leads'!A:L,12,FALSE)=0,"",VLOOKUP(A1800,'1. Inbound Leads'!A:L,12,FALSE)),""))</f>
        <v/>
      </c>
      <c r="E1800" s="388"/>
      <c r="F1800" s="389"/>
      <c r="G1800" s="387"/>
      <c r="H1800" s="387"/>
      <c r="I1800" s="387"/>
      <c r="J1800" s="387"/>
      <c r="K1800" s="387"/>
      <c r="L1800" s="387"/>
      <c r="M1800" s="388"/>
      <c r="N1800" s="388"/>
      <c r="O1800" s="390"/>
      <c r="P1800" s="391"/>
      <c r="Q1800" s="389"/>
      <c r="R1800" s="390"/>
      <c r="S1800" s="390"/>
      <c r="T1800" s="391"/>
      <c r="U1800" s="392"/>
      <c r="V1800" s="391"/>
      <c r="W1800" s="391"/>
      <c r="X1800" s="388"/>
      <c r="Y1800" s="391"/>
      <c r="Z1800" s="393"/>
      <c r="AA1800" s="355" t="str">
        <f t="shared" si="1"/>
        <v/>
      </c>
      <c r="AB1800" s="391"/>
      <c r="AC1800" s="394" t="str">
        <f t="shared" si="2"/>
        <v/>
      </c>
      <c r="AD1800" s="389"/>
      <c r="AE1800" s="399"/>
      <c r="AF1800" s="395"/>
      <c r="AG1800" s="396" t="str">
        <f t="shared" si="3"/>
        <v/>
      </c>
      <c r="AH1800" s="396" t="str">
        <f t="shared" si="4"/>
        <v/>
      </c>
      <c r="AI1800" s="388"/>
      <c r="AJ1800" s="388"/>
      <c r="AK1800" s="397"/>
    </row>
    <row r="1801">
      <c r="A1801" s="398"/>
      <c r="B1801" s="386"/>
      <c r="C1801" s="387" t="str">
        <f>IF(A1801="","",IFERROR(IF(VLOOKUP(A1801,'1. Inbound Leads'!A:G,7,FALSE)=0,"",VLOOKUP(A1801,'1. Inbound Leads'!A:G,7,FALSE)),""))</f>
        <v/>
      </c>
      <c r="D1801" s="387" t="str">
        <f>IF(A1801="","",IFERROR(IF(VLOOKUP(A1801,'1. Inbound Leads'!A:L,12,FALSE)=0,"",VLOOKUP(A1801,'1. Inbound Leads'!A:L,12,FALSE)),""))</f>
        <v/>
      </c>
      <c r="E1801" s="388"/>
      <c r="F1801" s="389"/>
      <c r="G1801" s="387"/>
      <c r="H1801" s="387"/>
      <c r="I1801" s="387"/>
      <c r="J1801" s="387"/>
      <c r="K1801" s="387"/>
      <c r="L1801" s="387"/>
      <c r="M1801" s="388"/>
      <c r="N1801" s="388"/>
      <c r="O1801" s="390"/>
      <c r="P1801" s="391"/>
      <c r="Q1801" s="389"/>
      <c r="R1801" s="390"/>
      <c r="S1801" s="390"/>
      <c r="T1801" s="391"/>
      <c r="U1801" s="392"/>
      <c r="V1801" s="391"/>
      <c r="W1801" s="391"/>
      <c r="X1801" s="388"/>
      <c r="Y1801" s="391"/>
      <c r="Z1801" s="393"/>
      <c r="AA1801" s="355" t="str">
        <f t="shared" si="1"/>
        <v/>
      </c>
      <c r="AB1801" s="391"/>
      <c r="AC1801" s="394" t="str">
        <f t="shared" si="2"/>
        <v/>
      </c>
      <c r="AD1801" s="389"/>
      <c r="AE1801" s="399"/>
      <c r="AF1801" s="395"/>
      <c r="AG1801" s="396" t="str">
        <f t="shared" si="3"/>
        <v/>
      </c>
      <c r="AH1801" s="396" t="str">
        <f t="shared" si="4"/>
        <v/>
      </c>
      <c r="AI1801" s="388"/>
      <c r="AJ1801" s="388"/>
      <c r="AK1801" s="397"/>
    </row>
    <row r="1802">
      <c r="A1802" s="398"/>
      <c r="B1802" s="386"/>
      <c r="C1802" s="387" t="str">
        <f>IF(A1802="","",IFERROR(IF(VLOOKUP(A1802,'1. Inbound Leads'!A:G,7,FALSE)=0,"",VLOOKUP(A1802,'1. Inbound Leads'!A:G,7,FALSE)),""))</f>
        <v/>
      </c>
      <c r="D1802" s="387" t="str">
        <f>IF(A1802="","",IFERROR(IF(VLOOKUP(A1802,'1. Inbound Leads'!A:L,12,FALSE)=0,"",VLOOKUP(A1802,'1. Inbound Leads'!A:L,12,FALSE)),""))</f>
        <v/>
      </c>
      <c r="E1802" s="388"/>
      <c r="F1802" s="389"/>
      <c r="G1802" s="387"/>
      <c r="H1802" s="387"/>
      <c r="I1802" s="387"/>
      <c r="J1802" s="387"/>
      <c r="K1802" s="387"/>
      <c r="L1802" s="387"/>
      <c r="M1802" s="388"/>
      <c r="N1802" s="388"/>
      <c r="O1802" s="390"/>
      <c r="P1802" s="391"/>
      <c r="Q1802" s="389"/>
      <c r="R1802" s="390"/>
      <c r="S1802" s="390"/>
      <c r="T1802" s="391"/>
      <c r="U1802" s="392"/>
      <c r="V1802" s="391"/>
      <c r="W1802" s="391"/>
      <c r="X1802" s="388"/>
      <c r="Y1802" s="391"/>
      <c r="Z1802" s="393"/>
      <c r="AA1802" s="355" t="str">
        <f t="shared" si="1"/>
        <v/>
      </c>
      <c r="AB1802" s="391"/>
      <c r="AC1802" s="394" t="str">
        <f t="shared" si="2"/>
        <v/>
      </c>
      <c r="AD1802" s="389"/>
      <c r="AE1802" s="399"/>
      <c r="AF1802" s="395"/>
      <c r="AG1802" s="396" t="str">
        <f t="shared" si="3"/>
        <v/>
      </c>
      <c r="AH1802" s="396" t="str">
        <f t="shared" si="4"/>
        <v/>
      </c>
      <c r="AI1802" s="388"/>
      <c r="AJ1802" s="388"/>
      <c r="AK1802" s="397"/>
    </row>
    <row r="1803">
      <c r="A1803" s="398"/>
      <c r="B1803" s="386"/>
      <c r="C1803" s="387" t="str">
        <f>IF(A1803="","",IFERROR(IF(VLOOKUP(A1803,'1. Inbound Leads'!A:G,7,FALSE)=0,"",VLOOKUP(A1803,'1. Inbound Leads'!A:G,7,FALSE)),""))</f>
        <v/>
      </c>
      <c r="D1803" s="387" t="str">
        <f>IF(A1803="","",IFERROR(IF(VLOOKUP(A1803,'1. Inbound Leads'!A:L,12,FALSE)=0,"",VLOOKUP(A1803,'1. Inbound Leads'!A:L,12,FALSE)),""))</f>
        <v/>
      </c>
      <c r="E1803" s="388"/>
      <c r="F1803" s="389"/>
      <c r="G1803" s="387"/>
      <c r="H1803" s="387"/>
      <c r="I1803" s="387"/>
      <c r="J1803" s="387"/>
      <c r="K1803" s="387"/>
      <c r="L1803" s="387"/>
      <c r="M1803" s="388"/>
      <c r="N1803" s="388"/>
      <c r="O1803" s="390"/>
      <c r="P1803" s="391"/>
      <c r="Q1803" s="389"/>
      <c r="R1803" s="390"/>
      <c r="S1803" s="390"/>
      <c r="T1803" s="391"/>
      <c r="U1803" s="392"/>
      <c r="V1803" s="391"/>
      <c r="W1803" s="391"/>
      <c r="X1803" s="388"/>
      <c r="Y1803" s="391"/>
      <c r="Z1803" s="393"/>
      <c r="AA1803" s="355" t="str">
        <f t="shared" si="1"/>
        <v/>
      </c>
      <c r="AB1803" s="391"/>
      <c r="AC1803" s="394" t="str">
        <f t="shared" si="2"/>
        <v/>
      </c>
      <c r="AD1803" s="389"/>
      <c r="AE1803" s="399"/>
      <c r="AF1803" s="395"/>
      <c r="AG1803" s="396" t="str">
        <f t="shared" si="3"/>
        <v/>
      </c>
      <c r="AH1803" s="396" t="str">
        <f t="shared" si="4"/>
        <v/>
      </c>
      <c r="AI1803" s="388"/>
      <c r="AJ1803" s="388"/>
      <c r="AK1803" s="397"/>
    </row>
    <row r="1804">
      <c r="A1804" s="398"/>
      <c r="B1804" s="386"/>
      <c r="C1804" s="387" t="str">
        <f>IF(A1804="","",IFERROR(IF(VLOOKUP(A1804,'1. Inbound Leads'!A:G,7,FALSE)=0,"",VLOOKUP(A1804,'1. Inbound Leads'!A:G,7,FALSE)),""))</f>
        <v/>
      </c>
      <c r="D1804" s="387" t="str">
        <f>IF(A1804="","",IFERROR(IF(VLOOKUP(A1804,'1. Inbound Leads'!A:L,12,FALSE)=0,"",VLOOKUP(A1804,'1. Inbound Leads'!A:L,12,FALSE)),""))</f>
        <v/>
      </c>
      <c r="E1804" s="388"/>
      <c r="F1804" s="389"/>
      <c r="G1804" s="387"/>
      <c r="H1804" s="387"/>
      <c r="I1804" s="387"/>
      <c r="J1804" s="387"/>
      <c r="K1804" s="387"/>
      <c r="L1804" s="387"/>
      <c r="M1804" s="388"/>
      <c r="N1804" s="388"/>
      <c r="O1804" s="390"/>
      <c r="P1804" s="391"/>
      <c r="Q1804" s="389"/>
      <c r="R1804" s="390"/>
      <c r="S1804" s="390"/>
      <c r="T1804" s="391"/>
      <c r="U1804" s="392"/>
      <c r="V1804" s="391"/>
      <c r="W1804" s="391"/>
      <c r="X1804" s="388"/>
      <c r="Y1804" s="391"/>
      <c r="Z1804" s="393"/>
      <c r="AA1804" s="355" t="str">
        <f t="shared" si="1"/>
        <v/>
      </c>
      <c r="AB1804" s="391"/>
      <c r="AC1804" s="394" t="str">
        <f t="shared" si="2"/>
        <v/>
      </c>
      <c r="AD1804" s="389"/>
      <c r="AE1804" s="399"/>
      <c r="AF1804" s="395"/>
      <c r="AG1804" s="396" t="str">
        <f t="shared" si="3"/>
        <v/>
      </c>
      <c r="AH1804" s="396" t="str">
        <f t="shared" si="4"/>
        <v/>
      </c>
      <c r="AI1804" s="388"/>
      <c r="AJ1804" s="388"/>
      <c r="AK1804" s="397"/>
    </row>
    <row r="1805">
      <c r="A1805" s="398"/>
      <c r="B1805" s="386"/>
      <c r="C1805" s="387" t="str">
        <f>IF(A1805="","",IFERROR(IF(VLOOKUP(A1805,'1. Inbound Leads'!A:G,7,FALSE)=0,"",VLOOKUP(A1805,'1. Inbound Leads'!A:G,7,FALSE)),""))</f>
        <v/>
      </c>
      <c r="D1805" s="387" t="str">
        <f>IF(A1805="","",IFERROR(IF(VLOOKUP(A1805,'1. Inbound Leads'!A:L,12,FALSE)=0,"",VLOOKUP(A1805,'1. Inbound Leads'!A:L,12,FALSE)),""))</f>
        <v/>
      </c>
      <c r="E1805" s="388"/>
      <c r="F1805" s="389"/>
      <c r="G1805" s="387"/>
      <c r="H1805" s="387"/>
      <c r="I1805" s="387"/>
      <c r="J1805" s="387"/>
      <c r="K1805" s="387"/>
      <c r="L1805" s="387"/>
      <c r="M1805" s="388"/>
      <c r="N1805" s="388"/>
      <c r="O1805" s="390"/>
      <c r="P1805" s="391"/>
      <c r="Q1805" s="389"/>
      <c r="R1805" s="390"/>
      <c r="S1805" s="390"/>
      <c r="T1805" s="391"/>
      <c r="U1805" s="392"/>
      <c r="V1805" s="391"/>
      <c r="W1805" s="391"/>
      <c r="X1805" s="388"/>
      <c r="Y1805" s="391"/>
      <c r="Z1805" s="393"/>
      <c r="AA1805" s="355" t="str">
        <f t="shared" si="1"/>
        <v/>
      </c>
      <c r="AB1805" s="391"/>
      <c r="AC1805" s="394" t="str">
        <f t="shared" si="2"/>
        <v/>
      </c>
      <c r="AD1805" s="389"/>
      <c r="AE1805" s="399"/>
      <c r="AF1805" s="395"/>
      <c r="AG1805" s="396" t="str">
        <f t="shared" si="3"/>
        <v/>
      </c>
      <c r="AH1805" s="396" t="str">
        <f t="shared" si="4"/>
        <v/>
      </c>
      <c r="AI1805" s="388"/>
      <c r="AJ1805" s="388"/>
      <c r="AK1805" s="397"/>
    </row>
    <row r="1806">
      <c r="A1806" s="398"/>
      <c r="B1806" s="386"/>
      <c r="C1806" s="387" t="str">
        <f>IF(A1806="","",IFERROR(IF(VLOOKUP(A1806,'1. Inbound Leads'!A:G,7,FALSE)=0,"",VLOOKUP(A1806,'1. Inbound Leads'!A:G,7,FALSE)),""))</f>
        <v/>
      </c>
      <c r="D1806" s="387" t="str">
        <f>IF(A1806="","",IFERROR(IF(VLOOKUP(A1806,'1. Inbound Leads'!A:L,12,FALSE)=0,"",VLOOKUP(A1806,'1. Inbound Leads'!A:L,12,FALSE)),""))</f>
        <v/>
      </c>
      <c r="E1806" s="388"/>
      <c r="F1806" s="389"/>
      <c r="G1806" s="387"/>
      <c r="H1806" s="387"/>
      <c r="I1806" s="387"/>
      <c r="J1806" s="387"/>
      <c r="K1806" s="387"/>
      <c r="L1806" s="387"/>
      <c r="M1806" s="388"/>
      <c r="N1806" s="388"/>
      <c r="O1806" s="390"/>
      <c r="P1806" s="391"/>
      <c r="Q1806" s="389"/>
      <c r="R1806" s="390"/>
      <c r="S1806" s="390"/>
      <c r="T1806" s="391"/>
      <c r="U1806" s="392"/>
      <c r="V1806" s="391"/>
      <c r="W1806" s="391"/>
      <c r="X1806" s="388"/>
      <c r="Y1806" s="391"/>
      <c r="Z1806" s="393"/>
      <c r="AA1806" s="355" t="str">
        <f t="shared" si="1"/>
        <v/>
      </c>
      <c r="AB1806" s="391"/>
      <c r="AC1806" s="394" t="str">
        <f t="shared" si="2"/>
        <v/>
      </c>
      <c r="AD1806" s="389"/>
      <c r="AE1806" s="399"/>
      <c r="AF1806" s="395"/>
      <c r="AG1806" s="396" t="str">
        <f t="shared" si="3"/>
        <v/>
      </c>
      <c r="AH1806" s="396" t="str">
        <f t="shared" si="4"/>
        <v/>
      </c>
      <c r="AI1806" s="388"/>
      <c r="AJ1806" s="388"/>
      <c r="AK1806" s="397"/>
    </row>
    <row r="1807">
      <c r="A1807" s="398"/>
      <c r="B1807" s="386"/>
      <c r="C1807" s="387" t="str">
        <f>IF(A1807="","",IFERROR(IF(VLOOKUP(A1807,'1. Inbound Leads'!A:G,7,FALSE)=0,"",VLOOKUP(A1807,'1. Inbound Leads'!A:G,7,FALSE)),""))</f>
        <v/>
      </c>
      <c r="D1807" s="387" t="str">
        <f>IF(A1807="","",IFERROR(IF(VLOOKUP(A1807,'1. Inbound Leads'!A:L,12,FALSE)=0,"",VLOOKUP(A1807,'1. Inbound Leads'!A:L,12,FALSE)),""))</f>
        <v/>
      </c>
      <c r="E1807" s="388"/>
      <c r="F1807" s="389"/>
      <c r="G1807" s="387"/>
      <c r="H1807" s="387"/>
      <c r="I1807" s="387"/>
      <c r="J1807" s="387"/>
      <c r="K1807" s="387"/>
      <c r="L1807" s="387"/>
      <c r="M1807" s="388"/>
      <c r="N1807" s="388"/>
      <c r="O1807" s="390"/>
      <c r="P1807" s="391"/>
      <c r="Q1807" s="389"/>
      <c r="R1807" s="390"/>
      <c r="S1807" s="390"/>
      <c r="T1807" s="391"/>
      <c r="U1807" s="392"/>
      <c r="V1807" s="391"/>
      <c r="W1807" s="391"/>
      <c r="X1807" s="388"/>
      <c r="Y1807" s="391"/>
      <c r="Z1807" s="393"/>
      <c r="AA1807" s="355" t="str">
        <f t="shared" si="1"/>
        <v/>
      </c>
      <c r="AB1807" s="391"/>
      <c r="AC1807" s="394" t="str">
        <f t="shared" si="2"/>
        <v/>
      </c>
      <c r="AD1807" s="389"/>
      <c r="AE1807" s="399"/>
      <c r="AF1807" s="395"/>
      <c r="AG1807" s="396" t="str">
        <f t="shared" si="3"/>
        <v/>
      </c>
      <c r="AH1807" s="396" t="str">
        <f t="shared" si="4"/>
        <v/>
      </c>
      <c r="AI1807" s="388"/>
      <c r="AJ1807" s="388"/>
      <c r="AK1807" s="397"/>
    </row>
    <row r="1808">
      <c r="A1808" s="398"/>
      <c r="B1808" s="386"/>
      <c r="C1808" s="387" t="str">
        <f>IF(A1808="","",IFERROR(IF(VLOOKUP(A1808,'1. Inbound Leads'!A:G,7,FALSE)=0,"",VLOOKUP(A1808,'1. Inbound Leads'!A:G,7,FALSE)),""))</f>
        <v/>
      </c>
      <c r="D1808" s="387" t="str">
        <f>IF(A1808="","",IFERROR(IF(VLOOKUP(A1808,'1. Inbound Leads'!A:L,12,FALSE)=0,"",VLOOKUP(A1808,'1. Inbound Leads'!A:L,12,FALSE)),""))</f>
        <v/>
      </c>
      <c r="E1808" s="388"/>
      <c r="F1808" s="389"/>
      <c r="G1808" s="387"/>
      <c r="H1808" s="387"/>
      <c r="I1808" s="387"/>
      <c r="J1808" s="387"/>
      <c r="K1808" s="387"/>
      <c r="L1808" s="387"/>
      <c r="M1808" s="388"/>
      <c r="N1808" s="388"/>
      <c r="O1808" s="390"/>
      <c r="P1808" s="391"/>
      <c r="Q1808" s="389"/>
      <c r="R1808" s="390"/>
      <c r="S1808" s="390"/>
      <c r="T1808" s="391"/>
      <c r="U1808" s="392"/>
      <c r="V1808" s="391"/>
      <c r="W1808" s="391"/>
      <c r="X1808" s="388"/>
      <c r="Y1808" s="391"/>
      <c r="Z1808" s="393"/>
      <c r="AA1808" s="355" t="str">
        <f t="shared" si="1"/>
        <v/>
      </c>
      <c r="AB1808" s="391"/>
      <c r="AC1808" s="394" t="str">
        <f t="shared" si="2"/>
        <v/>
      </c>
      <c r="AD1808" s="389"/>
      <c r="AE1808" s="399"/>
      <c r="AF1808" s="395"/>
      <c r="AG1808" s="396" t="str">
        <f t="shared" si="3"/>
        <v/>
      </c>
      <c r="AH1808" s="396" t="str">
        <f t="shared" si="4"/>
        <v/>
      </c>
      <c r="AI1808" s="388"/>
      <c r="AJ1808" s="388"/>
      <c r="AK1808" s="397"/>
    </row>
    <row r="1809">
      <c r="A1809" s="398"/>
      <c r="B1809" s="386"/>
      <c r="C1809" s="387" t="str">
        <f>IF(A1809="","",IFERROR(IF(VLOOKUP(A1809,'1. Inbound Leads'!A:G,7,FALSE)=0,"",VLOOKUP(A1809,'1. Inbound Leads'!A:G,7,FALSE)),""))</f>
        <v/>
      </c>
      <c r="D1809" s="387" t="str">
        <f>IF(A1809="","",IFERROR(IF(VLOOKUP(A1809,'1. Inbound Leads'!A:L,12,FALSE)=0,"",VLOOKUP(A1809,'1. Inbound Leads'!A:L,12,FALSE)),""))</f>
        <v/>
      </c>
      <c r="E1809" s="388"/>
      <c r="F1809" s="389"/>
      <c r="G1809" s="387"/>
      <c r="H1809" s="387"/>
      <c r="I1809" s="387"/>
      <c r="J1809" s="387"/>
      <c r="K1809" s="387"/>
      <c r="L1809" s="387"/>
      <c r="M1809" s="388"/>
      <c r="N1809" s="388"/>
      <c r="O1809" s="390"/>
      <c r="P1809" s="391"/>
      <c r="Q1809" s="389"/>
      <c r="R1809" s="390"/>
      <c r="S1809" s="390"/>
      <c r="T1809" s="391"/>
      <c r="U1809" s="392"/>
      <c r="V1809" s="391"/>
      <c r="W1809" s="391"/>
      <c r="X1809" s="388"/>
      <c r="Y1809" s="391"/>
      <c r="Z1809" s="393"/>
      <c r="AA1809" s="355" t="str">
        <f t="shared" si="1"/>
        <v/>
      </c>
      <c r="AB1809" s="391"/>
      <c r="AC1809" s="394" t="str">
        <f t="shared" si="2"/>
        <v/>
      </c>
      <c r="AD1809" s="389"/>
      <c r="AE1809" s="399"/>
      <c r="AF1809" s="395"/>
      <c r="AG1809" s="396" t="str">
        <f t="shared" si="3"/>
        <v/>
      </c>
      <c r="AH1809" s="396" t="str">
        <f t="shared" si="4"/>
        <v/>
      </c>
      <c r="AI1809" s="388"/>
      <c r="AJ1809" s="388"/>
      <c r="AK1809" s="397"/>
    </row>
    <row r="1810">
      <c r="A1810" s="398"/>
      <c r="B1810" s="386"/>
      <c r="C1810" s="387" t="str">
        <f>IF(A1810="","",IFERROR(IF(VLOOKUP(A1810,'1. Inbound Leads'!A:G,7,FALSE)=0,"",VLOOKUP(A1810,'1. Inbound Leads'!A:G,7,FALSE)),""))</f>
        <v/>
      </c>
      <c r="D1810" s="387" t="str">
        <f>IF(A1810="","",IFERROR(IF(VLOOKUP(A1810,'1. Inbound Leads'!A:L,12,FALSE)=0,"",VLOOKUP(A1810,'1. Inbound Leads'!A:L,12,FALSE)),""))</f>
        <v/>
      </c>
      <c r="E1810" s="388"/>
      <c r="F1810" s="389"/>
      <c r="G1810" s="387"/>
      <c r="H1810" s="387"/>
      <c r="I1810" s="387"/>
      <c r="J1810" s="387"/>
      <c r="K1810" s="387"/>
      <c r="L1810" s="387"/>
      <c r="M1810" s="388"/>
      <c r="N1810" s="388"/>
      <c r="O1810" s="390"/>
      <c r="P1810" s="391"/>
      <c r="Q1810" s="389"/>
      <c r="R1810" s="390"/>
      <c r="S1810" s="390"/>
      <c r="T1810" s="391"/>
      <c r="U1810" s="392"/>
      <c r="V1810" s="391"/>
      <c r="W1810" s="391"/>
      <c r="X1810" s="388"/>
      <c r="Y1810" s="391"/>
      <c r="Z1810" s="393"/>
      <c r="AA1810" s="355" t="str">
        <f t="shared" si="1"/>
        <v/>
      </c>
      <c r="AB1810" s="391"/>
      <c r="AC1810" s="394" t="str">
        <f t="shared" si="2"/>
        <v/>
      </c>
      <c r="AD1810" s="389"/>
      <c r="AE1810" s="399"/>
      <c r="AF1810" s="395"/>
      <c r="AG1810" s="396" t="str">
        <f t="shared" si="3"/>
        <v/>
      </c>
      <c r="AH1810" s="396" t="str">
        <f t="shared" si="4"/>
        <v/>
      </c>
      <c r="AI1810" s="388"/>
      <c r="AJ1810" s="388"/>
      <c r="AK1810" s="397"/>
    </row>
    <row r="1811">
      <c r="A1811" s="398"/>
      <c r="B1811" s="386"/>
      <c r="C1811" s="387" t="str">
        <f>IF(A1811="","",IFERROR(IF(VLOOKUP(A1811,'1. Inbound Leads'!A:G,7,FALSE)=0,"",VLOOKUP(A1811,'1. Inbound Leads'!A:G,7,FALSE)),""))</f>
        <v/>
      </c>
      <c r="D1811" s="387" t="str">
        <f>IF(A1811="","",IFERROR(IF(VLOOKUP(A1811,'1. Inbound Leads'!A:L,12,FALSE)=0,"",VLOOKUP(A1811,'1. Inbound Leads'!A:L,12,FALSE)),""))</f>
        <v/>
      </c>
      <c r="E1811" s="388"/>
      <c r="F1811" s="389"/>
      <c r="G1811" s="387"/>
      <c r="H1811" s="387"/>
      <c r="I1811" s="387"/>
      <c r="J1811" s="387"/>
      <c r="K1811" s="387"/>
      <c r="L1811" s="387"/>
      <c r="M1811" s="388"/>
      <c r="N1811" s="388"/>
      <c r="O1811" s="390"/>
      <c r="P1811" s="391"/>
      <c r="Q1811" s="389"/>
      <c r="R1811" s="390"/>
      <c r="S1811" s="390"/>
      <c r="T1811" s="391"/>
      <c r="U1811" s="392"/>
      <c r="V1811" s="391"/>
      <c r="W1811" s="391"/>
      <c r="X1811" s="388"/>
      <c r="Y1811" s="391"/>
      <c r="Z1811" s="393"/>
      <c r="AA1811" s="355" t="str">
        <f t="shared" si="1"/>
        <v/>
      </c>
      <c r="AB1811" s="391"/>
      <c r="AC1811" s="394" t="str">
        <f t="shared" si="2"/>
        <v/>
      </c>
      <c r="AD1811" s="389"/>
      <c r="AE1811" s="399"/>
      <c r="AF1811" s="395"/>
      <c r="AG1811" s="396" t="str">
        <f t="shared" si="3"/>
        <v/>
      </c>
      <c r="AH1811" s="396" t="str">
        <f t="shared" si="4"/>
        <v/>
      </c>
      <c r="AI1811" s="388"/>
      <c r="AJ1811" s="388"/>
      <c r="AK1811" s="397"/>
    </row>
    <row r="1812">
      <c r="A1812" s="398"/>
      <c r="B1812" s="386"/>
      <c r="C1812" s="387" t="str">
        <f>IF(A1812="","",IFERROR(IF(VLOOKUP(A1812,'1. Inbound Leads'!A:G,7,FALSE)=0,"",VLOOKUP(A1812,'1. Inbound Leads'!A:G,7,FALSE)),""))</f>
        <v/>
      </c>
      <c r="D1812" s="387" t="str">
        <f>IF(A1812="","",IFERROR(IF(VLOOKUP(A1812,'1. Inbound Leads'!A:L,12,FALSE)=0,"",VLOOKUP(A1812,'1. Inbound Leads'!A:L,12,FALSE)),""))</f>
        <v/>
      </c>
      <c r="E1812" s="388"/>
      <c r="F1812" s="389"/>
      <c r="G1812" s="387"/>
      <c r="H1812" s="387"/>
      <c r="I1812" s="387"/>
      <c r="J1812" s="387"/>
      <c r="K1812" s="387"/>
      <c r="L1812" s="387"/>
      <c r="M1812" s="388"/>
      <c r="N1812" s="388"/>
      <c r="O1812" s="390"/>
      <c r="P1812" s="391"/>
      <c r="Q1812" s="389"/>
      <c r="R1812" s="390"/>
      <c r="S1812" s="390"/>
      <c r="T1812" s="391"/>
      <c r="U1812" s="392"/>
      <c r="V1812" s="391"/>
      <c r="W1812" s="391"/>
      <c r="X1812" s="388"/>
      <c r="Y1812" s="391"/>
      <c r="Z1812" s="393"/>
      <c r="AA1812" s="355" t="str">
        <f t="shared" si="1"/>
        <v/>
      </c>
      <c r="AB1812" s="391"/>
      <c r="AC1812" s="394" t="str">
        <f t="shared" si="2"/>
        <v/>
      </c>
      <c r="AD1812" s="389"/>
      <c r="AE1812" s="399"/>
      <c r="AF1812" s="395"/>
      <c r="AG1812" s="396" t="str">
        <f t="shared" si="3"/>
        <v/>
      </c>
      <c r="AH1812" s="396" t="str">
        <f t="shared" si="4"/>
        <v/>
      </c>
      <c r="AI1812" s="388"/>
      <c r="AJ1812" s="388"/>
      <c r="AK1812" s="397"/>
    </row>
    <row r="1813">
      <c r="A1813" s="398"/>
      <c r="B1813" s="386"/>
      <c r="C1813" s="387" t="str">
        <f>IF(A1813="","",IFERROR(IF(VLOOKUP(A1813,'1. Inbound Leads'!A:G,7,FALSE)=0,"",VLOOKUP(A1813,'1. Inbound Leads'!A:G,7,FALSE)),""))</f>
        <v/>
      </c>
      <c r="D1813" s="387" t="str">
        <f>IF(A1813="","",IFERROR(IF(VLOOKUP(A1813,'1. Inbound Leads'!A:L,12,FALSE)=0,"",VLOOKUP(A1813,'1. Inbound Leads'!A:L,12,FALSE)),""))</f>
        <v/>
      </c>
      <c r="E1813" s="388"/>
      <c r="F1813" s="389"/>
      <c r="G1813" s="387"/>
      <c r="H1813" s="387"/>
      <c r="I1813" s="387"/>
      <c r="J1813" s="387"/>
      <c r="K1813" s="387"/>
      <c r="L1813" s="387"/>
      <c r="M1813" s="388"/>
      <c r="N1813" s="388"/>
      <c r="O1813" s="390"/>
      <c r="P1813" s="391"/>
      <c r="Q1813" s="389"/>
      <c r="R1813" s="390"/>
      <c r="S1813" s="390"/>
      <c r="T1813" s="391"/>
      <c r="U1813" s="392"/>
      <c r="V1813" s="391"/>
      <c r="W1813" s="391"/>
      <c r="X1813" s="388"/>
      <c r="Y1813" s="391"/>
      <c r="Z1813" s="393"/>
      <c r="AA1813" s="355" t="str">
        <f t="shared" si="1"/>
        <v/>
      </c>
      <c r="AB1813" s="391"/>
      <c r="AC1813" s="394" t="str">
        <f t="shared" si="2"/>
        <v/>
      </c>
      <c r="AD1813" s="389"/>
      <c r="AE1813" s="399"/>
      <c r="AF1813" s="395"/>
      <c r="AG1813" s="396" t="str">
        <f t="shared" si="3"/>
        <v/>
      </c>
      <c r="AH1813" s="396" t="str">
        <f t="shared" si="4"/>
        <v/>
      </c>
      <c r="AI1813" s="388"/>
      <c r="AJ1813" s="388"/>
      <c r="AK1813" s="397"/>
    </row>
    <row r="1814">
      <c r="A1814" s="398"/>
      <c r="B1814" s="386"/>
      <c r="C1814" s="387" t="str">
        <f>IF(A1814="","",IFERROR(IF(VLOOKUP(A1814,'1. Inbound Leads'!A:G,7,FALSE)=0,"",VLOOKUP(A1814,'1. Inbound Leads'!A:G,7,FALSE)),""))</f>
        <v/>
      </c>
      <c r="D1814" s="387" t="str">
        <f>IF(A1814="","",IFERROR(IF(VLOOKUP(A1814,'1. Inbound Leads'!A:L,12,FALSE)=0,"",VLOOKUP(A1814,'1. Inbound Leads'!A:L,12,FALSE)),""))</f>
        <v/>
      </c>
      <c r="E1814" s="388"/>
      <c r="F1814" s="389"/>
      <c r="G1814" s="387"/>
      <c r="H1814" s="387"/>
      <c r="I1814" s="387"/>
      <c r="J1814" s="387"/>
      <c r="K1814" s="387"/>
      <c r="L1814" s="387"/>
      <c r="M1814" s="388"/>
      <c r="N1814" s="388"/>
      <c r="O1814" s="390"/>
      <c r="P1814" s="391"/>
      <c r="Q1814" s="389"/>
      <c r="R1814" s="390"/>
      <c r="S1814" s="390"/>
      <c r="T1814" s="391"/>
      <c r="U1814" s="392"/>
      <c r="V1814" s="391"/>
      <c r="W1814" s="391"/>
      <c r="X1814" s="388"/>
      <c r="Y1814" s="391"/>
      <c r="Z1814" s="393"/>
      <c r="AA1814" s="355" t="str">
        <f t="shared" si="1"/>
        <v/>
      </c>
      <c r="AB1814" s="391"/>
      <c r="AC1814" s="394" t="str">
        <f t="shared" si="2"/>
        <v/>
      </c>
      <c r="AD1814" s="389"/>
      <c r="AE1814" s="399"/>
      <c r="AF1814" s="395"/>
      <c r="AG1814" s="396" t="str">
        <f t="shared" si="3"/>
        <v/>
      </c>
      <c r="AH1814" s="396" t="str">
        <f t="shared" si="4"/>
        <v/>
      </c>
      <c r="AI1814" s="388"/>
      <c r="AJ1814" s="388"/>
      <c r="AK1814" s="397"/>
    </row>
    <row r="1815">
      <c r="A1815" s="398"/>
      <c r="B1815" s="386"/>
      <c r="C1815" s="387" t="str">
        <f>IF(A1815="","",IFERROR(IF(VLOOKUP(A1815,'1. Inbound Leads'!A:G,7,FALSE)=0,"",VLOOKUP(A1815,'1. Inbound Leads'!A:G,7,FALSE)),""))</f>
        <v/>
      </c>
      <c r="D1815" s="387" t="str">
        <f>IF(A1815="","",IFERROR(IF(VLOOKUP(A1815,'1. Inbound Leads'!A:L,12,FALSE)=0,"",VLOOKUP(A1815,'1. Inbound Leads'!A:L,12,FALSE)),""))</f>
        <v/>
      </c>
      <c r="E1815" s="388"/>
      <c r="F1815" s="389"/>
      <c r="G1815" s="387"/>
      <c r="H1815" s="387"/>
      <c r="I1815" s="387"/>
      <c r="J1815" s="387"/>
      <c r="K1815" s="387"/>
      <c r="L1815" s="387"/>
      <c r="M1815" s="388"/>
      <c r="N1815" s="388"/>
      <c r="O1815" s="390"/>
      <c r="P1815" s="391"/>
      <c r="Q1815" s="389"/>
      <c r="R1815" s="390"/>
      <c r="S1815" s="390"/>
      <c r="T1815" s="391"/>
      <c r="U1815" s="392"/>
      <c r="V1815" s="391"/>
      <c r="W1815" s="391"/>
      <c r="X1815" s="388"/>
      <c r="Y1815" s="391"/>
      <c r="Z1815" s="393"/>
      <c r="AA1815" s="355" t="str">
        <f t="shared" si="1"/>
        <v/>
      </c>
      <c r="AB1815" s="391"/>
      <c r="AC1815" s="394" t="str">
        <f t="shared" si="2"/>
        <v/>
      </c>
      <c r="AD1815" s="389"/>
      <c r="AE1815" s="399"/>
      <c r="AF1815" s="395"/>
      <c r="AG1815" s="396" t="str">
        <f t="shared" si="3"/>
        <v/>
      </c>
      <c r="AH1815" s="396" t="str">
        <f t="shared" si="4"/>
        <v/>
      </c>
      <c r="AI1815" s="388"/>
      <c r="AJ1815" s="388"/>
      <c r="AK1815" s="397"/>
    </row>
    <row r="1816">
      <c r="A1816" s="398"/>
      <c r="B1816" s="386"/>
      <c r="C1816" s="387" t="str">
        <f>IF(A1816="","",IFERROR(IF(VLOOKUP(A1816,'1. Inbound Leads'!A:G,7,FALSE)=0,"",VLOOKUP(A1816,'1. Inbound Leads'!A:G,7,FALSE)),""))</f>
        <v/>
      </c>
      <c r="D1816" s="387" t="str">
        <f>IF(A1816="","",IFERROR(IF(VLOOKUP(A1816,'1. Inbound Leads'!A:L,12,FALSE)=0,"",VLOOKUP(A1816,'1. Inbound Leads'!A:L,12,FALSE)),""))</f>
        <v/>
      </c>
      <c r="E1816" s="388"/>
      <c r="F1816" s="389"/>
      <c r="G1816" s="387"/>
      <c r="H1816" s="387"/>
      <c r="I1816" s="387"/>
      <c r="J1816" s="387"/>
      <c r="K1816" s="387"/>
      <c r="L1816" s="387"/>
      <c r="M1816" s="388"/>
      <c r="N1816" s="388"/>
      <c r="O1816" s="390"/>
      <c r="P1816" s="391"/>
      <c r="Q1816" s="389"/>
      <c r="R1816" s="390"/>
      <c r="S1816" s="390"/>
      <c r="T1816" s="391"/>
      <c r="U1816" s="392"/>
      <c r="V1816" s="391"/>
      <c r="W1816" s="391"/>
      <c r="X1816" s="388"/>
      <c r="Y1816" s="391"/>
      <c r="Z1816" s="393"/>
      <c r="AA1816" s="355" t="str">
        <f t="shared" si="1"/>
        <v/>
      </c>
      <c r="AB1816" s="391"/>
      <c r="AC1816" s="394" t="str">
        <f t="shared" si="2"/>
        <v/>
      </c>
      <c r="AD1816" s="389"/>
      <c r="AE1816" s="399"/>
      <c r="AF1816" s="395"/>
      <c r="AG1816" s="396" t="str">
        <f t="shared" si="3"/>
        <v/>
      </c>
      <c r="AH1816" s="396" t="str">
        <f t="shared" si="4"/>
        <v/>
      </c>
      <c r="AI1816" s="388"/>
      <c r="AJ1816" s="388"/>
      <c r="AK1816" s="397"/>
    </row>
    <row r="1817">
      <c r="A1817" s="398"/>
      <c r="B1817" s="386"/>
      <c r="C1817" s="387" t="str">
        <f>IF(A1817="","",IFERROR(IF(VLOOKUP(A1817,'1. Inbound Leads'!A:G,7,FALSE)=0,"",VLOOKUP(A1817,'1. Inbound Leads'!A:G,7,FALSE)),""))</f>
        <v/>
      </c>
      <c r="D1817" s="387" t="str">
        <f>IF(A1817="","",IFERROR(IF(VLOOKUP(A1817,'1. Inbound Leads'!A:L,12,FALSE)=0,"",VLOOKUP(A1817,'1. Inbound Leads'!A:L,12,FALSE)),""))</f>
        <v/>
      </c>
      <c r="E1817" s="388"/>
      <c r="F1817" s="389"/>
      <c r="G1817" s="387"/>
      <c r="H1817" s="387"/>
      <c r="I1817" s="387"/>
      <c r="J1817" s="387"/>
      <c r="K1817" s="387"/>
      <c r="L1817" s="387"/>
      <c r="M1817" s="388"/>
      <c r="N1817" s="388"/>
      <c r="O1817" s="390"/>
      <c r="P1817" s="391"/>
      <c r="Q1817" s="389"/>
      <c r="R1817" s="390"/>
      <c r="S1817" s="390"/>
      <c r="T1817" s="391"/>
      <c r="U1817" s="392"/>
      <c r="V1817" s="391"/>
      <c r="W1817" s="391"/>
      <c r="X1817" s="388"/>
      <c r="Y1817" s="391"/>
      <c r="Z1817" s="393"/>
      <c r="AA1817" s="355" t="str">
        <f t="shared" si="1"/>
        <v/>
      </c>
      <c r="AB1817" s="391"/>
      <c r="AC1817" s="394" t="str">
        <f t="shared" si="2"/>
        <v/>
      </c>
      <c r="AD1817" s="389"/>
      <c r="AE1817" s="399"/>
      <c r="AF1817" s="395"/>
      <c r="AG1817" s="396" t="str">
        <f t="shared" si="3"/>
        <v/>
      </c>
      <c r="AH1817" s="396" t="str">
        <f t="shared" si="4"/>
        <v/>
      </c>
      <c r="AI1817" s="388"/>
      <c r="AJ1817" s="388"/>
      <c r="AK1817" s="397"/>
    </row>
    <row r="1818">
      <c r="A1818" s="398"/>
      <c r="B1818" s="386"/>
      <c r="C1818" s="387" t="str">
        <f>IF(A1818="","",IFERROR(IF(VLOOKUP(A1818,'1. Inbound Leads'!A:G,7,FALSE)=0,"",VLOOKUP(A1818,'1. Inbound Leads'!A:G,7,FALSE)),""))</f>
        <v/>
      </c>
      <c r="D1818" s="387" t="str">
        <f>IF(A1818="","",IFERROR(IF(VLOOKUP(A1818,'1. Inbound Leads'!A:L,12,FALSE)=0,"",VLOOKUP(A1818,'1. Inbound Leads'!A:L,12,FALSE)),""))</f>
        <v/>
      </c>
      <c r="E1818" s="388"/>
      <c r="F1818" s="389"/>
      <c r="G1818" s="387"/>
      <c r="H1818" s="387"/>
      <c r="I1818" s="387"/>
      <c r="J1818" s="387"/>
      <c r="K1818" s="387"/>
      <c r="L1818" s="387"/>
      <c r="M1818" s="388"/>
      <c r="N1818" s="388"/>
      <c r="O1818" s="390"/>
      <c r="P1818" s="391"/>
      <c r="Q1818" s="389"/>
      <c r="R1818" s="390"/>
      <c r="S1818" s="390"/>
      <c r="T1818" s="391"/>
      <c r="U1818" s="392"/>
      <c r="V1818" s="391"/>
      <c r="W1818" s="391"/>
      <c r="X1818" s="388"/>
      <c r="Y1818" s="391"/>
      <c r="Z1818" s="393"/>
      <c r="AA1818" s="355" t="str">
        <f t="shared" si="1"/>
        <v/>
      </c>
      <c r="AB1818" s="391"/>
      <c r="AC1818" s="394" t="str">
        <f t="shared" si="2"/>
        <v/>
      </c>
      <c r="AD1818" s="389"/>
      <c r="AE1818" s="399"/>
      <c r="AF1818" s="395"/>
      <c r="AG1818" s="396" t="str">
        <f t="shared" si="3"/>
        <v/>
      </c>
      <c r="AH1818" s="396" t="str">
        <f t="shared" si="4"/>
        <v/>
      </c>
      <c r="AI1818" s="388"/>
      <c r="AJ1818" s="388"/>
      <c r="AK1818" s="397"/>
    </row>
    <row r="1819">
      <c r="A1819" s="398"/>
      <c r="B1819" s="386"/>
      <c r="C1819" s="387" t="str">
        <f>IF(A1819="","",IFERROR(IF(VLOOKUP(A1819,'1. Inbound Leads'!A:G,7,FALSE)=0,"",VLOOKUP(A1819,'1. Inbound Leads'!A:G,7,FALSE)),""))</f>
        <v/>
      </c>
      <c r="D1819" s="387" t="str">
        <f>IF(A1819="","",IFERROR(IF(VLOOKUP(A1819,'1. Inbound Leads'!A:L,12,FALSE)=0,"",VLOOKUP(A1819,'1. Inbound Leads'!A:L,12,FALSE)),""))</f>
        <v/>
      </c>
      <c r="E1819" s="388"/>
      <c r="F1819" s="389"/>
      <c r="G1819" s="387"/>
      <c r="H1819" s="387"/>
      <c r="I1819" s="387"/>
      <c r="J1819" s="387"/>
      <c r="K1819" s="387"/>
      <c r="L1819" s="387"/>
      <c r="M1819" s="388"/>
      <c r="N1819" s="388"/>
      <c r="O1819" s="390"/>
      <c r="P1819" s="391"/>
      <c r="Q1819" s="389"/>
      <c r="R1819" s="390"/>
      <c r="S1819" s="390"/>
      <c r="T1819" s="391"/>
      <c r="U1819" s="392"/>
      <c r="V1819" s="391"/>
      <c r="W1819" s="391"/>
      <c r="X1819" s="388"/>
      <c r="Y1819" s="391"/>
      <c r="Z1819" s="393"/>
      <c r="AA1819" s="355" t="str">
        <f t="shared" si="1"/>
        <v/>
      </c>
      <c r="AB1819" s="391"/>
      <c r="AC1819" s="394" t="str">
        <f t="shared" si="2"/>
        <v/>
      </c>
      <c r="AD1819" s="389"/>
      <c r="AE1819" s="399"/>
      <c r="AF1819" s="395"/>
      <c r="AG1819" s="396" t="str">
        <f t="shared" si="3"/>
        <v/>
      </c>
      <c r="AH1819" s="396" t="str">
        <f t="shared" si="4"/>
        <v/>
      </c>
      <c r="AI1819" s="388"/>
      <c r="AJ1819" s="388"/>
      <c r="AK1819" s="397"/>
    </row>
    <row r="1820">
      <c r="A1820" s="398"/>
      <c r="B1820" s="386"/>
      <c r="C1820" s="387" t="str">
        <f>IF(A1820="","",IFERROR(IF(VLOOKUP(A1820,'1. Inbound Leads'!A:G,7,FALSE)=0,"",VLOOKUP(A1820,'1. Inbound Leads'!A:G,7,FALSE)),""))</f>
        <v/>
      </c>
      <c r="D1820" s="387" t="str">
        <f>IF(A1820="","",IFERROR(IF(VLOOKUP(A1820,'1. Inbound Leads'!A:L,12,FALSE)=0,"",VLOOKUP(A1820,'1. Inbound Leads'!A:L,12,FALSE)),""))</f>
        <v/>
      </c>
      <c r="E1820" s="388"/>
      <c r="F1820" s="389"/>
      <c r="G1820" s="387"/>
      <c r="H1820" s="387"/>
      <c r="I1820" s="387"/>
      <c r="J1820" s="387"/>
      <c r="K1820" s="387"/>
      <c r="L1820" s="387"/>
      <c r="M1820" s="388"/>
      <c r="N1820" s="388"/>
      <c r="O1820" s="390"/>
      <c r="P1820" s="391"/>
      <c r="Q1820" s="389"/>
      <c r="R1820" s="390"/>
      <c r="S1820" s="390"/>
      <c r="T1820" s="391"/>
      <c r="U1820" s="392"/>
      <c r="V1820" s="391"/>
      <c r="W1820" s="391"/>
      <c r="X1820" s="388"/>
      <c r="Y1820" s="391"/>
      <c r="Z1820" s="393"/>
      <c r="AA1820" s="355" t="str">
        <f t="shared" si="1"/>
        <v/>
      </c>
      <c r="AB1820" s="391"/>
      <c r="AC1820" s="394" t="str">
        <f t="shared" si="2"/>
        <v/>
      </c>
      <c r="AD1820" s="389"/>
      <c r="AE1820" s="399"/>
      <c r="AF1820" s="395"/>
      <c r="AG1820" s="396" t="str">
        <f t="shared" si="3"/>
        <v/>
      </c>
      <c r="AH1820" s="396" t="str">
        <f t="shared" si="4"/>
        <v/>
      </c>
      <c r="AI1820" s="388"/>
      <c r="AJ1820" s="388"/>
      <c r="AK1820" s="397"/>
    </row>
    <row r="1821">
      <c r="A1821" s="398"/>
      <c r="B1821" s="386"/>
      <c r="C1821" s="387" t="str">
        <f>IF(A1821="","",IFERROR(IF(VLOOKUP(A1821,'1. Inbound Leads'!A:G,7,FALSE)=0,"",VLOOKUP(A1821,'1. Inbound Leads'!A:G,7,FALSE)),""))</f>
        <v/>
      </c>
      <c r="D1821" s="387" t="str">
        <f>IF(A1821="","",IFERROR(IF(VLOOKUP(A1821,'1. Inbound Leads'!A:L,12,FALSE)=0,"",VLOOKUP(A1821,'1. Inbound Leads'!A:L,12,FALSE)),""))</f>
        <v/>
      </c>
      <c r="E1821" s="388"/>
      <c r="F1821" s="389"/>
      <c r="G1821" s="387"/>
      <c r="H1821" s="387"/>
      <c r="I1821" s="387"/>
      <c r="J1821" s="387"/>
      <c r="K1821" s="387"/>
      <c r="L1821" s="387"/>
      <c r="M1821" s="388"/>
      <c r="N1821" s="388"/>
      <c r="O1821" s="390"/>
      <c r="P1821" s="391"/>
      <c r="Q1821" s="389"/>
      <c r="R1821" s="390"/>
      <c r="S1821" s="390"/>
      <c r="T1821" s="391"/>
      <c r="U1821" s="392"/>
      <c r="V1821" s="391"/>
      <c r="W1821" s="391"/>
      <c r="X1821" s="388"/>
      <c r="Y1821" s="391"/>
      <c r="Z1821" s="393"/>
      <c r="AA1821" s="355" t="str">
        <f t="shared" si="1"/>
        <v/>
      </c>
      <c r="AB1821" s="391"/>
      <c r="AC1821" s="394" t="str">
        <f t="shared" si="2"/>
        <v/>
      </c>
      <c r="AD1821" s="389"/>
      <c r="AE1821" s="399"/>
      <c r="AF1821" s="395"/>
      <c r="AG1821" s="396" t="str">
        <f t="shared" si="3"/>
        <v/>
      </c>
      <c r="AH1821" s="396" t="str">
        <f t="shared" si="4"/>
        <v/>
      </c>
      <c r="AI1821" s="388"/>
      <c r="AJ1821" s="388"/>
      <c r="AK1821" s="397"/>
    </row>
    <row r="1822">
      <c r="A1822" s="398"/>
      <c r="B1822" s="386"/>
      <c r="C1822" s="387" t="str">
        <f>IF(A1822="","",IFERROR(IF(VLOOKUP(A1822,'1. Inbound Leads'!A:G,7,FALSE)=0,"",VLOOKUP(A1822,'1. Inbound Leads'!A:G,7,FALSE)),""))</f>
        <v/>
      </c>
      <c r="D1822" s="387" t="str">
        <f>IF(A1822="","",IFERROR(IF(VLOOKUP(A1822,'1. Inbound Leads'!A:L,12,FALSE)=0,"",VLOOKUP(A1822,'1. Inbound Leads'!A:L,12,FALSE)),""))</f>
        <v/>
      </c>
      <c r="E1822" s="388"/>
      <c r="F1822" s="389"/>
      <c r="G1822" s="387"/>
      <c r="H1822" s="387"/>
      <c r="I1822" s="387"/>
      <c r="J1822" s="387"/>
      <c r="K1822" s="387"/>
      <c r="L1822" s="387"/>
      <c r="M1822" s="388"/>
      <c r="N1822" s="388"/>
      <c r="O1822" s="390"/>
      <c r="P1822" s="391"/>
      <c r="Q1822" s="389"/>
      <c r="R1822" s="390"/>
      <c r="S1822" s="390"/>
      <c r="T1822" s="391"/>
      <c r="U1822" s="392"/>
      <c r="V1822" s="391"/>
      <c r="W1822" s="391"/>
      <c r="X1822" s="388"/>
      <c r="Y1822" s="391"/>
      <c r="Z1822" s="393"/>
      <c r="AA1822" s="355" t="str">
        <f t="shared" si="1"/>
        <v/>
      </c>
      <c r="AB1822" s="391"/>
      <c r="AC1822" s="394" t="str">
        <f t="shared" si="2"/>
        <v/>
      </c>
      <c r="AD1822" s="389"/>
      <c r="AE1822" s="399"/>
      <c r="AF1822" s="395"/>
      <c r="AG1822" s="396" t="str">
        <f t="shared" si="3"/>
        <v/>
      </c>
      <c r="AH1822" s="396" t="str">
        <f t="shared" si="4"/>
        <v/>
      </c>
      <c r="AI1822" s="388"/>
      <c r="AJ1822" s="388"/>
      <c r="AK1822" s="397"/>
    </row>
    <row r="1823">
      <c r="A1823" s="398"/>
      <c r="B1823" s="386"/>
      <c r="C1823" s="387" t="str">
        <f>IF(A1823="","",IFERROR(IF(VLOOKUP(A1823,'1. Inbound Leads'!A:G,7,FALSE)=0,"",VLOOKUP(A1823,'1. Inbound Leads'!A:G,7,FALSE)),""))</f>
        <v/>
      </c>
      <c r="D1823" s="387" t="str">
        <f>IF(A1823="","",IFERROR(IF(VLOOKUP(A1823,'1. Inbound Leads'!A:L,12,FALSE)=0,"",VLOOKUP(A1823,'1. Inbound Leads'!A:L,12,FALSE)),""))</f>
        <v/>
      </c>
      <c r="E1823" s="388"/>
      <c r="F1823" s="389"/>
      <c r="G1823" s="387"/>
      <c r="H1823" s="387"/>
      <c r="I1823" s="387"/>
      <c r="J1823" s="387"/>
      <c r="K1823" s="387"/>
      <c r="L1823" s="387"/>
      <c r="M1823" s="388"/>
      <c r="N1823" s="388"/>
      <c r="O1823" s="390"/>
      <c r="P1823" s="391"/>
      <c r="Q1823" s="389"/>
      <c r="R1823" s="390"/>
      <c r="S1823" s="390"/>
      <c r="T1823" s="391"/>
      <c r="U1823" s="392"/>
      <c r="V1823" s="391"/>
      <c r="W1823" s="391"/>
      <c r="X1823" s="388"/>
      <c r="Y1823" s="391"/>
      <c r="Z1823" s="393"/>
      <c r="AA1823" s="355" t="str">
        <f t="shared" si="1"/>
        <v/>
      </c>
      <c r="AB1823" s="391"/>
      <c r="AC1823" s="394" t="str">
        <f t="shared" si="2"/>
        <v/>
      </c>
      <c r="AD1823" s="389"/>
      <c r="AE1823" s="399"/>
      <c r="AF1823" s="395"/>
      <c r="AG1823" s="396" t="str">
        <f t="shared" si="3"/>
        <v/>
      </c>
      <c r="AH1823" s="396" t="str">
        <f t="shared" si="4"/>
        <v/>
      </c>
      <c r="AI1823" s="388"/>
      <c r="AJ1823" s="388"/>
      <c r="AK1823" s="397"/>
    </row>
    <row r="1824">
      <c r="A1824" s="398"/>
      <c r="B1824" s="386"/>
      <c r="C1824" s="387" t="str">
        <f>IF(A1824="","",IFERROR(IF(VLOOKUP(A1824,'1. Inbound Leads'!A:G,7,FALSE)=0,"",VLOOKUP(A1824,'1. Inbound Leads'!A:G,7,FALSE)),""))</f>
        <v/>
      </c>
      <c r="D1824" s="387" t="str">
        <f>IF(A1824="","",IFERROR(IF(VLOOKUP(A1824,'1. Inbound Leads'!A:L,12,FALSE)=0,"",VLOOKUP(A1824,'1. Inbound Leads'!A:L,12,FALSE)),""))</f>
        <v/>
      </c>
      <c r="E1824" s="388"/>
      <c r="F1824" s="389"/>
      <c r="G1824" s="387"/>
      <c r="H1824" s="387"/>
      <c r="I1824" s="387"/>
      <c r="J1824" s="387"/>
      <c r="K1824" s="387"/>
      <c r="L1824" s="387"/>
      <c r="M1824" s="388"/>
      <c r="N1824" s="388"/>
      <c r="O1824" s="390"/>
      <c r="P1824" s="391"/>
      <c r="Q1824" s="389"/>
      <c r="R1824" s="390"/>
      <c r="S1824" s="390"/>
      <c r="T1824" s="391"/>
      <c r="U1824" s="392"/>
      <c r="V1824" s="391"/>
      <c r="W1824" s="391"/>
      <c r="X1824" s="388"/>
      <c r="Y1824" s="391"/>
      <c r="Z1824" s="393"/>
      <c r="AA1824" s="355" t="str">
        <f t="shared" si="1"/>
        <v/>
      </c>
      <c r="AB1824" s="391"/>
      <c r="AC1824" s="394" t="str">
        <f t="shared" si="2"/>
        <v/>
      </c>
      <c r="AD1824" s="389"/>
      <c r="AE1824" s="399"/>
      <c r="AF1824" s="395"/>
      <c r="AG1824" s="396" t="str">
        <f t="shared" si="3"/>
        <v/>
      </c>
      <c r="AH1824" s="396" t="str">
        <f t="shared" si="4"/>
        <v/>
      </c>
      <c r="AI1824" s="388"/>
      <c r="AJ1824" s="388"/>
      <c r="AK1824" s="397"/>
    </row>
    <row r="1825">
      <c r="A1825" s="398"/>
      <c r="B1825" s="386"/>
      <c r="C1825" s="387" t="str">
        <f>IF(A1825="","",IFERROR(IF(VLOOKUP(A1825,'1. Inbound Leads'!A:G,7,FALSE)=0,"",VLOOKUP(A1825,'1. Inbound Leads'!A:G,7,FALSE)),""))</f>
        <v/>
      </c>
      <c r="D1825" s="387" t="str">
        <f>IF(A1825="","",IFERROR(IF(VLOOKUP(A1825,'1. Inbound Leads'!A:L,12,FALSE)=0,"",VLOOKUP(A1825,'1. Inbound Leads'!A:L,12,FALSE)),""))</f>
        <v/>
      </c>
      <c r="E1825" s="388"/>
      <c r="F1825" s="389"/>
      <c r="G1825" s="387"/>
      <c r="H1825" s="387"/>
      <c r="I1825" s="387"/>
      <c r="J1825" s="387"/>
      <c r="K1825" s="387"/>
      <c r="L1825" s="387"/>
      <c r="M1825" s="388"/>
      <c r="N1825" s="388"/>
      <c r="O1825" s="390"/>
      <c r="P1825" s="391"/>
      <c r="Q1825" s="389"/>
      <c r="R1825" s="390"/>
      <c r="S1825" s="390"/>
      <c r="T1825" s="391"/>
      <c r="U1825" s="392"/>
      <c r="V1825" s="391"/>
      <c r="W1825" s="391"/>
      <c r="X1825" s="388"/>
      <c r="Y1825" s="391"/>
      <c r="Z1825" s="393"/>
      <c r="AA1825" s="355" t="str">
        <f t="shared" si="1"/>
        <v/>
      </c>
      <c r="AB1825" s="391"/>
      <c r="AC1825" s="394" t="str">
        <f t="shared" si="2"/>
        <v/>
      </c>
      <c r="AD1825" s="389"/>
      <c r="AE1825" s="399"/>
      <c r="AF1825" s="395"/>
      <c r="AG1825" s="396" t="str">
        <f t="shared" si="3"/>
        <v/>
      </c>
      <c r="AH1825" s="396" t="str">
        <f t="shared" si="4"/>
        <v/>
      </c>
      <c r="AI1825" s="388"/>
      <c r="AJ1825" s="388"/>
      <c r="AK1825" s="397"/>
    </row>
    <row r="1826">
      <c r="A1826" s="398"/>
      <c r="B1826" s="386"/>
      <c r="C1826" s="387" t="str">
        <f>IF(A1826="","",IFERROR(IF(VLOOKUP(A1826,'1. Inbound Leads'!A:G,7,FALSE)=0,"",VLOOKUP(A1826,'1. Inbound Leads'!A:G,7,FALSE)),""))</f>
        <v/>
      </c>
      <c r="D1826" s="387" t="str">
        <f>IF(A1826="","",IFERROR(IF(VLOOKUP(A1826,'1. Inbound Leads'!A:L,12,FALSE)=0,"",VLOOKUP(A1826,'1. Inbound Leads'!A:L,12,FALSE)),""))</f>
        <v/>
      </c>
      <c r="E1826" s="388"/>
      <c r="F1826" s="389"/>
      <c r="G1826" s="387"/>
      <c r="H1826" s="387"/>
      <c r="I1826" s="387"/>
      <c r="J1826" s="387"/>
      <c r="K1826" s="387"/>
      <c r="L1826" s="387"/>
      <c r="M1826" s="388"/>
      <c r="N1826" s="388"/>
      <c r="O1826" s="390"/>
      <c r="P1826" s="391"/>
      <c r="Q1826" s="389"/>
      <c r="R1826" s="390"/>
      <c r="S1826" s="390"/>
      <c r="T1826" s="391"/>
      <c r="U1826" s="392"/>
      <c r="V1826" s="391"/>
      <c r="W1826" s="391"/>
      <c r="X1826" s="388"/>
      <c r="Y1826" s="391"/>
      <c r="Z1826" s="393"/>
      <c r="AA1826" s="355" t="str">
        <f t="shared" si="1"/>
        <v/>
      </c>
      <c r="AB1826" s="391"/>
      <c r="AC1826" s="394" t="str">
        <f t="shared" si="2"/>
        <v/>
      </c>
      <c r="AD1826" s="389"/>
      <c r="AE1826" s="399"/>
      <c r="AF1826" s="395"/>
      <c r="AG1826" s="396" t="str">
        <f t="shared" si="3"/>
        <v/>
      </c>
      <c r="AH1826" s="396" t="str">
        <f t="shared" si="4"/>
        <v/>
      </c>
      <c r="AI1826" s="388"/>
      <c r="AJ1826" s="388"/>
      <c r="AK1826" s="397"/>
    </row>
    <row r="1827">
      <c r="A1827" s="398"/>
      <c r="B1827" s="386"/>
      <c r="C1827" s="387" t="str">
        <f>IF(A1827="","",IFERROR(IF(VLOOKUP(A1827,'1. Inbound Leads'!A:G,7,FALSE)=0,"",VLOOKUP(A1827,'1. Inbound Leads'!A:G,7,FALSE)),""))</f>
        <v/>
      </c>
      <c r="D1827" s="387" t="str">
        <f>IF(A1827="","",IFERROR(IF(VLOOKUP(A1827,'1. Inbound Leads'!A:L,12,FALSE)=0,"",VLOOKUP(A1827,'1. Inbound Leads'!A:L,12,FALSE)),""))</f>
        <v/>
      </c>
      <c r="E1827" s="388"/>
      <c r="F1827" s="389"/>
      <c r="G1827" s="387"/>
      <c r="H1827" s="387"/>
      <c r="I1827" s="387"/>
      <c r="J1827" s="387"/>
      <c r="K1827" s="387"/>
      <c r="L1827" s="387"/>
      <c r="M1827" s="388"/>
      <c r="N1827" s="388"/>
      <c r="O1827" s="390"/>
      <c r="P1827" s="391"/>
      <c r="Q1827" s="389"/>
      <c r="R1827" s="390"/>
      <c r="S1827" s="390"/>
      <c r="T1827" s="391"/>
      <c r="U1827" s="392"/>
      <c r="V1827" s="391"/>
      <c r="W1827" s="391"/>
      <c r="X1827" s="388"/>
      <c r="Y1827" s="391"/>
      <c r="Z1827" s="393"/>
      <c r="AA1827" s="355" t="str">
        <f t="shared" si="1"/>
        <v/>
      </c>
      <c r="AB1827" s="391"/>
      <c r="AC1827" s="394" t="str">
        <f t="shared" si="2"/>
        <v/>
      </c>
      <c r="AD1827" s="389"/>
      <c r="AE1827" s="399"/>
      <c r="AF1827" s="395"/>
      <c r="AG1827" s="396" t="str">
        <f t="shared" si="3"/>
        <v/>
      </c>
      <c r="AH1827" s="396" t="str">
        <f t="shared" si="4"/>
        <v/>
      </c>
      <c r="AI1827" s="388"/>
      <c r="AJ1827" s="388"/>
      <c r="AK1827" s="397"/>
    </row>
    <row r="1828">
      <c r="A1828" s="398"/>
      <c r="B1828" s="386"/>
      <c r="C1828" s="387" t="str">
        <f>IF(A1828="","",IFERROR(IF(VLOOKUP(A1828,'1. Inbound Leads'!A:G,7,FALSE)=0,"",VLOOKUP(A1828,'1. Inbound Leads'!A:G,7,FALSE)),""))</f>
        <v/>
      </c>
      <c r="D1828" s="387" t="str">
        <f>IF(A1828="","",IFERROR(IF(VLOOKUP(A1828,'1. Inbound Leads'!A:L,12,FALSE)=0,"",VLOOKUP(A1828,'1. Inbound Leads'!A:L,12,FALSE)),""))</f>
        <v/>
      </c>
      <c r="E1828" s="388"/>
      <c r="F1828" s="389"/>
      <c r="G1828" s="387"/>
      <c r="H1828" s="387"/>
      <c r="I1828" s="387"/>
      <c r="J1828" s="387"/>
      <c r="K1828" s="387"/>
      <c r="L1828" s="387"/>
      <c r="M1828" s="388"/>
      <c r="N1828" s="388"/>
      <c r="O1828" s="390"/>
      <c r="P1828" s="391"/>
      <c r="Q1828" s="389"/>
      <c r="R1828" s="390"/>
      <c r="S1828" s="390"/>
      <c r="T1828" s="391"/>
      <c r="U1828" s="392"/>
      <c r="V1828" s="391"/>
      <c r="W1828" s="391"/>
      <c r="X1828" s="388"/>
      <c r="Y1828" s="391"/>
      <c r="Z1828" s="393"/>
      <c r="AA1828" s="355" t="str">
        <f t="shared" si="1"/>
        <v/>
      </c>
      <c r="AB1828" s="391"/>
      <c r="AC1828" s="394" t="str">
        <f t="shared" si="2"/>
        <v/>
      </c>
      <c r="AD1828" s="389"/>
      <c r="AE1828" s="399"/>
      <c r="AF1828" s="395"/>
      <c r="AG1828" s="396" t="str">
        <f t="shared" si="3"/>
        <v/>
      </c>
      <c r="AH1828" s="396" t="str">
        <f t="shared" si="4"/>
        <v/>
      </c>
      <c r="AI1828" s="388"/>
      <c r="AJ1828" s="388"/>
      <c r="AK1828" s="397"/>
    </row>
    <row r="1829">
      <c r="A1829" s="398"/>
      <c r="B1829" s="386"/>
      <c r="C1829" s="387" t="str">
        <f>IF(A1829="","",IFERROR(IF(VLOOKUP(A1829,'1. Inbound Leads'!A:G,7,FALSE)=0,"",VLOOKUP(A1829,'1. Inbound Leads'!A:G,7,FALSE)),""))</f>
        <v/>
      </c>
      <c r="D1829" s="387" t="str">
        <f>IF(A1829="","",IFERROR(IF(VLOOKUP(A1829,'1. Inbound Leads'!A:L,12,FALSE)=0,"",VLOOKUP(A1829,'1. Inbound Leads'!A:L,12,FALSE)),""))</f>
        <v/>
      </c>
      <c r="E1829" s="388"/>
      <c r="F1829" s="389"/>
      <c r="G1829" s="387"/>
      <c r="H1829" s="387"/>
      <c r="I1829" s="387"/>
      <c r="J1829" s="387"/>
      <c r="K1829" s="387"/>
      <c r="L1829" s="387"/>
      <c r="M1829" s="388"/>
      <c r="N1829" s="388"/>
      <c r="O1829" s="390"/>
      <c r="P1829" s="391"/>
      <c r="Q1829" s="389"/>
      <c r="R1829" s="390"/>
      <c r="S1829" s="390"/>
      <c r="T1829" s="391"/>
      <c r="U1829" s="392"/>
      <c r="V1829" s="391"/>
      <c r="W1829" s="391"/>
      <c r="X1829" s="388"/>
      <c r="Y1829" s="391"/>
      <c r="Z1829" s="393"/>
      <c r="AA1829" s="355" t="str">
        <f t="shared" si="1"/>
        <v/>
      </c>
      <c r="AB1829" s="391"/>
      <c r="AC1829" s="394" t="str">
        <f t="shared" si="2"/>
        <v/>
      </c>
      <c r="AD1829" s="389"/>
      <c r="AE1829" s="399"/>
      <c r="AF1829" s="395"/>
      <c r="AG1829" s="396" t="str">
        <f t="shared" si="3"/>
        <v/>
      </c>
      <c r="AH1829" s="396" t="str">
        <f t="shared" si="4"/>
        <v/>
      </c>
      <c r="AI1829" s="388"/>
      <c r="AJ1829" s="388"/>
      <c r="AK1829" s="397"/>
    </row>
    <row r="1830">
      <c r="A1830" s="398"/>
      <c r="B1830" s="386"/>
      <c r="C1830" s="387" t="str">
        <f>IF(A1830="","",IFERROR(IF(VLOOKUP(A1830,'1. Inbound Leads'!A:G,7,FALSE)=0,"",VLOOKUP(A1830,'1. Inbound Leads'!A:G,7,FALSE)),""))</f>
        <v/>
      </c>
      <c r="D1830" s="387" t="str">
        <f>IF(A1830="","",IFERROR(IF(VLOOKUP(A1830,'1. Inbound Leads'!A:L,12,FALSE)=0,"",VLOOKUP(A1830,'1. Inbound Leads'!A:L,12,FALSE)),""))</f>
        <v/>
      </c>
      <c r="E1830" s="388"/>
      <c r="F1830" s="389"/>
      <c r="G1830" s="387"/>
      <c r="H1830" s="387"/>
      <c r="I1830" s="387"/>
      <c r="J1830" s="387"/>
      <c r="K1830" s="387"/>
      <c r="L1830" s="387"/>
      <c r="M1830" s="388"/>
      <c r="N1830" s="388"/>
      <c r="O1830" s="390"/>
      <c r="P1830" s="391"/>
      <c r="Q1830" s="389"/>
      <c r="R1830" s="390"/>
      <c r="S1830" s="390"/>
      <c r="T1830" s="391"/>
      <c r="U1830" s="392"/>
      <c r="V1830" s="391"/>
      <c r="W1830" s="391"/>
      <c r="X1830" s="388"/>
      <c r="Y1830" s="391"/>
      <c r="Z1830" s="393"/>
      <c r="AA1830" s="355" t="str">
        <f t="shared" si="1"/>
        <v/>
      </c>
      <c r="AB1830" s="391"/>
      <c r="AC1830" s="394" t="str">
        <f t="shared" si="2"/>
        <v/>
      </c>
      <c r="AD1830" s="389"/>
      <c r="AE1830" s="399"/>
      <c r="AF1830" s="395"/>
      <c r="AG1830" s="396" t="str">
        <f t="shared" si="3"/>
        <v/>
      </c>
      <c r="AH1830" s="396" t="str">
        <f t="shared" si="4"/>
        <v/>
      </c>
      <c r="AI1830" s="388"/>
      <c r="AJ1830" s="388"/>
      <c r="AK1830" s="397"/>
    </row>
    <row r="1831">
      <c r="A1831" s="398"/>
      <c r="B1831" s="386"/>
      <c r="C1831" s="387" t="str">
        <f>IF(A1831="","",IFERROR(IF(VLOOKUP(A1831,'1. Inbound Leads'!A:G,7,FALSE)=0,"",VLOOKUP(A1831,'1. Inbound Leads'!A:G,7,FALSE)),""))</f>
        <v/>
      </c>
      <c r="D1831" s="387" t="str">
        <f>IF(A1831="","",IFERROR(IF(VLOOKUP(A1831,'1. Inbound Leads'!A:L,12,FALSE)=0,"",VLOOKUP(A1831,'1. Inbound Leads'!A:L,12,FALSE)),""))</f>
        <v/>
      </c>
      <c r="E1831" s="388"/>
      <c r="F1831" s="389"/>
      <c r="G1831" s="387"/>
      <c r="H1831" s="387"/>
      <c r="I1831" s="387"/>
      <c r="J1831" s="387"/>
      <c r="K1831" s="387"/>
      <c r="L1831" s="387"/>
      <c r="M1831" s="388"/>
      <c r="N1831" s="388"/>
      <c r="O1831" s="390"/>
      <c r="P1831" s="391"/>
      <c r="Q1831" s="389"/>
      <c r="R1831" s="390"/>
      <c r="S1831" s="390"/>
      <c r="T1831" s="391"/>
      <c r="U1831" s="392"/>
      <c r="V1831" s="391"/>
      <c r="W1831" s="391"/>
      <c r="X1831" s="388"/>
      <c r="Y1831" s="391"/>
      <c r="Z1831" s="393"/>
      <c r="AA1831" s="355" t="str">
        <f t="shared" si="1"/>
        <v/>
      </c>
      <c r="AB1831" s="391"/>
      <c r="AC1831" s="394" t="str">
        <f t="shared" si="2"/>
        <v/>
      </c>
      <c r="AD1831" s="389"/>
      <c r="AE1831" s="399"/>
      <c r="AF1831" s="395"/>
      <c r="AG1831" s="396" t="str">
        <f t="shared" si="3"/>
        <v/>
      </c>
      <c r="AH1831" s="396" t="str">
        <f t="shared" si="4"/>
        <v/>
      </c>
      <c r="AI1831" s="388"/>
      <c r="AJ1831" s="388"/>
      <c r="AK1831" s="397"/>
    </row>
    <row r="1832">
      <c r="A1832" s="398"/>
      <c r="B1832" s="386"/>
      <c r="C1832" s="387" t="str">
        <f>IF(A1832="","",IFERROR(IF(VLOOKUP(A1832,'1. Inbound Leads'!A:G,7,FALSE)=0,"",VLOOKUP(A1832,'1. Inbound Leads'!A:G,7,FALSE)),""))</f>
        <v/>
      </c>
      <c r="D1832" s="387" t="str">
        <f>IF(A1832="","",IFERROR(IF(VLOOKUP(A1832,'1. Inbound Leads'!A:L,12,FALSE)=0,"",VLOOKUP(A1832,'1. Inbound Leads'!A:L,12,FALSE)),""))</f>
        <v/>
      </c>
      <c r="E1832" s="388"/>
      <c r="F1832" s="389"/>
      <c r="G1832" s="387"/>
      <c r="H1832" s="387"/>
      <c r="I1832" s="387"/>
      <c r="J1832" s="387"/>
      <c r="K1832" s="387"/>
      <c r="L1832" s="387"/>
      <c r="M1832" s="388"/>
      <c r="N1832" s="388"/>
      <c r="O1832" s="390"/>
      <c r="P1832" s="391"/>
      <c r="Q1832" s="389"/>
      <c r="R1832" s="390"/>
      <c r="S1832" s="390"/>
      <c r="T1832" s="391"/>
      <c r="U1832" s="392"/>
      <c r="V1832" s="391"/>
      <c r="W1832" s="391"/>
      <c r="X1832" s="388"/>
      <c r="Y1832" s="391"/>
      <c r="Z1832" s="393"/>
      <c r="AA1832" s="355" t="str">
        <f t="shared" si="1"/>
        <v/>
      </c>
      <c r="AB1832" s="391"/>
      <c r="AC1832" s="394" t="str">
        <f t="shared" si="2"/>
        <v/>
      </c>
      <c r="AD1832" s="389"/>
      <c r="AE1832" s="399"/>
      <c r="AF1832" s="395"/>
      <c r="AG1832" s="396" t="str">
        <f t="shared" si="3"/>
        <v/>
      </c>
      <c r="AH1832" s="396" t="str">
        <f t="shared" si="4"/>
        <v/>
      </c>
      <c r="AI1832" s="388"/>
      <c r="AJ1832" s="388"/>
      <c r="AK1832" s="397"/>
    </row>
    <row r="1833">
      <c r="A1833" s="398"/>
      <c r="B1833" s="386"/>
      <c r="C1833" s="387" t="str">
        <f>IF(A1833="","",IFERROR(IF(VLOOKUP(A1833,'1. Inbound Leads'!A:G,7,FALSE)=0,"",VLOOKUP(A1833,'1. Inbound Leads'!A:G,7,FALSE)),""))</f>
        <v/>
      </c>
      <c r="D1833" s="387" t="str">
        <f>IF(A1833="","",IFERROR(IF(VLOOKUP(A1833,'1. Inbound Leads'!A:L,12,FALSE)=0,"",VLOOKUP(A1833,'1. Inbound Leads'!A:L,12,FALSE)),""))</f>
        <v/>
      </c>
      <c r="E1833" s="388"/>
      <c r="F1833" s="389"/>
      <c r="G1833" s="387"/>
      <c r="H1833" s="387"/>
      <c r="I1833" s="387"/>
      <c r="J1833" s="387"/>
      <c r="K1833" s="387"/>
      <c r="L1833" s="387"/>
      <c r="M1833" s="388"/>
      <c r="N1833" s="388"/>
      <c r="O1833" s="390"/>
      <c r="P1833" s="391"/>
      <c r="Q1833" s="389"/>
      <c r="R1833" s="390"/>
      <c r="S1833" s="390"/>
      <c r="T1833" s="391"/>
      <c r="U1833" s="392"/>
      <c r="V1833" s="391"/>
      <c r="W1833" s="391"/>
      <c r="X1833" s="388"/>
      <c r="Y1833" s="391"/>
      <c r="Z1833" s="393"/>
      <c r="AA1833" s="355" t="str">
        <f t="shared" si="1"/>
        <v/>
      </c>
      <c r="AB1833" s="391"/>
      <c r="AC1833" s="394" t="str">
        <f t="shared" si="2"/>
        <v/>
      </c>
      <c r="AD1833" s="389"/>
      <c r="AE1833" s="399"/>
      <c r="AF1833" s="395"/>
      <c r="AG1833" s="396" t="str">
        <f t="shared" si="3"/>
        <v/>
      </c>
      <c r="AH1833" s="396" t="str">
        <f t="shared" si="4"/>
        <v/>
      </c>
      <c r="AI1833" s="388"/>
      <c r="AJ1833" s="388"/>
      <c r="AK1833" s="397"/>
    </row>
    <row r="1834">
      <c r="A1834" s="398"/>
      <c r="B1834" s="386"/>
      <c r="C1834" s="387" t="str">
        <f>IF(A1834="","",IFERROR(IF(VLOOKUP(A1834,'1. Inbound Leads'!A:G,7,FALSE)=0,"",VLOOKUP(A1834,'1. Inbound Leads'!A:G,7,FALSE)),""))</f>
        <v/>
      </c>
      <c r="D1834" s="387" t="str">
        <f>IF(A1834="","",IFERROR(IF(VLOOKUP(A1834,'1. Inbound Leads'!A:L,12,FALSE)=0,"",VLOOKUP(A1834,'1. Inbound Leads'!A:L,12,FALSE)),""))</f>
        <v/>
      </c>
      <c r="E1834" s="388"/>
      <c r="F1834" s="389"/>
      <c r="G1834" s="387"/>
      <c r="H1834" s="387"/>
      <c r="I1834" s="387"/>
      <c r="J1834" s="387"/>
      <c r="K1834" s="387"/>
      <c r="L1834" s="387"/>
      <c r="M1834" s="388"/>
      <c r="N1834" s="388"/>
      <c r="O1834" s="390"/>
      <c r="P1834" s="391"/>
      <c r="Q1834" s="389"/>
      <c r="R1834" s="390"/>
      <c r="S1834" s="390"/>
      <c r="T1834" s="391"/>
      <c r="U1834" s="392"/>
      <c r="V1834" s="391"/>
      <c r="W1834" s="391"/>
      <c r="X1834" s="388"/>
      <c r="Y1834" s="391"/>
      <c r="Z1834" s="393"/>
      <c r="AA1834" s="355" t="str">
        <f t="shared" si="1"/>
        <v/>
      </c>
      <c r="AB1834" s="391"/>
      <c r="AC1834" s="394" t="str">
        <f t="shared" si="2"/>
        <v/>
      </c>
      <c r="AD1834" s="389"/>
      <c r="AE1834" s="399"/>
      <c r="AF1834" s="395"/>
      <c r="AG1834" s="396" t="str">
        <f t="shared" si="3"/>
        <v/>
      </c>
      <c r="AH1834" s="396" t="str">
        <f t="shared" si="4"/>
        <v/>
      </c>
      <c r="AI1834" s="388"/>
      <c r="AJ1834" s="388"/>
      <c r="AK1834" s="397"/>
    </row>
    <row r="1835">
      <c r="A1835" s="398"/>
      <c r="B1835" s="386"/>
      <c r="C1835" s="387" t="str">
        <f>IF(A1835="","",IFERROR(IF(VLOOKUP(A1835,'1. Inbound Leads'!A:G,7,FALSE)=0,"",VLOOKUP(A1835,'1. Inbound Leads'!A:G,7,FALSE)),""))</f>
        <v/>
      </c>
      <c r="D1835" s="387" t="str">
        <f>IF(A1835="","",IFERROR(IF(VLOOKUP(A1835,'1. Inbound Leads'!A:L,12,FALSE)=0,"",VLOOKUP(A1835,'1. Inbound Leads'!A:L,12,FALSE)),""))</f>
        <v/>
      </c>
      <c r="E1835" s="388"/>
      <c r="F1835" s="389"/>
      <c r="G1835" s="387"/>
      <c r="H1835" s="387"/>
      <c r="I1835" s="387"/>
      <c r="J1835" s="387"/>
      <c r="K1835" s="387"/>
      <c r="L1835" s="387"/>
      <c r="M1835" s="388"/>
      <c r="N1835" s="388"/>
      <c r="O1835" s="390"/>
      <c r="P1835" s="391"/>
      <c r="Q1835" s="389"/>
      <c r="R1835" s="390"/>
      <c r="S1835" s="390"/>
      <c r="T1835" s="391"/>
      <c r="U1835" s="392"/>
      <c r="V1835" s="391"/>
      <c r="W1835" s="391"/>
      <c r="X1835" s="388"/>
      <c r="Y1835" s="391"/>
      <c r="Z1835" s="393"/>
      <c r="AA1835" s="355" t="str">
        <f t="shared" si="1"/>
        <v/>
      </c>
      <c r="AB1835" s="391"/>
      <c r="AC1835" s="394" t="str">
        <f t="shared" si="2"/>
        <v/>
      </c>
      <c r="AD1835" s="389"/>
      <c r="AE1835" s="399"/>
      <c r="AF1835" s="395"/>
      <c r="AG1835" s="396" t="str">
        <f t="shared" si="3"/>
        <v/>
      </c>
      <c r="AH1835" s="396" t="str">
        <f t="shared" si="4"/>
        <v/>
      </c>
      <c r="AI1835" s="388"/>
      <c r="AJ1835" s="388"/>
      <c r="AK1835" s="397"/>
    </row>
    <row r="1836">
      <c r="A1836" s="398"/>
      <c r="B1836" s="386"/>
      <c r="C1836" s="387" t="str">
        <f>IF(A1836="","",IFERROR(IF(VLOOKUP(A1836,'1. Inbound Leads'!A:G,7,FALSE)=0,"",VLOOKUP(A1836,'1. Inbound Leads'!A:G,7,FALSE)),""))</f>
        <v/>
      </c>
      <c r="D1836" s="387" t="str">
        <f>IF(A1836="","",IFERROR(IF(VLOOKUP(A1836,'1. Inbound Leads'!A:L,12,FALSE)=0,"",VLOOKUP(A1836,'1. Inbound Leads'!A:L,12,FALSE)),""))</f>
        <v/>
      </c>
      <c r="E1836" s="388"/>
      <c r="F1836" s="389"/>
      <c r="G1836" s="387"/>
      <c r="H1836" s="387"/>
      <c r="I1836" s="387"/>
      <c r="J1836" s="387"/>
      <c r="K1836" s="387"/>
      <c r="L1836" s="387"/>
      <c r="M1836" s="388"/>
      <c r="N1836" s="388"/>
      <c r="O1836" s="390"/>
      <c r="P1836" s="391"/>
      <c r="Q1836" s="389"/>
      <c r="R1836" s="390"/>
      <c r="S1836" s="390"/>
      <c r="T1836" s="391"/>
      <c r="U1836" s="392"/>
      <c r="V1836" s="391"/>
      <c r="W1836" s="391"/>
      <c r="X1836" s="388"/>
      <c r="Y1836" s="391"/>
      <c r="Z1836" s="393"/>
      <c r="AA1836" s="355" t="str">
        <f t="shared" si="1"/>
        <v/>
      </c>
      <c r="AB1836" s="391"/>
      <c r="AC1836" s="394" t="str">
        <f t="shared" si="2"/>
        <v/>
      </c>
      <c r="AD1836" s="389"/>
      <c r="AE1836" s="399"/>
      <c r="AF1836" s="395"/>
      <c r="AG1836" s="396" t="str">
        <f t="shared" si="3"/>
        <v/>
      </c>
      <c r="AH1836" s="396" t="str">
        <f t="shared" si="4"/>
        <v/>
      </c>
      <c r="AI1836" s="388"/>
      <c r="AJ1836" s="388"/>
      <c r="AK1836" s="397"/>
    </row>
    <row r="1837">
      <c r="A1837" s="398"/>
      <c r="B1837" s="386"/>
      <c r="C1837" s="387" t="str">
        <f>IF(A1837="","",IFERROR(IF(VLOOKUP(A1837,'1. Inbound Leads'!A:G,7,FALSE)=0,"",VLOOKUP(A1837,'1. Inbound Leads'!A:G,7,FALSE)),""))</f>
        <v/>
      </c>
      <c r="D1837" s="387" t="str">
        <f>IF(A1837="","",IFERROR(IF(VLOOKUP(A1837,'1. Inbound Leads'!A:L,12,FALSE)=0,"",VLOOKUP(A1837,'1. Inbound Leads'!A:L,12,FALSE)),""))</f>
        <v/>
      </c>
      <c r="E1837" s="388"/>
      <c r="F1837" s="389"/>
      <c r="G1837" s="387"/>
      <c r="H1837" s="387"/>
      <c r="I1837" s="387"/>
      <c r="J1837" s="387"/>
      <c r="K1837" s="387"/>
      <c r="L1837" s="387"/>
      <c r="M1837" s="388"/>
      <c r="N1837" s="388"/>
      <c r="O1837" s="390"/>
      <c r="P1837" s="391"/>
      <c r="Q1837" s="389"/>
      <c r="R1837" s="390"/>
      <c r="S1837" s="390"/>
      <c r="T1837" s="391"/>
      <c r="U1837" s="392"/>
      <c r="V1837" s="391"/>
      <c r="W1837" s="391"/>
      <c r="X1837" s="388"/>
      <c r="Y1837" s="391"/>
      <c r="Z1837" s="393"/>
      <c r="AA1837" s="355" t="str">
        <f t="shared" si="1"/>
        <v/>
      </c>
      <c r="AB1837" s="391"/>
      <c r="AC1837" s="394" t="str">
        <f t="shared" si="2"/>
        <v/>
      </c>
      <c r="AD1837" s="389"/>
      <c r="AE1837" s="399"/>
      <c r="AF1837" s="395"/>
      <c r="AG1837" s="396" t="str">
        <f t="shared" si="3"/>
        <v/>
      </c>
      <c r="AH1837" s="396" t="str">
        <f t="shared" si="4"/>
        <v/>
      </c>
      <c r="AI1837" s="388"/>
      <c r="AJ1837" s="388"/>
      <c r="AK1837" s="397"/>
    </row>
    <row r="1838">
      <c r="A1838" s="398"/>
      <c r="B1838" s="386"/>
      <c r="C1838" s="387" t="str">
        <f>IF(A1838="","",IFERROR(IF(VLOOKUP(A1838,'1. Inbound Leads'!A:G,7,FALSE)=0,"",VLOOKUP(A1838,'1. Inbound Leads'!A:G,7,FALSE)),""))</f>
        <v/>
      </c>
      <c r="D1838" s="387" t="str">
        <f>IF(A1838="","",IFERROR(IF(VLOOKUP(A1838,'1. Inbound Leads'!A:L,12,FALSE)=0,"",VLOOKUP(A1838,'1. Inbound Leads'!A:L,12,FALSE)),""))</f>
        <v/>
      </c>
      <c r="E1838" s="388"/>
      <c r="F1838" s="389"/>
      <c r="G1838" s="387"/>
      <c r="H1838" s="387"/>
      <c r="I1838" s="387"/>
      <c r="J1838" s="387"/>
      <c r="K1838" s="387"/>
      <c r="L1838" s="387"/>
      <c r="M1838" s="388"/>
      <c r="N1838" s="388"/>
      <c r="O1838" s="390"/>
      <c r="P1838" s="391"/>
      <c r="Q1838" s="389"/>
      <c r="R1838" s="390"/>
      <c r="S1838" s="390"/>
      <c r="T1838" s="391"/>
      <c r="U1838" s="392"/>
      <c r="V1838" s="391"/>
      <c r="W1838" s="391"/>
      <c r="X1838" s="388"/>
      <c r="Y1838" s="391"/>
      <c r="Z1838" s="393"/>
      <c r="AA1838" s="355" t="str">
        <f t="shared" si="1"/>
        <v/>
      </c>
      <c r="AB1838" s="391"/>
      <c r="AC1838" s="394" t="str">
        <f t="shared" si="2"/>
        <v/>
      </c>
      <c r="AD1838" s="389"/>
      <c r="AE1838" s="399"/>
      <c r="AF1838" s="395"/>
      <c r="AG1838" s="396" t="str">
        <f t="shared" si="3"/>
        <v/>
      </c>
      <c r="AH1838" s="396" t="str">
        <f t="shared" si="4"/>
        <v/>
      </c>
      <c r="AI1838" s="388"/>
      <c r="AJ1838" s="388"/>
      <c r="AK1838" s="397"/>
    </row>
    <row r="1839">
      <c r="A1839" s="398"/>
      <c r="B1839" s="386"/>
      <c r="C1839" s="387" t="str">
        <f>IF(A1839="","",IFERROR(IF(VLOOKUP(A1839,'1. Inbound Leads'!A:G,7,FALSE)=0,"",VLOOKUP(A1839,'1. Inbound Leads'!A:G,7,FALSE)),""))</f>
        <v/>
      </c>
      <c r="D1839" s="387" t="str">
        <f>IF(A1839="","",IFERROR(IF(VLOOKUP(A1839,'1. Inbound Leads'!A:L,12,FALSE)=0,"",VLOOKUP(A1839,'1. Inbound Leads'!A:L,12,FALSE)),""))</f>
        <v/>
      </c>
      <c r="E1839" s="388"/>
      <c r="F1839" s="389"/>
      <c r="G1839" s="387"/>
      <c r="H1839" s="387"/>
      <c r="I1839" s="387"/>
      <c r="J1839" s="387"/>
      <c r="K1839" s="387"/>
      <c r="L1839" s="387"/>
      <c r="M1839" s="388"/>
      <c r="N1839" s="388"/>
      <c r="O1839" s="390"/>
      <c r="P1839" s="391"/>
      <c r="Q1839" s="389"/>
      <c r="R1839" s="390"/>
      <c r="S1839" s="390"/>
      <c r="T1839" s="391"/>
      <c r="U1839" s="392"/>
      <c r="V1839" s="391"/>
      <c r="W1839" s="391"/>
      <c r="X1839" s="388"/>
      <c r="Y1839" s="391"/>
      <c r="Z1839" s="393"/>
      <c r="AA1839" s="355" t="str">
        <f t="shared" si="1"/>
        <v/>
      </c>
      <c r="AB1839" s="391"/>
      <c r="AC1839" s="394" t="str">
        <f t="shared" si="2"/>
        <v/>
      </c>
      <c r="AD1839" s="389"/>
      <c r="AE1839" s="399"/>
      <c r="AF1839" s="395"/>
      <c r="AG1839" s="396" t="str">
        <f t="shared" si="3"/>
        <v/>
      </c>
      <c r="AH1839" s="396" t="str">
        <f t="shared" si="4"/>
        <v/>
      </c>
      <c r="AI1839" s="388"/>
      <c r="AJ1839" s="388"/>
      <c r="AK1839" s="397"/>
    </row>
    <row r="1840">
      <c r="A1840" s="398"/>
      <c r="B1840" s="386"/>
      <c r="C1840" s="387" t="str">
        <f>IF(A1840="","",IFERROR(IF(VLOOKUP(A1840,'1. Inbound Leads'!A:G,7,FALSE)=0,"",VLOOKUP(A1840,'1. Inbound Leads'!A:G,7,FALSE)),""))</f>
        <v/>
      </c>
      <c r="D1840" s="387" t="str">
        <f>IF(A1840="","",IFERROR(IF(VLOOKUP(A1840,'1. Inbound Leads'!A:L,12,FALSE)=0,"",VLOOKUP(A1840,'1. Inbound Leads'!A:L,12,FALSE)),""))</f>
        <v/>
      </c>
      <c r="E1840" s="388"/>
      <c r="F1840" s="389"/>
      <c r="G1840" s="387"/>
      <c r="H1840" s="387"/>
      <c r="I1840" s="387"/>
      <c r="J1840" s="387"/>
      <c r="K1840" s="387"/>
      <c r="L1840" s="387"/>
      <c r="M1840" s="388"/>
      <c r="N1840" s="388"/>
      <c r="O1840" s="390"/>
      <c r="P1840" s="391"/>
      <c r="Q1840" s="389"/>
      <c r="R1840" s="390"/>
      <c r="S1840" s="390"/>
      <c r="T1840" s="391"/>
      <c r="U1840" s="392"/>
      <c r="V1840" s="391"/>
      <c r="W1840" s="391"/>
      <c r="X1840" s="388"/>
      <c r="Y1840" s="391"/>
      <c r="Z1840" s="393"/>
      <c r="AA1840" s="355" t="str">
        <f t="shared" si="1"/>
        <v/>
      </c>
      <c r="AB1840" s="391"/>
      <c r="AC1840" s="394" t="str">
        <f t="shared" si="2"/>
        <v/>
      </c>
      <c r="AD1840" s="389"/>
      <c r="AE1840" s="399"/>
      <c r="AF1840" s="395"/>
      <c r="AG1840" s="396" t="str">
        <f t="shared" si="3"/>
        <v/>
      </c>
      <c r="AH1840" s="396" t="str">
        <f t="shared" si="4"/>
        <v/>
      </c>
      <c r="AI1840" s="388"/>
      <c r="AJ1840" s="388"/>
      <c r="AK1840" s="397"/>
    </row>
    <row r="1841">
      <c r="A1841" s="398"/>
      <c r="B1841" s="386"/>
      <c r="C1841" s="387" t="str">
        <f>IF(A1841="","",IFERROR(IF(VLOOKUP(A1841,'1. Inbound Leads'!A:G,7,FALSE)=0,"",VLOOKUP(A1841,'1. Inbound Leads'!A:G,7,FALSE)),""))</f>
        <v/>
      </c>
      <c r="D1841" s="387" t="str">
        <f>IF(A1841="","",IFERROR(IF(VLOOKUP(A1841,'1. Inbound Leads'!A:L,12,FALSE)=0,"",VLOOKUP(A1841,'1. Inbound Leads'!A:L,12,FALSE)),""))</f>
        <v/>
      </c>
      <c r="E1841" s="388"/>
      <c r="F1841" s="389"/>
      <c r="G1841" s="387"/>
      <c r="H1841" s="387"/>
      <c r="I1841" s="387"/>
      <c r="J1841" s="387"/>
      <c r="K1841" s="387"/>
      <c r="L1841" s="387"/>
      <c r="M1841" s="388"/>
      <c r="N1841" s="388"/>
      <c r="O1841" s="390"/>
      <c r="P1841" s="391"/>
      <c r="Q1841" s="389"/>
      <c r="R1841" s="390"/>
      <c r="S1841" s="390"/>
      <c r="T1841" s="391"/>
      <c r="U1841" s="392"/>
      <c r="V1841" s="391"/>
      <c r="W1841" s="391"/>
      <c r="X1841" s="388"/>
      <c r="Y1841" s="391"/>
      <c r="Z1841" s="393"/>
      <c r="AA1841" s="355" t="str">
        <f t="shared" si="1"/>
        <v/>
      </c>
      <c r="AB1841" s="391"/>
      <c r="AC1841" s="394" t="str">
        <f t="shared" si="2"/>
        <v/>
      </c>
      <c r="AD1841" s="389"/>
      <c r="AE1841" s="399"/>
      <c r="AF1841" s="395"/>
      <c r="AG1841" s="396" t="str">
        <f t="shared" si="3"/>
        <v/>
      </c>
      <c r="AH1841" s="396" t="str">
        <f t="shared" si="4"/>
        <v/>
      </c>
      <c r="AI1841" s="388"/>
      <c r="AJ1841" s="388"/>
      <c r="AK1841" s="397"/>
    </row>
    <row r="1842">
      <c r="A1842" s="398"/>
      <c r="B1842" s="386"/>
      <c r="C1842" s="387" t="str">
        <f>IF(A1842="","",IFERROR(IF(VLOOKUP(A1842,'1. Inbound Leads'!A:G,7,FALSE)=0,"",VLOOKUP(A1842,'1. Inbound Leads'!A:G,7,FALSE)),""))</f>
        <v/>
      </c>
      <c r="D1842" s="387" t="str">
        <f>IF(A1842="","",IFERROR(IF(VLOOKUP(A1842,'1. Inbound Leads'!A:L,12,FALSE)=0,"",VLOOKUP(A1842,'1. Inbound Leads'!A:L,12,FALSE)),""))</f>
        <v/>
      </c>
      <c r="E1842" s="388"/>
      <c r="F1842" s="389"/>
      <c r="G1842" s="387"/>
      <c r="H1842" s="387"/>
      <c r="I1842" s="387"/>
      <c r="J1842" s="387"/>
      <c r="K1842" s="387"/>
      <c r="L1842" s="387"/>
      <c r="M1842" s="388"/>
      <c r="N1842" s="388"/>
      <c r="O1842" s="390"/>
      <c r="P1842" s="391"/>
      <c r="Q1842" s="389"/>
      <c r="R1842" s="390"/>
      <c r="S1842" s="390"/>
      <c r="T1842" s="391"/>
      <c r="U1842" s="392"/>
      <c r="V1842" s="391"/>
      <c r="W1842" s="391"/>
      <c r="X1842" s="388"/>
      <c r="Y1842" s="391"/>
      <c r="Z1842" s="393"/>
      <c r="AA1842" s="355" t="str">
        <f t="shared" si="1"/>
        <v/>
      </c>
      <c r="AB1842" s="391"/>
      <c r="AC1842" s="394" t="str">
        <f t="shared" si="2"/>
        <v/>
      </c>
      <c r="AD1842" s="389"/>
      <c r="AE1842" s="399"/>
      <c r="AF1842" s="395"/>
      <c r="AG1842" s="396" t="str">
        <f t="shared" si="3"/>
        <v/>
      </c>
      <c r="AH1842" s="396" t="str">
        <f t="shared" si="4"/>
        <v/>
      </c>
      <c r="AI1842" s="388"/>
      <c r="AJ1842" s="388"/>
      <c r="AK1842" s="397"/>
    </row>
    <row r="1843">
      <c r="A1843" s="398"/>
      <c r="B1843" s="386"/>
      <c r="C1843" s="387" t="str">
        <f>IF(A1843="","",IFERROR(IF(VLOOKUP(A1843,'1. Inbound Leads'!A:G,7,FALSE)=0,"",VLOOKUP(A1843,'1. Inbound Leads'!A:G,7,FALSE)),""))</f>
        <v/>
      </c>
      <c r="D1843" s="387" t="str">
        <f>IF(A1843="","",IFERROR(IF(VLOOKUP(A1843,'1. Inbound Leads'!A:L,12,FALSE)=0,"",VLOOKUP(A1843,'1. Inbound Leads'!A:L,12,FALSE)),""))</f>
        <v/>
      </c>
      <c r="E1843" s="388"/>
      <c r="F1843" s="389"/>
      <c r="G1843" s="387"/>
      <c r="H1843" s="387"/>
      <c r="I1843" s="387"/>
      <c r="J1843" s="387"/>
      <c r="K1843" s="387"/>
      <c r="L1843" s="387"/>
      <c r="M1843" s="388"/>
      <c r="N1843" s="388"/>
      <c r="O1843" s="390"/>
      <c r="P1843" s="391"/>
      <c r="Q1843" s="389"/>
      <c r="R1843" s="390"/>
      <c r="S1843" s="390"/>
      <c r="T1843" s="391"/>
      <c r="U1843" s="392"/>
      <c r="V1843" s="391"/>
      <c r="W1843" s="391"/>
      <c r="X1843" s="388"/>
      <c r="Y1843" s="391"/>
      <c r="Z1843" s="393"/>
      <c r="AA1843" s="355" t="str">
        <f t="shared" si="1"/>
        <v/>
      </c>
      <c r="AB1843" s="391"/>
      <c r="AC1843" s="394" t="str">
        <f t="shared" si="2"/>
        <v/>
      </c>
      <c r="AD1843" s="389"/>
      <c r="AE1843" s="399"/>
      <c r="AF1843" s="395"/>
      <c r="AG1843" s="396" t="str">
        <f t="shared" si="3"/>
        <v/>
      </c>
      <c r="AH1843" s="396" t="str">
        <f t="shared" si="4"/>
        <v/>
      </c>
      <c r="AI1843" s="388"/>
      <c r="AJ1843" s="388"/>
      <c r="AK1843" s="397"/>
    </row>
    <row r="1844">
      <c r="A1844" s="398"/>
      <c r="B1844" s="386"/>
      <c r="C1844" s="387" t="str">
        <f>IF(A1844="","",IFERROR(IF(VLOOKUP(A1844,'1. Inbound Leads'!A:G,7,FALSE)=0,"",VLOOKUP(A1844,'1. Inbound Leads'!A:G,7,FALSE)),""))</f>
        <v/>
      </c>
      <c r="D1844" s="387" t="str">
        <f>IF(A1844="","",IFERROR(IF(VLOOKUP(A1844,'1. Inbound Leads'!A:L,12,FALSE)=0,"",VLOOKUP(A1844,'1. Inbound Leads'!A:L,12,FALSE)),""))</f>
        <v/>
      </c>
      <c r="E1844" s="388"/>
      <c r="F1844" s="389"/>
      <c r="G1844" s="387"/>
      <c r="H1844" s="387"/>
      <c r="I1844" s="387"/>
      <c r="J1844" s="387"/>
      <c r="K1844" s="387"/>
      <c r="L1844" s="387"/>
      <c r="M1844" s="388"/>
      <c r="N1844" s="388"/>
      <c r="O1844" s="390"/>
      <c r="P1844" s="391"/>
      <c r="Q1844" s="389"/>
      <c r="R1844" s="390"/>
      <c r="S1844" s="390"/>
      <c r="T1844" s="391"/>
      <c r="U1844" s="392"/>
      <c r="V1844" s="391"/>
      <c r="W1844" s="391"/>
      <c r="X1844" s="388"/>
      <c r="Y1844" s="391"/>
      <c r="Z1844" s="393"/>
      <c r="AA1844" s="355" t="str">
        <f t="shared" si="1"/>
        <v/>
      </c>
      <c r="AB1844" s="391"/>
      <c r="AC1844" s="394" t="str">
        <f t="shared" si="2"/>
        <v/>
      </c>
      <c r="AD1844" s="389"/>
      <c r="AE1844" s="399"/>
      <c r="AF1844" s="395"/>
      <c r="AG1844" s="396" t="str">
        <f t="shared" si="3"/>
        <v/>
      </c>
      <c r="AH1844" s="396" t="str">
        <f t="shared" si="4"/>
        <v/>
      </c>
      <c r="AI1844" s="388"/>
      <c r="AJ1844" s="388"/>
      <c r="AK1844" s="397"/>
    </row>
    <row r="1845">
      <c r="A1845" s="398"/>
      <c r="B1845" s="386"/>
      <c r="C1845" s="387" t="str">
        <f>IF(A1845="","",IFERROR(IF(VLOOKUP(A1845,'1. Inbound Leads'!A:G,7,FALSE)=0,"",VLOOKUP(A1845,'1. Inbound Leads'!A:G,7,FALSE)),""))</f>
        <v/>
      </c>
      <c r="D1845" s="387" t="str">
        <f>IF(A1845="","",IFERROR(IF(VLOOKUP(A1845,'1. Inbound Leads'!A:L,12,FALSE)=0,"",VLOOKUP(A1845,'1. Inbound Leads'!A:L,12,FALSE)),""))</f>
        <v/>
      </c>
      <c r="E1845" s="388"/>
      <c r="F1845" s="389"/>
      <c r="G1845" s="387"/>
      <c r="H1845" s="387"/>
      <c r="I1845" s="387"/>
      <c r="J1845" s="387"/>
      <c r="K1845" s="387"/>
      <c r="L1845" s="387"/>
      <c r="M1845" s="388"/>
      <c r="N1845" s="388"/>
      <c r="O1845" s="390"/>
      <c r="P1845" s="391"/>
      <c r="Q1845" s="389"/>
      <c r="R1845" s="390"/>
      <c r="S1845" s="390"/>
      <c r="T1845" s="391"/>
      <c r="U1845" s="392"/>
      <c r="V1845" s="391"/>
      <c r="W1845" s="391"/>
      <c r="X1845" s="388"/>
      <c r="Y1845" s="391"/>
      <c r="Z1845" s="393"/>
      <c r="AA1845" s="355" t="str">
        <f t="shared" si="1"/>
        <v/>
      </c>
      <c r="AB1845" s="391"/>
      <c r="AC1845" s="394" t="str">
        <f t="shared" si="2"/>
        <v/>
      </c>
      <c r="AD1845" s="389"/>
      <c r="AE1845" s="399"/>
      <c r="AF1845" s="395"/>
      <c r="AG1845" s="396" t="str">
        <f t="shared" si="3"/>
        <v/>
      </c>
      <c r="AH1845" s="396" t="str">
        <f t="shared" si="4"/>
        <v/>
      </c>
      <c r="AI1845" s="388"/>
      <c r="AJ1845" s="388"/>
      <c r="AK1845" s="397"/>
    </row>
    <row r="1846">
      <c r="A1846" s="398"/>
      <c r="B1846" s="386"/>
      <c r="C1846" s="387" t="str">
        <f>IF(A1846="","",IFERROR(IF(VLOOKUP(A1846,'1. Inbound Leads'!A:G,7,FALSE)=0,"",VLOOKUP(A1846,'1. Inbound Leads'!A:G,7,FALSE)),""))</f>
        <v/>
      </c>
      <c r="D1846" s="387" t="str">
        <f>IF(A1846="","",IFERROR(IF(VLOOKUP(A1846,'1. Inbound Leads'!A:L,12,FALSE)=0,"",VLOOKUP(A1846,'1. Inbound Leads'!A:L,12,FALSE)),""))</f>
        <v/>
      </c>
      <c r="E1846" s="388"/>
      <c r="F1846" s="389"/>
      <c r="G1846" s="387"/>
      <c r="H1846" s="387"/>
      <c r="I1846" s="387"/>
      <c r="J1846" s="387"/>
      <c r="K1846" s="387"/>
      <c r="L1846" s="387"/>
      <c r="M1846" s="388"/>
      <c r="N1846" s="388"/>
      <c r="O1846" s="390"/>
      <c r="P1846" s="391"/>
      <c r="Q1846" s="389"/>
      <c r="R1846" s="390"/>
      <c r="S1846" s="390"/>
      <c r="T1846" s="391"/>
      <c r="U1846" s="392"/>
      <c r="V1846" s="391"/>
      <c r="W1846" s="391"/>
      <c r="X1846" s="388"/>
      <c r="Y1846" s="391"/>
      <c r="Z1846" s="393"/>
      <c r="AA1846" s="355" t="str">
        <f t="shared" si="1"/>
        <v/>
      </c>
      <c r="AB1846" s="391"/>
      <c r="AC1846" s="394" t="str">
        <f t="shared" si="2"/>
        <v/>
      </c>
      <c r="AD1846" s="389"/>
      <c r="AE1846" s="399"/>
      <c r="AF1846" s="395"/>
      <c r="AG1846" s="396" t="str">
        <f t="shared" si="3"/>
        <v/>
      </c>
      <c r="AH1846" s="396" t="str">
        <f t="shared" si="4"/>
        <v/>
      </c>
      <c r="AI1846" s="388"/>
      <c r="AJ1846" s="388"/>
      <c r="AK1846" s="397"/>
    </row>
    <row r="1847">
      <c r="A1847" s="398"/>
      <c r="B1847" s="386"/>
      <c r="C1847" s="387" t="str">
        <f>IF(A1847="","",IFERROR(IF(VLOOKUP(A1847,'1. Inbound Leads'!A:G,7,FALSE)=0,"",VLOOKUP(A1847,'1. Inbound Leads'!A:G,7,FALSE)),""))</f>
        <v/>
      </c>
      <c r="D1847" s="387" t="str">
        <f>IF(A1847="","",IFERROR(IF(VLOOKUP(A1847,'1. Inbound Leads'!A:L,12,FALSE)=0,"",VLOOKUP(A1847,'1. Inbound Leads'!A:L,12,FALSE)),""))</f>
        <v/>
      </c>
      <c r="E1847" s="388"/>
      <c r="F1847" s="389"/>
      <c r="G1847" s="387"/>
      <c r="H1847" s="387"/>
      <c r="I1847" s="387"/>
      <c r="J1847" s="387"/>
      <c r="K1847" s="387"/>
      <c r="L1847" s="387"/>
      <c r="M1847" s="388"/>
      <c r="N1847" s="388"/>
      <c r="O1847" s="390"/>
      <c r="P1847" s="391"/>
      <c r="Q1847" s="389"/>
      <c r="R1847" s="390"/>
      <c r="S1847" s="390"/>
      <c r="T1847" s="391"/>
      <c r="U1847" s="392"/>
      <c r="V1847" s="391"/>
      <c r="W1847" s="391"/>
      <c r="X1847" s="388"/>
      <c r="Y1847" s="391"/>
      <c r="Z1847" s="393"/>
      <c r="AA1847" s="355" t="str">
        <f t="shared" si="1"/>
        <v/>
      </c>
      <c r="AB1847" s="391"/>
      <c r="AC1847" s="394" t="str">
        <f t="shared" si="2"/>
        <v/>
      </c>
      <c r="AD1847" s="389"/>
      <c r="AE1847" s="399"/>
      <c r="AF1847" s="395"/>
      <c r="AG1847" s="396" t="str">
        <f t="shared" si="3"/>
        <v/>
      </c>
      <c r="AH1847" s="396" t="str">
        <f t="shared" si="4"/>
        <v/>
      </c>
      <c r="AI1847" s="388"/>
      <c r="AJ1847" s="388"/>
      <c r="AK1847" s="397"/>
    </row>
    <row r="1848">
      <c r="A1848" s="398"/>
      <c r="B1848" s="386"/>
      <c r="C1848" s="387" t="str">
        <f>IF(A1848="","",IFERROR(IF(VLOOKUP(A1848,'1. Inbound Leads'!A:G,7,FALSE)=0,"",VLOOKUP(A1848,'1. Inbound Leads'!A:G,7,FALSE)),""))</f>
        <v/>
      </c>
      <c r="D1848" s="387" t="str">
        <f>IF(A1848="","",IFERROR(IF(VLOOKUP(A1848,'1. Inbound Leads'!A:L,12,FALSE)=0,"",VLOOKUP(A1848,'1. Inbound Leads'!A:L,12,FALSE)),""))</f>
        <v/>
      </c>
      <c r="E1848" s="388"/>
      <c r="F1848" s="389"/>
      <c r="G1848" s="387"/>
      <c r="H1848" s="387"/>
      <c r="I1848" s="387"/>
      <c r="J1848" s="387"/>
      <c r="K1848" s="387"/>
      <c r="L1848" s="387"/>
      <c r="M1848" s="388"/>
      <c r="N1848" s="388"/>
      <c r="O1848" s="390"/>
      <c r="P1848" s="391"/>
      <c r="Q1848" s="389"/>
      <c r="R1848" s="390"/>
      <c r="S1848" s="390"/>
      <c r="T1848" s="391"/>
      <c r="U1848" s="392"/>
      <c r="V1848" s="391"/>
      <c r="W1848" s="391"/>
      <c r="X1848" s="388"/>
      <c r="Y1848" s="391"/>
      <c r="Z1848" s="393"/>
      <c r="AA1848" s="355" t="str">
        <f t="shared" si="1"/>
        <v/>
      </c>
      <c r="AB1848" s="391"/>
      <c r="AC1848" s="394" t="str">
        <f t="shared" si="2"/>
        <v/>
      </c>
      <c r="AD1848" s="389"/>
      <c r="AE1848" s="399"/>
      <c r="AF1848" s="395"/>
      <c r="AG1848" s="396" t="str">
        <f t="shared" si="3"/>
        <v/>
      </c>
      <c r="AH1848" s="396" t="str">
        <f t="shared" si="4"/>
        <v/>
      </c>
      <c r="AI1848" s="388"/>
      <c r="AJ1848" s="388"/>
      <c r="AK1848" s="397"/>
    </row>
    <row r="1849">
      <c r="A1849" s="398"/>
      <c r="B1849" s="386"/>
      <c r="C1849" s="387" t="str">
        <f>IF(A1849="","",IFERROR(IF(VLOOKUP(A1849,'1. Inbound Leads'!A:G,7,FALSE)=0,"",VLOOKUP(A1849,'1. Inbound Leads'!A:G,7,FALSE)),""))</f>
        <v/>
      </c>
      <c r="D1849" s="387" t="str">
        <f>IF(A1849="","",IFERROR(IF(VLOOKUP(A1849,'1. Inbound Leads'!A:L,12,FALSE)=0,"",VLOOKUP(A1849,'1. Inbound Leads'!A:L,12,FALSE)),""))</f>
        <v/>
      </c>
      <c r="E1849" s="388"/>
      <c r="F1849" s="389"/>
      <c r="G1849" s="387"/>
      <c r="H1849" s="387"/>
      <c r="I1849" s="387"/>
      <c r="J1849" s="387"/>
      <c r="K1849" s="387"/>
      <c r="L1849" s="387"/>
      <c r="M1849" s="388"/>
      <c r="N1849" s="388"/>
      <c r="O1849" s="390"/>
      <c r="P1849" s="391"/>
      <c r="Q1849" s="389"/>
      <c r="R1849" s="390"/>
      <c r="S1849" s="390"/>
      <c r="T1849" s="391"/>
      <c r="U1849" s="392"/>
      <c r="V1849" s="391"/>
      <c r="W1849" s="391"/>
      <c r="X1849" s="388"/>
      <c r="Y1849" s="391"/>
      <c r="Z1849" s="393"/>
      <c r="AA1849" s="355" t="str">
        <f t="shared" si="1"/>
        <v/>
      </c>
      <c r="AB1849" s="391"/>
      <c r="AC1849" s="394" t="str">
        <f t="shared" si="2"/>
        <v/>
      </c>
      <c r="AD1849" s="389"/>
      <c r="AE1849" s="399"/>
      <c r="AF1849" s="395"/>
      <c r="AG1849" s="396" t="str">
        <f t="shared" si="3"/>
        <v/>
      </c>
      <c r="AH1849" s="396" t="str">
        <f t="shared" si="4"/>
        <v/>
      </c>
      <c r="AI1849" s="388"/>
      <c r="AJ1849" s="388"/>
      <c r="AK1849" s="397"/>
    </row>
    <row r="1850">
      <c r="A1850" s="398"/>
      <c r="B1850" s="386"/>
      <c r="C1850" s="387" t="str">
        <f>IF(A1850="","",IFERROR(IF(VLOOKUP(A1850,'1. Inbound Leads'!A:G,7,FALSE)=0,"",VLOOKUP(A1850,'1. Inbound Leads'!A:G,7,FALSE)),""))</f>
        <v/>
      </c>
      <c r="D1850" s="387" t="str">
        <f>IF(A1850="","",IFERROR(IF(VLOOKUP(A1850,'1. Inbound Leads'!A:L,12,FALSE)=0,"",VLOOKUP(A1850,'1. Inbound Leads'!A:L,12,FALSE)),""))</f>
        <v/>
      </c>
      <c r="E1850" s="388"/>
      <c r="F1850" s="389"/>
      <c r="G1850" s="387"/>
      <c r="H1850" s="387"/>
      <c r="I1850" s="387"/>
      <c r="J1850" s="387"/>
      <c r="K1850" s="387"/>
      <c r="L1850" s="387"/>
      <c r="M1850" s="388"/>
      <c r="N1850" s="388"/>
      <c r="O1850" s="390"/>
      <c r="P1850" s="391"/>
      <c r="Q1850" s="389"/>
      <c r="R1850" s="390"/>
      <c r="S1850" s="390"/>
      <c r="T1850" s="391"/>
      <c r="U1850" s="392"/>
      <c r="V1850" s="391"/>
      <c r="W1850" s="391"/>
      <c r="X1850" s="388"/>
      <c r="Y1850" s="391"/>
      <c r="Z1850" s="393"/>
      <c r="AA1850" s="355" t="str">
        <f t="shared" si="1"/>
        <v/>
      </c>
      <c r="AB1850" s="391"/>
      <c r="AC1850" s="394" t="str">
        <f t="shared" si="2"/>
        <v/>
      </c>
      <c r="AD1850" s="389"/>
      <c r="AE1850" s="399"/>
      <c r="AF1850" s="395"/>
      <c r="AG1850" s="396" t="str">
        <f t="shared" si="3"/>
        <v/>
      </c>
      <c r="AH1850" s="396" t="str">
        <f t="shared" si="4"/>
        <v/>
      </c>
      <c r="AI1850" s="388"/>
      <c r="AJ1850" s="388"/>
      <c r="AK1850" s="397"/>
    </row>
    <row r="1851">
      <c r="A1851" s="398"/>
      <c r="B1851" s="386"/>
      <c r="C1851" s="387" t="str">
        <f>IF(A1851="","",IFERROR(IF(VLOOKUP(A1851,'1. Inbound Leads'!A:G,7,FALSE)=0,"",VLOOKUP(A1851,'1. Inbound Leads'!A:G,7,FALSE)),""))</f>
        <v/>
      </c>
      <c r="D1851" s="387" t="str">
        <f>IF(A1851="","",IFERROR(IF(VLOOKUP(A1851,'1. Inbound Leads'!A:L,12,FALSE)=0,"",VLOOKUP(A1851,'1. Inbound Leads'!A:L,12,FALSE)),""))</f>
        <v/>
      </c>
      <c r="E1851" s="388"/>
      <c r="F1851" s="389"/>
      <c r="G1851" s="387"/>
      <c r="H1851" s="387"/>
      <c r="I1851" s="387"/>
      <c r="J1851" s="387"/>
      <c r="K1851" s="387"/>
      <c r="L1851" s="387"/>
      <c r="M1851" s="388"/>
      <c r="N1851" s="388"/>
      <c r="O1851" s="390"/>
      <c r="P1851" s="391"/>
      <c r="Q1851" s="389"/>
      <c r="R1851" s="390"/>
      <c r="S1851" s="390"/>
      <c r="T1851" s="391"/>
      <c r="U1851" s="392"/>
      <c r="V1851" s="391"/>
      <c r="W1851" s="391"/>
      <c r="X1851" s="388"/>
      <c r="Y1851" s="391"/>
      <c r="Z1851" s="393"/>
      <c r="AA1851" s="355" t="str">
        <f t="shared" si="1"/>
        <v/>
      </c>
      <c r="AB1851" s="391"/>
      <c r="AC1851" s="394" t="str">
        <f t="shared" si="2"/>
        <v/>
      </c>
      <c r="AD1851" s="389"/>
      <c r="AE1851" s="399"/>
      <c r="AF1851" s="395"/>
      <c r="AG1851" s="396" t="str">
        <f t="shared" si="3"/>
        <v/>
      </c>
      <c r="AH1851" s="396" t="str">
        <f t="shared" si="4"/>
        <v/>
      </c>
      <c r="AI1851" s="388"/>
      <c r="AJ1851" s="388"/>
      <c r="AK1851" s="397"/>
    </row>
    <row r="1852">
      <c r="A1852" s="398"/>
      <c r="B1852" s="386"/>
      <c r="C1852" s="387" t="str">
        <f>IF(A1852="","",IFERROR(IF(VLOOKUP(A1852,'1. Inbound Leads'!A:G,7,FALSE)=0,"",VLOOKUP(A1852,'1. Inbound Leads'!A:G,7,FALSE)),""))</f>
        <v/>
      </c>
      <c r="D1852" s="387" t="str">
        <f>IF(A1852="","",IFERROR(IF(VLOOKUP(A1852,'1. Inbound Leads'!A:L,12,FALSE)=0,"",VLOOKUP(A1852,'1. Inbound Leads'!A:L,12,FALSE)),""))</f>
        <v/>
      </c>
      <c r="E1852" s="388"/>
      <c r="F1852" s="389"/>
      <c r="G1852" s="387"/>
      <c r="H1852" s="387"/>
      <c r="I1852" s="387"/>
      <c r="J1852" s="387"/>
      <c r="K1852" s="387"/>
      <c r="L1852" s="387"/>
      <c r="M1852" s="388"/>
      <c r="N1852" s="388"/>
      <c r="O1852" s="390"/>
      <c r="P1852" s="391"/>
      <c r="Q1852" s="389"/>
      <c r="R1852" s="390"/>
      <c r="S1852" s="390"/>
      <c r="T1852" s="391"/>
      <c r="U1852" s="392"/>
      <c r="V1852" s="391"/>
      <c r="W1852" s="391"/>
      <c r="X1852" s="388"/>
      <c r="Y1852" s="391"/>
      <c r="Z1852" s="393"/>
      <c r="AA1852" s="355" t="str">
        <f t="shared" si="1"/>
        <v/>
      </c>
      <c r="AB1852" s="391"/>
      <c r="AC1852" s="394" t="str">
        <f t="shared" si="2"/>
        <v/>
      </c>
      <c r="AD1852" s="389"/>
      <c r="AE1852" s="399"/>
      <c r="AF1852" s="395"/>
      <c r="AG1852" s="396" t="str">
        <f t="shared" si="3"/>
        <v/>
      </c>
      <c r="AH1852" s="396" t="str">
        <f t="shared" si="4"/>
        <v/>
      </c>
      <c r="AI1852" s="388"/>
      <c r="AJ1852" s="388"/>
      <c r="AK1852" s="397"/>
    </row>
    <row r="1853">
      <c r="A1853" s="398"/>
      <c r="B1853" s="386"/>
      <c r="C1853" s="387" t="str">
        <f>IF(A1853="","",IFERROR(IF(VLOOKUP(A1853,'1. Inbound Leads'!A:G,7,FALSE)=0,"",VLOOKUP(A1853,'1. Inbound Leads'!A:G,7,FALSE)),""))</f>
        <v/>
      </c>
      <c r="D1853" s="387" t="str">
        <f>IF(A1853="","",IFERROR(IF(VLOOKUP(A1853,'1. Inbound Leads'!A:L,12,FALSE)=0,"",VLOOKUP(A1853,'1. Inbound Leads'!A:L,12,FALSE)),""))</f>
        <v/>
      </c>
      <c r="E1853" s="388"/>
      <c r="F1853" s="389"/>
      <c r="G1853" s="387"/>
      <c r="H1853" s="387"/>
      <c r="I1853" s="387"/>
      <c r="J1853" s="387"/>
      <c r="K1853" s="387"/>
      <c r="L1853" s="387"/>
      <c r="M1853" s="388"/>
      <c r="N1853" s="388"/>
      <c r="O1853" s="390"/>
      <c r="P1853" s="391"/>
      <c r="Q1853" s="389"/>
      <c r="R1853" s="390"/>
      <c r="S1853" s="390"/>
      <c r="T1853" s="391"/>
      <c r="U1853" s="392"/>
      <c r="V1853" s="391"/>
      <c r="W1853" s="391"/>
      <c r="X1853" s="388"/>
      <c r="Y1853" s="391"/>
      <c r="Z1853" s="393"/>
      <c r="AA1853" s="355" t="str">
        <f t="shared" si="1"/>
        <v/>
      </c>
      <c r="AB1853" s="391"/>
      <c r="AC1853" s="394" t="str">
        <f t="shared" si="2"/>
        <v/>
      </c>
      <c r="AD1853" s="389"/>
      <c r="AE1853" s="399"/>
      <c r="AF1853" s="395"/>
      <c r="AG1853" s="396" t="str">
        <f t="shared" si="3"/>
        <v/>
      </c>
      <c r="AH1853" s="396" t="str">
        <f t="shared" si="4"/>
        <v/>
      </c>
      <c r="AI1853" s="388"/>
      <c r="AJ1853" s="388"/>
      <c r="AK1853" s="397"/>
    </row>
    <row r="1854">
      <c r="A1854" s="398"/>
      <c r="B1854" s="386"/>
      <c r="C1854" s="387" t="str">
        <f>IF(A1854="","",IFERROR(IF(VLOOKUP(A1854,'1. Inbound Leads'!A:G,7,FALSE)=0,"",VLOOKUP(A1854,'1. Inbound Leads'!A:G,7,FALSE)),""))</f>
        <v/>
      </c>
      <c r="D1854" s="387" t="str">
        <f>IF(A1854="","",IFERROR(IF(VLOOKUP(A1854,'1. Inbound Leads'!A:L,12,FALSE)=0,"",VLOOKUP(A1854,'1. Inbound Leads'!A:L,12,FALSE)),""))</f>
        <v/>
      </c>
      <c r="E1854" s="388"/>
      <c r="F1854" s="389"/>
      <c r="G1854" s="387"/>
      <c r="H1854" s="387"/>
      <c r="I1854" s="387"/>
      <c r="J1854" s="387"/>
      <c r="K1854" s="387"/>
      <c r="L1854" s="387"/>
      <c r="M1854" s="388"/>
      <c r="N1854" s="388"/>
      <c r="O1854" s="390"/>
      <c r="P1854" s="391"/>
      <c r="Q1854" s="389"/>
      <c r="R1854" s="390"/>
      <c r="S1854" s="390"/>
      <c r="T1854" s="391"/>
      <c r="U1854" s="392"/>
      <c r="V1854" s="391"/>
      <c r="W1854" s="391"/>
      <c r="X1854" s="388"/>
      <c r="Y1854" s="391"/>
      <c r="Z1854" s="393"/>
      <c r="AA1854" s="355" t="str">
        <f t="shared" si="1"/>
        <v/>
      </c>
      <c r="AB1854" s="391"/>
      <c r="AC1854" s="394" t="str">
        <f t="shared" si="2"/>
        <v/>
      </c>
      <c r="AD1854" s="389"/>
      <c r="AE1854" s="399"/>
      <c r="AF1854" s="395"/>
      <c r="AG1854" s="396" t="str">
        <f t="shared" si="3"/>
        <v/>
      </c>
      <c r="AH1854" s="396" t="str">
        <f t="shared" si="4"/>
        <v/>
      </c>
      <c r="AI1854" s="388"/>
      <c r="AJ1854" s="388"/>
      <c r="AK1854" s="397"/>
    </row>
    <row r="1855">
      <c r="A1855" s="398"/>
      <c r="B1855" s="386"/>
      <c r="C1855" s="387" t="str">
        <f>IF(A1855="","",IFERROR(IF(VLOOKUP(A1855,'1. Inbound Leads'!A:G,7,FALSE)=0,"",VLOOKUP(A1855,'1. Inbound Leads'!A:G,7,FALSE)),""))</f>
        <v/>
      </c>
      <c r="D1855" s="387" t="str">
        <f>IF(A1855="","",IFERROR(IF(VLOOKUP(A1855,'1. Inbound Leads'!A:L,12,FALSE)=0,"",VLOOKUP(A1855,'1. Inbound Leads'!A:L,12,FALSE)),""))</f>
        <v/>
      </c>
      <c r="E1855" s="388"/>
      <c r="F1855" s="389"/>
      <c r="G1855" s="387"/>
      <c r="H1855" s="387"/>
      <c r="I1855" s="387"/>
      <c r="J1855" s="387"/>
      <c r="K1855" s="387"/>
      <c r="L1855" s="387"/>
      <c r="M1855" s="388"/>
      <c r="N1855" s="388"/>
      <c r="O1855" s="390"/>
      <c r="P1855" s="391"/>
      <c r="Q1855" s="389"/>
      <c r="R1855" s="390"/>
      <c r="S1855" s="390"/>
      <c r="T1855" s="391"/>
      <c r="U1855" s="392"/>
      <c r="V1855" s="391"/>
      <c r="W1855" s="391"/>
      <c r="X1855" s="388"/>
      <c r="Y1855" s="391"/>
      <c r="Z1855" s="393"/>
      <c r="AA1855" s="355" t="str">
        <f t="shared" si="1"/>
        <v/>
      </c>
      <c r="AB1855" s="391"/>
      <c r="AC1855" s="394" t="str">
        <f t="shared" si="2"/>
        <v/>
      </c>
      <c r="AD1855" s="389"/>
      <c r="AE1855" s="399"/>
      <c r="AF1855" s="395"/>
      <c r="AG1855" s="396" t="str">
        <f t="shared" si="3"/>
        <v/>
      </c>
      <c r="AH1855" s="396" t="str">
        <f t="shared" si="4"/>
        <v/>
      </c>
      <c r="AI1855" s="388"/>
      <c r="AJ1855" s="388"/>
      <c r="AK1855" s="397"/>
    </row>
    <row r="1856">
      <c r="A1856" s="398"/>
      <c r="B1856" s="386"/>
      <c r="C1856" s="387" t="str">
        <f>IF(A1856="","",IFERROR(IF(VLOOKUP(A1856,'1. Inbound Leads'!A:G,7,FALSE)=0,"",VLOOKUP(A1856,'1. Inbound Leads'!A:G,7,FALSE)),""))</f>
        <v/>
      </c>
      <c r="D1856" s="387" t="str">
        <f>IF(A1856="","",IFERROR(IF(VLOOKUP(A1856,'1. Inbound Leads'!A:L,12,FALSE)=0,"",VLOOKUP(A1856,'1. Inbound Leads'!A:L,12,FALSE)),""))</f>
        <v/>
      </c>
      <c r="E1856" s="388"/>
      <c r="F1856" s="389"/>
      <c r="G1856" s="387"/>
      <c r="H1856" s="387"/>
      <c r="I1856" s="387"/>
      <c r="J1856" s="387"/>
      <c r="K1856" s="387"/>
      <c r="L1856" s="387"/>
      <c r="M1856" s="388"/>
      <c r="N1856" s="388"/>
      <c r="O1856" s="390"/>
      <c r="P1856" s="391"/>
      <c r="Q1856" s="389"/>
      <c r="R1856" s="390"/>
      <c r="S1856" s="390"/>
      <c r="T1856" s="391"/>
      <c r="U1856" s="392"/>
      <c r="V1856" s="391"/>
      <c r="W1856" s="391"/>
      <c r="X1856" s="388"/>
      <c r="Y1856" s="391"/>
      <c r="Z1856" s="393"/>
      <c r="AA1856" s="355" t="str">
        <f t="shared" si="1"/>
        <v/>
      </c>
      <c r="AB1856" s="391"/>
      <c r="AC1856" s="394" t="str">
        <f t="shared" si="2"/>
        <v/>
      </c>
      <c r="AD1856" s="389"/>
      <c r="AE1856" s="399"/>
      <c r="AF1856" s="395"/>
      <c r="AG1856" s="396" t="str">
        <f t="shared" si="3"/>
        <v/>
      </c>
      <c r="AH1856" s="396" t="str">
        <f t="shared" si="4"/>
        <v/>
      </c>
      <c r="AI1856" s="388"/>
      <c r="AJ1856" s="388"/>
      <c r="AK1856" s="397"/>
    </row>
    <row r="1857">
      <c r="A1857" s="398"/>
      <c r="B1857" s="386"/>
      <c r="C1857" s="387" t="str">
        <f>IF(A1857="","",IFERROR(IF(VLOOKUP(A1857,'1. Inbound Leads'!A:G,7,FALSE)=0,"",VLOOKUP(A1857,'1. Inbound Leads'!A:G,7,FALSE)),""))</f>
        <v/>
      </c>
      <c r="D1857" s="387" t="str">
        <f>IF(A1857="","",IFERROR(IF(VLOOKUP(A1857,'1. Inbound Leads'!A:L,12,FALSE)=0,"",VLOOKUP(A1857,'1. Inbound Leads'!A:L,12,FALSE)),""))</f>
        <v/>
      </c>
      <c r="E1857" s="388"/>
      <c r="F1857" s="389"/>
      <c r="G1857" s="387"/>
      <c r="H1857" s="387"/>
      <c r="I1857" s="387"/>
      <c r="J1857" s="387"/>
      <c r="K1857" s="387"/>
      <c r="L1857" s="387"/>
      <c r="M1857" s="388"/>
      <c r="N1857" s="388"/>
      <c r="O1857" s="390"/>
      <c r="P1857" s="391"/>
      <c r="Q1857" s="389"/>
      <c r="R1857" s="390"/>
      <c r="S1857" s="390"/>
      <c r="T1857" s="391"/>
      <c r="U1857" s="392"/>
      <c r="V1857" s="391"/>
      <c r="W1857" s="391"/>
      <c r="X1857" s="388"/>
      <c r="Y1857" s="391"/>
      <c r="Z1857" s="393"/>
      <c r="AA1857" s="355" t="str">
        <f t="shared" si="1"/>
        <v/>
      </c>
      <c r="AB1857" s="391"/>
      <c r="AC1857" s="394" t="str">
        <f t="shared" si="2"/>
        <v/>
      </c>
      <c r="AD1857" s="389"/>
      <c r="AE1857" s="399"/>
      <c r="AF1857" s="395"/>
      <c r="AG1857" s="396" t="str">
        <f t="shared" si="3"/>
        <v/>
      </c>
      <c r="AH1857" s="396" t="str">
        <f t="shared" si="4"/>
        <v/>
      </c>
      <c r="AI1857" s="388"/>
      <c r="AJ1857" s="388"/>
      <c r="AK1857" s="397"/>
    </row>
    <row r="1858">
      <c r="A1858" s="398"/>
      <c r="B1858" s="386"/>
      <c r="C1858" s="387" t="str">
        <f>IF(A1858="","",IFERROR(IF(VLOOKUP(A1858,'1. Inbound Leads'!A:G,7,FALSE)=0,"",VLOOKUP(A1858,'1. Inbound Leads'!A:G,7,FALSE)),""))</f>
        <v/>
      </c>
      <c r="D1858" s="387" t="str">
        <f>IF(A1858="","",IFERROR(IF(VLOOKUP(A1858,'1. Inbound Leads'!A:L,12,FALSE)=0,"",VLOOKUP(A1858,'1. Inbound Leads'!A:L,12,FALSE)),""))</f>
        <v/>
      </c>
      <c r="E1858" s="388"/>
      <c r="F1858" s="389"/>
      <c r="G1858" s="387"/>
      <c r="H1858" s="387"/>
      <c r="I1858" s="387"/>
      <c r="J1858" s="387"/>
      <c r="K1858" s="387"/>
      <c r="L1858" s="387"/>
      <c r="M1858" s="388"/>
      <c r="N1858" s="388"/>
      <c r="O1858" s="390"/>
      <c r="P1858" s="391"/>
      <c r="Q1858" s="389"/>
      <c r="R1858" s="390"/>
      <c r="S1858" s="390"/>
      <c r="T1858" s="391"/>
      <c r="U1858" s="392"/>
      <c r="V1858" s="391"/>
      <c r="W1858" s="391"/>
      <c r="X1858" s="388"/>
      <c r="Y1858" s="391"/>
      <c r="Z1858" s="393"/>
      <c r="AA1858" s="355" t="str">
        <f t="shared" si="1"/>
        <v/>
      </c>
      <c r="AB1858" s="391"/>
      <c r="AC1858" s="394" t="str">
        <f t="shared" si="2"/>
        <v/>
      </c>
      <c r="AD1858" s="389"/>
      <c r="AE1858" s="399"/>
      <c r="AF1858" s="395"/>
      <c r="AG1858" s="396" t="str">
        <f t="shared" si="3"/>
        <v/>
      </c>
      <c r="AH1858" s="396" t="str">
        <f t="shared" si="4"/>
        <v/>
      </c>
      <c r="AI1858" s="388"/>
      <c r="AJ1858" s="388"/>
      <c r="AK1858" s="397"/>
    </row>
    <row r="1859">
      <c r="A1859" s="398"/>
      <c r="B1859" s="386"/>
      <c r="C1859" s="387" t="str">
        <f>IF(A1859="","",IFERROR(IF(VLOOKUP(A1859,'1. Inbound Leads'!A:G,7,FALSE)=0,"",VLOOKUP(A1859,'1. Inbound Leads'!A:G,7,FALSE)),""))</f>
        <v/>
      </c>
      <c r="D1859" s="387" t="str">
        <f>IF(A1859="","",IFERROR(IF(VLOOKUP(A1859,'1. Inbound Leads'!A:L,12,FALSE)=0,"",VLOOKUP(A1859,'1. Inbound Leads'!A:L,12,FALSE)),""))</f>
        <v/>
      </c>
      <c r="E1859" s="388"/>
      <c r="F1859" s="389"/>
      <c r="G1859" s="387"/>
      <c r="H1859" s="387"/>
      <c r="I1859" s="387"/>
      <c r="J1859" s="387"/>
      <c r="K1859" s="387"/>
      <c r="L1859" s="387"/>
      <c r="M1859" s="388"/>
      <c r="N1859" s="388"/>
      <c r="O1859" s="390"/>
      <c r="P1859" s="391"/>
      <c r="Q1859" s="389"/>
      <c r="R1859" s="390"/>
      <c r="S1859" s="390"/>
      <c r="T1859" s="391"/>
      <c r="U1859" s="392"/>
      <c r="V1859" s="391"/>
      <c r="W1859" s="391"/>
      <c r="X1859" s="388"/>
      <c r="Y1859" s="391"/>
      <c r="Z1859" s="393"/>
      <c r="AA1859" s="355" t="str">
        <f t="shared" si="1"/>
        <v/>
      </c>
      <c r="AB1859" s="391"/>
      <c r="AC1859" s="394" t="str">
        <f t="shared" si="2"/>
        <v/>
      </c>
      <c r="AD1859" s="389"/>
      <c r="AE1859" s="399"/>
      <c r="AF1859" s="395"/>
      <c r="AG1859" s="396" t="str">
        <f t="shared" si="3"/>
        <v/>
      </c>
      <c r="AH1859" s="396" t="str">
        <f t="shared" si="4"/>
        <v/>
      </c>
      <c r="AI1859" s="388"/>
      <c r="AJ1859" s="388"/>
      <c r="AK1859" s="397"/>
    </row>
    <row r="1860">
      <c r="A1860" s="398"/>
      <c r="B1860" s="386"/>
      <c r="C1860" s="387" t="str">
        <f>IF(A1860="","",IFERROR(IF(VLOOKUP(A1860,'1. Inbound Leads'!A:G,7,FALSE)=0,"",VLOOKUP(A1860,'1. Inbound Leads'!A:G,7,FALSE)),""))</f>
        <v/>
      </c>
      <c r="D1860" s="387" t="str">
        <f>IF(A1860="","",IFERROR(IF(VLOOKUP(A1860,'1. Inbound Leads'!A:L,12,FALSE)=0,"",VLOOKUP(A1860,'1. Inbound Leads'!A:L,12,FALSE)),""))</f>
        <v/>
      </c>
      <c r="E1860" s="388"/>
      <c r="F1860" s="389"/>
      <c r="G1860" s="387"/>
      <c r="H1860" s="387"/>
      <c r="I1860" s="387"/>
      <c r="J1860" s="387"/>
      <c r="K1860" s="387"/>
      <c r="L1860" s="387"/>
      <c r="M1860" s="388"/>
      <c r="N1860" s="388"/>
      <c r="O1860" s="390"/>
      <c r="P1860" s="391"/>
      <c r="Q1860" s="389"/>
      <c r="R1860" s="390"/>
      <c r="S1860" s="390"/>
      <c r="T1860" s="391"/>
      <c r="U1860" s="392"/>
      <c r="V1860" s="391"/>
      <c r="W1860" s="391"/>
      <c r="X1860" s="388"/>
      <c r="Y1860" s="391"/>
      <c r="Z1860" s="393"/>
      <c r="AA1860" s="355" t="str">
        <f t="shared" si="1"/>
        <v/>
      </c>
      <c r="AB1860" s="391"/>
      <c r="AC1860" s="394" t="str">
        <f t="shared" si="2"/>
        <v/>
      </c>
      <c r="AD1860" s="389"/>
      <c r="AE1860" s="399"/>
      <c r="AF1860" s="395"/>
      <c r="AG1860" s="396" t="str">
        <f t="shared" si="3"/>
        <v/>
      </c>
      <c r="AH1860" s="396" t="str">
        <f t="shared" si="4"/>
        <v/>
      </c>
      <c r="AI1860" s="388"/>
      <c r="AJ1860" s="388"/>
      <c r="AK1860" s="397"/>
    </row>
    <row r="1861">
      <c r="A1861" s="398"/>
      <c r="B1861" s="386"/>
      <c r="C1861" s="387" t="str">
        <f>IF(A1861="","",IFERROR(IF(VLOOKUP(A1861,'1. Inbound Leads'!A:G,7,FALSE)=0,"",VLOOKUP(A1861,'1. Inbound Leads'!A:G,7,FALSE)),""))</f>
        <v/>
      </c>
      <c r="D1861" s="387" t="str">
        <f>IF(A1861="","",IFERROR(IF(VLOOKUP(A1861,'1. Inbound Leads'!A:L,12,FALSE)=0,"",VLOOKUP(A1861,'1. Inbound Leads'!A:L,12,FALSE)),""))</f>
        <v/>
      </c>
      <c r="E1861" s="388"/>
      <c r="F1861" s="389"/>
      <c r="G1861" s="387"/>
      <c r="H1861" s="387"/>
      <c r="I1861" s="387"/>
      <c r="J1861" s="387"/>
      <c r="K1861" s="387"/>
      <c r="L1861" s="387"/>
      <c r="M1861" s="388"/>
      <c r="N1861" s="388"/>
      <c r="O1861" s="390"/>
      <c r="P1861" s="391"/>
      <c r="Q1861" s="389"/>
      <c r="R1861" s="390"/>
      <c r="S1861" s="390"/>
      <c r="T1861" s="391"/>
      <c r="U1861" s="392"/>
      <c r="V1861" s="391"/>
      <c r="W1861" s="391"/>
      <c r="X1861" s="388"/>
      <c r="Y1861" s="391"/>
      <c r="Z1861" s="393"/>
      <c r="AA1861" s="355" t="str">
        <f t="shared" si="1"/>
        <v/>
      </c>
      <c r="AB1861" s="391"/>
      <c r="AC1861" s="394" t="str">
        <f t="shared" si="2"/>
        <v/>
      </c>
      <c r="AD1861" s="389"/>
      <c r="AE1861" s="399"/>
      <c r="AF1861" s="395"/>
      <c r="AG1861" s="396" t="str">
        <f t="shared" si="3"/>
        <v/>
      </c>
      <c r="AH1861" s="396" t="str">
        <f t="shared" si="4"/>
        <v/>
      </c>
      <c r="AI1861" s="388"/>
      <c r="AJ1861" s="388"/>
      <c r="AK1861" s="397"/>
    </row>
    <row r="1862">
      <c r="A1862" s="398"/>
      <c r="B1862" s="386"/>
      <c r="C1862" s="387" t="str">
        <f>IF(A1862="","",IFERROR(IF(VLOOKUP(A1862,'1. Inbound Leads'!A:G,7,FALSE)=0,"",VLOOKUP(A1862,'1. Inbound Leads'!A:G,7,FALSE)),""))</f>
        <v/>
      </c>
      <c r="D1862" s="387" t="str">
        <f>IF(A1862="","",IFERROR(IF(VLOOKUP(A1862,'1. Inbound Leads'!A:L,12,FALSE)=0,"",VLOOKUP(A1862,'1. Inbound Leads'!A:L,12,FALSE)),""))</f>
        <v/>
      </c>
      <c r="E1862" s="388"/>
      <c r="F1862" s="389"/>
      <c r="G1862" s="387"/>
      <c r="H1862" s="387"/>
      <c r="I1862" s="387"/>
      <c r="J1862" s="387"/>
      <c r="K1862" s="387"/>
      <c r="L1862" s="387"/>
      <c r="M1862" s="388"/>
      <c r="N1862" s="388"/>
      <c r="O1862" s="390"/>
      <c r="P1862" s="391"/>
      <c r="Q1862" s="389"/>
      <c r="R1862" s="390"/>
      <c r="S1862" s="390"/>
      <c r="T1862" s="391"/>
      <c r="U1862" s="392"/>
      <c r="V1862" s="391"/>
      <c r="W1862" s="391"/>
      <c r="X1862" s="388"/>
      <c r="Y1862" s="391"/>
      <c r="Z1862" s="393"/>
      <c r="AA1862" s="355" t="str">
        <f t="shared" si="1"/>
        <v/>
      </c>
      <c r="AB1862" s="391"/>
      <c r="AC1862" s="394" t="str">
        <f t="shared" si="2"/>
        <v/>
      </c>
      <c r="AD1862" s="389"/>
      <c r="AE1862" s="399"/>
      <c r="AF1862" s="395"/>
      <c r="AG1862" s="396" t="str">
        <f t="shared" si="3"/>
        <v/>
      </c>
      <c r="AH1862" s="396" t="str">
        <f t="shared" si="4"/>
        <v/>
      </c>
      <c r="AI1862" s="388"/>
      <c r="AJ1862" s="388"/>
      <c r="AK1862" s="397"/>
    </row>
    <row r="1863">
      <c r="A1863" s="398"/>
      <c r="B1863" s="386"/>
      <c r="C1863" s="387" t="str">
        <f>IF(A1863="","",IFERROR(IF(VLOOKUP(A1863,'1. Inbound Leads'!A:G,7,FALSE)=0,"",VLOOKUP(A1863,'1. Inbound Leads'!A:G,7,FALSE)),""))</f>
        <v/>
      </c>
      <c r="D1863" s="387" t="str">
        <f>IF(A1863="","",IFERROR(IF(VLOOKUP(A1863,'1. Inbound Leads'!A:L,12,FALSE)=0,"",VLOOKUP(A1863,'1. Inbound Leads'!A:L,12,FALSE)),""))</f>
        <v/>
      </c>
      <c r="E1863" s="388"/>
      <c r="F1863" s="389"/>
      <c r="G1863" s="387"/>
      <c r="H1863" s="387"/>
      <c r="I1863" s="387"/>
      <c r="J1863" s="387"/>
      <c r="K1863" s="387"/>
      <c r="L1863" s="387"/>
      <c r="M1863" s="388"/>
      <c r="N1863" s="388"/>
      <c r="O1863" s="390"/>
      <c r="P1863" s="391"/>
      <c r="Q1863" s="389"/>
      <c r="R1863" s="390"/>
      <c r="S1863" s="390"/>
      <c r="T1863" s="391"/>
      <c r="U1863" s="392"/>
      <c r="V1863" s="391"/>
      <c r="W1863" s="391"/>
      <c r="X1863" s="388"/>
      <c r="Y1863" s="391"/>
      <c r="Z1863" s="393"/>
      <c r="AA1863" s="355" t="str">
        <f t="shared" si="1"/>
        <v/>
      </c>
      <c r="AB1863" s="391"/>
      <c r="AC1863" s="394" t="str">
        <f t="shared" si="2"/>
        <v/>
      </c>
      <c r="AD1863" s="389"/>
      <c r="AE1863" s="399"/>
      <c r="AF1863" s="395"/>
      <c r="AG1863" s="396" t="str">
        <f t="shared" si="3"/>
        <v/>
      </c>
      <c r="AH1863" s="396" t="str">
        <f t="shared" si="4"/>
        <v/>
      </c>
      <c r="AI1863" s="388"/>
      <c r="AJ1863" s="388"/>
      <c r="AK1863" s="397"/>
    </row>
    <row r="1864">
      <c r="A1864" s="398"/>
      <c r="B1864" s="386"/>
      <c r="C1864" s="387" t="str">
        <f>IF(A1864="","",IFERROR(IF(VLOOKUP(A1864,'1. Inbound Leads'!A:G,7,FALSE)=0,"",VLOOKUP(A1864,'1. Inbound Leads'!A:G,7,FALSE)),""))</f>
        <v/>
      </c>
      <c r="D1864" s="387" t="str">
        <f>IF(A1864="","",IFERROR(IF(VLOOKUP(A1864,'1. Inbound Leads'!A:L,12,FALSE)=0,"",VLOOKUP(A1864,'1. Inbound Leads'!A:L,12,FALSE)),""))</f>
        <v/>
      </c>
      <c r="E1864" s="388"/>
      <c r="F1864" s="389"/>
      <c r="G1864" s="387"/>
      <c r="H1864" s="387"/>
      <c r="I1864" s="387"/>
      <c r="J1864" s="387"/>
      <c r="K1864" s="387"/>
      <c r="L1864" s="387"/>
      <c r="M1864" s="388"/>
      <c r="N1864" s="388"/>
      <c r="O1864" s="390"/>
      <c r="P1864" s="391"/>
      <c r="Q1864" s="389"/>
      <c r="R1864" s="390"/>
      <c r="S1864" s="390"/>
      <c r="T1864" s="391"/>
      <c r="U1864" s="392"/>
      <c r="V1864" s="391"/>
      <c r="W1864" s="391"/>
      <c r="X1864" s="388"/>
      <c r="Y1864" s="391"/>
      <c r="Z1864" s="393"/>
      <c r="AA1864" s="355" t="str">
        <f t="shared" si="1"/>
        <v/>
      </c>
      <c r="AB1864" s="391"/>
      <c r="AC1864" s="394" t="str">
        <f t="shared" si="2"/>
        <v/>
      </c>
      <c r="AD1864" s="389"/>
      <c r="AE1864" s="399"/>
      <c r="AF1864" s="395"/>
      <c r="AG1864" s="396" t="str">
        <f t="shared" si="3"/>
        <v/>
      </c>
      <c r="AH1864" s="396" t="str">
        <f t="shared" si="4"/>
        <v/>
      </c>
      <c r="AI1864" s="388"/>
      <c r="AJ1864" s="388"/>
      <c r="AK1864" s="397"/>
    </row>
    <row r="1865">
      <c r="A1865" s="398"/>
      <c r="B1865" s="386"/>
      <c r="C1865" s="387" t="str">
        <f>IF(A1865="","",IFERROR(IF(VLOOKUP(A1865,'1. Inbound Leads'!A:G,7,FALSE)=0,"",VLOOKUP(A1865,'1. Inbound Leads'!A:G,7,FALSE)),""))</f>
        <v/>
      </c>
      <c r="D1865" s="387" t="str">
        <f>IF(A1865="","",IFERROR(IF(VLOOKUP(A1865,'1. Inbound Leads'!A:L,12,FALSE)=0,"",VLOOKUP(A1865,'1. Inbound Leads'!A:L,12,FALSE)),""))</f>
        <v/>
      </c>
      <c r="E1865" s="388"/>
      <c r="F1865" s="389"/>
      <c r="G1865" s="387"/>
      <c r="H1865" s="387"/>
      <c r="I1865" s="387"/>
      <c r="J1865" s="387"/>
      <c r="K1865" s="387"/>
      <c r="L1865" s="387"/>
      <c r="M1865" s="388"/>
      <c r="N1865" s="388"/>
      <c r="O1865" s="390"/>
      <c r="P1865" s="391"/>
      <c r="Q1865" s="389"/>
      <c r="R1865" s="390"/>
      <c r="S1865" s="390"/>
      <c r="T1865" s="391"/>
      <c r="U1865" s="392"/>
      <c r="V1865" s="391"/>
      <c r="W1865" s="391"/>
      <c r="X1865" s="388"/>
      <c r="Y1865" s="391"/>
      <c r="Z1865" s="393"/>
      <c r="AA1865" s="355" t="str">
        <f t="shared" si="1"/>
        <v/>
      </c>
      <c r="AB1865" s="391"/>
      <c r="AC1865" s="394" t="str">
        <f t="shared" si="2"/>
        <v/>
      </c>
      <c r="AD1865" s="389"/>
      <c r="AE1865" s="399"/>
      <c r="AF1865" s="395"/>
      <c r="AG1865" s="396" t="str">
        <f t="shared" si="3"/>
        <v/>
      </c>
      <c r="AH1865" s="396" t="str">
        <f t="shared" si="4"/>
        <v/>
      </c>
      <c r="AI1865" s="388"/>
      <c r="AJ1865" s="388"/>
      <c r="AK1865" s="397"/>
    </row>
    <row r="1866">
      <c r="A1866" s="398"/>
      <c r="B1866" s="386"/>
      <c r="C1866" s="387" t="str">
        <f>IF(A1866="","",IFERROR(IF(VLOOKUP(A1866,'1. Inbound Leads'!A:G,7,FALSE)=0,"",VLOOKUP(A1866,'1. Inbound Leads'!A:G,7,FALSE)),""))</f>
        <v/>
      </c>
      <c r="D1866" s="387" t="str">
        <f>IF(A1866="","",IFERROR(IF(VLOOKUP(A1866,'1. Inbound Leads'!A:L,12,FALSE)=0,"",VLOOKUP(A1866,'1. Inbound Leads'!A:L,12,FALSE)),""))</f>
        <v/>
      </c>
      <c r="E1866" s="388"/>
      <c r="F1866" s="389"/>
      <c r="G1866" s="387"/>
      <c r="H1866" s="387"/>
      <c r="I1866" s="387"/>
      <c r="J1866" s="387"/>
      <c r="K1866" s="387"/>
      <c r="L1866" s="387"/>
      <c r="M1866" s="388"/>
      <c r="N1866" s="388"/>
      <c r="O1866" s="390"/>
      <c r="P1866" s="391"/>
      <c r="Q1866" s="389"/>
      <c r="R1866" s="390"/>
      <c r="S1866" s="390"/>
      <c r="T1866" s="391"/>
      <c r="U1866" s="392"/>
      <c r="V1866" s="391"/>
      <c r="W1866" s="391"/>
      <c r="X1866" s="388"/>
      <c r="Y1866" s="391"/>
      <c r="Z1866" s="393"/>
      <c r="AA1866" s="355" t="str">
        <f t="shared" si="1"/>
        <v/>
      </c>
      <c r="AB1866" s="391"/>
      <c r="AC1866" s="394" t="str">
        <f t="shared" si="2"/>
        <v/>
      </c>
      <c r="AD1866" s="389"/>
      <c r="AE1866" s="399"/>
      <c r="AF1866" s="395"/>
      <c r="AG1866" s="396" t="str">
        <f t="shared" si="3"/>
        <v/>
      </c>
      <c r="AH1866" s="396" t="str">
        <f t="shared" si="4"/>
        <v/>
      </c>
      <c r="AI1866" s="388"/>
      <c r="AJ1866" s="388"/>
      <c r="AK1866" s="397"/>
    </row>
    <row r="1867">
      <c r="A1867" s="398"/>
      <c r="B1867" s="386"/>
      <c r="C1867" s="387" t="str">
        <f>IF(A1867="","",IFERROR(IF(VLOOKUP(A1867,'1. Inbound Leads'!A:G,7,FALSE)=0,"",VLOOKUP(A1867,'1. Inbound Leads'!A:G,7,FALSE)),""))</f>
        <v/>
      </c>
      <c r="D1867" s="387" t="str">
        <f>IF(A1867="","",IFERROR(IF(VLOOKUP(A1867,'1. Inbound Leads'!A:L,12,FALSE)=0,"",VLOOKUP(A1867,'1. Inbound Leads'!A:L,12,FALSE)),""))</f>
        <v/>
      </c>
      <c r="E1867" s="388"/>
      <c r="F1867" s="389"/>
      <c r="G1867" s="387"/>
      <c r="H1867" s="387"/>
      <c r="I1867" s="387"/>
      <c r="J1867" s="387"/>
      <c r="K1867" s="387"/>
      <c r="L1867" s="387"/>
      <c r="M1867" s="388"/>
      <c r="N1867" s="388"/>
      <c r="O1867" s="390"/>
      <c r="P1867" s="391"/>
      <c r="Q1867" s="389"/>
      <c r="R1867" s="390"/>
      <c r="S1867" s="390"/>
      <c r="T1867" s="391"/>
      <c r="U1867" s="392"/>
      <c r="V1867" s="391"/>
      <c r="W1867" s="391"/>
      <c r="X1867" s="388"/>
      <c r="Y1867" s="391"/>
      <c r="Z1867" s="393"/>
      <c r="AA1867" s="355" t="str">
        <f t="shared" si="1"/>
        <v/>
      </c>
      <c r="AB1867" s="391"/>
      <c r="AC1867" s="394" t="str">
        <f t="shared" si="2"/>
        <v/>
      </c>
      <c r="AD1867" s="389"/>
      <c r="AE1867" s="399"/>
      <c r="AF1867" s="395"/>
      <c r="AG1867" s="396" t="str">
        <f t="shared" si="3"/>
        <v/>
      </c>
      <c r="AH1867" s="396" t="str">
        <f t="shared" si="4"/>
        <v/>
      </c>
      <c r="AI1867" s="388"/>
      <c r="AJ1867" s="388"/>
      <c r="AK1867" s="397"/>
    </row>
    <row r="1868">
      <c r="A1868" s="398"/>
      <c r="B1868" s="386"/>
      <c r="C1868" s="387" t="str">
        <f>IF(A1868="","",IFERROR(IF(VLOOKUP(A1868,'1. Inbound Leads'!A:G,7,FALSE)=0,"",VLOOKUP(A1868,'1. Inbound Leads'!A:G,7,FALSE)),""))</f>
        <v/>
      </c>
      <c r="D1868" s="387" t="str">
        <f>IF(A1868="","",IFERROR(IF(VLOOKUP(A1868,'1. Inbound Leads'!A:L,12,FALSE)=0,"",VLOOKUP(A1868,'1. Inbound Leads'!A:L,12,FALSE)),""))</f>
        <v/>
      </c>
      <c r="E1868" s="388"/>
      <c r="F1868" s="389"/>
      <c r="G1868" s="387"/>
      <c r="H1868" s="387"/>
      <c r="I1868" s="387"/>
      <c r="J1868" s="387"/>
      <c r="K1868" s="387"/>
      <c r="L1868" s="387"/>
      <c r="M1868" s="388"/>
      <c r="N1868" s="388"/>
      <c r="O1868" s="390"/>
      <c r="P1868" s="391"/>
      <c r="Q1868" s="389"/>
      <c r="R1868" s="390"/>
      <c r="S1868" s="390"/>
      <c r="T1868" s="391"/>
      <c r="U1868" s="392"/>
      <c r="V1868" s="391"/>
      <c r="W1868" s="391"/>
      <c r="X1868" s="388"/>
      <c r="Y1868" s="391"/>
      <c r="Z1868" s="393"/>
      <c r="AA1868" s="355" t="str">
        <f t="shared" si="1"/>
        <v/>
      </c>
      <c r="AB1868" s="391"/>
      <c r="AC1868" s="394" t="str">
        <f t="shared" si="2"/>
        <v/>
      </c>
      <c r="AD1868" s="389"/>
      <c r="AE1868" s="399"/>
      <c r="AF1868" s="395"/>
      <c r="AG1868" s="396" t="str">
        <f t="shared" si="3"/>
        <v/>
      </c>
      <c r="AH1868" s="396" t="str">
        <f t="shared" si="4"/>
        <v/>
      </c>
      <c r="AI1868" s="388"/>
      <c r="AJ1868" s="388"/>
      <c r="AK1868" s="397"/>
    </row>
    <row r="1869">
      <c r="A1869" s="398"/>
      <c r="B1869" s="386"/>
      <c r="C1869" s="387" t="str">
        <f>IF(A1869="","",IFERROR(IF(VLOOKUP(A1869,'1. Inbound Leads'!A:G,7,FALSE)=0,"",VLOOKUP(A1869,'1. Inbound Leads'!A:G,7,FALSE)),""))</f>
        <v/>
      </c>
      <c r="D1869" s="387" t="str">
        <f>IF(A1869="","",IFERROR(IF(VLOOKUP(A1869,'1. Inbound Leads'!A:L,12,FALSE)=0,"",VLOOKUP(A1869,'1. Inbound Leads'!A:L,12,FALSE)),""))</f>
        <v/>
      </c>
      <c r="E1869" s="388"/>
      <c r="F1869" s="389"/>
      <c r="G1869" s="387"/>
      <c r="H1869" s="387"/>
      <c r="I1869" s="387"/>
      <c r="J1869" s="387"/>
      <c r="K1869" s="387"/>
      <c r="L1869" s="387"/>
      <c r="M1869" s="388"/>
      <c r="N1869" s="388"/>
      <c r="O1869" s="390"/>
      <c r="P1869" s="391"/>
      <c r="Q1869" s="389"/>
      <c r="R1869" s="390"/>
      <c r="S1869" s="390"/>
      <c r="T1869" s="391"/>
      <c r="U1869" s="392"/>
      <c r="V1869" s="391"/>
      <c r="W1869" s="391"/>
      <c r="X1869" s="388"/>
      <c r="Y1869" s="391"/>
      <c r="Z1869" s="393"/>
      <c r="AA1869" s="355" t="str">
        <f t="shared" si="1"/>
        <v/>
      </c>
      <c r="AB1869" s="391"/>
      <c r="AC1869" s="394" t="str">
        <f t="shared" si="2"/>
        <v/>
      </c>
      <c r="AD1869" s="389"/>
      <c r="AE1869" s="399"/>
      <c r="AF1869" s="395"/>
      <c r="AG1869" s="396" t="str">
        <f t="shared" si="3"/>
        <v/>
      </c>
      <c r="AH1869" s="396" t="str">
        <f t="shared" si="4"/>
        <v/>
      </c>
      <c r="AI1869" s="388"/>
      <c r="AJ1869" s="388"/>
      <c r="AK1869" s="397"/>
    </row>
    <row r="1870">
      <c r="A1870" s="398"/>
      <c r="B1870" s="386"/>
      <c r="C1870" s="387" t="str">
        <f>IF(A1870="","",IFERROR(IF(VLOOKUP(A1870,'1. Inbound Leads'!A:G,7,FALSE)=0,"",VLOOKUP(A1870,'1. Inbound Leads'!A:G,7,FALSE)),""))</f>
        <v/>
      </c>
      <c r="D1870" s="387" t="str">
        <f>IF(A1870="","",IFERROR(IF(VLOOKUP(A1870,'1. Inbound Leads'!A:L,12,FALSE)=0,"",VLOOKUP(A1870,'1. Inbound Leads'!A:L,12,FALSE)),""))</f>
        <v/>
      </c>
      <c r="E1870" s="388"/>
      <c r="F1870" s="389"/>
      <c r="G1870" s="387"/>
      <c r="H1870" s="387"/>
      <c r="I1870" s="387"/>
      <c r="J1870" s="387"/>
      <c r="K1870" s="387"/>
      <c r="L1870" s="387"/>
      <c r="M1870" s="388"/>
      <c r="N1870" s="388"/>
      <c r="O1870" s="390"/>
      <c r="P1870" s="391"/>
      <c r="Q1870" s="389"/>
      <c r="R1870" s="390"/>
      <c r="S1870" s="390"/>
      <c r="T1870" s="391"/>
      <c r="U1870" s="392"/>
      <c r="V1870" s="391"/>
      <c r="W1870" s="391"/>
      <c r="X1870" s="388"/>
      <c r="Y1870" s="391"/>
      <c r="Z1870" s="393"/>
      <c r="AA1870" s="355" t="str">
        <f t="shared" si="1"/>
        <v/>
      </c>
      <c r="AB1870" s="391"/>
      <c r="AC1870" s="394" t="str">
        <f t="shared" si="2"/>
        <v/>
      </c>
      <c r="AD1870" s="389"/>
      <c r="AE1870" s="399"/>
      <c r="AF1870" s="395"/>
      <c r="AG1870" s="396" t="str">
        <f t="shared" si="3"/>
        <v/>
      </c>
      <c r="AH1870" s="396" t="str">
        <f t="shared" si="4"/>
        <v/>
      </c>
      <c r="AI1870" s="388"/>
      <c r="AJ1870" s="388"/>
      <c r="AK1870" s="397"/>
    </row>
    <row r="1871">
      <c r="A1871" s="398"/>
      <c r="B1871" s="386"/>
      <c r="C1871" s="387" t="str">
        <f>IF(A1871="","",IFERROR(IF(VLOOKUP(A1871,'1. Inbound Leads'!A:G,7,FALSE)=0,"",VLOOKUP(A1871,'1. Inbound Leads'!A:G,7,FALSE)),""))</f>
        <v/>
      </c>
      <c r="D1871" s="387" t="str">
        <f>IF(A1871="","",IFERROR(IF(VLOOKUP(A1871,'1. Inbound Leads'!A:L,12,FALSE)=0,"",VLOOKUP(A1871,'1. Inbound Leads'!A:L,12,FALSE)),""))</f>
        <v/>
      </c>
      <c r="E1871" s="388"/>
      <c r="F1871" s="389"/>
      <c r="G1871" s="387"/>
      <c r="H1871" s="387"/>
      <c r="I1871" s="387"/>
      <c r="J1871" s="387"/>
      <c r="K1871" s="387"/>
      <c r="L1871" s="387"/>
      <c r="M1871" s="388"/>
      <c r="N1871" s="388"/>
      <c r="O1871" s="390"/>
      <c r="P1871" s="391"/>
      <c r="Q1871" s="389"/>
      <c r="R1871" s="390"/>
      <c r="S1871" s="390"/>
      <c r="T1871" s="391"/>
      <c r="U1871" s="392"/>
      <c r="V1871" s="391"/>
      <c r="W1871" s="391"/>
      <c r="X1871" s="388"/>
      <c r="Y1871" s="391"/>
      <c r="Z1871" s="393"/>
      <c r="AA1871" s="355" t="str">
        <f t="shared" si="1"/>
        <v/>
      </c>
      <c r="AB1871" s="391"/>
      <c r="AC1871" s="394" t="str">
        <f t="shared" si="2"/>
        <v/>
      </c>
      <c r="AD1871" s="389"/>
      <c r="AE1871" s="399"/>
      <c r="AF1871" s="395"/>
      <c r="AG1871" s="396" t="str">
        <f t="shared" si="3"/>
        <v/>
      </c>
      <c r="AH1871" s="396" t="str">
        <f t="shared" si="4"/>
        <v/>
      </c>
      <c r="AI1871" s="388"/>
      <c r="AJ1871" s="388"/>
      <c r="AK1871" s="397"/>
    </row>
    <row r="1872">
      <c r="A1872" s="398"/>
      <c r="B1872" s="386"/>
      <c r="C1872" s="387" t="str">
        <f>IF(A1872="","",IFERROR(IF(VLOOKUP(A1872,'1. Inbound Leads'!A:G,7,FALSE)=0,"",VLOOKUP(A1872,'1. Inbound Leads'!A:G,7,FALSE)),""))</f>
        <v/>
      </c>
      <c r="D1872" s="387" t="str">
        <f>IF(A1872="","",IFERROR(IF(VLOOKUP(A1872,'1. Inbound Leads'!A:L,12,FALSE)=0,"",VLOOKUP(A1872,'1. Inbound Leads'!A:L,12,FALSE)),""))</f>
        <v/>
      </c>
      <c r="E1872" s="388"/>
      <c r="F1872" s="389"/>
      <c r="G1872" s="387"/>
      <c r="H1872" s="387"/>
      <c r="I1872" s="387"/>
      <c r="J1872" s="387"/>
      <c r="K1872" s="387"/>
      <c r="L1872" s="387"/>
      <c r="M1872" s="388"/>
      <c r="N1872" s="388"/>
      <c r="O1872" s="390"/>
      <c r="P1872" s="391"/>
      <c r="Q1872" s="389"/>
      <c r="R1872" s="390"/>
      <c r="S1872" s="390"/>
      <c r="T1872" s="391"/>
      <c r="U1872" s="392"/>
      <c r="V1872" s="391"/>
      <c r="W1872" s="391"/>
      <c r="X1872" s="388"/>
      <c r="Y1872" s="391"/>
      <c r="Z1872" s="393"/>
      <c r="AA1872" s="355" t="str">
        <f t="shared" si="1"/>
        <v/>
      </c>
      <c r="AB1872" s="391"/>
      <c r="AC1872" s="394" t="str">
        <f t="shared" si="2"/>
        <v/>
      </c>
      <c r="AD1872" s="389"/>
      <c r="AE1872" s="399"/>
      <c r="AF1872" s="395"/>
      <c r="AG1872" s="396" t="str">
        <f t="shared" si="3"/>
        <v/>
      </c>
      <c r="AH1872" s="396" t="str">
        <f t="shared" si="4"/>
        <v/>
      </c>
      <c r="AI1872" s="388"/>
      <c r="AJ1872" s="388"/>
      <c r="AK1872" s="397"/>
    </row>
    <row r="1873">
      <c r="A1873" s="398"/>
      <c r="B1873" s="386"/>
      <c r="C1873" s="387" t="str">
        <f>IF(A1873="","",IFERROR(IF(VLOOKUP(A1873,'1. Inbound Leads'!A:G,7,FALSE)=0,"",VLOOKUP(A1873,'1. Inbound Leads'!A:G,7,FALSE)),""))</f>
        <v/>
      </c>
      <c r="D1873" s="387" t="str">
        <f>IF(A1873="","",IFERROR(IF(VLOOKUP(A1873,'1. Inbound Leads'!A:L,12,FALSE)=0,"",VLOOKUP(A1873,'1. Inbound Leads'!A:L,12,FALSE)),""))</f>
        <v/>
      </c>
      <c r="E1873" s="388"/>
      <c r="F1873" s="389"/>
      <c r="G1873" s="387"/>
      <c r="H1873" s="387"/>
      <c r="I1873" s="387"/>
      <c r="J1873" s="387"/>
      <c r="K1873" s="387"/>
      <c r="L1873" s="387"/>
      <c r="M1873" s="388"/>
      <c r="N1873" s="388"/>
      <c r="O1873" s="390"/>
      <c r="P1873" s="391"/>
      <c r="Q1873" s="389"/>
      <c r="R1873" s="390"/>
      <c r="S1873" s="390"/>
      <c r="T1873" s="391"/>
      <c r="U1873" s="392"/>
      <c r="V1873" s="391"/>
      <c r="W1873" s="391"/>
      <c r="X1873" s="388"/>
      <c r="Y1873" s="391"/>
      <c r="Z1873" s="393"/>
      <c r="AA1873" s="355" t="str">
        <f t="shared" si="1"/>
        <v/>
      </c>
      <c r="AB1873" s="391"/>
      <c r="AC1873" s="394" t="str">
        <f t="shared" si="2"/>
        <v/>
      </c>
      <c r="AD1873" s="389"/>
      <c r="AE1873" s="399"/>
      <c r="AF1873" s="395"/>
      <c r="AG1873" s="396" t="str">
        <f t="shared" si="3"/>
        <v/>
      </c>
      <c r="AH1873" s="396" t="str">
        <f t="shared" si="4"/>
        <v/>
      </c>
      <c r="AI1873" s="388"/>
      <c r="AJ1873" s="388"/>
      <c r="AK1873" s="397"/>
    </row>
    <row r="1874">
      <c r="A1874" s="398"/>
      <c r="B1874" s="386"/>
      <c r="C1874" s="387" t="str">
        <f>IF(A1874="","",IFERROR(IF(VLOOKUP(A1874,'1. Inbound Leads'!A:G,7,FALSE)=0,"",VLOOKUP(A1874,'1. Inbound Leads'!A:G,7,FALSE)),""))</f>
        <v/>
      </c>
      <c r="D1874" s="387" t="str">
        <f>IF(A1874="","",IFERROR(IF(VLOOKUP(A1874,'1. Inbound Leads'!A:L,12,FALSE)=0,"",VLOOKUP(A1874,'1. Inbound Leads'!A:L,12,FALSE)),""))</f>
        <v/>
      </c>
      <c r="E1874" s="388"/>
      <c r="F1874" s="389"/>
      <c r="G1874" s="387"/>
      <c r="H1874" s="387"/>
      <c r="I1874" s="387"/>
      <c r="J1874" s="387"/>
      <c r="K1874" s="387"/>
      <c r="L1874" s="387"/>
      <c r="M1874" s="388"/>
      <c r="N1874" s="388"/>
      <c r="O1874" s="390"/>
      <c r="P1874" s="391"/>
      <c r="Q1874" s="389"/>
      <c r="R1874" s="390"/>
      <c r="S1874" s="390"/>
      <c r="T1874" s="391"/>
      <c r="U1874" s="392"/>
      <c r="V1874" s="391"/>
      <c r="W1874" s="391"/>
      <c r="X1874" s="388"/>
      <c r="Y1874" s="391"/>
      <c r="Z1874" s="393"/>
      <c r="AA1874" s="355" t="str">
        <f t="shared" si="1"/>
        <v/>
      </c>
      <c r="AB1874" s="391"/>
      <c r="AC1874" s="394" t="str">
        <f t="shared" si="2"/>
        <v/>
      </c>
      <c r="AD1874" s="389"/>
      <c r="AE1874" s="399"/>
      <c r="AF1874" s="395"/>
      <c r="AG1874" s="396" t="str">
        <f t="shared" si="3"/>
        <v/>
      </c>
      <c r="AH1874" s="396" t="str">
        <f t="shared" si="4"/>
        <v/>
      </c>
      <c r="AI1874" s="388"/>
      <c r="AJ1874" s="388"/>
      <c r="AK1874" s="397"/>
    </row>
    <row r="1875">
      <c r="A1875" s="398"/>
      <c r="B1875" s="386"/>
      <c r="C1875" s="387" t="str">
        <f>IF(A1875="","",IFERROR(IF(VLOOKUP(A1875,'1. Inbound Leads'!A:G,7,FALSE)=0,"",VLOOKUP(A1875,'1. Inbound Leads'!A:G,7,FALSE)),""))</f>
        <v/>
      </c>
      <c r="D1875" s="387" t="str">
        <f>IF(A1875="","",IFERROR(IF(VLOOKUP(A1875,'1. Inbound Leads'!A:L,12,FALSE)=0,"",VLOOKUP(A1875,'1. Inbound Leads'!A:L,12,FALSE)),""))</f>
        <v/>
      </c>
      <c r="E1875" s="388"/>
      <c r="F1875" s="389"/>
      <c r="G1875" s="387"/>
      <c r="H1875" s="387"/>
      <c r="I1875" s="387"/>
      <c r="J1875" s="387"/>
      <c r="K1875" s="387"/>
      <c r="L1875" s="387"/>
      <c r="M1875" s="388"/>
      <c r="N1875" s="388"/>
      <c r="O1875" s="390"/>
      <c r="P1875" s="391"/>
      <c r="Q1875" s="389"/>
      <c r="R1875" s="390"/>
      <c r="S1875" s="390"/>
      <c r="T1875" s="391"/>
      <c r="U1875" s="392"/>
      <c r="V1875" s="391"/>
      <c r="W1875" s="391"/>
      <c r="X1875" s="388"/>
      <c r="Y1875" s="391"/>
      <c r="Z1875" s="393"/>
      <c r="AA1875" s="355" t="str">
        <f t="shared" si="1"/>
        <v/>
      </c>
      <c r="AB1875" s="391"/>
      <c r="AC1875" s="394" t="str">
        <f t="shared" si="2"/>
        <v/>
      </c>
      <c r="AD1875" s="389"/>
      <c r="AE1875" s="399"/>
      <c r="AF1875" s="395"/>
      <c r="AG1875" s="396" t="str">
        <f t="shared" si="3"/>
        <v/>
      </c>
      <c r="AH1875" s="396" t="str">
        <f t="shared" si="4"/>
        <v/>
      </c>
      <c r="AI1875" s="388"/>
      <c r="AJ1875" s="388"/>
      <c r="AK1875" s="397"/>
    </row>
    <row r="1876">
      <c r="A1876" s="398"/>
      <c r="B1876" s="386"/>
      <c r="C1876" s="387" t="str">
        <f>IF(A1876="","",IFERROR(IF(VLOOKUP(A1876,'1. Inbound Leads'!A:G,7,FALSE)=0,"",VLOOKUP(A1876,'1. Inbound Leads'!A:G,7,FALSE)),""))</f>
        <v/>
      </c>
      <c r="D1876" s="387" t="str">
        <f>IF(A1876="","",IFERROR(IF(VLOOKUP(A1876,'1. Inbound Leads'!A:L,12,FALSE)=0,"",VLOOKUP(A1876,'1. Inbound Leads'!A:L,12,FALSE)),""))</f>
        <v/>
      </c>
      <c r="E1876" s="388"/>
      <c r="F1876" s="389"/>
      <c r="G1876" s="387"/>
      <c r="H1876" s="387"/>
      <c r="I1876" s="387"/>
      <c r="J1876" s="387"/>
      <c r="K1876" s="387"/>
      <c r="L1876" s="387"/>
      <c r="M1876" s="388"/>
      <c r="N1876" s="388"/>
      <c r="O1876" s="390"/>
      <c r="P1876" s="391"/>
      <c r="Q1876" s="389"/>
      <c r="R1876" s="390"/>
      <c r="S1876" s="390"/>
      <c r="T1876" s="391"/>
      <c r="U1876" s="392"/>
      <c r="V1876" s="391"/>
      <c r="W1876" s="391"/>
      <c r="X1876" s="388"/>
      <c r="Y1876" s="391"/>
      <c r="Z1876" s="393"/>
      <c r="AA1876" s="355" t="str">
        <f t="shared" si="1"/>
        <v/>
      </c>
      <c r="AB1876" s="391"/>
      <c r="AC1876" s="394" t="str">
        <f t="shared" si="2"/>
        <v/>
      </c>
      <c r="AD1876" s="389"/>
      <c r="AE1876" s="399"/>
      <c r="AF1876" s="395"/>
      <c r="AG1876" s="396" t="str">
        <f t="shared" si="3"/>
        <v/>
      </c>
      <c r="AH1876" s="396" t="str">
        <f t="shared" si="4"/>
        <v/>
      </c>
      <c r="AI1876" s="388"/>
      <c r="AJ1876" s="388"/>
      <c r="AK1876" s="397"/>
    </row>
    <row r="1877">
      <c r="A1877" s="398"/>
      <c r="B1877" s="386"/>
      <c r="C1877" s="387" t="str">
        <f>IF(A1877="","",IFERROR(IF(VLOOKUP(A1877,'1. Inbound Leads'!A:G,7,FALSE)=0,"",VLOOKUP(A1877,'1. Inbound Leads'!A:G,7,FALSE)),""))</f>
        <v/>
      </c>
      <c r="D1877" s="387" t="str">
        <f>IF(A1877="","",IFERROR(IF(VLOOKUP(A1877,'1. Inbound Leads'!A:L,12,FALSE)=0,"",VLOOKUP(A1877,'1. Inbound Leads'!A:L,12,FALSE)),""))</f>
        <v/>
      </c>
      <c r="E1877" s="388"/>
      <c r="F1877" s="389"/>
      <c r="G1877" s="387"/>
      <c r="H1877" s="387"/>
      <c r="I1877" s="387"/>
      <c r="J1877" s="387"/>
      <c r="K1877" s="387"/>
      <c r="L1877" s="387"/>
      <c r="M1877" s="388"/>
      <c r="N1877" s="388"/>
      <c r="O1877" s="390"/>
      <c r="P1877" s="391"/>
      <c r="Q1877" s="389"/>
      <c r="R1877" s="390"/>
      <c r="S1877" s="390"/>
      <c r="T1877" s="391"/>
      <c r="U1877" s="392"/>
      <c r="V1877" s="391"/>
      <c r="W1877" s="391"/>
      <c r="X1877" s="388"/>
      <c r="Y1877" s="391"/>
      <c r="Z1877" s="393"/>
      <c r="AA1877" s="355" t="str">
        <f t="shared" si="1"/>
        <v/>
      </c>
      <c r="AB1877" s="391"/>
      <c r="AC1877" s="394" t="str">
        <f t="shared" si="2"/>
        <v/>
      </c>
      <c r="AD1877" s="389"/>
      <c r="AE1877" s="399"/>
      <c r="AF1877" s="395"/>
      <c r="AG1877" s="396" t="str">
        <f t="shared" si="3"/>
        <v/>
      </c>
      <c r="AH1877" s="396" t="str">
        <f t="shared" si="4"/>
        <v/>
      </c>
      <c r="AI1877" s="388"/>
      <c r="AJ1877" s="388"/>
      <c r="AK1877" s="397"/>
    </row>
    <row r="1878">
      <c r="A1878" s="398"/>
      <c r="B1878" s="386"/>
      <c r="C1878" s="387" t="str">
        <f>IF(A1878="","",IFERROR(IF(VLOOKUP(A1878,'1. Inbound Leads'!A:G,7,FALSE)=0,"",VLOOKUP(A1878,'1. Inbound Leads'!A:G,7,FALSE)),""))</f>
        <v/>
      </c>
      <c r="D1878" s="387" t="str">
        <f>IF(A1878="","",IFERROR(IF(VLOOKUP(A1878,'1. Inbound Leads'!A:L,12,FALSE)=0,"",VLOOKUP(A1878,'1. Inbound Leads'!A:L,12,FALSE)),""))</f>
        <v/>
      </c>
      <c r="E1878" s="388"/>
      <c r="F1878" s="389"/>
      <c r="G1878" s="387"/>
      <c r="H1878" s="387"/>
      <c r="I1878" s="387"/>
      <c r="J1878" s="387"/>
      <c r="K1878" s="387"/>
      <c r="L1878" s="387"/>
      <c r="M1878" s="388"/>
      <c r="N1878" s="388"/>
      <c r="O1878" s="390"/>
      <c r="P1878" s="391"/>
      <c r="Q1878" s="389"/>
      <c r="R1878" s="390"/>
      <c r="S1878" s="390"/>
      <c r="T1878" s="391"/>
      <c r="U1878" s="392"/>
      <c r="V1878" s="391"/>
      <c r="W1878" s="391"/>
      <c r="X1878" s="388"/>
      <c r="Y1878" s="391"/>
      <c r="Z1878" s="393"/>
      <c r="AA1878" s="355" t="str">
        <f t="shared" si="1"/>
        <v/>
      </c>
      <c r="AB1878" s="391"/>
      <c r="AC1878" s="394" t="str">
        <f t="shared" si="2"/>
        <v/>
      </c>
      <c r="AD1878" s="389"/>
      <c r="AE1878" s="399"/>
      <c r="AF1878" s="395"/>
      <c r="AG1878" s="396" t="str">
        <f t="shared" si="3"/>
        <v/>
      </c>
      <c r="AH1878" s="396" t="str">
        <f t="shared" si="4"/>
        <v/>
      </c>
      <c r="AI1878" s="388"/>
      <c r="AJ1878" s="388"/>
      <c r="AK1878" s="397"/>
    </row>
    <row r="1879">
      <c r="A1879" s="398"/>
      <c r="B1879" s="386"/>
      <c r="C1879" s="387" t="str">
        <f>IF(A1879="","",IFERROR(IF(VLOOKUP(A1879,'1. Inbound Leads'!A:G,7,FALSE)=0,"",VLOOKUP(A1879,'1. Inbound Leads'!A:G,7,FALSE)),""))</f>
        <v/>
      </c>
      <c r="D1879" s="387" t="str">
        <f>IF(A1879="","",IFERROR(IF(VLOOKUP(A1879,'1. Inbound Leads'!A:L,12,FALSE)=0,"",VLOOKUP(A1879,'1. Inbound Leads'!A:L,12,FALSE)),""))</f>
        <v/>
      </c>
      <c r="E1879" s="388"/>
      <c r="F1879" s="389"/>
      <c r="G1879" s="387"/>
      <c r="H1879" s="387"/>
      <c r="I1879" s="387"/>
      <c r="J1879" s="387"/>
      <c r="K1879" s="387"/>
      <c r="L1879" s="387"/>
      <c r="M1879" s="388"/>
      <c r="N1879" s="388"/>
      <c r="O1879" s="390"/>
      <c r="P1879" s="391"/>
      <c r="Q1879" s="389"/>
      <c r="R1879" s="390"/>
      <c r="S1879" s="390"/>
      <c r="T1879" s="391"/>
      <c r="U1879" s="392"/>
      <c r="V1879" s="391"/>
      <c r="W1879" s="391"/>
      <c r="X1879" s="388"/>
      <c r="Y1879" s="391"/>
      <c r="Z1879" s="393"/>
      <c r="AA1879" s="355" t="str">
        <f t="shared" si="1"/>
        <v/>
      </c>
      <c r="AB1879" s="391"/>
      <c r="AC1879" s="394" t="str">
        <f t="shared" si="2"/>
        <v/>
      </c>
      <c r="AD1879" s="389"/>
      <c r="AE1879" s="399"/>
      <c r="AF1879" s="395"/>
      <c r="AG1879" s="396" t="str">
        <f t="shared" si="3"/>
        <v/>
      </c>
      <c r="AH1879" s="396" t="str">
        <f t="shared" si="4"/>
        <v/>
      </c>
      <c r="AI1879" s="388"/>
      <c r="AJ1879" s="388"/>
      <c r="AK1879" s="397"/>
    </row>
    <row r="1880">
      <c r="A1880" s="398"/>
      <c r="B1880" s="386"/>
      <c r="C1880" s="387" t="str">
        <f>IF(A1880="","",IFERROR(IF(VLOOKUP(A1880,'1. Inbound Leads'!A:G,7,FALSE)=0,"",VLOOKUP(A1880,'1. Inbound Leads'!A:G,7,FALSE)),""))</f>
        <v/>
      </c>
      <c r="D1880" s="387" t="str">
        <f>IF(A1880="","",IFERROR(IF(VLOOKUP(A1880,'1. Inbound Leads'!A:L,12,FALSE)=0,"",VLOOKUP(A1880,'1. Inbound Leads'!A:L,12,FALSE)),""))</f>
        <v/>
      </c>
      <c r="E1880" s="388"/>
      <c r="F1880" s="389"/>
      <c r="G1880" s="387"/>
      <c r="H1880" s="387"/>
      <c r="I1880" s="387"/>
      <c r="J1880" s="387"/>
      <c r="K1880" s="387"/>
      <c r="L1880" s="387"/>
      <c r="M1880" s="388"/>
      <c r="N1880" s="388"/>
      <c r="O1880" s="390"/>
      <c r="P1880" s="391"/>
      <c r="Q1880" s="389"/>
      <c r="R1880" s="390"/>
      <c r="S1880" s="390"/>
      <c r="T1880" s="391"/>
      <c r="U1880" s="392"/>
      <c r="V1880" s="391"/>
      <c r="W1880" s="391"/>
      <c r="X1880" s="388"/>
      <c r="Y1880" s="391"/>
      <c r="Z1880" s="393"/>
      <c r="AA1880" s="355" t="str">
        <f t="shared" si="1"/>
        <v/>
      </c>
      <c r="AB1880" s="391"/>
      <c r="AC1880" s="394" t="str">
        <f t="shared" si="2"/>
        <v/>
      </c>
      <c r="AD1880" s="389"/>
      <c r="AE1880" s="399"/>
      <c r="AF1880" s="395"/>
      <c r="AG1880" s="396" t="str">
        <f t="shared" si="3"/>
        <v/>
      </c>
      <c r="AH1880" s="396" t="str">
        <f t="shared" si="4"/>
        <v/>
      </c>
      <c r="AI1880" s="388"/>
      <c r="AJ1880" s="388"/>
      <c r="AK1880" s="397"/>
    </row>
    <row r="1881">
      <c r="A1881" s="398"/>
      <c r="B1881" s="386"/>
      <c r="C1881" s="387" t="str">
        <f>IF(A1881="","",IFERROR(IF(VLOOKUP(A1881,'1. Inbound Leads'!A:G,7,FALSE)=0,"",VLOOKUP(A1881,'1. Inbound Leads'!A:G,7,FALSE)),""))</f>
        <v/>
      </c>
      <c r="D1881" s="387" t="str">
        <f>IF(A1881="","",IFERROR(IF(VLOOKUP(A1881,'1. Inbound Leads'!A:L,12,FALSE)=0,"",VLOOKUP(A1881,'1. Inbound Leads'!A:L,12,FALSE)),""))</f>
        <v/>
      </c>
      <c r="E1881" s="388"/>
      <c r="F1881" s="389"/>
      <c r="G1881" s="387"/>
      <c r="H1881" s="387"/>
      <c r="I1881" s="387"/>
      <c r="J1881" s="387"/>
      <c r="K1881" s="387"/>
      <c r="L1881" s="387"/>
      <c r="M1881" s="388"/>
      <c r="N1881" s="388"/>
      <c r="O1881" s="390"/>
      <c r="P1881" s="391"/>
      <c r="Q1881" s="389"/>
      <c r="R1881" s="390"/>
      <c r="S1881" s="390"/>
      <c r="T1881" s="391"/>
      <c r="U1881" s="392"/>
      <c r="V1881" s="391"/>
      <c r="W1881" s="391"/>
      <c r="X1881" s="388"/>
      <c r="Y1881" s="391"/>
      <c r="Z1881" s="393"/>
      <c r="AA1881" s="355" t="str">
        <f t="shared" si="1"/>
        <v/>
      </c>
      <c r="AB1881" s="391"/>
      <c r="AC1881" s="394" t="str">
        <f t="shared" si="2"/>
        <v/>
      </c>
      <c r="AD1881" s="389"/>
      <c r="AE1881" s="399"/>
      <c r="AF1881" s="395"/>
      <c r="AG1881" s="396" t="str">
        <f t="shared" si="3"/>
        <v/>
      </c>
      <c r="AH1881" s="396" t="str">
        <f t="shared" si="4"/>
        <v/>
      </c>
      <c r="AI1881" s="388"/>
      <c r="AJ1881" s="388"/>
      <c r="AK1881" s="397"/>
    </row>
    <row r="1882">
      <c r="A1882" s="398"/>
      <c r="B1882" s="386"/>
      <c r="C1882" s="387" t="str">
        <f>IF(A1882="","",IFERROR(IF(VLOOKUP(A1882,'1. Inbound Leads'!A:G,7,FALSE)=0,"",VLOOKUP(A1882,'1. Inbound Leads'!A:G,7,FALSE)),""))</f>
        <v/>
      </c>
      <c r="D1882" s="387" t="str">
        <f>IF(A1882="","",IFERROR(IF(VLOOKUP(A1882,'1. Inbound Leads'!A:L,12,FALSE)=0,"",VLOOKUP(A1882,'1. Inbound Leads'!A:L,12,FALSE)),""))</f>
        <v/>
      </c>
      <c r="E1882" s="388"/>
      <c r="F1882" s="389"/>
      <c r="G1882" s="387"/>
      <c r="H1882" s="387"/>
      <c r="I1882" s="387"/>
      <c r="J1882" s="387"/>
      <c r="K1882" s="387"/>
      <c r="L1882" s="387"/>
      <c r="M1882" s="388"/>
      <c r="N1882" s="388"/>
      <c r="O1882" s="390"/>
      <c r="P1882" s="391"/>
      <c r="Q1882" s="389"/>
      <c r="R1882" s="390"/>
      <c r="S1882" s="390"/>
      <c r="T1882" s="391"/>
      <c r="U1882" s="392"/>
      <c r="V1882" s="391"/>
      <c r="W1882" s="391"/>
      <c r="X1882" s="388"/>
      <c r="Y1882" s="391"/>
      <c r="Z1882" s="393"/>
      <c r="AA1882" s="355" t="str">
        <f t="shared" si="1"/>
        <v/>
      </c>
      <c r="AB1882" s="391"/>
      <c r="AC1882" s="394" t="str">
        <f t="shared" si="2"/>
        <v/>
      </c>
      <c r="AD1882" s="389"/>
      <c r="AE1882" s="399"/>
      <c r="AF1882" s="395"/>
      <c r="AG1882" s="396" t="str">
        <f t="shared" si="3"/>
        <v/>
      </c>
      <c r="AH1882" s="396" t="str">
        <f t="shared" si="4"/>
        <v/>
      </c>
      <c r="AI1882" s="388"/>
      <c r="AJ1882" s="388"/>
      <c r="AK1882" s="397"/>
    </row>
    <row r="1883">
      <c r="A1883" s="398"/>
      <c r="B1883" s="386"/>
      <c r="C1883" s="387" t="str">
        <f>IF(A1883="","",IFERROR(IF(VLOOKUP(A1883,'1. Inbound Leads'!A:G,7,FALSE)=0,"",VLOOKUP(A1883,'1. Inbound Leads'!A:G,7,FALSE)),""))</f>
        <v/>
      </c>
      <c r="D1883" s="387" t="str">
        <f>IF(A1883="","",IFERROR(IF(VLOOKUP(A1883,'1. Inbound Leads'!A:L,12,FALSE)=0,"",VLOOKUP(A1883,'1. Inbound Leads'!A:L,12,FALSE)),""))</f>
        <v/>
      </c>
      <c r="E1883" s="388"/>
      <c r="F1883" s="389"/>
      <c r="G1883" s="387"/>
      <c r="H1883" s="387"/>
      <c r="I1883" s="387"/>
      <c r="J1883" s="387"/>
      <c r="K1883" s="387"/>
      <c r="L1883" s="387"/>
      <c r="M1883" s="388"/>
      <c r="N1883" s="388"/>
      <c r="O1883" s="390"/>
      <c r="P1883" s="391"/>
      <c r="Q1883" s="389"/>
      <c r="R1883" s="390"/>
      <c r="S1883" s="390"/>
      <c r="T1883" s="391"/>
      <c r="U1883" s="392"/>
      <c r="V1883" s="391"/>
      <c r="W1883" s="391"/>
      <c r="X1883" s="388"/>
      <c r="Y1883" s="391"/>
      <c r="Z1883" s="393"/>
      <c r="AA1883" s="355" t="str">
        <f t="shared" si="1"/>
        <v/>
      </c>
      <c r="AB1883" s="391"/>
      <c r="AC1883" s="394" t="str">
        <f t="shared" si="2"/>
        <v/>
      </c>
      <c r="AD1883" s="389"/>
      <c r="AE1883" s="399"/>
      <c r="AF1883" s="395"/>
      <c r="AG1883" s="396" t="str">
        <f t="shared" si="3"/>
        <v/>
      </c>
      <c r="AH1883" s="396" t="str">
        <f t="shared" si="4"/>
        <v/>
      </c>
      <c r="AI1883" s="388"/>
      <c r="AJ1883" s="388"/>
      <c r="AK1883" s="397"/>
    </row>
    <row r="1884">
      <c r="A1884" s="398"/>
      <c r="B1884" s="386"/>
      <c r="C1884" s="387" t="str">
        <f>IF(A1884="","",IFERROR(IF(VLOOKUP(A1884,'1. Inbound Leads'!A:G,7,FALSE)=0,"",VLOOKUP(A1884,'1. Inbound Leads'!A:G,7,FALSE)),""))</f>
        <v/>
      </c>
      <c r="D1884" s="387" t="str">
        <f>IF(A1884="","",IFERROR(IF(VLOOKUP(A1884,'1. Inbound Leads'!A:L,12,FALSE)=0,"",VLOOKUP(A1884,'1. Inbound Leads'!A:L,12,FALSE)),""))</f>
        <v/>
      </c>
      <c r="E1884" s="388"/>
      <c r="F1884" s="389"/>
      <c r="G1884" s="387"/>
      <c r="H1884" s="387"/>
      <c r="I1884" s="387"/>
      <c r="J1884" s="387"/>
      <c r="K1884" s="387"/>
      <c r="L1884" s="387"/>
      <c r="M1884" s="388"/>
      <c r="N1884" s="388"/>
      <c r="O1884" s="390"/>
      <c r="P1884" s="391"/>
      <c r="Q1884" s="389"/>
      <c r="R1884" s="390"/>
      <c r="S1884" s="390"/>
      <c r="T1884" s="391"/>
      <c r="U1884" s="392"/>
      <c r="V1884" s="391"/>
      <c r="W1884" s="391"/>
      <c r="X1884" s="388"/>
      <c r="Y1884" s="391"/>
      <c r="Z1884" s="393"/>
      <c r="AA1884" s="355" t="str">
        <f t="shared" si="1"/>
        <v/>
      </c>
      <c r="AB1884" s="391"/>
      <c r="AC1884" s="394" t="str">
        <f t="shared" si="2"/>
        <v/>
      </c>
      <c r="AD1884" s="389"/>
      <c r="AE1884" s="399"/>
      <c r="AF1884" s="395"/>
      <c r="AG1884" s="396" t="str">
        <f t="shared" si="3"/>
        <v/>
      </c>
      <c r="AH1884" s="396" t="str">
        <f t="shared" si="4"/>
        <v/>
      </c>
      <c r="AI1884" s="388"/>
      <c r="AJ1884" s="388"/>
      <c r="AK1884" s="397"/>
    </row>
    <row r="1885">
      <c r="A1885" s="398"/>
      <c r="B1885" s="386"/>
      <c r="C1885" s="387" t="str">
        <f>IF(A1885="","",IFERROR(IF(VLOOKUP(A1885,'1. Inbound Leads'!A:G,7,FALSE)=0,"",VLOOKUP(A1885,'1. Inbound Leads'!A:G,7,FALSE)),""))</f>
        <v/>
      </c>
      <c r="D1885" s="387" t="str">
        <f>IF(A1885="","",IFERROR(IF(VLOOKUP(A1885,'1. Inbound Leads'!A:L,12,FALSE)=0,"",VLOOKUP(A1885,'1. Inbound Leads'!A:L,12,FALSE)),""))</f>
        <v/>
      </c>
      <c r="E1885" s="388"/>
      <c r="F1885" s="389"/>
      <c r="G1885" s="387"/>
      <c r="H1885" s="387"/>
      <c r="I1885" s="387"/>
      <c r="J1885" s="387"/>
      <c r="K1885" s="387"/>
      <c r="L1885" s="387"/>
      <c r="M1885" s="388"/>
      <c r="N1885" s="388"/>
      <c r="O1885" s="390"/>
      <c r="P1885" s="391"/>
      <c r="Q1885" s="389"/>
      <c r="R1885" s="390"/>
      <c r="S1885" s="390"/>
      <c r="T1885" s="391"/>
      <c r="U1885" s="392"/>
      <c r="V1885" s="391"/>
      <c r="W1885" s="391"/>
      <c r="X1885" s="388"/>
      <c r="Y1885" s="391"/>
      <c r="Z1885" s="393"/>
      <c r="AA1885" s="355" t="str">
        <f t="shared" si="1"/>
        <v/>
      </c>
      <c r="AB1885" s="391"/>
      <c r="AC1885" s="394" t="str">
        <f t="shared" si="2"/>
        <v/>
      </c>
      <c r="AD1885" s="389"/>
      <c r="AE1885" s="399"/>
      <c r="AF1885" s="395"/>
      <c r="AG1885" s="396" t="str">
        <f t="shared" si="3"/>
        <v/>
      </c>
      <c r="AH1885" s="396" t="str">
        <f t="shared" si="4"/>
        <v/>
      </c>
      <c r="AI1885" s="388"/>
      <c r="AJ1885" s="388"/>
      <c r="AK1885" s="397"/>
    </row>
    <row r="1886">
      <c r="A1886" s="398"/>
      <c r="B1886" s="386"/>
      <c r="C1886" s="387" t="str">
        <f>IF(A1886="","",IFERROR(IF(VLOOKUP(A1886,'1. Inbound Leads'!A:G,7,FALSE)=0,"",VLOOKUP(A1886,'1. Inbound Leads'!A:G,7,FALSE)),""))</f>
        <v/>
      </c>
      <c r="D1886" s="387" t="str">
        <f>IF(A1886="","",IFERROR(IF(VLOOKUP(A1886,'1. Inbound Leads'!A:L,12,FALSE)=0,"",VLOOKUP(A1886,'1. Inbound Leads'!A:L,12,FALSE)),""))</f>
        <v/>
      </c>
      <c r="E1886" s="388"/>
      <c r="F1886" s="389"/>
      <c r="G1886" s="387"/>
      <c r="H1886" s="387"/>
      <c r="I1886" s="387"/>
      <c r="J1886" s="387"/>
      <c r="K1886" s="387"/>
      <c r="L1886" s="387"/>
      <c r="M1886" s="388"/>
      <c r="N1886" s="388"/>
      <c r="O1886" s="390"/>
      <c r="P1886" s="391"/>
      <c r="Q1886" s="389"/>
      <c r="R1886" s="390"/>
      <c r="S1886" s="390"/>
      <c r="T1886" s="391"/>
      <c r="U1886" s="392"/>
      <c r="V1886" s="391"/>
      <c r="W1886" s="391"/>
      <c r="X1886" s="388"/>
      <c r="Y1886" s="391"/>
      <c r="Z1886" s="393"/>
      <c r="AA1886" s="355" t="str">
        <f t="shared" si="1"/>
        <v/>
      </c>
      <c r="AB1886" s="391"/>
      <c r="AC1886" s="394" t="str">
        <f t="shared" si="2"/>
        <v/>
      </c>
      <c r="AD1886" s="389"/>
      <c r="AE1886" s="399"/>
      <c r="AF1886" s="395"/>
      <c r="AG1886" s="396" t="str">
        <f t="shared" si="3"/>
        <v/>
      </c>
      <c r="AH1886" s="396" t="str">
        <f t="shared" si="4"/>
        <v/>
      </c>
      <c r="AI1886" s="388"/>
      <c r="AJ1886" s="388"/>
      <c r="AK1886" s="397"/>
    </row>
    <row r="1887">
      <c r="A1887" s="398"/>
      <c r="B1887" s="386"/>
      <c r="C1887" s="387" t="str">
        <f>IF(A1887="","",IFERROR(IF(VLOOKUP(A1887,'1. Inbound Leads'!A:G,7,FALSE)=0,"",VLOOKUP(A1887,'1. Inbound Leads'!A:G,7,FALSE)),""))</f>
        <v/>
      </c>
      <c r="D1887" s="387" t="str">
        <f>IF(A1887="","",IFERROR(IF(VLOOKUP(A1887,'1. Inbound Leads'!A:L,12,FALSE)=0,"",VLOOKUP(A1887,'1. Inbound Leads'!A:L,12,FALSE)),""))</f>
        <v/>
      </c>
      <c r="E1887" s="388"/>
      <c r="F1887" s="389"/>
      <c r="G1887" s="387"/>
      <c r="H1887" s="387"/>
      <c r="I1887" s="387"/>
      <c r="J1887" s="387"/>
      <c r="K1887" s="387"/>
      <c r="L1887" s="387"/>
      <c r="M1887" s="388"/>
      <c r="N1887" s="388"/>
      <c r="O1887" s="390"/>
      <c r="P1887" s="391"/>
      <c r="Q1887" s="389"/>
      <c r="R1887" s="390"/>
      <c r="S1887" s="390"/>
      <c r="T1887" s="391"/>
      <c r="U1887" s="392"/>
      <c r="V1887" s="391"/>
      <c r="W1887" s="391"/>
      <c r="X1887" s="388"/>
      <c r="Y1887" s="391"/>
      <c r="Z1887" s="393"/>
      <c r="AA1887" s="355" t="str">
        <f t="shared" si="1"/>
        <v/>
      </c>
      <c r="AB1887" s="391"/>
      <c r="AC1887" s="394" t="str">
        <f t="shared" si="2"/>
        <v/>
      </c>
      <c r="AD1887" s="389"/>
      <c r="AE1887" s="399"/>
      <c r="AF1887" s="395"/>
      <c r="AG1887" s="396" t="str">
        <f t="shared" si="3"/>
        <v/>
      </c>
      <c r="AH1887" s="396" t="str">
        <f t="shared" si="4"/>
        <v/>
      </c>
      <c r="AI1887" s="388"/>
      <c r="AJ1887" s="388"/>
      <c r="AK1887" s="397"/>
    </row>
    <row r="1888">
      <c r="A1888" s="398"/>
      <c r="B1888" s="386"/>
      <c r="C1888" s="387" t="str">
        <f>IF(A1888="","",IFERROR(IF(VLOOKUP(A1888,'1. Inbound Leads'!A:G,7,FALSE)=0,"",VLOOKUP(A1888,'1. Inbound Leads'!A:G,7,FALSE)),""))</f>
        <v/>
      </c>
      <c r="D1888" s="387" t="str">
        <f>IF(A1888="","",IFERROR(IF(VLOOKUP(A1888,'1. Inbound Leads'!A:L,12,FALSE)=0,"",VLOOKUP(A1888,'1. Inbound Leads'!A:L,12,FALSE)),""))</f>
        <v/>
      </c>
      <c r="E1888" s="388"/>
      <c r="F1888" s="389"/>
      <c r="G1888" s="387"/>
      <c r="H1888" s="387"/>
      <c r="I1888" s="387"/>
      <c r="J1888" s="387"/>
      <c r="K1888" s="387"/>
      <c r="L1888" s="387"/>
      <c r="M1888" s="388"/>
      <c r="N1888" s="388"/>
      <c r="O1888" s="390"/>
      <c r="P1888" s="391"/>
      <c r="Q1888" s="389"/>
      <c r="R1888" s="390"/>
      <c r="S1888" s="390"/>
      <c r="T1888" s="391"/>
      <c r="U1888" s="392"/>
      <c r="V1888" s="391"/>
      <c r="W1888" s="391"/>
      <c r="X1888" s="388"/>
      <c r="Y1888" s="391"/>
      <c r="Z1888" s="393"/>
      <c r="AA1888" s="355" t="str">
        <f t="shared" si="1"/>
        <v/>
      </c>
      <c r="AB1888" s="391"/>
      <c r="AC1888" s="394" t="str">
        <f t="shared" si="2"/>
        <v/>
      </c>
      <c r="AD1888" s="389"/>
      <c r="AE1888" s="399"/>
      <c r="AF1888" s="395"/>
      <c r="AG1888" s="396" t="str">
        <f t="shared" si="3"/>
        <v/>
      </c>
      <c r="AH1888" s="396" t="str">
        <f t="shared" si="4"/>
        <v/>
      </c>
      <c r="AI1888" s="388"/>
      <c r="AJ1888" s="388"/>
      <c r="AK1888" s="397"/>
    </row>
    <row r="1889">
      <c r="A1889" s="398"/>
      <c r="B1889" s="386"/>
      <c r="C1889" s="387" t="str">
        <f>IF(A1889="","",IFERROR(IF(VLOOKUP(A1889,'1. Inbound Leads'!A:G,7,FALSE)=0,"",VLOOKUP(A1889,'1. Inbound Leads'!A:G,7,FALSE)),""))</f>
        <v/>
      </c>
      <c r="D1889" s="387" t="str">
        <f>IF(A1889="","",IFERROR(IF(VLOOKUP(A1889,'1. Inbound Leads'!A:L,12,FALSE)=0,"",VLOOKUP(A1889,'1. Inbound Leads'!A:L,12,FALSE)),""))</f>
        <v/>
      </c>
      <c r="E1889" s="388"/>
      <c r="F1889" s="389"/>
      <c r="G1889" s="387"/>
      <c r="H1889" s="387"/>
      <c r="I1889" s="387"/>
      <c r="J1889" s="387"/>
      <c r="K1889" s="387"/>
      <c r="L1889" s="387"/>
      <c r="M1889" s="388"/>
      <c r="N1889" s="388"/>
      <c r="O1889" s="390"/>
      <c r="P1889" s="391"/>
      <c r="Q1889" s="389"/>
      <c r="R1889" s="390"/>
      <c r="S1889" s="390"/>
      <c r="T1889" s="391"/>
      <c r="U1889" s="392"/>
      <c r="V1889" s="391"/>
      <c r="W1889" s="391"/>
      <c r="X1889" s="388"/>
      <c r="Y1889" s="391"/>
      <c r="Z1889" s="393"/>
      <c r="AA1889" s="355" t="str">
        <f t="shared" si="1"/>
        <v/>
      </c>
      <c r="AB1889" s="391"/>
      <c r="AC1889" s="394" t="str">
        <f t="shared" si="2"/>
        <v/>
      </c>
      <c r="AD1889" s="389"/>
      <c r="AE1889" s="399"/>
      <c r="AF1889" s="395"/>
      <c r="AG1889" s="396" t="str">
        <f t="shared" si="3"/>
        <v/>
      </c>
      <c r="AH1889" s="396" t="str">
        <f t="shared" si="4"/>
        <v/>
      </c>
      <c r="AI1889" s="388"/>
      <c r="AJ1889" s="388"/>
      <c r="AK1889" s="397"/>
    </row>
    <row r="1890">
      <c r="A1890" s="398"/>
      <c r="B1890" s="386"/>
      <c r="C1890" s="387" t="str">
        <f>IF(A1890="","",IFERROR(IF(VLOOKUP(A1890,'1. Inbound Leads'!A:G,7,FALSE)=0,"",VLOOKUP(A1890,'1. Inbound Leads'!A:G,7,FALSE)),""))</f>
        <v/>
      </c>
      <c r="D1890" s="387" t="str">
        <f>IF(A1890="","",IFERROR(IF(VLOOKUP(A1890,'1. Inbound Leads'!A:L,12,FALSE)=0,"",VLOOKUP(A1890,'1. Inbound Leads'!A:L,12,FALSE)),""))</f>
        <v/>
      </c>
      <c r="E1890" s="388"/>
      <c r="F1890" s="389"/>
      <c r="G1890" s="387"/>
      <c r="H1890" s="387"/>
      <c r="I1890" s="387"/>
      <c r="J1890" s="387"/>
      <c r="K1890" s="387"/>
      <c r="L1890" s="387"/>
      <c r="M1890" s="388"/>
      <c r="N1890" s="388"/>
      <c r="O1890" s="390"/>
      <c r="P1890" s="391"/>
      <c r="Q1890" s="389"/>
      <c r="R1890" s="390"/>
      <c r="S1890" s="390"/>
      <c r="T1890" s="391"/>
      <c r="U1890" s="392"/>
      <c r="V1890" s="391"/>
      <c r="W1890" s="391"/>
      <c r="X1890" s="388"/>
      <c r="Y1890" s="391"/>
      <c r="Z1890" s="393"/>
      <c r="AA1890" s="355" t="str">
        <f t="shared" si="1"/>
        <v/>
      </c>
      <c r="AB1890" s="391"/>
      <c r="AC1890" s="394" t="str">
        <f t="shared" si="2"/>
        <v/>
      </c>
      <c r="AD1890" s="389"/>
      <c r="AE1890" s="399"/>
      <c r="AF1890" s="395"/>
      <c r="AG1890" s="396" t="str">
        <f t="shared" si="3"/>
        <v/>
      </c>
      <c r="AH1890" s="396" t="str">
        <f t="shared" si="4"/>
        <v/>
      </c>
      <c r="AI1890" s="388"/>
      <c r="AJ1890" s="388"/>
      <c r="AK1890" s="397"/>
    </row>
    <row r="1891">
      <c r="A1891" s="398"/>
      <c r="B1891" s="386"/>
      <c r="C1891" s="387" t="str">
        <f>IF(A1891="","",IFERROR(IF(VLOOKUP(A1891,'1. Inbound Leads'!A:G,7,FALSE)=0,"",VLOOKUP(A1891,'1. Inbound Leads'!A:G,7,FALSE)),""))</f>
        <v/>
      </c>
      <c r="D1891" s="387" t="str">
        <f>IF(A1891="","",IFERROR(IF(VLOOKUP(A1891,'1. Inbound Leads'!A:L,12,FALSE)=0,"",VLOOKUP(A1891,'1. Inbound Leads'!A:L,12,FALSE)),""))</f>
        <v/>
      </c>
      <c r="E1891" s="388"/>
      <c r="F1891" s="389"/>
      <c r="G1891" s="387"/>
      <c r="H1891" s="387"/>
      <c r="I1891" s="387"/>
      <c r="J1891" s="387"/>
      <c r="K1891" s="387"/>
      <c r="L1891" s="387"/>
      <c r="M1891" s="388"/>
      <c r="N1891" s="388"/>
      <c r="O1891" s="390"/>
      <c r="P1891" s="391"/>
      <c r="Q1891" s="389"/>
      <c r="R1891" s="390"/>
      <c r="S1891" s="390"/>
      <c r="T1891" s="391"/>
      <c r="U1891" s="392"/>
      <c r="V1891" s="391"/>
      <c r="W1891" s="391"/>
      <c r="X1891" s="388"/>
      <c r="Y1891" s="391"/>
      <c r="Z1891" s="393"/>
      <c r="AA1891" s="355" t="str">
        <f t="shared" si="1"/>
        <v/>
      </c>
      <c r="AB1891" s="391"/>
      <c r="AC1891" s="394" t="str">
        <f t="shared" si="2"/>
        <v/>
      </c>
      <c r="AD1891" s="389"/>
      <c r="AE1891" s="399"/>
      <c r="AF1891" s="395"/>
      <c r="AG1891" s="396" t="str">
        <f t="shared" si="3"/>
        <v/>
      </c>
      <c r="AH1891" s="396" t="str">
        <f t="shared" si="4"/>
        <v/>
      </c>
      <c r="AI1891" s="388"/>
      <c r="AJ1891" s="388"/>
      <c r="AK1891" s="397"/>
    </row>
    <row r="1892">
      <c r="A1892" s="398"/>
      <c r="B1892" s="386"/>
      <c r="C1892" s="387" t="str">
        <f>IF(A1892="","",IFERROR(IF(VLOOKUP(A1892,'1. Inbound Leads'!A:G,7,FALSE)=0,"",VLOOKUP(A1892,'1. Inbound Leads'!A:G,7,FALSE)),""))</f>
        <v/>
      </c>
      <c r="D1892" s="387" t="str">
        <f>IF(A1892="","",IFERROR(IF(VLOOKUP(A1892,'1. Inbound Leads'!A:L,12,FALSE)=0,"",VLOOKUP(A1892,'1. Inbound Leads'!A:L,12,FALSE)),""))</f>
        <v/>
      </c>
      <c r="E1892" s="388"/>
      <c r="F1892" s="389"/>
      <c r="G1892" s="387"/>
      <c r="H1892" s="387"/>
      <c r="I1892" s="387"/>
      <c r="J1892" s="387"/>
      <c r="K1892" s="387"/>
      <c r="L1892" s="387"/>
      <c r="M1892" s="388"/>
      <c r="N1892" s="388"/>
      <c r="O1892" s="390"/>
      <c r="P1892" s="391"/>
      <c r="Q1892" s="389"/>
      <c r="R1892" s="390"/>
      <c r="S1892" s="390"/>
      <c r="T1892" s="391"/>
      <c r="U1892" s="392"/>
      <c r="V1892" s="391"/>
      <c r="W1892" s="391"/>
      <c r="X1892" s="388"/>
      <c r="Y1892" s="391"/>
      <c r="Z1892" s="393"/>
      <c r="AA1892" s="355" t="str">
        <f t="shared" si="1"/>
        <v/>
      </c>
      <c r="AB1892" s="391"/>
      <c r="AC1892" s="394" t="str">
        <f t="shared" si="2"/>
        <v/>
      </c>
      <c r="AD1892" s="389"/>
      <c r="AE1892" s="399"/>
      <c r="AF1892" s="395"/>
      <c r="AG1892" s="396" t="str">
        <f t="shared" si="3"/>
        <v/>
      </c>
      <c r="AH1892" s="396" t="str">
        <f t="shared" si="4"/>
        <v/>
      </c>
      <c r="AI1892" s="388"/>
      <c r="AJ1892" s="388"/>
      <c r="AK1892" s="397"/>
    </row>
    <row r="1893">
      <c r="A1893" s="398"/>
      <c r="B1893" s="386"/>
      <c r="C1893" s="387" t="str">
        <f>IF(A1893="","",IFERROR(IF(VLOOKUP(A1893,'1. Inbound Leads'!A:G,7,FALSE)=0,"",VLOOKUP(A1893,'1. Inbound Leads'!A:G,7,FALSE)),""))</f>
        <v/>
      </c>
      <c r="D1893" s="387" t="str">
        <f>IF(A1893="","",IFERROR(IF(VLOOKUP(A1893,'1. Inbound Leads'!A:L,12,FALSE)=0,"",VLOOKUP(A1893,'1. Inbound Leads'!A:L,12,FALSE)),""))</f>
        <v/>
      </c>
      <c r="E1893" s="388"/>
      <c r="F1893" s="389"/>
      <c r="G1893" s="387"/>
      <c r="H1893" s="387"/>
      <c r="I1893" s="387"/>
      <c r="J1893" s="387"/>
      <c r="K1893" s="387"/>
      <c r="L1893" s="387"/>
      <c r="M1893" s="388"/>
      <c r="N1893" s="388"/>
      <c r="O1893" s="390"/>
      <c r="P1893" s="391"/>
      <c r="Q1893" s="389"/>
      <c r="R1893" s="390"/>
      <c r="S1893" s="390"/>
      <c r="T1893" s="391"/>
      <c r="U1893" s="392"/>
      <c r="V1893" s="391"/>
      <c r="W1893" s="391"/>
      <c r="X1893" s="388"/>
      <c r="Y1893" s="391"/>
      <c r="Z1893" s="393"/>
      <c r="AA1893" s="355" t="str">
        <f t="shared" si="1"/>
        <v/>
      </c>
      <c r="AB1893" s="391"/>
      <c r="AC1893" s="394" t="str">
        <f t="shared" si="2"/>
        <v/>
      </c>
      <c r="AD1893" s="389"/>
      <c r="AE1893" s="399"/>
      <c r="AF1893" s="395"/>
      <c r="AG1893" s="396" t="str">
        <f t="shared" si="3"/>
        <v/>
      </c>
      <c r="AH1893" s="396" t="str">
        <f t="shared" si="4"/>
        <v/>
      </c>
      <c r="AI1893" s="388"/>
      <c r="AJ1893" s="388"/>
      <c r="AK1893" s="397"/>
    </row>
    <row r="1894">
      <c r="A1894" s="398"/>
      <c r="B1894" s="386"/>
      <c r="C1894" s="387" t="str">
        <f>IF(A1894="","",IFERROR(IF(VLOOKUP(A1894,'1. Inbound Leads'!A:G,7,FALSE)=0,"",VLOOKUP(A1894,'1. Inbound Leads'!A:G,7,FALSE)),""))</f>
        <v/>
      </c>
      <c r="D1894" s="387" t="str">
        <f>IF(A1894="","",IFERROR(IF(VLOOKUP(A1894,'1. Inbound Leads'!A:L,12,FALSE)=0,"",VLOOKUP(A1894,'1. Inbound Leads'!A:L,12,FALSE)),""))</f>
        <v/>
      </c>
      <c r="E1894" s="388"/>
      <c r="F1894" s="389"/>
      <c r="G1894" s="387"/>
      <c r="H1894" s="387"/>
      <c r="I1894" s="387"/>
      <c r="J1894" s="387"/>
      <c r="K1894" s="387"/>
      <c r="L1894" s="387"/>
      <c r="M1894" s="388"/>
      <c r="N1894" s="388"/>
      <c r="O1894" s="390"/>
      <c r="P1894" s="391"/>
      <c r="Q1894" s="389"/>
      <c r="R1894" s="390"/>
      <c r="S1894" s="390"/>
      <c r="T1894" s="391"/>
      <c r="U1894" s="392"/>
      <c r="V1894" s="391"/>
      <c r="W1894" s="391"/>
      <c r="X1894" s="388"/>
      <c r="Y1894" s="391"/>
      <c r="Z1894" s="393"/>
      <c r="AA1894" s="355" t="str">
        <f t="shared" si="1"/>
        <v/>
      </c>
      <c r="AB1894" s="391"/>
      <c r="AC1894" s="394" t="str">
        <f t="shared" si="2"/>
        <v/>
      </c>
      <c r="AD1894" s="389"/>
      <c r="AE1894" s="399"/>
      <c r="AF1894" s="395"/>
      <c r="AG1894" s="396" t="str">
        <f t="shared" si="3"/>
        <v/>
      </c>
      <c r="AH1894" s="396" t="str">
        <f t="shared" si="4"/>
        <v/>
      </c>
      <c r="AI1894" s="388"/>
      <c r="AJ1894" s="388"/>
      <c r="AK1894" s="397"/>
    </row>
    <row r="1895">
      <c r="A1895" s="398"/>
      <c r="B1895" s="386"/>
      <c r="C1895" s="387" t="str">
        <f>IF(A1895="","",IFERROR(IF(VLOOKUP(A1895,'1. Inbound Leads'!A:G,7,FALSE)=0,"",VLOOKUP(A1895,'1. Inbound Leads'!A:G,7,FALSE)),""))</f>
        <v/>
      </c>
      <c r="D1895" s="387" t="str">
        <f>IF(A1895="","",IFERROR(IF(VLOOKUP(A1895,'1. Inbound Leads'!A:L,12,FALSE)=0,"",VLOOKUP(A1895,'1. Inbound Leads'!A:L,12,FALSE)),""))</f>
        <v/>
      </c>
      <c r="E1895" s="388"/>
      <c r="F1895" s="389"/>
      <c r="G1895" s="387"/>
      <c r="H1895" s="387"/>
      <c r="I1895" s="387"/>
      <c r="J1895" s="387"/>
      <c r="K1895" s="387"/>
      <c r="L1895" s="387"/>
      <c r="M1895" s="388"/>
      <c r="N1895" s="388"/>
      <c r="O1895" s="390"/>
      <c r="P1895" s="391"/>
      <c r="Q1895" s="389"/>
      <c r="R1895" s="390"/>
      <c r="S1895" s="390"/>
      <c r="T1895" s="391"/>
      <c r="U1895" s="392"/>
      <c r="V1895" s="391"/>
      <c r="W1895" s="391"/>
      <c r="X1895" s="388"/>
      <c r="Y1895" s="391"/>
      <c r="Z1895" s="393"/>
      <c r="AA1895" s="355" t="str">
        <f t="shared" si="1"/>
        <v/>
      </c>
      <c r="AB1895" s="391"/>
      <c r="AC1895" s="394" t="str">
        <f t="shared" si="2"/>
        <v/>
      </c>
      <c r="AD1895" s="389"/>
      <c r="AE1895" s="399"/>
      <c r="AF1895" s="395"/>
      <c r="AG1895" s="396" t="str">
        <f t="shared" si="3"/>
        <v/>
      </c>
      <c r="AH1895" s="396" t="str">
        <f t="shared" si="4"/>
        <v/>
      </c>
      <c r="AI1895" s="388"/>
      <c r="AJ1895" s="388"/>
      <c r="AK1895" s="397"/>
    </row>
    <row r="1896">
      <c r="A1896" s="398"/>
      <c r="B1896" s="386"/>
      <c r="C1896" s="387" t="str">
        <f>IF(A1896="","",IFERROR(IF(VLOOKUP(A1896,'1. Inbound Leads'!A:G,7,FALSE)=0,"",VLOOKUP(A1896,'1. Inbound Leads'!A:G,7,FALSE)),""))</f>
        <v/>
      </c>
      <c r="D1896" s="387" t="str">
        <f>IF(A1896="","",IFERROR(IF(VLOOKUP(A1896,'1. Inbound Leads'!A:L,12,FALSE)=0,"",VLOOKUP(A1896,'1. Inbound Leads'!A:L,12,FALSE)),""))</f>
        <v/>
      </c>
      <c r="E1896" s="388"/>
      <c r="F1896" s="389"/>
      <c r="G1896" s="387"/>
      <c r="H1896" s="387"/>
      <c r="I1896" s="387"/>
      <c r="J1896" s="387"/>
      <c r="K1896" s="387"/>
      <c r="L1896" s="387"/>
      <c r="M1896" s="388"/>
      <c r="N1896" s="388"/>
      <c r="O1896" s="390"/>
      <c r="P1896" s="391"/>
      <c r="Q1896" s="389"/>
      <c r="R1896" s="390"/>
      <c r="S1896" s="390"/>
      <c r="T1896" s="391"/>
      <c r="U1896" s="392"/>
      <c r="V1896" s="391"/>
      <c r="W1896" s="391"/>
      <c r="X1896" s="388"/>
      <c r="Y1896" s="391"/>
      <c r="Z1896" s="393"/>
      <c r="AA1896" s="355" t="str">
        <f t="shared" si="1"/>
        <v/>
      </c>
      <c r="AB1896" s="391"/>
      <c r="AC1896" s="394" t="str">
        <f t="shared" si="2"/>
        <v/>
      </c>
      <c r="AD1896" s="389"/>
      <c r="AE1896" s="399"/>
      <c r="AF1896" s="395"/>
      <c r="AG1896" s="396" t="str">
        <f t="shared" si="3"/>
        <v/>
      </c>
      <c r="AH1896" s="396" t="str">
        <f t="shared" si="4"/>
        <v/>
      </c>
      <c r="AI1896" s="388"/>
      <c r="AJ1896" s="388"/>
      <c r="AK1896" s="397"/>
    </row>
    <row r="1897">
      <c r="A1897" s="398"/>
      <c r="B1897" s="386"/>
      <c r="C1897" s="387" t="str">
        <f>IF(A1897="","",IFERROR(IF(VLOOKUP(A1897,'1. Inbound Leads'!A:G,7,FALSE)=0,"",VLOOKUP(A1897,'1. Inbound Leads'!A:G,7,FALSE)),""))</f>
        <v/>
      </c>
      <c r="D1897" s="387" t="str">
        <f>IF(A1897="","",IFERROR(IF(VLOOKUP(A1897,'1. Inbound Leads'!A:L,12,FALSE)=0,"",VLOOKUP(A1897,'1. Inbound Leads'!A:L,12,FALSE)),""))</f>
        <v/>
      </c>
      <c r="E1897" s="388"/>
      <c r="F1897" s="389"/>
      <c r="G1897" s="387"/>
      <c r="H1897" s="387"/>
      <c r="I1897" s="387"/>
      <c r="J1897" s="387"/>
      <c r="K1897" s="387"/>
      <c r="L1897" s="387"/>
      <c r="M1897" s="388"/>
      <c r="N1897" s="388"/>
      <c r="O1897" s="390"/>
      <c r="P1897" s="391"/>
      <c r="Q1897" s="389"/>
      <c r="R1897" s="390"/>
      <c r="S1897" s="390"/>
      <c r="T1897" s="391"/>
      <c r="U1897" s="392"/>
      <c r="V1897" s="391"/>
      <c r="W1897" s="391"/>
      <c r="X1897" s="388"/>
      <c r="Y1897" s="391"/>
      <c r="Z1897" s="393"/>
      <c r="AA1897" s="355" t="str">
        <f t="shared" si="1"/>
        <v/>
      </c>
      <c r="AB1897" s="391"/>
      <c r="AC1897" s="394" t="str">
        <f t="shared" si="2"/>
        <v/>
      </c>
      <c r="AD1897" s="389"/>
      <c r="AE1897" s="399"/>
      <c r="AF1897" s="395"/>
      <c r="AG1897" s="396" t="str">
        <f t="shared" si="3"/>
        <v/>
      </c>
      <c r="AH1897" s="396" t="str">
        <f t="shared" si="4"/>
        <v/>
      </c>
      <c r="AI1897" s="388"/>
      <c r="AJ1897" s="388"/>
      <c r="AK1897" s="397"/>
    </row>
    <row r="1898">
      <c r="A1898" s="398"/>
      <c r="B1898" s="386"/>
      <c r="C1898" s="387" t="str">
        <f>IF(A1898="","",IFERROR(IF(VLOOKUP(A1898,'1. Inbound Leads'!A:G,7,FALSE)=0,"",VLOOKUP(A1898,'1. Inbound Leads'!A:G,7,FALSE)),""))</f>
        <v/>
      </c>
      <c r="D1898" s="387" t="str">
        <f>IF(A1898="","",IFERROR(IF(VLOOKUP(A1898,'1. Inbound Leads'!A:L,12,FALSE)=0,"",VLOOKUP(A1898,'1. Inbound Leads'!A:L,12,FALSE)),""))</f>
        <v/>
      </c>
      <c r="E1898" s="388"/>
      <c r="F1898" s="389"/>
      <c r="G1898" s="387"/>
      <c r="H1898" s="387"/>
      <c r="I1898" s="387"/>
      <c r="J1898" s="387"/>
      <c r="K1898" s="387"/>
      <c r="L1898" s="387"/>
      <c r="M1898" s="388"/>
      <c r="N1898" s="388"/>
      <c r="O1898" s="390"/>
      <c r="P1898" s="391"/>
      <c r="Q1898" s="389"/>
      <c r="R1898" s="390"/>
      <c r="S1898" s="390"/>
      <c r="T1898" s="391"/>
      <c r="U1898" s="392"/>
      <c r="V1898" s="391"/>
      <c r="W1898" s="391"/>
      <c r="X1898" s="388"/>
      <c r="Y1898" s="391"/>
      <c r="Z1898" s="393"/>
      <c r="AA1898" s="355" t="str">
        <f t="shared" si="1"/>
        <v/>
      </c>
      <c r="AB1898" s="391"/>
      <c r="AC1898" s="394" t="str">
        <f t="shared" si="2"/>
        <v/>
      </c>
      <c r="AD1898" s="389"/>
      <c r="AE1898" s="399"/>
      <c r="AF1898" s="395"/>
      <c r="AG1898" s="396" t="str">
        <f t="shared" si="3"/>
        <v/>
      </c>
      <c r="AH1898" s="396" t="str">
        <f t="shared" si="4"/>
        <v/>
      </c>
      <c r="AI1898" s="388"/>
      <c r="AJ1898" s="388"/>
      <c r="AK1898" s="397"/>
    </row>
    <row r="1899">
      <c r="A1899" s="398"/>
      <c r="B1899" s="386"/>
      <c r="C1899" s="387" t="str">
        <f>IF(A1899="","",IFERROR(IF(VLOOKUP(A1899,'1. Inbound Leads'!A:G,7,FALSE)=0,"",VLOOKUP(A1899,'1. Inbound Leads'!A:G,7,FALSE)),""))</f>
        <v/>
      </c>
      <c r="D1899" s="387" t="str">
        <f>IF(A1899="","",IFERROR(IF(VLOOKUP(A1899,'1. Inbound Leads'!A:L,12,FALSE)=0,"",VLOOKUP(A1899,'1. Inbound Leads'!A:L,12,FALSE)),""))</f>
        <v/>
      </c>
      <c r="E1899" s="388"/>
      <c r="F1899" s="389"/>
      <c r="G1899" s="387"/>
      <c r="H1899" s="387"/>
      <c r="I1899" s="387"/>
      <c r="J1899" s="387"/>
      <c r="K1899" s="387"/>
      <c r="L1899" s="387"/>
      <c r="M1899" s="388"/>
      <c r="N1899" s="388"/>
      <c r="O1899" s="390"/>
      <c r="P1899" s="391"/>
      <c r="Q1899" s="389"/>
      <c r="R1899" s="390"/>
      <c r="S1899" s="390"/>
      <c r="T1899" s="391"/>
      <c r="U1899" s="392"/>
      <c r="V1899" s="391"/>
      <c r="W1899" s="391"/>
      <c r="X1899" s="388"/>
      <c r="Y1899" s="391"/>
      <c r="Z1899" s="393"/>
      <c r="AA1899" s="355" t="str">
        <f t="shared" si="1"/>
        <v/>
      </c>
      <c r="AB1899" s="391"/>
      <c r="AC1899" s="394" t="str">
        <f t="shared" si="2"/>
        <v/>
      </c>
      <c r="AD1899" s="389"/>
      <c r="AE1899" s="399"/>
      <c r="AF1899" s="395"/>
      <c r="AG1899" s="396" t="str">
        <f t="shared" si="3"/>
        <v/>
      </c>
      <c r="AH1899" s="396" t="str">
        <f t="shared" si="4"/>
        <v/>
      </c>
      <c r="AI1899" s="388"/>
      <c r="AJ1899" s="388"/>
      <c r="AK1899" s="397"/>
    </row>
    <row r="1900">
      <c r="A1900" s="398"/>
      <c r="B1900" s="386"/>
      <c r="C1900" s="387" t="str">
        <f>IF(A1900="","",IFERROR(IF(VLOOKUP(A1900,'1. Inbound Leads'!A:G,7,FALSE)=0,"",VLOOKUP(A1900,'1. Inbound Leads'!A:G,7,FALSE)),""))</f>
        <v/>
      </c>
      <c r="D1900" s="387" t="str">
        <f>IF(A1900="","",IFERROR(IF(VLOOKUP(A1900,'1. Inbound Leads'!A:L,12,FALSE)=0,"",VLOOKUP(A1900,'1. Inbound Leads'!A:L,12,FALSE)),""))</f>
        <v/>
      </c>
      <c r="E1900" s="388"/>
      <c r="F1900" s="389"/>
      <c r="G1900" s="387"/>
      <c r="H1900" s="387"/>
      <c r="I1900" s="387"/>
      <c r="J1900" s="387"/>
      <c r="K1900" s="387"/>
      <c r="L1900" s="387"/>
      <c r="M1900" s="388"/>
      <c r="N1900" s="388"/>
      <c r="O1900" s="390"/>
      <c r="P1900" s="391"/>
      <c r="Q1900" s="389"/>
      <c r="R1900" s="390"/>
      <c r="S1900" s="390"/>
      <c r="T1900" s="391"/>
      <c r="U1900" s="392"/>
      <c r="V1900" s="391"/>
      <c r="W1900" s="391"/>
      <c r="X1900" s="388"/>
      <c r="Y1900" s="391"/>
      <c r="Z1900" s="393"/>
      <c r="AA1900" s="355" t="str">
        <f t="shared" si="1"/>
        <v/>
      </c>
      <c r="AB1900" s="391"/>
      <c r="AC1900" s="394" t="str">
        <f t="shared" si="2"/>
        <v/>
      </c>
      <c r="AD1900" s="389"/>
      <c r="AE1900" s="399"/>
      <c r="AF1900" s="395"/>
      <c r="AG1900" s="396" t="str">
        <f t="shared" si="3"/>
        <v/>
      </c>
      <c r="AH1900" s="396" t="str">
        <f t="shared" si="4"/>
        <v/>
      </c>
      <c r="AI1900" s="388"/>
      <c r="AJ1900" s="388"/>
      <c r="AK1900" s="397"/>
    </row>
    <row r="1901">
      <c r="A1901" s="398"/>
      <c r="B1901" s="386"/>
      <c r="C1901" s="387" t="str">
        <f>IF(A1901="","",IFERROR(IF(VLOOKUP(A1901,'1. Inbound Leads'!A:G,7,FALSE)=0,"",VLOOKUP(A1901,'1. Inbound Leads'!A:G,7,FALSE)),""))</f>
        <v/>
      </c>
      <c r="D1901" s="387" t="str">
        <f>IF(A1901="","",IFERROR(IF(VLOOKUP(A1901,'1. Inbound Leads'!A:L,12,FALSE)=0,"",VLOOKUP(A1901,'1. Inbound Leads'!A:L,12,FALSE)),""))</f>
        <v/>
      </c>
      <c r="E1901" s="388"/>
      <c r="F1901" s="389"/>
      <c r="G1901" s="387"/>
      <c r="H1901" s="387"/>
      <c r="I1901" s="387"/>
      <c r="J1901" s="387"/>
      <c r="K1901" s="387"/>
      <c r="L1901" s="387"/>
      <c r="M1901" s="388"/>
      <c r="N1901" s="388"/>
      <c r="O1901" s="390"/>
      <c r="P1901" s="391"/>
      <c r="Q1901" s="389"/>
      <c r="R1901" s="390"/>
      <c r="S1901" s="390"/>
      <c r="T1901" s="391"/>
      <c r="U1901" s="392"/>
      <c r="V1901" s="391"/>
      <c r="W1901" s="391"/>
      <c r="X1901" s="388"/>
      <c r="Y1901" s="391"/>
      <c r="Z1901" s="393"/>
      <c r="AA1901" s="355" t="str">
        <f t="shared" si="1"/>
        <v/>
      </c>
      <c r="AB1901" s="391"/>
      <c r="AC1901" s="394" t="str">
        <f t="shared" si="2"/>
        <v/>
      </c>
      <c r="AD1901" s="389"/>
      <c r="AE1901" s="399"/>
      <c r="AF1901" s="395"/>
      <c r="AG1901" s="396" t="str">
        <f t="shared" si="3"/>
        <v/>
      </c>
      <c r="AH1901" s="396" t="str">
        <f t="shared" si="4"/>
        <v/>
      </c>
      <c r="AI1901" s="388"/>
      <c r="AJ1901" s="388"/>
      <c r="AK1901" s="397"/>
    </row>
    <row r="1902">
      <c r="A1902" s="398"/>
      <c r="B1902" s="386"/>
      <c r="C1902" s="387" t="str">
        <f>IF(A1902="","",IFERROR(IF(VLOOKUP(A1902,'1. Inbound Leads'!A:G,7,FALSE)=0,"",VLOOKUP(A1902,'1. Inbound Leads'!A:G,7,FALSE)),""))</f>
        <v/>
      </c>
      <c r="D1902" s="387" t="str">
        <f>IF(A1902="","",IFERROR(IF(VLOOKUP(A1902,'1. Inbound Leads'!A:L,12,FALSE)=0,"",VLOOKUP(A1902,'1. Inbound Leads'!A:L,12,FALSE)),""))</f>
        <v/>
      </c>
      <c r="E1902" s="388"/>
      <c r="F1902" s="389"/>
      <c r="G1902" s="387"/>
      <c r="H1902" s="387"/>
      <c r="I1902" s="387"/>
      <c r="J1902" s="387"/>
      <c r="K1902" s="387"/>
      <c r="L1902" s="387"/>
      <c r="M1902" s="388"/>
      <c r="N1902" s="388"/>
      <c r="O1902" s="390"/>
      <c r="P1902" s="391"/>
      <c r="Q1902" s="389"/>
      <c r="R1902" s="390"/>
      <c r="S1902" s="390"/>
      <c r="T1902" s="391"/>
      <c r="U1902" s="392"/>
      <c r="V1902" s="391"/>
      <c r="W1902" s="391"/>
      <c r="X1902" s="388"/>
      <c r="Y1902" s="391"/>
      <c r="Z1902" s="393"/>
      <c r="AA1902" s="355" t="str">
        <f t="shared" si="1"/>
        <v/>
      </c>
      <c r="AB1902" s="391"/>
      <c r="AC1902" s="394" t="str">
        <f t="shared" si="2"/>
        <v/>
      </c>
      <c r="AD1902" s="389"/>
      <c r="AE1902" s="399"/>
      <c r="AF1902" s="395"/>
      <c r="AG1902" s="396" t="str">
        <f t="shared" si="3"/>
        <v/>
      </c>
      <c r="AH1902" s="396" t="str">
        <f t="shared" si="4"/>
        <v/>
      </c>
      <c r="AI1902" s="388"/>
      <c r="AJ1902" s="388"/>
      <c r="AK1902" s="397"/>
    </row>
    <row r="1903">
      <c r="A1903" s="398"/>
      <c r="B1903" s="386"/>
      <c r="C1903" s="387" t="str">
        <f>IF(A1903="","",IFERROR(IF(VLOOKUP(A1903,'1. Inbound Leads'!A:G,7,FALSE)=0,"",VLOOKUP(A1903,'1. Inbound Leads'!A:G,7,FALSE)),""))</f>
        <v/>
      </c>
      <c r="D1903" s="387" t="str">
        <f>IF(A1903="","",IFERROR(IF(VLOOKUP(A1903,'1. Inbound Leads'!A:L,12,FALSE)=0,"",VLOOKUP(A1903,'1. Inbound Leads'!A:L,12,FALSE)),""))</f>
        <v/>
      </c>
      <c r="E1903" s="388"/>
      <c r="F1903" s="389"/>
      <c r="G1903" s="387"/>
      <c r="H1903" s="387"/>
      <c r="I1903" s="387"/>
      <c r="J1903" s="387"/>
      <c r="K1903" s="387"/>
      <c r="L1903" s="387"/>
      <c r="M1903" s="388"/>
      <c r="N1903" s="388"/>
      <c r="O1903" s="390"/>
      <c r="P1903" s="391"/>
      <c r="Q1903" s="389"/>
      <c r="R1903" s="390"/>
      <c r="S1903" s="390"/>
      <c r="T1903" s="391"/>
      <c r="U1903" s="392"/>
      <c r="V1903" s="391"/>
      <c r="W1903" s="391"/>
      <c r="X1903" s="388"/>
      <c r="Y1903" s="391"/>
      <c r="Z1903" s="393"/>
      <c r="AA1903" s="355" t="str">
        <f t="shared" si="1"/>
        <v/>
      </c>
      <c r="AB1903" s="391"/>
      <c r="AC1903" s="394" t="str">
        <f t="shared" si="2"/>
        <v/>
      </c>
      <c r="AD1903" s="389"/>
      <c r="AE1903" s="399"/>
      <c r="AF1903" s="395"/>
      <c r="AG1903" s="396" t="str">
        <f t="shared" si="3"/>
        <v/>
      </c>
      <c r="AH1903" s="396" t="str">
        <f t="shared" si="4"/>
        <v/>
      </c>
      <c r="AI1903" s="388"/>
      <c r="AJ1903" s="388"/>
      <c r="AK1903" s="397"/>
    </row>
    <row r="1904">
      <c r="A1904" s="398"/>
      <c r="B1904" s="386"/>
      <c r="C1904" s="387" t="str">
        <f>IF(A1904="","",IFERROR(IF(VLOOKUP(A1904,'1. Inbound Leads'!A:G,7,FALSE)=0,"",VLOOKUP(A1904,'1. Inbound Leads'!A:G,7,FALSE)),""))</f>
        <v/>
      </c>
      <c r="D1904" s="387" t="str">
        <f>IF(A1904="","",IFERROR(IF(VLOOKUP(A1904,'1. Inbound Leads'!A:L,12,FALSE)=0,"",VLOOKUP(A1904,'1. Inbound Leads'!A:L,12,FALSE)),""))</f>
        <v/>
      </c>
      <c r="E1904" s="388"/>
      <c r="F1904" s="389"/>
      <c r="G1904" s="387"/>
      <c r="H1904" s="387"/>
      <c r="I1904" s="387"/>
      <c r="J1904" s="387"/>
      <c r="K1904" s="387"/>
      <c r="L1904" s="387"/>
      <c r="M1904" s="388"/>
      <c r="N1904" s="388"/>
      <c r="O1904" s="390"/>
      <c r="P1904" s="391"/>
      <c r="Q1904" s="389"/>
      <c r="R1904" s="390"/>
      <c r="S1904" s="390"/>
      <c r="T1904" s="391"/>
      <c r="U1904" s="392"/>
      <c r="V1904" s="391"/>
      <c r="W1904" s="391"/>
      <c r="X1904" s="388"/>
      <c r="Y1904" s="391"/>
      <c r="Z1904" s="393"/>
      <c r="AA1904" s="355" t="str">
        <f t="shared" si="1"/>
        <v/>
      </c>
      <c r="AB1904" s="391"/>
      <c r="AC1904" s="394" t="str">
        <f t="shared" si="2"/>
        <v/>
      </c>
      <c r="AD1904" s="389"/>
      <c r="AE1904" s="399"/>
      <c r="AF1904" s="395"/>
      <c r="AG1904" s="396" t="str">
        <f t="shared" si="3"/>
        <v/>
      </c>
      <c r="AH1904" s="396" t="str">
        <f t="shared" si="4"/>
        <v/>
      </c>
      <c r="AI1904" s="388"/>
      <c r="AJ1904" s="388"/>
      <c r="AK1904" s="397"/>
    </row>
    <row r="1905">
      <c r="A1905" s="398"/>
      <c r="B1905" s="386"/>
      <c r="C1905" s="387" t="str">
        <f>IF(A1905="","",IFERROR(IF(VLOOKUP(A1905,'1. Inbound Leads'!A:G,7,FALSE)=0,"",VLOOKUP(A1905,'1. Inbound Leads'!A:G,7,FALSE)),""))</f>
        <v/>
      </c>
      <c r="D1905" s="387" t="str">
        <f>IF(A1905="","",IFERROR(IF(VLOOKUP(A1905,'1. Inbound Leads'!A:L,12,FALSE)=0,"",VLOOKUP(A1905,'1. Inbound Leads'!A:L,12,FALSE)),""))</f>
        <v/>
      </c>
      <c r="E1905" s="388"/>
      <c r="F1905" s="389"/>
      <c r="G1905" s="387"/>
      <c r="H1905" s="387"/>
      <c r="I1905" s="387"/>
      <c r="J1905" s="387"/>
      <c r="K1905" s="387"/>
      <c r="L1905" s="387"/>
      <c r="M1905" s="388"/>
      <c r="N1905" s="388"/>
      <c r="O1905" s="390"/>
      <c r="P1905" s="391"/>
      <c r="Q1905" s="389"/>
      <c r="R1905" s="390"/>
      <c r="S1905" s="390"/>
      <c r="T1905" s="391"/>
      <c r="U1905" s="392"/>
      <c r="V1905" s="391"/>
      <c r="W1905" s="391"/>
      <c r="X1905" s="388"/>
      <c r="Y1905" s="391"/>
      <c r="Z1905" s="393"/>
      <c r="AA1905" s="355" t="str">
        <f t="shared" si="1"/>
        <v/>
      </c>
      <c r="AB1905" s="391"/>
      <c r="AC1905" s="394" t="str">
        <f t="shared" si="2"/>
        <v/>
      </c>
      <c r="AD1905" s="389"/>
      <c r="AE1905" s="399"/>
      <c r="AF1905" s="395"/>
      <c r="AG1905" s="396" t="str">
        <f t="shared" si="3"/>
        <v/>
      </c>
      <c r="AH1905" s="396" t="str">
        <f t="shared" si="4"/>
        <v/>
      </c>
      <c r="AI1905" s="388"/>
      <c r="AJ1905" s="388"/>
      <c r="AK1905" s="397"/>
    </row>
    <row r="1906">
      <c r="A1906" s="398"/>
      <c r="B1906" s="386"/>
      <c r="C1906" s="387" t="str">
        <f>IF(A1906="","",IFERROR(IF(VLOOKUP(A1906,'1. Inbound Leads'!A:G,7,FALSE)=0,"",VLOOKUP(A1906,'1. Inbound Leads'!A:G,7,FALSE)),""))</f>
        <v/>
      </c>
      <c r="D1906" s="387" t="str">
        <f>IF(A1906="","",IFERROR(IF(VLOOKUP(A1906,'1. Inbound Leads'!A:L,12,FALSE)=0,"",VLOOKUP(A1906,'1. Inbound Leads'!A:L,12,FALSE)),""))</f>
        <v/>
      </c>
      <c r="E1906" s="388"/>
      <c r="F1906" s="389"/>
      <c r="G1906" s="387"/>
      <c r="H1906" s="387"/>
      <c r="I1906" s="387"/>
      <c r="J1906" s="387"/>
      <c r="K1906" s="387"/>
      <c r="L1906" s="387"/>
      <c r="M1906" s="388"/>
      <c r="N1906" s="388"/>
      <c r="O1906" s="390"/>
      <c r="P1906" s="391"/>
      <c r="Q1906" s="389"/>
      <c r="R1906" s="390"/>
      <c r="S1906" s="390"/>
      <c r="T1906" s="391"/>
      <c r="U1906" s="392"/>
      <c r="V1906" s="391"/>
      <c r="W1906" s="391"/>
      <c r="X1906" s="388"/>
      <c r="Y1906" s="391"/>
      <c r="Z1906" s="393"/>
      <c r="AA1906" s="355" t="str">
        <f t="shared" si="1"/>
        <v/>
      </c>
      <c r="AB1906" s="391"/>
      <c r="AC1906" s="394" t="str">
        <f t="shared" si="2"/>
        <v/>
      </c>
      <c r="AD1906" s="389"/>
      <c r="AE1906" s="399"/>
      <c r="AF1906" s="395"/>
      <c r="AG1906" s="396" t="str">
        <f t="shared" si="3"/>
        <v/>
      </c>
      <c r="AH1906" s="396" t="str">
        <f t="shared" si="4"/>
        <v/>
      </c>
      <c r="AI1906" s="388"/>
      <c r="AJ1906" s="388"/>
      <c r="AK1906" s="397"/>
    </row>
    <row r="1907">
      <c r="A1907" s="398"/>
      <c r="B1907" s="386"/>
      <c r="C1907" s="387" t="str">
        <f>IF(A1907="","",IFERROR(IF(VLOOKUP(A1907,'1. Inbound Leads'!A:G,7,FALSE)=0,"",VLOOKUP(A1907,'1. Inbound Leads'!A:G,7,FALSE)),""))</f>
        <v/>
      </c>
      <c r="D1907" s="387" t="str">
        <f>IF(A1907="","",IFERROR(IF(VLOOKUP(A1907,'1. Inbound Leads'!A:L,12,FALSE)=0,"",VLOOKUP(A1907,'1. Inbound Leads'!A:L,12,FALSE)),""))</f>
        <v/>
      </c>
      <c r="E1907" s="388"/>
      <c r="F1907" s="389"/>
      <c r="G1907" s="387"/>
      <c r="H1907" s="387"/>
      <c r="I1907" s="387"/>
      <c r="J1907" s="387"/>
      <c r="K1907" s="387"/>
      <c r="L1907" s="387"/>
      <c r="M1907" s="388"/>
      <c r="N1907" s="388"/>
      <c r="O1907" s="390"/>
      <c r="P1907" s="391"/>
      <c r="Q1907" s="389"/>
      <c r="R1907" s="390"/>
      <c r="S1907" s="390"/>
      <c r="T1907" s="391"/>
      <c r="U1907" s="392"/>
      <c r="V1907" s="391"/>
      <c r="W1907" s="391"/>
      <c r="X1907" s="388"/>
      <c r="Y1907" s="391"/>
      <c r="Z1907" s="393"/>
      <c r="AA1907" s="355" t="str">
        <f t="shared" si="1"/>
        <v/>
      </c>
      <c r="AB1907" s="391"/>
      <c r="AC1907" s="394" t="str">
        <f t="shared" si="2"/>
        <v/>
      </c>
      <c r="AD1907" s="389"/>
      <c r="AE1907" s="399"/>
      <c r="AF1907" s="395"/>
      <c r="AG1907" s="396" t="str">
        <f t="shared" si="3"/>
        <v/>
      </c>
      <c r="AH1907" s="396" t="str">
        <f t="shared" si="4"/>
        <v/>
      </c>
      <c r="AI1907" s="388"/>
      <c r="AJ1907" s="388"/>
      <c r="AK1907" s="397"/>
    </row>
    <row r="1908">
      <c r="A1908" s="398"/>
      <c r="B1908" s="386"/>
      <c r="C1908" s="387" t="str">
        <f>IF(A1908="","",IFERROR(IF(VLOOKUP(A1908,'1. Inbound Leads'!A:G,7,FALSE)=0,"",VLOOKUP(A1908,'1. Inbound Leads'!A:G,7,FALSE)),""))</f>
        <v/>
      </c>
      <c r="D1908" s="387" t="str">
        <f>IF(A1908="","",IFERROR(IF(VLOOKUP(A1908,'1. Inbound Leads'!A:L,12,FALSE)=0,"",VLOOKUP(A1908,'1. Inbound Leads'!A:L,12,FALSE)),""))</f>
        <v/>
      </c>
      <c r="E1908" s="388"/>
      <c r="F1908" s="389"/>
      <c r="G1908" s="387"/>
      <c r="H1908" s="387"/>
      <c r="I1908" s="387"/>
      <c r="J1908" s="387"/>
      <c r="K1908" s="387"/>
      <c r="L1908" s="387"/>
      <c r="M1908" s="388"/>
      <c r="N1908" s="388"/>
      <c r="O1908" s="390"/>
      <c r="P1908" s="391"/>
      <c r="Q1908" s="389"/>
      <c r="R1908" s="390"/>
      <c r="S1908" s="390"/>
      <c r="T1908" s="391"/>
      <c r="U1908" s="392"/>
      <c r="V1908" s="391"/>
      <c r="W1908" s="391"/>
      <c r="X1908" s="388"/>
      <c r="Y1908" s="391"/>
      <c r="Z1908" s="393"/>
      <c r="AA1908" s="355" t="str">
        <f t="shared" si="1"/>
        <v/>
      </c>
      <c r="AB1908" s="391"/>
      <c r="AC1908" s="394" t="str">
        <f t="shared" si="2"/>
        <v/>
      </c>
      <c r="AD1908" s="389"/>
      <c r="AE1908" s="399"/>
      <c r="AF1908" s="395"/>
      <c r="AG1908" s="396" t="str">
        <f t="shared" si="3"/>
        <v/>
      </c>
      <c r="AH1908" s="396" t="str">
        <f t="shared" si="4"/>
        <v/>
      </c>
      <c r="AI1908" s="388"/>
      <c r="AJ1908" s="388"/>
      <c r="AK1908" s="397"/>
    </row>
    <row r="1909">
      <c r="A1909" s="398"/>
      <c r="B1909" s="386"/>
      <c r="C1909" s="387" t="str">
        <f>IF(A1909="","",IFERROR(IF(VLOOKUP(A1909,'1. Inbound Leads'!A:G,7,FALSE)=0,"",VLOOKUP(A1909,'1. Inbound Leads'!A:G,7,FALSE)),""))</f>
        <v/>
      </c>
      <c r="D1909" s="387" t="str">
        <f>IF(A1909="","",IFERROR(IF(VLOOKUP(A1909,'1. Inbound Leads'!A:L,12,FALSE)=0,"",VLOOKUP(A1909,'1. Inbound Leads'!A:L,12,FALSE)),""))</f>
        <v/>
      </c>
      <c r="E1909" s="388"/>
      <c r="F1909" s="389"/>
      <c r="G1909" s="387"/>
      <c r="H1909" s="387"/>
      <c r="I1909" s="387"/>
      <c r="J1909" s="387"/>
      <c r="K1909" s="387"/>
      <c r="L1909" s="387"/>
      <c r="M1909" s="388"/>
      <c r="N1909" s="388"/>
      <c r="O1909" s="390"/>
      <c r="P1909" s="391"/>
      <c r="Q1909" s="389"/>
      <c r="R1909" s="390"/>
      <c r="S1909" s="390"/>
      <c r="T1909" s="391"/>
      <c r="U1909" s="392"/>
      <c r="V1909" s="391"/>
      <c r="W1909" s="391"/>
      <c r="X1909" s="388"/>
      <c r="Y1909" s="391"/>
      <c r="Z1909" s="393"/>
      <c r="AA1909" s="355" t="str">
        <f t="shared" si="1"/>
        <v/>
      </c>
      <c r="AB1909" s="391"/>
      <c r="AC1909" s="394" t="str">
        <f t="shared" si="2"/>
        <v/>
      </c>
      <c r="AD1909" s="389"/>
      <c r="AE1909" s="399"/>
      <c r="AF1909" s="395"/>
      <c r="AG1909" s="396" t="str">
        <f t="shared" si="3"/>
        <v/>
      </c>
      <c r="AH1909" s="396" t="str">
        <f t="shared" si="4"/>
        <v/>
      </c>
      <c r="AI1909" s="388"/>
      <c r="AJ1909" s="388"/>
      <c r="AK1909" s="397"/>
    </row>
    <row r="1910">
      <c r="A1910" s="398"/>
      <c r="B1910" s="386"/>
      <c r="C1910" s="387" t="str">
        <f>IF(A1910="","",IFERROR(IF(VLOOKUP(A1910,'1. Inbound Leads'!A:G,7,FALSE)=0,"",VLOOKUP(A1910,'1. Inbound Leads'!A:G,7,FALSE)),""))</f>
        <v/>
      </c>
      <c r="D1910" s="387" t="str">
        <f>IF(A1910="","",IFERROR(IF(VLOOKUP(A1910,'1. Inbound Leads'!A:L,12,FALSE)=0,"",VLOOKUP(A1910,'1. Inbound Leads'!A:L,12,FALSE)),""))</f>
        <v/>
      </c>
      <c r="E1910" s="388"/>
      <c r="F1910" s="389"/>
      <c r="G1910" s="387"/>
      <c r="H1910" s="387"/>
      <c r="I1910" s="387"/>
      <c r="J1910" s="387"/>
      <c r="K1910" s="387"/>
      <c r="L1910" s="387"/>
      <c r="M1910" s="388"/>
      <c r="N1910" s="388"/>
      <c r="O1910" s="390"/>
      <c r="P1910" s="391"/>
      <c r="Q1910" s="389"/>
      <c r="R1910" s="390"/>
      <c r="S1910" s="390"/>
      <c r="T1910" s="391"/>
      <c r="U1910" s="392"/>
      <c r="V1910" s="391"/>
      <c r="W1910" s="391"/>
      <c r="X1910" s="388"/>
      <c r="Y1910" s="391"/>
      <c r="Z1910" s="393"/>
      <c r="AA1910" s="355" t="str">
        <f t="shared" si="1"/>
        <v/>
      </c>
      <c r="AB1910" s="391"/>
      <c r="AC1910" s="394" t="str">
        <f t="shared" si="2"/>
        <v/>
      </c>
      <c r="AD1910" s="389"/>
      <c r="AE1910" s="399"/>
      <c r="AF1910" s="395"/>
      <c r="AG1910" s="396" t="str">
        <f t="shared" si="3"/>
        <v/>
      </c>
      <c r="AH1910" s="396" t="str">
        <f t="shared" si="4"/>
        <v/>
      </c>
      <c r="AI1910" s="388"/>
      <c r="AJ1910" s="388"/>
      <c r="AK1910" s="397"/>
    </row>
    <row r="1911">
      <c r="A1911" s="398"/>
      <c r="B1911" s="386"/>
      <c r="C1911" s="387" t="str">
        <f>IF(A1911="","",IFERROR(IF(VLOOKUP(A1911,'1. Inbound Leads'!A:G,7,FALSE)=0,"",VLOOKUP(A1911,'1. Inbound Leads'!A:G,7,FALSE)),""))</f>
        <v/>
      </c>
      <c r="D1911" s="387" t="str">
        <f>IF(A1911="","",IFERROR(IF(VLOOKUP(A1911,'1. Inbound Leads'!A:L,12,FALSE)=0,"",VLOOKUP(A1911,'1. Inbound Leads'!A:L,12,FALSE)),""))</f>
        <v/>
      </c>
      <c r="E1911" s="388"/>
      <c r="F1911" s="389"/>
      <c r="G1911" s="387"/>
      <c r="H1911" s="387"/>
      <c r="I1911" s="387"/>
      <c r="J1911" s="387"/>
      <c r="K1911" s="387"/>
      <c r="L1911" s="387"/>
      <c r="M1911" s="388"/>
      <c r="N1911" s="388"/>
      <c r="O1911" s="390"/>
      <c r="P1911" s="391"/>
      <c r="Q1911" s="389"/>
      <c r="R1911" s="390"/>
      <c r="S1911" s="390"/>
      <c r="T1911" s="391"/>
      <c r="U1911" s="392"/>
      <c r="V1911" s="391"/>
      <c r="W1911" s="391"/>
      <c r="X1911" s="388"/>
      <c r="Y1911" s="391"/>
      <c r="Z1911" s="393"/>
      <c r="AA1911" s="355" t="str">
        <f t="shared" si="1"/>
        <v/>
      </c>
      <c r="AB1911" s="391"/>
      <c r="AC1911" s="394" t="str">
        <f t="shared" si="2"/>
        <v/>
      </c>
      <c r="AD1911" s="389"/>
      <c r="AE1911" s="399"/>
      <c r="AF1911" s="395"/>
      <c r="AG1911" s="396" t="str">
        <f t="shared" si="3"/>
        <v/>
      </c>
      <c r="AH1911" s="396" t="str">
        <f t="shared" si="4"/>
        <v/>
      </c>
      <c r="AI1911" s="388"/>
      <c r="AJ1911" s="388"/>
      <c r="AK1911" s="397"/>
    </row>
    <row r="1912">
      <c r="A1912" s="398"/>
      <c r="B1912" s="386"/>
      <c r="C1912" s="387" t="str">
        <f>IF(A1912="","",IFERROR(IF(VLOOKUP(A1912,'1. Inbound Leads'!A:G,7,FALSE)=0,"",VLOOKUP(A1912,'1. Inbound Leads'!A:G,7,FALSE)),""))</f>
        <v/>
      </c>
      <c r="D1912" s="387" t="str">
        <f>IF(A1912="","",IFERROR(IF(VLOOKUP(A1912,'1. Inbound Leads'!A:L,12,FALSE)=0,"",VLOOKUP(A1912,'1. Inbound Leads'!A:L,12,FALSE)),""))</f>
        <v/>
      </c>
      <c r="E1912" s="388"/>
      <c r="F1912" s="389"/>
      <c r="G1912" s="387"/>
      <c r="H1912" s="387"/>
      <c r="I1912" s="387"/>
      <c r="J1912" s="387"/>
      <c r="K1912" s="387"/>
      <c r="L1912" s="387"/>
      <c r="M1912" s="388"/>
      <c r="N1912" s="388"/>
      <c r="O1912" s="390"/>
      <c r="P1912" s="391"/>
      <c r="Q1912" s="389"/>
      <c r="R1912" s="390"/>
      <c r="S1912" s="390"/>
      <c r="T1912" s="391"/>
      <c r="U1912" s="392"/>
      <c r="V1912" s="391"/>
      <c r="W1912" s="391"/>
      <c r="X1912" s="388"/>
      <c r="Y1912" s="391"/>
      <c r="Z1912" s="393"/>
      <c r="AA1912" s="355" t="str">
        <f t="shared" si="1"/>
        <v/>
      </c>
      <c r="AB1912" s="391"/>
      <c r="AC1912" s="394" t="str">
        <f t="shared" si="2"/>
        <v/>
      </c>
      <c r="AD1912" s="389"/>
      <c r="AE1912" s="399"/>
      <c r="AF1912" s="395"/>
      <c r="AG1912" s="396" t="str">
        <f t="shared" si="3"/>
        <v/>
      </c>
      <c r="AH1912" s="396" t="str">
        <f t="shared" si="4"/>
        <v/>
      </c>
      <c r="AI1912" s="388"/>
      <c r="AJ1912" s="388"/>
      <c r="AK1912" s="397"/>
    </row>
    <row r="1913">
      <c r="A1913" s="398"/>
      <c r="B1913" s="386"/>
      <c r="C1913" s="387" t="str">
        <f>IF(A1913="","",IFERROR(IF(VLOOKUP(A1913,'1. Inbound Leads'!A:G,7,FALSE)=0,"",VLOOKUP(A1913,'1. Inbound Leads'!A:G,7,FALSE)),""))</f>
        <v/>
      </c>
      <c r="D1913" s="387" t="str">
        <f>IF(A1913="","",IFERROR(IF(VLOOKUP(A1913,'1. Inbound Leads'!A:L,12,FALSE)=0,"",VLOOKUP(A1913,'1. Inbound Leads'!A:L,12,FALSE)),""))</f>
        <v/>
      </c>
      <c r="E1913" s="388"/>
      <c r="F1913" s="389"/>
      <c r="G1913" s="387"/>
      <c r="H1913" s="387"/>
      <c r="I1913" s="387"/>
      <c r="J1913" s="387"/>
      <c r="K1913" s="387"/>
      <c r="L1913" s="387"/>
      <c r="M1913" s="388"/>
      <c r="N1913" s="388"/>
      <c r="O1913" s="390"/>
      <c r="P1913" s="391"/>
      <c r="Q1913" s="389"/>
      <c r="R1913" s="390"/>
      <c r="S1913" s="390"/>
      <c r="T1913" s="391"/>
      <c r="U1913" s="392"/>
      <c r="V1913" s="391"/>
      <c r="W1913" s="391"/>
      <c r="X1913" s="388"/>
      <c r="Y1913" s="391"/>
      <c r="Z1913" s="393"/>
      <c r="AA1913" s="355" t="str">
        <f t="shared" si="1"/>
        <v/>
      </c>
      <c r="AB1913" s="391"/>
      <c r="AC1913" s="394" t="str">
        <f t="shared" si="2"/>
        <v/>
      </c>
      <c r="AD1913" s="389"/>
      <c r="AE1913" s="399"/>
      <c r="AF1913" s="395"/>
      <c r="AG1913" s="396" t="str">
        <f t="shared" si="3"/>
        <v/>
      </c>
      <c r="AH1913" s="396" t="str">
        <f t="shared" si="4"/>
        <v/>
      </c>
      <c r="AI1913" s="388"/>
      <c r="AJ1913" s="388"/>
      <c r="AK1913" s="397"/>
    </row>
    <row r="1914">
      <c r="A1914" s="398"/>
      <c r="B1914" s="386"/>
      <c r="C1914" s="387" t="str">
        <f>IF(A1914="","",IFERROR(IF(VLOOKUP(A1914,'1. Inbound Leads'!A:G,7,FALSE)=0,"",VLOOKUP(A1914,'1. Inbound Leads'!A:G,7,FALSE)),""))</f>
        <v/>
      </c>
      <c r="D1914" s="387" t="str">
        <f>IF(A1914="","",IFERROR(IF(VLOOKUP(A1914,'1. Inbound Leads'!A:L,12,FALSE)=0,"",VLOOKUP(A1914,'1. Inbound Leads'!A:L,12,FALSE)),""))</f>
        <v/>
      </c>
      <c r="E1914" s="388"/>
      <c r="F1914" s="389"/>
      <c r="G1914" s="387"/>
      <c r="H1914" s="387"/>
      <c r="I1914" s="387"/>
      <c r="J1914" s="387"/>
      <c r="K1914" s="387"/>
      <c r="L1914" s="387"/>
      <c r="M1914" s="388"/>
      <c r="N1914" s="388"/>
      <c r="O1914" s="390"/>
      <c r="P1914" s="391"/>
      <c r="Q1914" s="389"/>
      <c r="R1914" s="390"/>
      <c r="S1914" s="390"/>
      <c r="T1914" s="391"/>
      <c r="U1914" s="392"/>
      <c r="V1914" s="391"/>
      <c r="W1914" s="391"/>
      <c r="X1914" s="388"/>
      <c r="Y1914" s="391"/>
      <c r="Z1914" s="393"/>
      <c r="AA1914" s="355" t="str">
        <f t="shared" si="1"/>
        <v/>
      </c>
      <c r="AB1914" s="391"/>
      <c r="AC1914" s="394" t="str">
        <f t="shared" si="2"/>
        <v/>
      </c>
      <c r="AD1914" s="389"/>
      <c r="AE1914" s="399"/>
      <c r="AF1914" s="395"/>
      <c r="AG1914" s="396" t="str">
        <f t="shared" si="3"/>
        <v/>
      </c>
      <c r="AH1914" s="396" t="str">
        <f t="shared" si="4"/>
        <v/>
      </c>
      <c r="AI1914" s="388"/>
      <c r="AJ1914" s="388"/>
      <c r="AK1914" s="397"/>
    </row>
    <row r="1915">
      <c r="A1915" s="398"/>
      <c r="B1915" s="386"/>
      <c r="C1915" s="387" t="str">
        <f>IF(A1915="","",IFERROR(IF(VLOOKUP(A1915,'1. Inbound Leads'!A:G,7,FALSE)=0,"",VLOOKUP(A1915,'1. Inbound Leads'!A:G,7,FALSE)),""))</f>
        <v/>
      </c>
      <c r="D1915" s="387" t="str">
        <f>IF(A1915="","",IFERROR(IF(VLOOKUP(A1915,'1. Inbound Leads'!A:L,12,FALSE)=0,"",VLOOKUP(A1915,'1. Inbound Leads'!A:L,12,FALSE)),""))</f>
        <v/>
      </c>
      <c r="E1915" s="388"/>
      <c r="F1915" s="389"/>
      <c r="G1915" s="387"/>
      <c r="H1915" s="387"/>
      <c r="I1915" s="387"/>
      <c r="J1915" s="387"/>
      <c r="K1915" s="387"/>
      <c r="L1915" s="387"/>
      <c r="M1915" s="388"/>
      <c r="N1915" s="388"/>
      <c r="O1915" s="390"/>
      <c r="P1915" s="391"/>
      <c r="Q1915" s="389"/>
      <c r="R1915" s="390"/>
      <c r="S1915" s="390"/>
      <c r="T1915" s="391"/>
      <c r="U1915" s="392"/>
      <c r="V1915" s="391"/>
      <c r="W1915" s="391"/>
      <c r="X1915" s="388"/>
      <c r="Y1915" s="391"/>
      <c r="Z1915" s="393"/>
      <c r="AA1915" s="355" t="str">
        <f t="shared" si="1"/>
        <v/>
      </c>
      <c r="AB1915" s="391"/>
      <c r="AC1915" s="394" t="str">
        <f t="shared" si="2"/>
        <v/>
      </c>
      <c r="AD1915" s="389"/>
      <c r="AE1915" s="399"/>
      <c r="AF1915" s="395"/>
      <c r="AG1915" s="396" t="str">
        <f t="shared" si="3"/>
        <v/>
      </c>
      <c r="AH1915" s="396" t="str">
        <f t="shared" si="4"/>
        <v/>
      </c>
      <c r="AI1915" s="388"/>
      <c r="AJ1915" s="388"/>
      <c r="AK1915" s="397"/>
    </row>
    <row r="1916">
      <c r="A1916" s="398"/>
      <c r="B1916" s="386"/>
      <c r="C1916" s="387" t="str">
        <f>IF(A1916="","",IFERROR(IF(VLOOKUP(A1916,'1. Inbound Leads'!A:G,7,FALSE)=0,"",VLOOKUP(A1916,'1. Inbound Leads'!A:G,7,FALSE)),""))</f>
        <v/>
      </c>
      <c r="D1916" s="387" t="str">
        <f>IF(A1916="","",IFERROR(IF(VLOOKUP(A1916,'1. Inbound Leads'!A:L,12,FALSE)=0,"",VLOOKUP(A1916,'1. Inbound Leads'!A:L,12,FALSE)),""))</f>
        <v/>
      </c>
      <c r="E1916" s="388"/>
      <c r="F1916" s="389"/>
      <c r="G1916" s="387"/>
      <c r="H1916" s="387"/>
      <c r="I1916" s="387"/>
      <c r="J1916" s="387"/>
      <c r="K1916" s="387"/>
      <c r="L1916" s="387"/>
      <c r="M1916" s="388"/>
      <c r="N1916" s="388"/>
      <c r="O1916" s="390"/>
      <c r="P1916" s="391"/>
      <c r="Q1916" s="389"/>
      <c r="R1916" s="390"/>
      <c r="S1916" s="390"/>
      <c r="T1916" s="391"/>
      <c r="U1916" s="392"/>
      <c r="V1916" s="391"/>
      <c r="W1916" s="391"/>
      <c r="X1916" s="388"/>
      <c r="Y1916" s="391"/>
      <c r="Z1916" s="393"/>
      <c r="AA1916" s="355" t="str">
        <f t="shared" si="1"/>
        <v/>
      </c>
      <c r="AB1916" s="391"/>
      <c r="AC1916" s="394" t="str">
        <f t="shared" si="2"/>
        <v/>
      </c>
      <c r="AD1916" s="389"/>
      <c r="AE1916" s="399"/>
      <c r="AF1916" s="395"/>
      <c r="AG1916" s="396" t="str">
        <f t="shared" si="3"/>
        <v/>
      </c>
      <c r="AH1916" s="396" t="str">
        <f t="shared" si="4"/>
        <v/>
      </c>
      <c r="AI1916" s="388"/>
      <c r="AJ1916" s="388"/>
      <c r="AK1916" s="397"/>
    </row>
    <row r="1917">
      <c r="A1917" s="398"/>
      <c r="B1917" s="386"/>
      <c r="C1917" s="387" t="str">
        <f>IF(A1917="","",IFERROR(IF(VLOOKUP(A1917,'1. Inbound Leads'!A:G,7,FALSE)=0,"",VLOOKUP(A1917,'1. Inbound Leads'!A:G,7,FALSE)),""))</f>
        <v/>
      </c>
      <c r="D1917" s="387" t="str">
        <f>IF(A1917="","",IFERROR(IF(VLOOKUP(A1917,'1. Inbound Leads'!A:L,12,FALSE)=0,"",VLOOKUP(A1917,'1. Inbound Leads'!A:L,12,FALSE)),""))</f>
        <v/>
      </c>
      <c r="E1917" s="388"/>
      <c r="F1917" s="389"/>
      <c r="G1917" s="387"/>
      <c r="H1917" s="387"/>
      <c r="I1917" s="387"/>
      <c r="J1917" s="387"/>
      <c r="K1917" s="387"/>
      <c r="L1917" s="387"/>
      <c r="M1917" s="388"/>
      <c r="N1917" s="388"/>
      <c r="O1917" s="390"/>
      <c r="P1917" s="391"/>
      <c r="Q1917" s="389"/>
      <c r="R1917" s="390"/>
      <c r="S1917" s="390"/>
      <c r="T1917" s="391"/>
      <c r="U1917" s="392"/>
      <c r="V1917" s="391"/>
      <c r="W1917" s="391"/>
      <c r="X1917" s="388"/>
      <c r="Y1917" s="391"/>
      <c r="Z1917" s="393"/>
      <c r="AA1917" s="355" t="str">
        <f t="shared" si="1"/>
        <v/>
      </c>
      <c r="AB1917" s="391"/>
      <c r="AC1917" s="394" t="str">
        <f t="shared" si="2"/>
        <v/>
      </c>
      <c r="AD1917" s="389"/>
      <c r="AE1917" s="399"/>
      <c r="AF1917" s="395"/>
      <c r="AG1917" s="396" t="str">
        <f t="shared" si="3"/>
        <v/>
      </c>
      <c r="AH1917" s="396" t="str">
        <f t="shared" si="4"/>
        <v/>
      </c>
      <c r="AI1917" s="388"/>
      <c r="AJ1917" s="388"/>
      <c r="AK1917" s="397"/>
    </row>
    <row r="1918">
      <c r="A1918" s="398"/>
      <c r="B1918" s="386"/>
      <c r="C1918" s="387" t="str">
        <f>IF(A1918="","",IFERROR(IF(VLOOKUP(A1918,'1. Inbound Leads'!A:G,7,FALSE)=0,"",VLOOKUP(A1918,'1. Inbound Leads'!A:G,7,FALSE)),""))</f>
        <v/>
      </c>
      <c r="D1918" s="387" t="str">
        <f>IF(A1918="","",IFERROR(IF(VLOOKUP(A1918,'1. Inbound Leads'!A:L,12,FALSE)=0,"",VLOOKUP(A1918,'1. Inbound Leads'!A:L,12,FALSE)),""))</f>
        <v/>
      </c>
      <c r="E1918" s="388"/>
      <c r="F1918" s="389"/>
      <c r="G1918" s="387"/>
      <c r="H1918" s="387"/>
      <c r="I1918" s="387"/>
      <c r="J1918" s="387"/>
      <c r="K1918" s="387"/>
      <c r="L1918" s="387"/>
      <c r="M1918" s="388"/>
      <c r="N1918" s="388"/>
      <c r="O1918" s="390"/>
      <c r="P1918" s="391"/>
      <c r="Q1918" s="389"/>
      <c r="R1918" s="390"/>
      <c r="S1918" s="390"/>
      <c r="T1918" s="391"/>
      <c r="U1918" s="392"/>
      <c r="V1918" s="391"/>
      <c r="W1918" s="391"/>
      <c r="X1918" s="388"/>
      <c r="Y1918" s="391"/>
      <c r="Z1918" s="393"/>
      <c r="AA1918" s="355" t="str">
        <f t="shared" si="1"/>
        <v/>
      </c>
      <c r="AB1918" s="391"/>
      <c r="AC1918" s="394" t="str">
        <f t="shared" si="2"/>
        <v/>
      </c>
      <c r="AD1918" s="389"/>
      <c r="AE1918" s="399"/>
      <c r="AF1918" s="395"/>
      <c r="AG1918" s="396" t="str">
        <f t="shared" si="3"/>
        <v/>
      </c>
      <c r="AH1918" s="396" t="str">
        <f t="shared" si="4"/>
        <v/>
      </c>
      <c r="AI1918" s="388"/>
      <c r="AJ1918" s="388"/>
      <c r="AK1918" s="397"/>
    </row>
    <row r="1919">
      <c r="A1919" s="398"/>
      <c r="B1919" s="386"/>
      <c r="C1919" s="387" t="str">
        <f>IF(A1919="","",IFERROR(IF(VLOOKUP(A1919,'1. Inbound Leads'!A:G,7,FALSE)=0,"",VLOOKUP(A1919,'1. Inbound Leads'!A:G,7,FALSE)),""))</f>
        <v/>
      </c>
      <c r="D1919" s="387" t="str">
        <f>IF(A1919="","",IFERROR(IF(VLOOKUP(A1919,'1. Inbound Leads'!A:L,12,FALSE)=0,"",VLOOKUP(A1919,'1. Inbound Leads'!A:L,12,FALSE)),""))</f>
        <v/>
      </c>
      <c r="E1919" s="388"/>
      <c r="F1919" s="389"/>
      <c r="G1919" s="387"/>
      <c r="H1919" s="387"/>
      <c r="I1919" s="387"/>
      <c r="J1919" s="387"/>
      <c r="K1919" s="387"/>
      <c r="L1919" s="387"/>
      <c r="M1919" s="388"/>
      <c r="N1919" s="388"/>
      <c r="O1919" s="390"/>
      <c r="P1919" s="391"/>
      <c r="Q1919" s="389"/>
      <c r="R1919" s="390"/>
      <c r="S1919" s="390"/>
      <c r="T1919" s="391"/>
      <c r="U1919" s="392"/>
      <c r="V1919" s="391"/>
      <c r="W1919" s="391"/>
      <c r="X1919" s="388"/>
      <c r="Y1919" s="391"/>
      <c r="Z1919" s="393"/>
      <c r="AA1919" s="355" t="str">
        <f t="shared" si="1"/>
        <v/>
      </c>
      <c r="AB1919" s="391"/>
      <c r="AC1919" s="394" t="str">
        <f t="shared" si="2"/>
        <v/>
      </c>
      <c r="AD1919" s="389"/>
      <c r="AE1919" s="399"/>
      <c r="AF1919" s="395"/>
      <c r="AG1919" s="396" t="str">
        <f t="shared" si="3"/>
        <v/>
      </c>
      <c r="AH1919" s="396" t="str">
        <f t="shared" si="4"/>
        <v/>
      </c>
      <c r="AI1919" s="388"/>
      <c r="AJ1919" s="388"/>
      <c r="AK1919" s="397"/>
    </row>
    <row r="1920">
      <c r="A1920" s="398"/>
      <c r="B1920" s="386"/>
      <c r="C1920" s="387" t="str">
        <f>IF(A1920="","",IFERROR(IF(VLOOKUP(A1920,'1. Inbound Leads'!A:G,7,FALSE)=0,"",VLOOKUP(A1920,'1. Inbound Leads'!A:G,7,FALSE)),""))</f>
        <v/>
      </c>
      <c r="D1920" s="387" t="str">
        <f>IF(A1920="","",IFERROR(IF(VLOOKUP(A1920,'1. Inbound Leads'!A:L,12,FALSE)=0,"",VLOOKUP(A1920,'1. Inbound Leads'!A:L,12,FALSE)),""))</f>
        <v/>
      </c>
      <c r="E1920" s="388"/>
      <c r="F1920" s="389"/>
      <c r="G1920" s="387"/>
      <c r="H1920" s="387"/>
      <c r="I1920" s="387"/>
      <c r="J1920" s="387"/>
      <c r="K1920" s="387"/>
      <c r="L1920" s="387"/>
      <c r="M1920" s="388"/>
      <c r="N1920" s="388"/>
      <c r="O1920" s="390"/>
      <c r="P1920" s="391"/>
      <c r="Q1920" s="389"/>
      <c r="R1920" s="390"/>
      <c r="S1920" s="390"/>
      <c r="T1920" s="391"/>
      <c r="U1920" s="392"/>
      <c r="V1920" s="391"/>
      <c r="W1920" s="391"/>
      <c r="X1920" s="388"/>
      <c r="Y1920" s="391"/>
      <c r="Z1920" s="393"/>
      <c r="AA1920" s="355" t="str">
        <f t="shared" si="1"/>
        <v/>
      </c>
      <c r="AB1920" s="391"/>
      <c r="AC1920" s="394" t="str">
        <f t="shared" si="2"/>
        <v/>
      </c>
      <c r="AD1920" s="389"/>
      <c r="AE1920" s="399"/>
      <c r="AF1920" s="395"/>
      <c r="AG1920" s="396" t="str">
        <f t="shared" si="3"/>
        <v/>
      </c>
      <c r="AH1920" s="396" t="str">
        <f t="shared" si="4"/>
        <v/>
      </c>
      <c r="AI1920" s="388"/>
      <c r="AJ1920" s="388"/>
      <c r="AK1920" s="397"/>
    </row>
    <row r="1921">
      <c r="A1921" s="398"/>
      <c r="B1921" s="386"/>
      <c r="C1921" s="387" t="str">
        <f>IF(A1921="","",IFERROR(IF(VLOOKUP(A1921,'1. Inbound Leads'!A:G,7,FALSE)=0,"",VLOOKUP(A1921,'1. Inbound Leads'!A:G,7,FALSE)),""))</f>
        <v/>
      </c>
      <c r="D1921" s="387" t="str">
        <f>IF(A1921="","",IFERROR(IF(VLOOKUP(A1921,'1. Inbound Leads'!A:L,12,FALSE)=0,"",VLOOKUP(A1921,'1. Inbound Leads'!A:L,12,FALSE)),""))</f>
        <v/>
      </c>
      <c r="E1921" s="388"/>
      <c r="F1921" s="389"/>
      <c r="G1921" s="387"/>
      <c r="H1921" s="387"/>
      <c r="I1921" s="387"/>
      <c r="J1921" s="387"/>
      <c r="K1921" s="387"/>
      <c r="L1921" s="387"/>
      <c r="M1921" s="388"/>
      <c r="N1921" s="388"/>
      <c r="O1921" s="390"/>
      <c r="P1921" s="391"/>
      <c r="Q1921" s="389"/>
      <c r="R1921" s="390"/>
      <c r="S1921" s="390"/>
      <c r="T1921" s="391"/>
      <c r="U1921" s="392"/>
      <c r="V1921" s="391"/>
      <c r="W1921" s="391"/>
      <c r="X1921" s="388"/>
      <c r="Y1921" s="391"/>
      <c r="Z1921" s="393"/>
      <c r="AA1921" s="355" t="str">
        <f t="shared" si="1"/>
        <v/>
      </c>
      <c r="AB1921" s="391"/>
      <c r="AC1921" s="394" t="str">
        <f t="shared" si="2"/>
        <v/>
      </c>
      <c r="AD1921" s="389"/>
      <c r="AE1921" s="399"/>
      <c r="AF1921" s="395"/>
      <c r="AG1921" s="396" t="str">
        <f t="shared" si="3"/>
        <v/>
      </c>
      <c r="AH1921" s="396" t="str">
        <f t="shared" si="4"/>
        <v/>
      </c>
      <c r="AI1921" s="388"/>
      <c r="AJ1921" s="388"/>
      <c r="AK1921" s="397"/>
    </row>
    <row r="1922">
      <c r="A1922" s="398"/>
      <c r="B1922" s="386"/>
      <c r="C1922" s="387" t="str">
        <f>IF(A1922="","",IFERROR(IF(VLOOKUP(A1922,'1. Inbound Leads'!A:G,7,FALSE)=0,"",VLOOKUP(A1922,'1. Inbound Leads'!A:G,7,FALSE)),""))</f>
        <v/>
      </c>
      <c r="D1922" s="387" t="str">
        <f>IF(A1922="","",IFERROR(IF(VLOOKUP(A1922,'1. Inbound Leads'!A:L,12,FALSE)=0,"",VLOOKUP(A1922,'1. Inbound Leads'!A:L,12,FALSE)),""))</f>
        <v/>
      </c>
      <c r="E1922" s="388"/>
      <c r="F1922" s="389"/>
      <c r="G1922" s="387"/>
      <c r="H1922" s="387"/>
      <c r="I1922" s="387"/>
      <c r="J1922" s="387"/>
      <c r="K1922" s="387"/>
      <c r="L1922" s="387"/>
      <c r="M1922" s="388"/>
      <c r="N1922" s="388"/>
      <c r="O1922" s="390"/>
      <c r="P1922" s="391"/>
      <c r="Q1922" s="389"/>
      <c r="R1922" s="390"/>
      <c r="S1922" s="390"/>
      <c r="T1922" s="391"/>
      <c r="U1922" s="392"/>
      <c r="V1922" s="391"/>
      <c r="W1922" s="391"/>
      <c r="X1922" s="388"/>
      <c r="Y1922" s="391"/>
      <c r="Z1922" s="393"/>
      <c r="AA1922" s="355" t="str">
        <f t="shared" si="1"/>
        <v/>
      </c>
      <c r="AB1922" s="391"/>
      <c r="AC1922" s="394" t="str">
        <f t="shared" si="2"/>
        <v/>
      </c>
      <c r="AD1922" s="389"/>
      <c r="AE1922" s="399"/>
      <c r="AF1922" s="395"/>
      <c r="AG1922" s="396" t="str">
        <f t="shared" si="3"/>
        <v/>
      </c>
      <c r="AH1922" s="396" t="str">
        <f t="shared" si="4"/>
        <v/>
      </c>
      <c r="AI1922" s="388"/>
      <c r="AJ1922" s="388"/>
      <c r="AK1922" s="397"/>
    </row>
    <row r="1923">
      <c r="A1923" s="398"/>
      <c r="B1923" s="386"/>
      <c r="C1923" s="387" t="str">
        <f>IF(A1923="","",IFERROR(IF(VLOOKUP(A1923,'1. Inbound Leads'!A:G,7,FALSE)=0,"",VLOOKUP(A1923,'1. Inbound Leads'!A:G,7,FALSE)),""))</f>
        <v/>
      </c>
      <c r="D1923" s="387" t="str">
        <f>IF(A1923="","",IFERROR(IF(VLOOKUP(A1923,'1. Inbound Leads'!A:L,12,FALSE)=0,"",VLOOKUP(A1923,'1. Inbound Leads'!A:L,12,FALSE)),""))</f>
        <v/>
      </c>
      <c r="E1923" s="388"/>
      <c r="F1923" s="389"/>
      <c r="G1923" s="387"/>
      <c r="H1923" s="387"/>
      <c r="I1923" s="387"/>
      <c r="J1923" s="387"/>
      <c r="K1923" s="387"/>
      <c r="L1923" s="387"/>
      <c r="M1923" s="388"/>
      <c r="N1923" s="388"/>
      <c r="O1923" s="390"/>
      <c r="P1923" s="391"/>
      <c r="Q1923" s="389"/>
      <c r="R1923" s="390"/>
      <c r="S1923" s="390"/>
      <c r="T1923" s="391"/>
      <c r="U1923" s="392"/>
      <c r="V1923" s="391"/>
      <c r="W1923" s="391"/>
      <c r="X1923" s="388"/>
      <c r="Y1923" s="391"/>
      <c r="Z1923" s="393"/>
      <c r="AA1923" s="355" t="str">
        <f t="shared" si="1"/>
        <v/>
      </c>
      <c r="AB1923" s="391"/>
      <c r="AC1923" s="394" t="str">
        <f t="shared" si="2"/>
        <v/>
      </c>
      <c r="AD1923" s="389"/>
      <c r="AE1923" s="399"/>
      <c r="AF1923" s="395"/>
      <c r="AG1923" s="396" t="str">
        <f t="shared" si="3"/>
        <v/>
      </c>
      <c r="AH1923" s="396" t="str">
        <f t="shared" si="4"/>
        <v/>
      </c>
      <c r="AI1923" s="388"/>
      <c r="AJ1923" s="388"/>
      <c r="AK1923" s="397"/>
    </row>
    <row r="1924">
      <c r="A1924" s="398"/>
      <c r="B1924" s="386"/>
      <c r="C1924" s="387" t="str">
        <f>IF(A1924="","",IFERROR(IF(VLOOKUP(A1924,'1. Inbound Leads'!A:G,7,FALSE)=0,"",VLOOKUP(A1924,'1. Inbound Leads'!A:G,7,FALSE)),""))</f>
        <v/>
      </c>
      <c r="D1924" s="387" t="str">
        <f>IF(A1924="","",IFERROR(IF(VLOOKUP(A1924,'1. Inbound Leads'!A:L,12,FALSE)=0,"",VLOOKUP(A1924,'1. Inbound Leads'!A:L,12,FALSE)),""))</f>
        <v/>
      </c>
      <c r="E1924" s="388"/>
      <c r="F1924" s="389"/>
      <c r="G1924" s="387"/>
      <c r="H1924" s="387"/>
      <c r="I1924" s="387"/>
      <c r="J1924" s="387"/>
      <c r="K1924" s="387"/>
      <c r="L1924" s="387"/>
      <c r="M1924" s="388"/>
      <c r="N1924" s="388"/>
      <c r="O1924" s="390"/>
      <c r="P1924" s="391"/>
      <c r="Q1924" s="389"/>
      <c r="R1924" s="390"/>
      <c r="S1924" s="390"/>
      <c r="T1924" s="391"/>
      <c r="U1924" s="392"/>
      <c r="V1924" s="391"/>
      <c r="W1924" s="391"/>
      <c r="X1924" s="388"/>
      <c r="Y1924" s="391"/>
      <c r="Z1924" s="393"/>
      <c r="AA1924" s="355" t="str">
        <f t="shared" si="1"/>
        <v/>
      </c>
      <c r="AB1924" s="391"/>
      <c r="AC1924" s="394" t="str">
        <f t="shared" si="2"/>
        <v/>
      </c>
      <c r="AD1924" s="389"/>
      <c r="AE1924" s="399"/>
      <c r="AF1924" s="395"/>
      <c r="AG1924" s="396" t="str">
        <f t="shared" si="3"/>
        <v/>
      </c>
      <c r="AH1924" s="396" t="str">
        <f t="shared" si="4"/>
        <v/>
      </c>
      <c r="AI1924" s="388"/>
      <c r="AJ1924" s="388"/>
      <c r="AK1924" s="397"/>
    </row>
    <row r="1925">
      <c r="A1925" s="398"/>
      <c r="B1925" s="386"/>
      <c r="C1925" s="387" t="str">
        <f>IF(A1925="","",IFERROR(IF(VLOOKUP(A1925,'1. Inbound Leads'!A:G,7,FALSE)=0,"",VLOOKUP(A1925,'1. Inbound Leads'!A:G,7,FALSE)),""))</f>
        <v/>
      </c>
      <c r="D1925" s="387" t="str">
        <f>IF(A1925="","",IFERROR(IF(VLOOKUP(A1925,'1. Inbound Leads'!A:L,12,FALSE)=0,"",VLOOKUP(A1925,'1. Inbound Leads'!A:L,12,FALSE)),""))</f>
        <v/>
      </c>
      <c r="E1925" s="388"/>
      <c r="F1925" s="389"/>
      <c r="G1925" s="387"/>
      <c r="H1925" s="387"/>
      <c r="I1925" s="387"/>
      <c r="J1925" s="387"/>
      <c r="K1925" s="387"/>
      <c r="L1925" s="387"/>
      <c r="M1925" s="388"/>
      <c r="N1925" s="388"/>
      <c r="O1925" s="390"/>
      <c r="P1925" s="391"/>
      <c r="Q1925" s="389"/>
      <c r="R1925" s="390"/>
      <c r="S1925" s="390"/>
      <c r="T1925" s="391"/>
      <c r="U1925" s="392"/>
      <c r="V1925" s="391"/>
      <c r="W1925" s="391"/>
      <c r="X1925" s="388"/>
      <c r="Y1925" s="391"/>
      <c r="Z1925" s="393"/>
      <c r="AA1925" s="355" t="str">
        <f t="shared" si="1"/>
        <v/>
      </c>
      <c r="AB1925" s="391"/>
      <c r="AC1925" s="394" t="str">
        <f t="shared" si="2"/>
        <v/>
      </c>
      <c r="AD1925" s="389"/>
      <c r="AE1925" s="399"/>
      <c r="AF1925" s="395"/>
      <c r="AG1925" s="396" t="str">
        <f t="shared" si="3"/>
        <v/>
      </c>
      <c r="AH1925" s="396" t="str">
        <f t="shared" si="4"/>
        <v/>
      </c>
      <c r="AI1925" s="388"/>
      <c r="AJ1925" s="388"/>
      <c r="AK1925" s="397"/>
    </row>
    <row r="1926">
      <c r="A1926" s="398"/>
      <c r="B1926" s="386"/>
      <c r="C1926" s="387" t="str">
        <f>IF(A1926="","",IFERROR(IF(VLOOKUP(A1926,'1. Inbound Leads'!A:G,7,FALSE)=0,"",VLOOKUP(A1926,'1. Inbound Leads'!A:G,7,FALSE)),""))</f>
        <v/>
      </c>
      <c r="D1926" s="387" t="str">
        <f>IF(A1926="","",IFERROR(IF(VLOOKUP(A1926,'1. Inbound Leads'!A:L,12,FALSE)=0,"",VLOOKUP(A1926,'1. Inbound Leads'!A:L,12,FALSE)),""))</f>
        <v/>
      </c>
      <c r="E1926" s="388"/>
      <c r="F1926" s="389"/>
      <c r="G1926" s="387"/>
      <c r="H1926" s="387"/>
      <c r="I1926" s="387"/>
      <c r="J1926" s="387"/>
      <c r="K1926" s="387"/>
      <c r="L1926" s="387"/>
      <c r="M1926" s="388"/>
      <c r="N1926" s="388"/>
      <c r="O1926" s="390"/>
      <c r="P1926" s="391"/>
      <c r="Q1926" s="389"/>
      <c r="R1926" s="390"/>
      <c r="S1926" s="390"/>
      <c r="T1926" s="391"/>
      <c r="U1926" s="392"/>
      <c r="V1926" s="391"/>
      <c r="W1926" s="391"/>
      <c r="X1926" s="388"/>
      <c r="Y1926" s="391"/>
      <c r="Z1926" s="393"/>
      <c r="AA1926" s="355" t="str">
        <f t="shared" si="1"/>
        <v/>
      </c>
      <c r="AB1926" s="391"/>
      <c r="AC1926" s="394" t="str">
        <f t="shared" si="2"/>
        <v/>
      </c>
      <c r="AD1926" s="389"/>
      <c r="AE1926" s="399"/>
      <c r="AF1926" s="395"/>
      <c r="AG1926" s="396" t="str">
        <f t="shared" si="3"/>
        <v/>
      </c>
      <c r="AH1926" s="396" t="str">
        <f t="shared" si="4"/>
        <v/>
      </c>
      <c r="AI1926" s="388"/>
      <c r="AJ1926" s="388"/>
      <c r="AK1926" s="397"/>
    </row>
    <row r="1927">
      <c r="A1927" s="398"/>
      <c r="B1927" s="386"/>
      <c r="C1927" s="387" t="str">
        <f>IF(A1927="","",IFERROR(IF(VLOOKUP(A1927,'1. Inbound Leads'!A:G,7,FALSE)=0,"",VLOOKUP(A1927,'1. Inbound Leads'!A:G,7,FALSE)),""))</f>
        <v/>
      </c>
      <c r="D1927" s="387" t="str">
        <f>IF(A1927="","",IFERROR(IF(VLOOKUP(A1927,'1. Inbound Leads'!A:L,12,FALSE)=0,"",VLOOKUP(A1927,'1. Inbound Leads'!A:L,12,FALSE)),""))</f>
        <v/>
      </c>
      <c r="E1927" s="388"/>
      <c r="F1927" s="389"/>
      <c r="G1927" s="387"/>
      <c r="H1927" s="387"/>
      <c r="I1927" s="387"/>
      <c r="J1927" s="387"/>
      <c r="K1927" s="387"/>
      <c r="L1927" s="387"/>
      <c r="M1927" s="388"/>
      <c r="N1927" s="388"/>
      <c r="O1927" s="390"/>
      <c r="P1927" s="391"/>
      <c r="Q1927" s="389"/>
      <c r="R1927" s="390"/>
      <c r="S1927" s="390"/>
      <c r="T1927" s="391"/>
      <c r="U1927" s="392"/>
      <c r="V1927" s="391"/>
      <c r="W1927" s="391"/>
      <c r="X1927" s="388"/>
      <c r="Y1927" s="391"/>
      <c r="Z1927" s="393"/>
      <c r="AA1927" s="355" t="str">
        <f t="shared" si="1"/>
        <v/>
      </c>
      <c r="AB1927" s="391"/>
      <c r="AC1927" s="394" t="str">
        <f t="shared" si="2"/>
        <v/>
      </c>
      <c r="AD1927" s="389"/>
      <c r="AE1927" s="399"/>
      <c r="AF1927" s="395"/>
      <c r="AG1927" s="396" t="str">
        <f t="shared" si="3"/>
        <v/>
      </c>
      <c r="AH1927" s="396" t="str">
        <f t="shared" si="4"/>
        <v/>
      </c>
      <c r="AI1927" s="388"/>
      <c r="AJ1927" s="388"/>
      <c r="AK1927" s="397"/>
    </row>
    <row r="1928">
      <c r="A1928" s="398"/>
      <c r="B1928" s="386"/>
      <c r="C1928" s="387" t="str">
        <f>IF(A1928="","",IFERROR(IF(VLOOKUP(A1928,'1. Inbound Leads'!A:G,7,FALSE)=0,"",VLOOKUP(A1928,'1. Inbound Leads'!A:G,7,FALSE)),""))</f>
        <v/>
      </c>
      <c r="D1928" s="387" t="str">
        <f>IF(A1928="","",IFERROR(IF(VLOOKUP(A1928,'1. Inbound Leads'!A:L,12,FALSE)=0,"",VLOOKUP(A1928,'1. Inbound Leads'!A:L,12,FALSE)),""))</f>
        <v/>
      </c>
      <c r="E1928" s="388"/>
      <c r="F1928" s="389"/>
      <c r="G1928" s="387"/>
      <c r="H1928" s="387"/>
      <c r="I1928" s="387"/>
      <c r="J1928" s="387"/>
      <c r="K1928" s="387"/>
      <c r="L1928" s="387"/>
      <c r="M1928" s="388"/>
      <c r="N1928" s="388"/>
      <c r="O1928" s="390"/>
      <c r="P1928" s="391"/>
      <c r="Q1928" s="389"/>
      <c r="R1928" s="390"/>
      <c r="S1928" s="390"/>
      <c r="T1928" s="391"/>
      <c r="U1928" s="392"/>
      <c r="V1928" s="391"/>
      <c r="W1928" s="391"/>
      <c r="X1928" s="388"/>
      <c r="Y1928" s="391"/>
      <c r="Z1928" s="393"/>
      <c r="AA1928" s="355" t="str">
        <f t="shared" si="1"/>
        <v/>
      </c>
      <c r="AB1928" s="391"/>
      <c r="AC1928" s="394" t="str">
        <f t="shared" si="2"/>
        <v/>
      </c>
      <c r="AD1928" s="389"/>
      <c r="AE1928" s="399"/>
      <c r="AF1928" s="395"/>
      <c r="AG1928" s="396" t="str">
        <f t="shared" si="3"/>
        <v/>
      </c>
      <c r="AH1928" s="396" t="str">
        <f t="shared" si="4"/>
        <v/>
      </c>
      <c r="AI1928" s="388"/>
      <c r="AJ1928" s="388"/>
      <c r="AK1928" s="397"/>
    </row>
    <row r="1929">
      <c r="A1929" s="398"/>
      <c r="B1929" s="386"/>
      <c r="C1929" s="387" t="str">
        <f>IF(A1929="","",IFERROR(IF(VLOOKUP(A1929,'1. Inbound Leads'!A:G,7,FALSE)=0,"",VLOOKUP(A1929,'1. Inbound Leads'!A:G,7,FALSE)),""))</f>
        <v/>
      </c>
      <c r="D1929" s="387" t="str">
        <f>IF(A1929="","",IFERROR(IF(VLOOKUP(A1929,'1. Inbound Leads'!A:L,12,FALSE)=0,"",VLOOKUP(A1929,'1. Inbound Leads'!A:L,12,FALSE)),""))</f>
        <v/>
      </c>
      <c r="E1929" s="388"/>
      <c r="F1929" s="389"/>
      <c r="G1929" s="387"/>
      <c r="H1929" s="387"/>
      <c r="I1929" s="387"/>
      <c r="J1929" s="387"/>
      <c r="K1929" s="387"/>
      <c r="L1929" s="387"/>
      <c r="M1929" s="388"/>
      <c r="N1929" s="388"/>
      <c r="O1929" s="390"/>
      <c r="P1929" s="391"/>
      <c r="Q1929" s="389"/>
      <c r="R1929" s="390"/>
      <c r="S1929" s="390"/>
      <c r="T1929" s="391"/>
      <c r="U1929" s="392"/>
      <c r="V1929" s="391"/>
      <c r="W1929" s="391"/>
      <c r="X1929" s="388"/>
      <c r="Y1929" s="391"/>
      <c r="Z1929" s="393"/>
      <c r="AA1929" s="355" t="str">
        <f t="shared" si="1"/>
        <v/>
      </c>
      <c r="AB1929" s="391"/>
      <c r="AC1929" s="394" t="str">
        <f t="shared" si="2"/>
        <v/>
      </c>
      <c r="AD1929" s="389"/>
      <c r="AE1929" s="399"/>
      <c r="AF1929" s="395"/>
      <c r="AG1929" s="396" t="str">
        <f t="shared" si="3"/>
        <v/>
      </c>
      <c r="AH1929" s="396" t="str">
        <f t="shared" si="4"/>
        <v/>
      </c>
      <c r="AI1929" s="388"/>
      <c r="AJ1929" s="388"/>
      <c r="AK1929" s="397"/>
    </row>
    <row r="1930">
      <c r="A1930" s="398"/>
      <c r="B1930" s="386"/>
      <c r="C1930" s="387" t="str">
        <f>IF(A1930="","",IFERROR(IF(VLOOKUP(A1930,'1. Inbound Leads'!A:G,7,FALSE)=0,"",VLOOKUP(A1930,'1. Inbound Leads'!A:G,7,FALSE)),""))</f>
        <v/>
      </c>
      <c r="D1930" s="387" t="str">
        <f>IF(A1930="","",IFERROR(IF(VLOOKUP(A1930,'1. Inbound Leads'!A:L,12,FALSE)=0,"",VLOOKUP(A1930,'1. Inbound Leads'!A:L,12,FALSE)),""))</f>
        <v/>
      </c>
      <c r="E1930" s="388"/>
      <c r="F1930" s="389"/>
      <c r="G1930" s="387"/>
      <c r="H1930" s="387"/>
      <c r="I1930" s="387"/>
      <c r="J1930" s="387"/>
      <c r="K1930" s="387"/>
      <c r="L1930" s="387"/>
      <c r="M1930" s="388"/>
      <c r="N1930" s="388"/>
      <c r="O1930" s="390"/>
      <c r="P1930" s="391"/>
      <c r="Q1930" s="389"/>
      <c r="R1930" s="390"/>
      <c r="S1930" s="390"/>
      <c r="T1930" s="391"/>
      <c r="U1930" s="392"/>
      <c r="V1930" s="391"/>
      <c r="W1930" s="391"/>
      <c r="X1930" s="388"/>
      <c r="Y1930" s="391"/>
      <c r="Z1930" s="393"/>
      <c r="AA1930" s="355" t="str">
        <f t="shared" si="1"/>
        <v/>
      </c>
      <c r="AB1930" s="391"/>
      <c r="AC1930" s="394" t="str">
        <f t="shared" si="2"/>
        <v/>
      </c>
      <c r="AD1930" s="389"/>
      <c r="AE1930" s="399"/>
      <c r="AF1930" s="395"/>
      <c r="AG1930" s="396" t="str">
        <f t="shared" si="3"/>
        <v/>
      </c>
      <c r="AH1930" s="396" t="str">
        <f t="shared" si="4"/>
        <v/>
      </c>
      <c r="AI1930" s="388"/>
      <c r="AJ1930" s="388"/>
      <c r="AK1930" s="397"/>
    </row>
    <row r="1931">
      <c r="A1931" s="398"/>
      <c r="B1931" s="386"/>
      <c r="C1931" s="387" t="str">
        <f>IF(A1931="","",IFERROR(IF(VLOOKUP(A1931,'1. Inbound Leads'!A:G,7,FALSE)=0,"",VLOOKUP(A1931,'1. Inbound Leads'!A:G,7,FALSE)),""))</f>
        <v/>
      </c>
      <c r="D1931" s="387" t="str">
        <f>IF(A1931="","",IFERROR(IF(VLOOKUP(A1931,'1. Inbound Leads'!A:L,12,FALSE)=0,"",VLOOKUP(A1931,'1. Inbound Leads'!A:L,12,FALSE)),""))</f>
        <v/>
      </c>
      <c r="E1931" s="388"/>
      <c r="F1931" s="389"/>
      <c r="G1931" s="387"/>
      <c r="H1931" s="387"/>
      <c r="I1931" s="387"/>
      <c r="J1931" s="387"/>
      <c r="K1931" s="387"/>
      <c r="L1931" s="387"/>
      <c r="M1931" s="388"/>
      <c r="N1931" s="388"/>
      <c r="O1931" s="390"/>
      <c r="P1931" s="391"/>
      <c r="Q1931" s="389"/>
      <c r="R1931" s="390"/>
      <c r="S1931" s="390"/>
      <c r="T1931" s="391"/>
      <c r="U1931" s="392"/>
      <c r="V1931" s="391"/>
      <c r="W1931" s="391"/>
      <c r="X1931" s="388"/>
      <c r="Y1931" s="391"/>
      <c r="Z1931" s="393"/>
      <c r="AA1931" s="355" t="str">
        <f t="shared" si="1"/>
        <v/>
      </c>
      <c r="AB1931" s="391"/>
      <c r="AC1931" s="394" t="str">
        <f t="shared" si="2"/>
        <v/>
      </c>
      <c r="AD1931" s="389"/>
      <c r="AE1931" s="399"/>
      <c r="AF1931" s="395"/>
      <c r="AG1931" s="396" t="str">
        <f t="shared" si="3"/>
        <v/>
      </c>
      <c r="AH1931" s="396" t="str">
        <f t="shared" si="4"/>
        <v/>
      </c>
      <c r="AI1931" s="388"/>
      <c r="AJ1931" s="388"/>
      <c r="AK1931" s="397"/>
    </row>
    <row r="1932">
      <c r="A1932" s="398"/>
      <c r="B1932" s="386"/>
      <c r="C1932" s="387" t="str">
        <f>IF(A1932="","",IFERROR(IF(VLOOKUP(A1932,'1. Inbound Leads'!A:G,7,FALSE)=0,"",VLOOKUP(A1932,'1. Inbound Leads'!A:G,7,FALSE)),""))</f>
        <v/>
      </c>
      <c r="D1932" s="387" t="str">
        <f>IF(A1932="","",IFERROR(IF(VLOOKUP(A1932,'1. Inbound Leads'!A:L,12,FALSE)=0,"",VLOOKUP(A1932,'1. Inbound Leads'!A:L,12,FALSE)),""))</f>
        <v/>
      </c>
      <c r="E1932" s="388"/>
      <c r="F1932" s="389"/>
      <c r="G1932" s="387"/>
      <c r="H1932" s="387"/>
      <c r="I1932" s="387"/>
      <c r="J1932" s="387"/>
      <c r="K1932" s="387"/>
      <c r="L1932" s="387"/>
      <c r="M1932" s="388"/>
      <c r="N1932" s="388"/>
      <c r="O1932" s="390"/>
      <c r="P1932" s="391"/>
      <c r="Q1932" s="389"/>
      <c r="R1932" s="390"/>
      <c r="S1932" s="390"/>
      <c r="T1932" s="391"/>
      <c r="U1932" s="392"/>
      <c r="V1932" s="391"/>
      <c r="W1932" s="391"/>
      <c r="X1932" s="388"/>
      <c r="Y1932" s="391"/>
      <c r="Z1932" s="393"/>
      <c r="AA1932" s="355" t="str">
        <f t="shared" si="1"/>
        <v/>
      </c>
      <c r="AB1932" s="391"/>
      <c r="AC1932" s="394" t="str">
        <f t="shared" si="2"/>
        <v/>
      </c>
      <c r="AD1932" s="389"/>
      <c r="AE1932" s="399"/>
      <c r="AF1932" s="395"/>
      <c r="AG1932" s="396" t="str">
        <f t="shared" si="3"/>
        <v/>
      </c>
      <c r="AH1932" s="396" t="str">
        <f t="shared" si="4"/>
        <v/>
      </c>
      <c r="AI1932" s="388"/>
      <c r="AJ1932" s="388"/>
      <c r="AK1932" s="397"/>
    </row>
    <row r="1933">
      <c r="A1933" s="398"/>
      <c r="B1933" s="386"/>
      <c r="C1933" s="387" t="str">
        <f>IF(A1933="","",IFERROR(IF(VLOOKUP(A1933,'1. Inbound Leads'!A:G,7,FALSE)=0,"",VLOOKUP(A1933,'1. Inbound Leads'!A:G,7,FALSE)),""))</f>
        <v/>
      </c>
      <c r="D1933" s="387" t="str">
        <f>IF(A1933="","",IFERROR(IF(VLOOKUP(A1933,'1. Inbound Leads'!A:L,12,FALSE)=0,"",VLOOKUP(A1933,'1. Inbound Leads'!A:L,12,FALSE)),""))</f>
        <v/>
      </c>
      <c r="E1933" s="388"/>
      <c r="F1933" s="389"/>
      <c r="G1933" s="387"/>
      <c r="H1933" s="387"/>
      <c r="I1933" s="387"/>
      <c r="J1933" s="387"/>
      <c r="K1933" s="387"/>
      <c r="L1933" s="387"/>
      <c r="M1933" s="388"/>
      <c r="N1933" s="388"/>
      <c r="O1933" s="390"/>
      <c r="P1933" s="391"/>
      <c r="Q1933" s="389"/>
      <c r="R1933" s="390"/>
      <c r="S1933" s="390"/>
      <c r="T1933" s="391"/>
      <c r="U1933" s="392"/>
      <c r="V1933" s="391"/>
      <c r="W1933" s="391"/>
      <c r="X1933" s="388"/>
      <c r="Y1933" s="391"/>
      <c r="Z1933" s="393"/>
      <c r="AA1933" s="355" t="str">
        <f t="shared" si="1"/>
        <v/>
      </c>
      <c r="AB1933" s="391"/>
      <c r="AC1933" s="394" t="str">
        <f t="shared" si="2"/>
        <v/>
      </c>
      <c r="AD1933" s="389"/>
      <c r="AE1933" s="399"/>
      <c r="AF1933" s="395"/>
      <c r="AG1933" s="396" t="str">
        <f t="shared" si="3"/>
        <v/>
      </c>
      <c r="AH1933" s="396" t="str">
        <f t="shared" si="4"/>
        <v/>
      </c>
      <c r="AI1933" s="388"/>
      <c r="AJ1933" s="388"/>
      <c r="AK1933" s="397"/>
    </row>
    <row r="1934">
      <c r="A1934" s="398"/>
      <c r="B1934" s="386"/>
      <c r="C1934" s="387" t="str">
        <f>IF(A1934="","",IFERROR(IF(VLOOKUP(A1934,'1. Inbound Leads'!A:G,7,FALSE)=0,"",VLOOKUP(A1934,'1. Inbound Leads'!A:G,7,FALSE)),""))</f>
        <v/>
      </c>
      <c r="D1934" s="387" t="str">
        <f>IF(A1934="","",IFERROR(IF(VLOOKUP(A1934,'1. Inbound Leads'!A:L,12,FALSE)=0,"",VLOOKUP(A1934,'1. Inbound Leads'!A:L,12,FALSE)),""))</f>
        <v/>
      </c>
      <c r="E1934" s="388"/>
      <c r="F1934" s="389"/>
      <c r="G1934" s="387"/>
      <c r="H1934" s="387"/>
      <c r="I1934" s="387"/>
      <c r="J1934" s="387"/>
      <c r="K1934" s="387"/>
      <c r="L1934" s="387"/>
      <c r="M1934" s="388"/>
      <c r="N1934" s="388"/>
      <c r="O1934" s="390"/>
      <c r="P1934" s="391"/>
      <c r="Q1934" s="389"/>
      <c r="R1934" s="390"/>
      <c r="S1934" s="390"/>
      <c r="T1934" s="391"/>
      <c r="U1934" s="392"/>
      <c r="V1934" s="391"/>
      <c r="W1934" s="391"/>
      <c r="X1934" s="388"/>
      <c r="Y1934" s="391"/>
      <c r="Z1934" s="393"/>
      <c r="AA1934" s="355" t="str">
        <f t="shared" si="1"/>
        <v/>
      </c>
      <c r="AB1934" s="391"/>
      <c r="AC1934" s="394" t="str">
        <f t="shared" si="2"/>
        <v/>
      </c>
      <c r="AD1934" s="389"/>
      <c r="AE1934" s="399"/>
      <c r="AF1934" s="395"/>
      <c r="AG1934" s="396" t="str">
        <f t="shared" si="3"/>
        <v/>
      </c>
      <c r="AH1934" s="396" t="str">
        <f t="shared" si="4"/>
        <v/>
      </c>
      <c r="AI1934" s="388"/>
      <c r="AJ1934" s="388"/>
      <c r="AK1934" s="397"/>
    </row>
    <row r="1935">
      <c r="A1935" s="398"/>
      <c r="B1935" s="386"/>
      <c r="C1935" s="387" t="str">
        <f>IF(A1935="","",IFERROR(IF(VLOOKUP(A1935,'1. Inbound Leads'!A:G,7,FALSE)=0,"",VLOOKUP(A1935,'1. Inbound Leads'!A:G,7,FALSE)),""))</f>
        <v/>
      </c>
      <c r="D1935" s="387" t="str">
        <f>IF(A1935="","",IFERROR(IF(VLOOKUP(A1935,'1. Inbound Leads'!A:L,12,FALSE)=0,"",VLOOKUP(A1935,'1. Inbound Leads'!A:L,12,FALSE)),""))</f>
        <v/>
      </c>
      <c r="E1935" s="388"/>
      <c r="F1935" s="389"/>
      <c r="G1935" s="387"/>
      <c r="H1935" s="387"/>
      <c r="I1935" s="387"/>
      <c r="J1935" s="387"/>
      <c r="K1935" s="387"/>
      <c r="L1935" s="387"/>
      <c r="M1935" s="388"/>
      <c r="N1935" s="388"/>
      <c r="O1935" s="390"/>
      <c r="P1935" s="391"/>
      <c r="Q1935" s="389"/>
      <c r="R1935" s="390"/>
      <c r="S1935" s="390"/>
      <c r="T1935" s="391"/>
      <c r="U1935" s="392"/>
      <c r="V1935" s="391"/>
      <c r="W1935" s="391"/>
      <c r="X1935" s="388"/>
      <c r="Y1935" s="391"/>
      <c r="Z1935" s="393"/>
      <c r="AA1935" s="355" t="str">
        <f t="shared" si="1"/>
        <v/>
      </c>
      <c r="AB1935" s="391"/>
      <c r="AC1935" s="394" t="str">
        <f t="shared" si="2"/>
        <v/>
      </c>
      <c r="AD1935" s="389"/>
      <c r="AE1935" s="399"/>
      <c r="AF1935" s="395"/>
      <c r="AG1935" s="396" t="str">
        <f t="shared" si="3"/>
        <v/>
      </c>
      <c r="AH1935" s="396" t="str">
        <f t="shared" si="4"/>
        <v/>
      </c>
      <c r="AI1935" s="388"/>
      <c r="AJ1935" s="388"/>
      <c r="AK1935" s="397"/>
    </row>
    <row r="1936">
      <c r="A1936" s="398"/>
      <c r="B1936" s="386"/>
      <c r="C1936" s="387" t="str">
        <f>IF(A1936="","",IFERROR(IF(VLOOKUP(A1936,'1. Inbound Leads'!A:G,7,FALSE)=0,"",VLOOKUP(A1936,'1. Inbound Leads'!A:G,7,FALSE)),""))</f>
        <v/>
      </c>
      <c r="D1936" s="387" t="str">
        <f>IF(A1936="","",IFERROR(IF(VLOOKUP(A1936,'1. Inbound Leads'!A:L,12,FALSE)=0,"",VLOOKUP(A1936,'1. Inbound Leads'!A:L,12,FALSE)),""))</f>
        <v/>
      </c>
      <c r="E1936" s="388"/>
      <c r="F1936" s="389"/>
      <c r="G1936" s="387"/>
      <c r="H1936" s="387"/>
      <c r="I1936" s="387"/>
      <c r="J1936" s="387"/>
      <c r="K1936" s="387"/>
      <c r="L1936" s="387"/>
      <c r="M1936" s="388"/>
      <c r="N1936" s="388"/>
      <c r="O1936" s="390"/>
      <c r="P1936" s="391"/>
      <c r="Q1936" s="389"/>
      <c r="R1936" s="390"/>
      <c r="S1936" s="390"/>
      <c r="T1936" s="391"/>
      <c r="U1936" s="392"/>
      <c r="V1936" s="391"/>
      <c r="W1936" s="391"/>
      <c r="X1936" s="388"/>
      <c r="Y1936" s="391"/>
      <c r="Z1936" s="393"/>
      <c r="AA1936" s="355" t="str">
        <f t="shared" si="1"/>
        <v/>
      </c>
      <c r="AB1936" s="391"/>
      <c r="AC1936" s="394" t="str">
        <f t="shared" si="2"/>
        <v/>
      </c>
      <c r="AD1936" s="389"/>
      <c r="AE1936" s="399"/>
      <c r="AF1936" s="395"/>
      <c r="AG1936" s="396" t="str">
        <f t="shared" si="3"/>
        <v/>
      </c>
      <c r="AH1936" s="396" t="str">
        <f t="shared" si="4"/>
        <v/>
      </c>
      <c r="AI1936" s="388"/>
      <c r="AJ1936" s="388"/>
      <c r="AK1936" s="397"/>
    </row>
    <row r="1937">
      <c r="A1937" s="398"/>
      <c r="B1937" s="386"/>
      <c r="C1937" s="387" t="str">
        <f>IF(A1937="","",IFERROR(IF(VLOOKUP(A1937,'1. Inbound Leads'!A:G,7,FALSE)=0,"",VLOOKUP(A1937,'1. Inbound Leads'!A:G,7,FALSE)),""))</f>
        <v/>
      </c>
      <c r="D1937" s="387" t="str">
        <f>IF(A1937="","",IFERROR(IF(VLOOKUP(A1937,'1. Inbound Leads'!A:L,12,FALSE)=0,"",VLOOKUP(A1937,'1. Inbound Leads'!A:L,12,FALSE)),""))</f>
        <v/>
      </c>
      <c r="E1937" s="388"/>
      <c r="F1937" s="389"/>
      <c r="G1937" s="387"/>
      <c r="H1937" s="387"/>
      <c r="I1937" s="387"/>
      <c r="J1937" s="387"/>
      <c r="K1937" s="387"/>
      <c r="L1937" s="387"/>
      <c r="M1937" s="388"/>
      <c r="N1937" s="388"/>
      <c r="O1937" s="390"/>
      <c r="P1937" s="391"/>
      <c r="Q1937" s="389"/>
      <c r="R1937" s="390"/>
      <c r="S1937" s="390"/>
      <c r="T1937" s="391"/>
      <c r="U1937" s="392"/>
      <c r="V1937" s="391"/>
      <c r="W1937" s="391"/>
      <c r="X1937" s="388"/>
      <c r="Y1937" s="391"/>
      <c r="Z1937" s="393"/>
      <c r="AA1937" s="355" t="str">
        <f t="shared" si="1"/>
        <v/>
      </c>
      <c r="AB1937" s="391"/>
      <c r="AC1937" s="394" t="str">
        <f t="shared" si="2"/>
        <v/>
      </c>
      <c r="AD1937" s="389"/>
      <c r="AE1937" s="399"/>
      <c r="AF1937" s="395"/>
      <c r="AG1937" s="396" t="str">
        <f t="shared" si="3"/>
        <v/>
      </c>
      <c r="AH1937" s="396" t="str">
        <f t="shared" si="4"/>
        <v/>
      </c>
      <c r="AI1937" s="388"/>
      <c r="AJ1937" s="388"/>
      <c r="AK1937" s="397"/>
    </row>
    <row r="1938">
      <c r="A1938" s="398"/>
      <c r="B1938" s="386"/>
      <c r="C1938" s="387" t="str">
        <f>IF(A1938="","",IFERROR(IF(VLOOKUP(A1938,'1. Inbound Leads'!A:G,7,FALSE)=0,"",VLOOKUP(A1938,'1. Inbound Leads'!A:G,7,FALSE)),""))</f>
        <v/>
      </c>
      <c r="D1938" s="387" t="str">
        <f>IF(A1938="","",IFERROR(IF(VLOOKUP(A1938,'1. Inbound Leads'!A:L,12,FALSE)=0,"",VLOOKUP(A1938,'1. Inbound Leads'!A:L,12,FALSE)),""))</f>
        <v/>
      </c>
      <c r="E1938" s="388"/>
      <c r="F1938" s="389"/>
      <c r="G1938" s="387"/>
      <c r="H1938" s="387"/>
      <c r="I1938" s="387"/>
      <c r="J1938" s="387"/>
      <c r="K1938" s="387"/>
      <c r="L1938" s="387"/>
      <c r="M1938" s="388"/>
      <c r="N1938" s="388"/>
      <c r="O1938" s="390"/>
      <c r="P1938" s="391"/>
      <c r="Q1938" s="389"/>
      <c r="R1938" s="390"/>
      <c r="S1938" s="390"/>
      <c r="T1938" s="391"/>
      <c r="U1938" s="392"/>
      <c r="V1938" s="391"/>
      <c r="W1938" s="391"/>
      <c r="X1938" s="388"/>
      <c r="Y1938" s="391"/>
      <c r="Z1938" s="393"/>
      <c r="AA1938" s="355" t="str">
        <f t="shared" si="1"/>
        <v/>
      </c>
      <c r="AB1938" s="391"/>
      <c r="AC1938" s="394" t="str">
        <f t="shared" si="2"/>
        <v/>
      </c>
      <c r="AD1938" s="389"/>
      <c r="AE1938" s="399"/>
      <c r="AF1938" s="395"/>
      <c r="AG1938" s="396" t="str">
        <f t="shared" si="3"/>
        <v/>
      </c>
      <c r="AH1938" s="396" t="str">
        <f t="shared" si="4"/>
        <v/>
      </c>
      <c r="AI1938" s="388"/>
      <c r="AJ1938" s="388"/>
      <c r="AK1938" s="397"/>
    </row>
    <row r="1939">
      <c r="A1939" s="398"/>
      <c r="B1939" s="386"/>
      <c r="C1939" s="387" t="str">
        <f>IF(A1939="","",IFERROR(IF(VLOOKUP(A1939,'1. Inbound Leads'!A:G,7,FALSE)=0,"",VLOOKUP(A1939,'1. Inbound Leads'!A:G,7,FALSE)),""))</f>
        <v/>
      </c>
      <c r="D1939" s="387" t="str">
        <f>IF(A1939="","",IFERROR(IF(VLOOKUP(A1939,'1. Inbound Leads'!A:L,12,FALSE)=0,"",VLOOKUP(A1939,'1. Inbound Leads'!A:L,12,FALSE)),""))</f>
        <v/>
      </c>
      <c r="E1939" s="388"/>
      <c r="F1939" s="389"/>
      <c r="G1939" s="387"/>
      <c r="H1939" s="387"/>
      <c r="I1939" s="387"/>
      <c r="J1939" s="387"/>
      <c r="K1939" s="387"/>
      <c r="L1939" s="387"/>
      <c r="M1939" s="388"/>
      <c r="N1939" s="388"/>
      <c r="O1939" s="390"/>
      <c r="P1939" s="391"/>
      <c r="Q1939" s="389"/>
      <c r="R1939" s="390"/>
      <c r="S1939" s="390"/>
      <c r="T1939" s="391"/>
      <c r="U1939" s="392"/>
      <c r="V1939" s="391"/>
      <c r="W1939" s="391"/>
      <c r="X1939" s="388"/>
      <c r="Y1939" s="391"/>
      <c r="Z1939" s="393"/>
      <c r="AA1939" s="355" t="str">
        <f t="shared" si="1"/>
        <v/>
      </c>
      <c r="AB1939" s="391"/>
      <c r="AC1939" s="394" t="str">
        <f t="shared" si="2"/>
        <v/>
      </c>
      <c r="AD1939" s="389"/>
      <c r="AE1939" s="399"/>
      <c r="AF1939" s="395"/>
      <c r="AG1939" s="396" t="str">
        <f t="shared" si="3"/>
        <v/>
      </c>
      <c r="AH1939" s="396" t="str">
        <f t="shared" si="4"/>
        <v/>
      </c>
      <c r="AI1939" s="388"/>
      <c r="AJ1939" s="388"/>
      <c r="AK1939" s="397"/>
    </row>
    <row r="1940">
      <c r="A1940" s="398"/>
      <c r="B1940" s="386"/>
      <c r="C1940" s="387" t="str">
        <f>IF(A1940="","",IFERROR(IF(VLOOKUP(A1940,'1. Inbound Leads'!A:G,7,FALSE)=0,"",VLOOKUP(A1940,'1. Inbound Leads'!A:G,7,FALSE)),""))</f>
        <v/>
      </c>
      <c r="D1940" s="387" t="str">
        <f>IF(A1940="","",IFERROR(IF(VLOOKUP(A1940,'1. Inbound Leads'!A:L,12,FALSE)=0,"",VLOOKUP(A1940,'1. Inbound Leads'!A:L,12,FALSE)),""))</f>
        <v/>
      </c>
      <c r="E1940" s="388"/>
      <c r="F1940" s="389"/>
      <c r="G1940" s="387"/>
      <c r="H1940" s="387"/>
      <c r="I1940" s="387"/>
      <c r="J1940" s="387"/>
      <c r="K1940" s="387"/>
      <c r="L1940" s="387"/>
      <c r="M1940" s="388"/>
      <c r="N1940" s="388"/>
      <c r="O1940" s="390"/>
      <c r="P1940" s="391"/>
      <c r="Q1940" s="389"/>
      <c r="R1940" s="390"/>
      <c r="S1940" s="390"/>
      <c r="T1940" s="391"/>
      <c r="U1940" s="392"/>
      <c r="V1940" s="391"/>
      <c r="W1940" s="391"/>
      <c r="X1940" s="388"/>
      <c r="Y1940" s="391"/>
      <c r="Z1940" s="393"/>
      <c r="AA1940" s="355" t="str">
        <f t="shared" si="1"/>
        <v/>
      </c>
      <c r="AB1940" s="391"/>
      <c r="AC1940" s="394" t="str">
        <f t="shared" si="2"/>
        <v/>
      </c>
      <c r="AD1940" s="389"/>
      <c r="AE1940" s="399"/>
      <c r="AF1940" s="395"/>
      <c r="AG1940" s="396" t="str">
        <f t="shared" si="3"/>
        <v/>
      </c>
      <c r="AH1940" s="396" t="str">
        <f t="shared" si="4"/>
        <v/>
      </c>
      <c r="AI1940" s="388"/>
      <c r="AJ1940" s="388"/>
      <c r="AK1940" s="397"/>
    </row>
    <row r="1941">
      <c r="A1941" s="398"/>
      <c r="B1941" s="386"/>
      <c r="C1941" s="387" t="str">
        <f>IF(A1941="","",IFERROR(IF(VLOOKUP(A1941,'1. Inbound Leads'!A:G,7,FALSE)=0,"",VLOOKUP(A1941,'1. Inbound Leads'!A:G,7,FALSE)),""))</f>
        <v/>
      </c>
      <c r="D1941" s="387" t="str">
        <f>IF(A1941="","",IFERROR(IF(VLOOKUP(A1941,'1. Inbound Leads'!A:L,12,FALSE)=0,"",VLOOKUP(A1941,'1. Inbound Leads'!A:L,12,FALSE)),""))</f>
        <v/>
      </c>
      <c r="E1941" s="388"/>
      <c r="F1941" s="389"/>
      <c r="G1941" s="387"/>
      <c r="H1941" s="387"/>
      <c r="I1941" s="387"/>
      <c r="J1941" s="387"/>
      <c r="K1941" s="387"/>
      <c r="L1941" s="387"/>
      <c r="M1941" s="388"/>
      <c r="N1941" s="388"/>
      <c r="O1941" s="390"/>
      <c r="P1941" s="391"/>
      <c r="Q1941" s="389"/>
      <c r="R1941" s="390"/>
      <c r="S1941" s="390"/>
      <c r="T1941" s="391"/>
      <c r="U1941" s="392"/>
      <c r="V1941" s="391"/>
      <c r="W1941" s="391"/>
      <c r="X1941" s="388"/>
      <c r="Y1941" s="391"/>
      <c r="Z1941" s="393"/>
      <c r="AA1941" s="355" t="str">
        <f t="shared" si="1"/>
        <v/>
      </c>
      <c r="AB1941" s="391"/>
      <c r="AC1941" s="394" t="str">
        <f t="shared" si="2"/>
        <v/>
      </c>
      <c r="AD1941" s="389"/>
      <c r="AE1941" s="399"/>
      <c r="AF1941" s="395"/>
      <c r="AG1941" s="396" t="str">
        <f t="shared" si="3"/>
        <v/>
      </c>
      <c r="AH1941" s="396" t="str">
        <f t="shared" si="4"/>
        <v/>
      </c>
      <c r="AI1941" s="388"/>
      <c r="AJ1941" s="388"/>
      <c r="AK1941" s="397"/>
    </row>
    <row r="1942">
      <c r="A1942" s="398"/>
      <c r="B1942" s="386"/>
      <c r="C1942" s="387" t="str">
        <f>IF(A1942="","",IFERROR(IF(VLOOKUP(A1942,'1. Inbound Leads'!A:G,7,FALSE)=0,"",VLOOKUP(A1942,'1. Inbound Leads'!A:G,7,FALSE)),""))</f>
        <v/>
      </c>
      <c r="D1942" s="387" t="str">
        <f>IF(A1942="","",IFERROR(IF(VLOOKUP(A1942,'1. Inbound Leads'!A:L,12,FALSE)=0,"",VLOOKUP(A1942,'1. Inbound Leads'!A:L,12,FALSE)),""))</f>
        <v/>
      </c>
      <c r="E1942" s="388"/>
      <c r="F1942" s="389"/>
      <c r="G1942" s="387"/>
      <c r="H1942" s="387"/>
      <c r="I1942" s="387"/>
      <c r="J1942" s="387"/>
      <c r="K1942" s="387"/>
      <c r="L1942" s="387"/>
      <c r="M1942" s="388"/>
      <c r="N1942" s="388"/>
      <c r="O1942" s="390"/>
      <c r="P1942" s="391"/>
      <c r="Q1942" s="389"/>
      <c r="R1942" s="390"/>
      <c r="S1942" s="390"/>
      <c r="T1942" s="391"/>
      <c r="U1942" s="392"/>
      <c r="V1942" s="391"/>
      <c r="W1942" s="391"/>
      <c r="X1942" s="388"/>
      <c r="Y1942" s="391"/>
      <c r="Z1942" s="393"/>
      <c r="AA1942" s="355" t="str">
        <f t="shared" si="1"/>
        <v/>
      </c>
      <c r="AB1942" s="391"/>
      <c r="AC1942" s="394" t="str">
        <f t="shared" si="2"/>
        <v/>
      </c>
      <c r="AD1942" s="389"/>
      <c r="AE1942" s="399"/>
      <c r="AF1942" s="395"/>
      <c r="AG1942" s="396" t="str">
        <f t="shared" si="3"/>
        <v/>
      </c>
      <c r="AH1942" s="396" t="str">
        <f t="shared" si="4"/>
        <v/>
      </c>
      <c r="AI1942" s="388"/>
      <c r="AJ1942" s="388"/>
      <c r="AK1942" s="397"/>
    </row>
    <row r="1943">
      <c r="A1943" s="398"/>
      <c r="B1943" s="386"/>
      <c r="C1943" s="387" t="str">
        <f>IF(A1943="","",IFERROR(IF(VLOOKUP(A1943,'1. Inbound Leads'!A:G,7,FALSE)=0,"",VLOOKUP(A1943,'1. Inbound Leads'!A:G,7,FALSE)),""))</f>
        <v/>
      </c>
      <c r="D1943" s="387" t="str">
        <f>IF(A1943="","",IFERROR(IF(VLOOKUP(A1943,'1. Inbound Leads'!A:L,12,FALSE)=0,"",VLOOKUP(A1943,'1. Inbound Leads'!A:L,12,FALSE)),""))</f>
        <v/>
      </c>
      <c r="E1943" s="388"/>
      <c r="F1943" s="389"/>
      <c r="G1943" s="387"/>
      <c r="H1943" s="387"/>
      <c r="I1943" s="387"/>
      <c r="J1943" s="387"/>
      <c r="K1943" s="387"/>
      <c r="L1943" s="387"/>
      <c r="M1943" s="388"/>
      <c r="N1943" s="388"/>
      <c r="O1943" s="390"/>
      <c r="P1943" s="391"/>
      <c r="Q1943" s="389"/>
      <c r="R1943" s="390"/>
      <c r="S1943" s="390"/>
      <c r="T1943" s="391"/>
      <c r="U1943" s="392"/>
      <c r="V1943" s="391"/>
      <c r="W1943" s="391"/>
      <c r="X1943" s="388"/>
      <c r="Y1943" s="391"/>
      <c r="Z1943" s="393"/>
      <c r="AA1943" s="355" t="str">
        <f t="shared" si="1"/>
        <v/>
      </c>
      <c r="AB1943" s="391"/>
      <c r="AC1943" s="394" t="str">
        <f t="shared" si="2"/>
        <v/>
      </c>
      <c r="AD1943" s="389"/>
      <c r="AE1943" s="399"/>
      <c r="AF1943" s="395"/>
      <c r="AG1943" s="396" t="str">
        <f t="shared" si="3"/>
        <v/>
      </c>
      <c r="AH1943" s="396" t="str">
        <f t="shared" si="4"/>
        <v/>
      </c>
      <c r="AI1943" s="388"/>
      <c r="AJ1943" s="388"/>
      <c r="AK1943" s="397"/>
    </row>
    <row r="1944">
      <c r="A1944" s="398"/>
      <c r="B1944" s="386"/>
      <c r="C1944" s="387" t="str">
        <f>IF(A1944="","",IFERROR(IF(VLOOKUP(A1944,'1. Inbound Leads'!A:G,7,FALSE)=0,"",VLOOKUP(A1944,'1. Inbound Leads'!A:G,7,FALSE)),""))</f>
        <v/>
      </c>
      <c r="D1944" s="387" t="str">
        <f>IF(A1944="","",IFERROR(IF(VLOOKUP(A1944,'1. Inbound Leads'!A:L,12,FALSE)=0,"",VLOOKUP(A1944,'1. Inbound Leads'!A:L,12,FALSE)),""))</f>
        <v/>
      </c>
      <c r="E1944" s="388"/>
      <c r="F1944" s="389"/>
      <c r="G1944" s="387"/>
      <c r="H1944" s="387"/>
      <c r="I1944" s="387"/>
      <c r="J1944" s="387"/>
      <c r="K1944" s="387"/>
      <c r="L1944" s="387"/>
      <c r="M1944" s="388"/>
      <c r="N1944" s="388"/>
      <c r="O1944" s="390"/>
      <c r="P1944" s="391"/>
      <c r="Q1944" s="389"/>
      <c r="R1944" s="390"/>
      <c r="S1944" s="390"/>
      <c r="T1944" s="391"/>
      <c r="U1944" s="392"/>
      <c r="V1944" s="391"/>
      <c r="W1944" s="391"/>
      <c r="X1944" s="388"/>
      <c r="Y1944" s="391"/>
      <c r="Z1944" s="393"/>
      <c r="AA1944" s="355" t="str">
        <f t="shared" si="1"/>
        <v/>
      </c>
      <c r="AB1944" s="391"/>
      <c r="AC1944" s="394" t="str">
        <f t="shared" si="2"/>
        <v/>
      </c>
      <c r="AD1944" s="389"/>
      <c r="AE1944" s="399"/>
      <c r="AF1944" s="395"/>
      <c r="AG1944" s="396" t="str">
        <f t="shared" si="3"/>
        <v/>
      </c>
      <c r="AH1944" s="396" t="str">
        <f t="shared" si="4"/>
        <v/>
      </c>
      <c r="AI1944" s="388"/>
      <c r="AJ1944" s="388"/>
      <c r="AK1944" s="397"/>
    </row>
    <row r="1945">
      <c r="A1945" s="398"/>
      <c r="B1945" s="386"/>
      <c r="C1945" s="387" t="str">
        <f>IF(A1945="","",IFERROR(IF(VLOOKUP(A1945,'1. Inbound Leads'!A:G,7,FALSE)=0,"",VLOOKUP(A1945,'1. Inbound Leads'!A:G,7,FALSE)),""))</f>
        <v/>
      </c>
      <c r="D1945" s="387" t="str">
        <f>IF(A1945="","",IFERROR(IF(VLOOKUP(A1945,'1. Inbound Leads'!A:L,12,FALSE)=0,"",VLOOKUP(A1945,'1. Inbound Leads'!A:L,12,FALSE)),""))</f>
        <v/>
      </c>
      <c r="E1945" s="388"/>
      <c r="F1945" s="389"/>
      <c r="G1945" s="387"/>
      <c r="H1945" s="387"/>
      <c r="I1945" s="387"/>
      <c r="J1945" s="387"/>
      <c r="K1945" s="387"/>
      <c r="L1945" s="387"/>
      <c r="M1945" s="388"/>
      <c r="N1945" s="388"/>
      <c r="O1945" s="390"/>
      <c r="P1945" s="391"/>
      <c r="Q1945" s="389"/>
      <c r="R1945" s="390"/>
      <c r="S1945" s="390"/>
      <c r="T1945" s="391"/>
      <c r="U1945" s="392"/>
      <c r="V1945" s="391"/>
      <c r="W1945" s="391"/>
      <c r="X1945" s="388"/>
      <c r="Y1945" s="391"/>
      <c r="Z1945" s="393"/>
      <c r="AA1945" s="355" t="str">
        <f t="shared" si="1"/>
        <v/>
      </c>
      <c r="AB1945" s="391"/>
      <c r="AC1945" s="394" t="str">
        <f t="shared" si="2"/>
        <v/>
      </c>
      <c r="AD1945" s="389"/>
      <c r="AE1945" s="399"/>
      <c r="AF1945" s="395"/>
      <c r="AG1945" s="396" t="str">
        <f t="shared" si="3"/>
        <v/>
      </c>
      <c r="AH1945" s="396" t="str">
        <f t="shared" si="4"/>
        <v/>
      </c>
      <c r="AI1945" s="388"/>
      <c r="AJ1945" s="388"/>
      <c r="AK1945" s="397"/>
    </row>
    <row r="1946">
      <c r="A1946" s="398"/>
      <c r="B1946" s="386"/>
      <c r="C1946" s="387" t="str">
        <f>IF(A1946="","",IFERROR(IF(VLOOKUP(A1946,'1. Inbound Leads'!A:G,7,FALSE)=0,"",VLOOKUP(A1946,'1. Inbound Leads'!A:G,7,FALSE)),""))</f>
        <v/>
      </c>
      <c r="D1946" s="387" t="str">
        <f>IF(A1946="","",IFERROR(IF(VLOOKUP(A1946,'1. Inbound Leads'!A:L,12,FALSE)=0,"",VLOOKUP(A1946,'1. Inbound Leads'!A:L,12,FALSE)),""))</f>
        <v/>
      </c>
      <c r="E1946" s="388"/>
      <c r="F1946" s="389"/>
      <c r="G1946" s="387"/>
      <c r="H1946" s="387"/>
      <c r="I1946" s="387"/>
      <c r="J1946" s="387"/>
      <c r="K1946" s="387"/>
      <c r="L1946" s="387"/>
      <c r="M1946" s="388"/>
      <c r="N1946" s="388"/>
      <c r="O1946" s="390"/>
      <c r="P1946" s="391"/>
      <c r="Q1946" s="389"/>
      <c r="R1946" s="390"/>
      <c r="S1946" s="390"/>
      <c r="T1946" s="391"/>
      <c r="U1946" s="392"/>
      <c r="V1946" s="391"/>
      <c r="W1946" s="391"/>
      <c r="X1946" s="388"/>
      <c r="Y1946" s="391"/>
      <c r="Z1946" s="393"/>
      <c r="AA1946" s="355" t="str">
        <f t="shared" si="1"/>
        <v/>
      </c>
      <c r="AB1946" s="391"/>
      <c r="AC1946" s="394" t="str">
        <f t="shared" si="2"/>
        <v/>
      </c>
      <c r="AD1946" s="389"/>
      <c r="AE1946" s="399"/>
      <c r="AF1946" s="395"/>
      <c r="AG1946" s="396" t="str">
        <f t="shared" si="3"/>
        <v/>
      </c>
      <c r="AH1946" s="396" t="str">
        <f t="shared" si="4"/>
        <v/>
      </c>
      <c r="AI1946" s="388"/>
      <c r="AJ1946" s="388"/>
      <c r="AK1946" s="397"/>
    </row>
    <row r="1947">
      <c r="A1947" s="398"/>
      <c r="B1947" s="386"/>
      <c r="C1947" s="387" t="str">
        <f>IF(A1947="","",IFERROR(IF(VLOOKUP(A1947,'1. Inbound Leads'!A:G,7,FALSE)=0,"",VLOOKUP(A1947,'1. Inbound Leads'!A:G,7,FALSE)),""))</f>
        <v/>
      </c>
      <c r="D1947" s="387" t="str">
        <f>IF(A1947="","",IFERROR(IF(VLOOKUP(A1947,'1. Inbound Leads'!A:L,12,FALSE)=0,"",VLOOKUP(A1947,'1. Inbound Leads'!A:L,12,FALSE)),""))</f>
        <v/>
      </c>
      <c r="E1947" s="388"/>
      <c r="F1947" s="389"/>
      <c r="G1947" s="387"/>
      <c r="H1947" s="387"/>
      <c r="I1947" s="387"/>
      <c r="J1947" s="387"/>
      <c r="K1947" s="387"/>
      <c r="L1947" s="387"/>
      <c r="M1947" s="388"/>
      <c r="N1947" s="388"/>
      <c r="O1947" s="390"/>
      <c r="P1947" s="391"/>
      <c r="Q1947" s="389"/>
      <c r="R1947" s="390"/>
      <c r="S1947" s="390"/>
      <c r="T1947" s="391"/>
      <c r="U1947" s="392"/>
      <c r="V1947" s="391"/>
      <c r="W1947" s="391"/>
      <c r="X1947" s="388"/>
      <c r="Y1947" s="391"/>
      <c r="Z1947" s="393"/>
      <c r="AA1947" s="355" t="str">
        <f t="shared" si="1"/>
        <v/>
      </c>
      <c r="AB1947" s="391"/>
      <c r="AC1947" s="394" t="str">
        <f t="shared" si="2"/>
        <v/>
      </c>
      <c r="AD1947" s="389"/>
      <c r="AE1947" s="399"/>
      <c r="AF1947" s="395"/>
      <c r="AG1947" s="396" t="str">
        <f t="shared" si="3"/>
        <v/>
      </c>
      <c r="AH1947" s="396" t="str">
        <f t="shared" si="4"/>
        <v/>
      </c>
      <c r="AI1947" s="388"/>
      <c r="AJ1947" s="388"/>
      <c r="AK1947" s="397"/>
    </row>
    <row r="1948">
      <c r="A1948" s="398"/>
      <c r="B1948" s="386"/>
      <c r="C1948" s="387" t="str">
        <f>IF(A1948="","",IFERROR(IF(VLOOKUP(A1948,'1. Inbound Leads'!A:G,7,FALSE)=0,"",VLOOKUP(A1948,'1. Inbound Leads'!A:G,7,FALSE)),""))</f>
        <v/>
      </c>
      <c r="D1948" s="387" t="str">
        <f>IF(A1948="","",IFERROR(IF(VLOOKUP(A1948,'1. Inbound Leads'!A:L,12,FALSE)=0,"",VLOOKUP(A1948,'1. Inbound Leads'!A:L,12,FALSE)),""))</f>
        <v/>
      </c>
      <c r="E1948" s="388"/>
      <c r="F1948" s="389"/>
      <c r="G1948" s="387"/>
      <c r="H1948" s="387"/>
      <c r="I1948" s="387"/>
      <c r="J1948" s="387"/>
      <c r="K1948" s="387"/>
      <c r="L1948" s="387"/>
      <c r="M1948" s="388"/>
      <c r="N1948" s="388"/>
      <c r="O1948" s="390"/>
      <c r="P1948" s="391"/>
      <c r="Q1948" s="389"/>
      <c r="R1948" s="390"/>
      <c r="S1948" s="390"/>
      <c r="T1948" s="391"/>
      <c r="U1948" s="392"/>
      <c r="V1948" s="391"/>
      <c r="W1948" s="391"/>
      <c r="X1948" s="388"/>
      <c r="Y1948" s="391"/>
      <c r="Z1948" s="393"/>
      <c r="AA1948" s="355" t="str">
        <f t="shared" si="1"/>
        <v/>
      </c>
      <c r="AB1948" s="391"/>
      <c r="AC1948" s="394" t="str">
        <f t="shared" si="2"/>
        <v/>
      </c>
      <c r="AD1948" s="389"/>
      <c r="AE1948" s="399"/>
      <c r="AF1948" s="395"/>
      <c r="AG1948" s="396" t="str">
        <f t="shared" si="3"/>
        <v/>
      </c>
      <c r="AH1948" s="396" t="str">
        <f t="shared" si="4"/>
        <v/>
      </c>
      <c r="AI1948" s="388"/>
      <c r="AJ1948" s="388"/>
      <c r="AK1948" s="397"/>
    </row>
    <row r="1949">
      <c r="A1949" s="398"/>
      <c r="B1949" s="386"/>
      <c r="C1949" s="387" t="str">
        <f>IF(A1949="","",IFERROR(IF(VLOOKUP(A1949,'1. Inbound Leads'!A:G,7,FALSE)=0,"",VLOOKUP(A1949,'1. Inbound Leads'!A:G,7,FALSE)),""))</f>
        <v/>
      </c>
      <c r="D1949" s="387" t="str">
        <f>IF(A1949="","",IFERROR(IF(VLOOKUP(A1949,'1. Inbound Leads'!A:L,12,FALSE)=0,"",VLOOKUP(A1949,'1. Inbound Leads'!A:L,12,FALSE)),""))</f>
        <v/>
      </c>
      <c r="E1949" s="388"/>
      <c r="F1949" s="389"/>
      <c r="G1949" s="387"/>
      <c r="H1949" s="387"/>
      <c r="I1949" s="387"/>
      <c r="J1949" s="387"/>
      <c r="K1949" s="387"/>
      <c r="L1949" s="387"/>
      <c r="M1949" s="388"/>
      <c r="N1949" s="388"/>
      <c r="O1949" s="390"/>
      <c r="P1949" s="391"/>
      <c r="Q1949" s="389"/>
      <c r="R1949" s="390"/>
      <c r="S1949" s="390"/>
      <c r="T1949" s="391"/>
      <c r="U1949" s="392"/>
      <c r="V1949" s="391"/>
      <c r="W1949" s="391"/>
      <c r="X1949" s="388"/>
      <c r="Y1949" s="391"/>
      <c r="Z1949" s="393"/>
      <c r="AA1949" s="355" t="str">
        <f t="shared" si="1"/>
        <v/>
      </c>
      <c r="AB1949" s="391"/>
      <c r="AC1949" s="394" t="str">
        <f t="shared" si="2"/>
        <v/>
      </c>
      <c r="AD1949" s="389"/>
      <c r="AE1949" s="399"/>
      <c r="AF1949" s="395"/>
      <c r="AG1949" s="396" t="str">
        <f t="shared" si="3"/>
        <v/>
      </c>
      <c r="AH1949" s="396" t="str">
        <f t="shared" si="4"/>
        <v/>
      </c>
      <c r="AI1949" s="388"/>
      <c r="AJ1949" s="388"/>
      <c r="AK1949" s="397"/>
    </row>
    <row r="1950">
      <c r="A1950" s="398"/>
      <c r="B1950" s="386"/>
      <c r="C1950" s="387" t="str">
        <f>IF(A1950="","",IFERROR(IF(VLOOKUP(A1950,'1. Inbound Leads'!A:G,7,FALSE)=0,"",VLOOKUP(A1950,'1. Inbound Leads'!A:G,7,FALSE)),""))</f>
        <v/>
      </c>
      <c r="D1950" s="387" t="str">
        <f>IF(A1950="","",IFERROR(IF(VLOOKUP(A1950,'1. Inbound Leads'!A:L,12,FALSE)=0,"",VLOOKUP(A1950,'1. Inbound Leads'!A:L,12,FALSE)),""))</f>
        <v/>
      </c>
      <c r="E1950" s="388"/>
      <c r="F1950" s="389"/>
      <c r="G1950" s="387"/>
      <c r="H1950" s="387"/>
      <c r="I1950" s="387"/>
      <c r="J1950" s="387"/>
      <c r="K1950" s="387"/>
      <c r="L1950" s="387"/>
      <c r="M1950" s="388"/>
      <c r="N1950" s="388"/>
      <c r="O1950" s="390"/>
      <c r="P1950" s="391"/>
      <c r="Q1950" s="389"/>
      <c r="R1950" s="390"/>
      <c r="S1950" s="390"/>
      <c r="T1950" s="391"/>
      <c r="U1950" s="392"/>
      <c r="V1950" s="391"/>
      <c r="W1950" s="391"/>
      <c r="X1950" s="388"/>
      <c r="Y1950" s="391"/>
      <c r="Z1950" s="393"/>
      <c r="AA1950" s="355" t="str">
        <f t="shared" si="1"/>
        <v/>
      </c>
      <c r="AB1950" s="391"/>
      <c r="AC1950" s="394" t="str">
        <f t="shared" si="2"/>
        <v/>
      </c>
      <c r="AD1950" s="389"/>
      <c r="AE1950" s="399"/>
      <c r="AF1950" s="395"/>
      <c r="AG1950" s="396" t="str">
        <f t="shared" si="3"/>
        <v/>
      </c>
      <c r="AH1950" s="396" t="str">
        <f t="shared" si="4"/>
        <v/>
      </c>
      <c r="AI1950" s="388"/>
      <c r="AJ1950" s="388"/>
      <c r="AK1950" s="397"/>
    </row>
    <row r="1951">
      <c r="A1951" s="398"/>
      <c r="B1951" s="386"/>
      <c r="C1951" s="387" t="str">
        <f>IF(A1951="","",IFERROR(IF(VLOOKUP(A1951,'1. Inbound Leads'!A:G,7,FALSE)=0,"",VLOOKUP(A1951,'1. Inbound Leads'!A:G,7,FALSE)),""))</f>
        <v/>
      </c>
      <c r="D1951" s="387" t="str">
        <f>IF(A1951="","",IFERROR(IF(VLOOKUP(A1951,'1. Inbound Leads'!A:L,12,FALSE)=0,"",VLOOKUP(A1951,'1. Inbound Leads'!A:L,12,FALSE)),""))</f>
        <v/>
      </c>
      <c r="E1951" s="388"/>
      <c r="F1951" s="389"/>
      <c r="G1951" s="387"/>
      <c r="H1951" s="387"/>
      <c r="I1951" s="387"/>
      <c r="J1951" s="387"/>
      <c r="K1951" s="387"/>
      <c r="L1951" s="387"/>
      <c r="M1951" s="388"/>
      <c r="N1951" s="388"/>
      <c r="O1951" s="390"/>
      <c r="P1951" s="391"/>
      <c r="Q1951" s="389"/>
      <c r="R1951" s="390"/>
      <c r="S1951" s="390"/>
      <c r="T1951" s="391"/>
      <c r="U1951" s="392"/>
      <c r="V1951" s="391"/>
      <c r="W1951" s="391"/>
      <c r="X1951" s="388"/>
      <c r="Y1951" s="391"/>
      <c r="Z1951" s="393"/>
      <c r="AA1951" s="355" t="str">
        <f t="shared" si="1"/>
        <v/>
      </c>
      <c r="AB1951" s="391"/>
      <c r="AC1951" s="394" t="str">
        <f t="shared" si="2"/>
        <v/>
      </c>
      <c r="AD1951" s="389"/>
      <c r="AE1951" s="399"/>
      <c r="AF1951" s="395"/>
      <c r="AG1951" s="396" t="str">
        <f t="shared" si="3"/>
        <v/>
      </c>
      <c r="AH1951" s="396" t="str">
        <f t="shared" si="4"/>
        <v/>
      </c>
      <c r="AI1951" s="388"/>
      <c r="AJ1951" s="388"/>
      <c r="AK1951" s="397"/>
    </row>
    <row r="1952">
      <c r="A1952" s="398"/>
      <c r="B1952" s="386"/>
      <c r="C1952" s="387" t="str">
        <f>IF(A1952="","",IFERROR(IF(VLOOKUP(A1952,'1. Inbound Leads'!A:G,7,FALSE)=0,"",VLOOKUP(A1952,'1. Inbound Leads'!A:G,7,FALSE)),""))</f>
        <v/>
      </c>
      <c r="D1952" s="387" t="str">
        <f>IF(A1952="","",IFERROR(IF(VLOOKUP(A1952,'1. Inbound Leads'!A:L,12,FALSE)=0,"",VLOOKUP(A1952,'1. Inbound Leads'!A:L,12,FALSE)),""))</f>
        <v/>
      </c>
      <c r="E1952" s="388"/>
      <c r="F1952" s="389"/>
      <c r="G1952" s="387"/>
      <c r="H1952" s="387"/>
      <c r="I1952" s="387"/>
      <c r="J1952" s="387"/>
      <c r="K1952" s="387"/>
      <c r="L1952" s="387"/>
      <c r="M1952" s="388"/>
      <c r="N1952" s="388"/>
      <c r="O1952" s="390"/>
      <c r="P1952" s="391"/>
      <c r="Q1952" s="389"/>
      <c r="R1952" s="390"/>
      <c r="S1952" s="390"/>
      <c r="T1952" s="391"/>
      <c r="U1952" s="392"/>
      <c r="V1952" s="391"/>
      <c r="W1952" s="391"/>
      <c r="X1952" s="388"/>
      <c r="Y1952" s="391"/>
      <c r="Z1952" s="393"/>
      <c r="AA1952" s="355" t="str">
        <f t="shared" si="1"/>
        <v/>
      </c>
      <c r="AB1952" s="391"/>
      <c r="AC1952" s="394" t="str">
        <f t="shared" si="2"/>
        <v/>
      </c>
      <c r="AD1952" s="389"/>
      <c r="AE1952" s="399"/>
      <c r="AF1952" s="395"/>
      <c r="AG1952" s="396" t="str">
        <f t="shared" si="3"/>
        <v/>
      </c>
      <c r="AH1952" s="396" t="str">
        <f t="shared" si="4"/>
        <v/>
      </c>
      <c r="AI1952" s="388"/>
      <c r="AJ1952" s="388"/>
      <c r="AK1952" s="397"/>
    </row>
    <row r="1953">
      <c r="A1953" s="398"/>
      <c r="B1953" s="386"/>
      <c r="C1953" s="387" t="str">
        <f>IF(A1953="","",IFERROR(IF(VLOOKUP(A1953,'1. Inbound Leads'!A:G,7,FALSE)=0,"",VLOOKUP(A1953,'1. Inbound Leads'!A:G,7,FALSE)),""))</f>
        <v/>
      </c>
      <c r="D1953" s="387" t="str">
        <f>IF(A1953="","",IFERROR(IF(VLOOKUP(A1953,'1. Inbound Leads'!A:L,12,FALSE)=0,"",VLOOKUP(A1953,'1. Inbound Leads'!A:L,12,FALSE)),""))</f>
        <v/>
      </c>
      <c r="E1953" s="388"/>
      <c r="F1953" s="389"/>
      <c r="G1953" s="387"/>
      <c r="H1953" s="387"/>
      <c r="I1953" s="387"/>
      <c r="J1953" s="387"/>
      <c r="K1953" s="387"/>
      <c r="L1953" s="387"/>
      <c r="M1953" s="388"/>
      <c r="N1953" s="388"/>
      <c r="O1953" s="390"/>
      <c r="P1953" s="391"/>
      <c r="Q1953" s="389"/>
      <c r="R1953" s="390"/>
      <c r="S1953" s="390"/>
      <c r="T1953" s="391"/>
      <c r="U1953" s="392"/>
      <c r="V1953" s="391"/>
      <c r="W1953" s="391"/>
      <c r="X1953" s="388"/>
      <c r="Y1953" s="391"/>
      <c r="Z1953" s="393"/>
      <c r="AA1953" s="355" t="str">
        <f t="shared" si="1"/>
        <v/>
      </c>
      <c r="AB1953" s="391"/>
      <c r="AC1953" s="394" t="str">
        <f t="shared" si="2"/>
        <v/>
      </c>
      <c r="AD1953" s="389"/>
      <c r="AE1953" s="399"/>
      <c r="AF1953" s="395"/>
      <c r="AG1953" s="396" t="str">
        <f t="shared" si="3"/>
        <v/>
      </c>
      <c r="AH1953" s="396" t="str">
        <f t="shared" si="4"/>
        <v/>
      </c>
      <c r="AI1953" s="388"/>
      <c r="AJ1953" s="388"/>
      <c r="AK1953" s="397"/>
    </row>
    <row r="1954">
      <c r="A1954" s="398"/>
      <c r="B1954" s="386"/>
      <c r="C1954" s="387" t="str">
        <f>IF(A1954="","",IFERROR(IF(VLOOKUP(A1954,'1. Inbound Leads'!A:G,7,FALSE)=0,"",VLOOKUP(A1954,'1. Inbound Leads'!A:G,7,FALSE)),""))</f>
        <v/>
      </c>
      <c r="D1954" s="387" t="str">
        <f>IF(A1954="","",IFERROR(IF(VLOOKUP(A1954,'1. Inbound Leads'!A:L,12,FALSE)=0,"",VLOOKUP(A1954,'1. Inbound Leads'!A:L,12,FALSE)),""))</f>
        <v/>
      </c>
      <c r="E1954" s="388"/>
      <c r="F1954" s="389"/>
      <c r="G1954" s="387"/>
      <c r="H1954" s="387"/>
      <c r="I1954" s="387"/>
      <c r="J1954" s="387"/>
      <c r="K1954" s="387"/>
      <c r="L1954" s="387"/>
      <c r="M1954" s="388"/>
      <c r="N1954" s="388"/>
      <c r="O1954" s="390"/>
      <c r="P1954" s="391"/>
      <c r="Q1954" s="389"/>
      <c r="R1954" s="390"/>
      <c r="S1954" s="390"/>
      <c r="T1954" s="391"/>
      <c r="U1954" s="392"/>
      <c r="V1954" s="391"/>
      <c r="W1954" s="391"/>
      <c r="X1954" s="388"/>
      <c r="Y1954" s="391"/>
      <c r="Z1954" s="393"/>
      <c r="AA1954" s="355" t="str">
        <f t="shared" si="1"/>
        <v/>
      </c>
      <c r="AB1954" s="391"/>
      <c r="AC1954" s="394" t="str">
        <f t="shared" si="2"/>
        <v/>
      </c>
      <c r="AD1954" s="389"/>
      <c r="AE1954" s="399"/>
      <c r="AF1954" s="395"/>
      <c r="AG1954" s="396" t="str">
        <f t="shared" si="3"/>
        <v/>
      </c>
      <c r="AH1954" s="396" t="str">
        <f t="shared" si="4"/>
        <v/>
      </c>
      <c r="AI1954" s="388"/>
      <c r="AJ1954" s="388"/>
      <c r="AK1954" s="397"/>
    </row>
    <row r="1955">
      <c r="A1955" s="398"/>
      <c r="B1955" s="386"/>
      <c r="C1955" s="387" t="str">
        <f>IF(A1955="","",IFERROR(IF(VLOOKUP(A1955,'1. Inbound Leads'!A:G,7,FALSE)=0,"",VLOOKUP(A1955,'1. Inbound Leads'!A:G,7,FALSE)),""))</f>
        <v/>
      </c>
      <c r="D1955" s="387" t="str">
        <f>IF(A1955="","",IFERROR(IF(VLOOKUP(A1955,'1. Inbound Leads'!A:L,12,FALSE)=0,"",VLOOKUP(A1955,'1. Inbound Leads'!A:L,12,FALSE)),""))</f>
        <v/>
      </c>
      <c r="E1955" s="388"/>
      <c r="F1955" s="389"/>
      <c r="G1955" s="387"/>
      <c r="H1955" s="387"/>
      <c r="I1955" s="387"/>
      <c r="J1955" s="387"/>
      <c r="K1955" s="387"/>
      <c r="L1955" s="387"/>
      <c r="M1955" s="388"/>
      <c r="N1955" s="388"/>
      <c r="O1955" s="390"/>
      <c r="P1955" s="391"/>
      <c r="Q1955" s="389"/>
      <c r="R1955" s="390"/>
      <c r="S1955" s="390"/>
      <c r="T1955" s="391"/>
      <c r="U1955" s="392"/>
      <c r="V1955" s="391"/>
      <c r="W1955" s="391"/>
      <c r="X1955" s="388"/>
      <c r="Y1955" s="391"/>
      <c r="Z1955" s="393"/>
      <c r="AA1955" s="355" t="str">
        <f t="shared" si="1"/>
        <v/>
      </c>
      <c r="AB1955" s="391"/>
      <c r="AC1955" s="394" t="str">
        <f t="shared" si="2"/>
        <v/>
      </c>
      <c r="AD1955" s="389"/>
      <c r="AE1955" s="399"/>
      <c r="AF1955" s="395"/>
      <c r="AG1955" s="396" t="str">
        <f t="shared" si="3"/>
        <v/>
      </c>
      <c r="AH1955" s="396" t="str">
        <f t="shared" si="4"/>
        <v/>
      </c>
      <c r="AI1955" s="388"/>
      <c r="AJ1955" s="388"/>
      <c r="AK1955" s="397"/>
    </row>
    <row r="1956">
      <c r="A1956" s="398"/>
      <c r="B1956" s="386"/>
      <c r="C1956" s="387" t="str">
        <f>IF(A1956="","",IFERROR(IF(VLOOKUP(A1956,'1. Inbound Leads'!A:G,7,FALSE)=0,"",VLOOKUP(A1956,'1. Inbound Leads'!A:G,7,FALSE)),""))</f>
        <v/>
      </c>
      <c r="D1956" s="387" t="str">
        <f>IF(A1956="","",IFERROR(IF(VLOOKUP(A1956,'1. Inbound Leads'!A:L,12,FALSE)=0,"",VLOOKUP(A1956,'1. Inbound Leads'!A:L,12,FALSE)),""))</f>
        <v/>
      </c>
      <c r="E1956" s="388"/>
      <c r="F1956" s="389"/>
      <c r="G1956" s="387"/>
      <c r="H1956" s="387"/>
      <c r="I1956" s="387"/>
      <c r="J1956" s="387"/>
      <c r="K1956" s="387"/>
      <c r="L1956" s="387"/>
      <c r="M1956" s="388"/>
      <c r="N1956" s="388"/>
      <c r="O1956" s="390"/>
      <c r="P1956" s="391"/>
      <c r="Q1956" s="389"/>
      <c r="R1956" s="390"/>
      <c r="S1956" s="390"/>
      <c r="T1956" s="391"/>
      <c r="U1956" s="392"/>
      <c r="V1956" s="391"/>
      <c r="W1956" s="391"/>
      <c r="X1956" s="388"/>
      <c r="Y1956" s="391"/>
      <c r="Z1956" s="393"/>
      <c r="AA1956" s="355" t="str">
        <f t="shared" si="1"/>
        <v/>
      </c>
      <c r="AB1956" s="391"/>
      <c r="AC1956" s="394" t="str">
        <f t="shared" si="2"/>
        <v/>
      </c>
      <c r="AD1956" s="389"/>
      <c r="AE1956" s="399"/>
      <c r="AF1956" s="395"/>
      <c r="AG1956" s="396" t="str">
        <f t="shared" si="3"/>
        <v/>
      </c>
      <c r="AH1956" s="396" t="str">
        <f t="shared" si="4"/>
        <v/>
      </c>
      <c r="AI1956" s="388"/>
      <c r="AJ1956" s="388"/>
      <c r="AK1956" s="397"/>
    </row>
    <row r="1957">
      <c r="A1957" s="398"/>
      <c r="B1957" s="386"/>
      <c r="C1957" s="387" t="str">
        <f>IF(A1957="","",IFERROR(IF(VLOOKUP(A1957,'1. Inbound Leads'!A:G,7,FALSE)=0,"",VLOOKUP(A1957,'1. Inbound Leads'!A:G,7,FALSE)),""))</f>
        <v/>
      </c>
      <c r="D1957" s="387" t="str">
        <f>IF(A1957="","",IFERROR(IF(VLOOKUP(A1957,'1. Inbound Leads'!A:L,12,FALSE)=0,"",VLOOKUP(A1957,'1. Inbound Leads'!A:L,12,FALSE)),""))</f>
        <v/>
      </c>
      <c r="E1957" s="388"/>
      <c r="F1957" s="389"/>
      <c r="G1957" s="387"/>
      <c r="H1957" s="387"/>
      <c r="I1957" s="387"/>
      <c r="J1957" s="387"/>
      <c r="K1957" s="387"/>
      <c r="L1957" s="387"/>
      <c r="M1957" s="388"/>
      <c r="N1957" s="388"/>
      <c r="O1957" s="390"/>
      <c r="P1957" s="391"/>
      <c r="Q1957" s="389"/>
      <c r="R1957" s="390"/>
      <c r="S1957" s="390"/>
      <c r="T1957" s="391"/>
      <c r="U1957" s="392"/>
      <c r="V1957" s="391"/>
      <c r="W1957" s="391"/>
      <c r="X1957" s="388"/>
      <c r="Y1957" s="391"/>
      <c r="Z1957" s="393"/>
      <c r="AA1957" s="355" t="str">
        <f t="shared" si="1"/>
        <v/>
      </c>
      <c r="AB1957" s="391"/>
      <c r="AC1957" s="394" t="str">
        <f t="shared" si="2"/>
        <v/>
      </c>
      <c r="AD1957" s="389"/>
      <c r="AE1957" s="399"/>
      <c r="AF1957" s="395"/>
      <c r="AG1957" s="396" t="str">
        <f t="shared" si="3"/>
        <v/>
      </c>
      <c r="AH1957" s="396" t="str">
        <f t="shared" si="4"/>
        <v/>
      </c>
      <c r="AI1957" s="388"/>
      <c r="AJ1957" s="388"/>
      <c r="AK1957" s="397"/>
    </row>
    <row r="1958">
      <c r="A1958" s="398"/>
      <c r="B1958" s="386"/>
      <c r="C1958" s="387" t="str">
        <f>IF(A1958="","",IFERROR(IF(VLOOKUP(A1958,'1. Inbound Leads'!A:G,7,FALSE)=0,"",VLOOKUP(A1958,'1. Inbound Leads'!A:G,7,FALSE)),""))</f>
        <v/>
      </c>
      <c r="D1958" s="387" t="str">
        <f>IF(A1958="","",IFERROR(IF(VLOOKUP(A1958,'1. Inbound Leads'!A:L,12,FALSE)=0,"",VLOOKUP(A1958,'1. Inbound Leads'!A:L,12,FALSE)),""))</f>
        <v/>
      </c>
      <c r="E1958" s="388"/>
      <c r="F1958" s="389"/>
      <c r="G1958" s="387"/>
      <c r="H1958" s="387"/>
      <c r="I1958" s="387"/>
      <c r="J1958" s="387"/>
      <c r="K1958" s="387"/>
      <c r="L1958" s="387"/>
      <c r="M1958" s="388"/>
      <c r="N1958" s="388"/>
      <c r="O1958" s="390"/>
      <c r="P1958" s="391"/>
      <c r="Q1958" s="389"/>
      <c r="R1958" s="390"/>
      <c r="S1958" s="390"/>
      <c r="T1958" s="391"/>
      <c r="U1958" s="392"/>
      <c r="V1958" s="391"/>
      <c r="W1958" s="391"/>
      <c r="X1958" s="388"/>
      <c r="Y1958" s="391"/>
      <c r="Z1958" s="393"/>
      <c r="AA1958" s="355" t="str">
        <f t="shared" si="1"/>
        <v/>
      </c>
      <c r="AB1958" s="391"/>
      <c r="AC1958" s="394" t="str">
        <f t="shared" si="2"/>
        <v/>
      </c>
      <c r="AD1958" s="389"/>
      <c r="AE1958" s="399"/>
      <c r="AF1958" s="395"/>
      <c r="AG1958" s="396" t="str">
        <f t="shared" si="3"/>
        <v/>
      </c>
      <c r="AH1958" s="396" t="str">
        <f t="shared" si="4"/>
        <v/>
      </c>
      <c r="AI1958" s="388"/>
      <c r="AJ1958" s="388"/>
      <c r="AK1958" s="397"/>
    </row>
    <row r="1959">
      <c r="A1959" s="398"/>
      <c r="B1959" s="386"/>
      <c r="C1959" s="387" t="str">
        <f>IF(A1959="","",IFERROR(IF(VLOOKUP(A1959,'1. Inbound Leads'!A:G,7,FALSE)=0,"",VLOOKUP(A1959,'1. Inbound Leads'!A:G,7,FALSE)),""))</f>
        <v/>
      </c>
      <c r="D1959" s="387" t="str">
        <f>IF(A1959="","",IFERROR(IF(VLOOKUP(A1959,'1. Inbound Leads'!A:L,12,FALSE)=0,"",VLOOKUP(A1959,'1. Inbound Leads'!A:L,12,FALSE)),""))</f>
        <v/>
      </c>
      <c r="E1959" s="388"/>
      <c r="F1959" s="389"/>
      <c r="G1959" s="387"/>
      <c r="H1959" s="387"/>
      <c r="I1959" s="387"/>
      <c r="J1959" s="387"/>
      <c r="K1959" s="387"/>
      <c r="L1959" s="387"/>
      <c r="M1959" s="388"/>
      <c r="N1959" s="388"/>
      <c r="O1959" s="390"/>
      <c r="P1959" s="391"/>
      <c r="Q1959" s="389"/>
      <c r="R1959" s="390"/>
      <c r="S1959" s="390"/>
      <c r="T1959" s="391"/>
      <c r="U1959" s="392"/>
      <c r="V1959" s="391"/>
      <c r="W1959" s="391"/>
      <c r="X1959" s="388"/>
      <c r="Y1959" s="391"/>
      <c r="Z1959" s="393"/>
      <c r="AA1959" s="355" t="str">
        <f t="shared" si="1"/>
        <v/>
      </c>
      <c r="AB1959" s="391"/>
      <c r="AC1959" s="394" t="str">
        <f t="shared" si="2"/>
        <v/>
      </c>
      <c r="AD1959" s="389"/>
      <c r="AE1959" s="399"/>
      <c r="AF1959" s="395"/>
      <c r="AG1959" s="396" t="str">
        <f t="shared" si="3"/>
        <v/>
      </c>
      <c r="AH1959" s="396" t="str">
        <f t="shared" si="4"/>
        <v/>
      </c>
      <c r="AI1959" s="388"/>
      <c r="AJ1959" s="388"/>
      <c r="AK1959" s="397"/>
    </row>
    <row r="1960">
      <c r="A1960" s="398"/>
      <c r="B1960" s="386"/>
      <c r="C1960" s="387" t="str">
        <f>IF(A1960="","",IFERROR(IF(VLOOKUP(A1960,'1. Inbound Leads'!A:G,7,FALSE)=0,"",VLOOKUP(A1960,'1. Inbound Leads'!A:G,7,FALSE)),""))</f>
        <v/>
      </c>
      <c r="D1960" s="387" t="str">
        <f>IF(A1960="","",IFERROR(IF(VLOOKUP(A1960,'1. Inbound Leads'!A:L,12,FALSE)=0,"",VLOOKUP(A1960,'1. Inbound Leads'!A:L,12,FALSE)),""))</f>
        <v/>
      </c>
      <c r="E1960" s="388"/>
      <c r="F1960" s="389"/>
      <c r="G1960" s="387"/>
      <c r="H1960" s="387"/>
      <c r="I1960" s="387"/>
      <c r="J1960" s="387"/>
      <c r="K1960" s="387"/>
      <c r="L1960" s="387"/>
      <c r="M1960" s="388"/>
      <c r="N1960" s="388"/>
      <c r="O1960" s="390"/>
      <c r="P1960" s="391"/>
      <c r="Q1960" s="389"/>
      <c r="R1960" s="390"/>
      <c r="S1960" s="390"/>
      <c r="T1960" s="391"/>
      <c r="U1960" s="392"/>
      <c r="V1960" s="391"/>
      <c r="W1960" s="391"/>
      <c r="X1960" s="388"/>
      <c r="Y1960" s="391"/>
      <c r="Z1960" s="393"/>
      <c r="AA1960" s="355" t="str">
        <f t="shared" si="1"/>
        <v/>
      </c>
      <c r="AB1960" s="391"/>
      <c r="AC1960" s="394" t="str">
        <f t="shared" si="2"/>
        <v/>
      </c>
      <c r="AD1960" s="389"/>
      <c r="AE1960" s="399"/>
      <c r="AF1960" s="395"/>
      <c r="AG1960" s="396" t="str">
        <f t="shared" si="3"/>
        <v/>
      </c>
      <c r="AH1960" s="396" t="str">
        <f t="shared" si="4"/>
        <v/>
      </c>
      <c r="AI1960" s="388"/>
      <c r="AJ1960" s="388"/>
      <c r="AK1960" s="397"/>
    </row>
    <row r="1961">
      <c r="A1961" s="398"/>
      <c r="B1961" s="386"/>
      <c r="C1961" s="387" t="str">
        <f>IF(A1961="","",IFERROR(IF(VLOOKUP(A1961,'1. Inbound Leads'!A:G,7,FALSE)=0,"",VLOOKUP(A1961,'1. Inbound Leads'!A:G,7,FALSE)),""))</f>
        <v/>
      </c>
      <c r="D1961" s="387" t="str">
        <f>IF(A1961="","",IFERROR(IF(VLOOKUP(A1961,'1. Inbound Leads'!A:L,12,FALSE)=0,"",VLOOKUP(A1961,'1. Inbound Leads'!A:L,12,FALSE)),""))</f>
        <v/>
      </c>
      <c r="E1961" s="388"/>
      <c r="F1961" s="389"/>
      <c r="G1961" s="387"/>
      <c r="H1961" s="387"/>
      <c r="I1961" s="387"/>
      <c r="J1961" s="387"/>
      <c r="K1961" s="387"/>
      <c r="L1961" s="387"/>
      <c r="M1961" s="388"/>
      <c r="N1961" s="388"/>
      <c r="O1961" s="390"/>
      <c r="P1961" s="391"/>
      <c r="Q1961" s="389"/>
      <c r="R1961" s="390"/>
      <c r="S1961" s="390"/>
      <c r="T1961" s="391"/>
      <c r="U1961" s="392"/>
      <c r="V1961" s="391"/>
      <c r="W1961" s="391"/>
      <c r="X1961" s="388"/>
      <c r="Y1961" s="391"/>
      <c r="Z1961" s="393"/>
      <c r="AA1961" s="355" t="str">
        <f t="shared" si="1"/>
        <v/>
      </c>
      <c r="AB1961" s="391"/>
      <c r="AC1961" s="394" t="str">
        <f t="shared" si="2"/>
        <v/>
      </c>
      <c r="AD1961" s="389"/>
      <c r="AE1961" s="399"/>
      <c r="AF1961" s="395"/>
      <c r="AG1961" s="396" t="str">
        <f t="shared" si="3"/>
        <v/>
      </c>
      <c r="AH1961" s="396" t="str">
        <f t="shared" si="4"/>
        <v/>
      </c>
      <c r="AI1961" s="388"/>
      <c r="AJ1961" s="388"/>
      <c r="AK1961" s="397"/>
    </row>
    <row r="1962">
      <c r="A1962" s="398"/>
      <c r="B1962" s="386"/>
      <c r="C1962" s="387" t="str">
        <f>IF(A1962="","",IFERROR(IF(VLOOKUP(A1962,'1. Inbound Leads'!A:G,7,FALSE)=0,"",VLOOKUP(A1962,'1. Inbound Leads'!A:G,7,FALSE)),""))</f>
        <v/>
      </c>
      <c r="D1962" s="387" t="str">
        <f>IF(A1962="","",IFERROR(IF(VLOOKUP(A1962,'1. Inbound Leads'!A:L,12,FALSE)=0,"",VLOOKUP(A1962,'1. Inbound Leads'!A:L,12,FALSE)),""))</f>
        <v/>
      </c>
      <c r="E1962" s="388"/>
      <c r="F1962" s="389"/>
      <c r="G1962" s="387"/>
      <c r="H1962" s="387"/>
      <c r="I1962" s="387"/>
      <c r="J1962" s="387"/>
      <c r="K1962" s="387"/>
      <c r="L1962" s="387"/>
      <c r="M1962" s="388"/>
      <c r="N1962" s="388"/>
      <c r="O1962" s="390"/>
      <c r="P1962" s="391"/>
      <c r="Q1962" s="389"/>
      <c r="R1962" s="390"/>
      <c r="S1962" s="390"/>
      <c r="T1962" s="391"/>
      <c r="U1962" s="392"/>
      <c r="V1962" s="391"/>
      <c r="W1962" s="391"/>
      <c r="X1962" s="388"/>
      <c r="Y1962" s="391"/>
      <c r="Z1962" s="393"/>
      <c r="AA1962" s="355" t="str">
        <f t="shared" si="1"/>
        <v/>
      </c>
      <c r="AB1962" s="391"/>
      <c r="AC1962" s="394" t="str">
        <f t="shared" si="2"/>
        <v/>
      </c>
      <c r="AD1962" s="389"/>
      <c r="AE1962" s="399"/>
      <c r="AF1962" s="395"/>
      <c r="AG1962" s="396" t="str">
        <f t="shared" si="3"/>
        <v/>
      </c>
      <c r="AH1962" s="396" t="str">
        <f t="shared" si="4"/>
        <v/>
      </c>
      <c r="AI1962" s="388"/>
      <c r="AJ1962" s="388"/>
      <c r="AK1962" s="397"/>
    </row>
    <row r="1963">
      <c r="A1963" s="398"/>
      <c r="B1963" s="386"/>
      <c r="C1963" s="387" t="str">
        <f>IF(A1963="","",IFERROR(IF(VLOOKUP(A1963,'1. Inbound Leads'!A:G,7,FALSE)=0,"",VLOOKUP(A1963,'1. Inbound Leads'!A:G,7,FALSE)),""))</f>
        <v/>
      </c>
      <c r="D1963" s="387" t="str">
        <f>IF(A1963="","",IFERROR(IF(VLOOKUP(A1963,'1. Inbound Leads'!A:L,12,FALSE)=0,"",VLOOKUP(A1963,'1. Inbound Leads'!A:L,12,FALSE)),""))</f>
        <v/>
      </c>
      <c r="E1963" s="388"/>
      <c r="F1963" s="389"/>
      <c r="G1963" s="387"/>
      <c r="H1963" s="387"/>
      <c r="I1963" s="387"/>
      <c r="J1963" s="387"/>
      <c r="K1963" s="387"/>
      <c r="L1963" s="387"/>
      <c r="M1963" s="388"/>
      <c r="N1963" s="388"/>
      <c r="O1963" s="390"/>
      <c r="P1963" s="391"/>
      <c r="Q1963" s="389"/>
      <c r="R1963" s="390"/>
      <c r="S1963" s="390"/>
      <c r="T1963" s="391"/>
      <c r="U1963" s="392"/>
      <c r="V1963" s="391"/>
      <c r="W1963" s="391"/>
      <c r="X1963" s="388"/>
      <c r="Y1963" s="391"/>
      <c r="Z1963" s="393"/>
      <c r="AA1963" s="355" t="str">
        <f t="shared" si="1"/>
        <v/>
      </c>
      <c r="AB1963" s="391"/>
      <c r="AC1963" s="394" t="str">
        <f t="shared" si="2"/>
        <v/>
      </c>
      <c r="AD1963" s="389"/>
      <c r="AE1963" s="399"/>
      <c r="AF1963" s="395"/>
      <c r="AG1963" s="396" t="str">
        <f t="shared" si="3"/>
        <v/>
      </c>
      <c r="AH1963" s="396" t="str">
        <f t="shared" si="4"/>
        <v/>
      </c>
      <c r="AI1963" s="388"/>
      <c r="AJ1963" s="388"/>
      <c r="AK1963" s="397"/>
    </row>
    <row r="1964">
      <c r="A1964" s="398"/>
      <c r="B1964" s="386"/>
      <c r="C1964" s="387" t="str">
        <f>IF(A1964="","",IFERROR(IF(VLOOKUP(A1964,'1. Inbound Leads'!A:G,7,FALSE)=0,"",VLOOKUP(A1964,'1. Inbound Leads'!A:G,7,FALSE)),""))</f>
        <v/>
      </c>
      <c r="D1964" s="387" t="str">
        <f>IF(A1964="","",IFERROR(IF(VLOOKUP(A1964,'1. Inbound Leads'!A:L,12,FALSE)=0,"",VLOOKUP(A1964,'1. Inbound Leads'!A:L,12,FALSE)),""))</f>
        <v/>
      </c>
      <c r="E1964" s="388"/>
      <c r="F1964" s="389"/>
      <c r="G1964" s="387"/>
      <c r="H1964" s="387"/>
      <c r="I1964" s="387"/>
      <c r="J1964" s="387"/>
      <c r="K1964" s="387"/>
      <c r="L1964" s="387"/>
      <c r="M1964" s="388"/>
      <c r="N1964" s="388"/>
      <c r="O1964" s="390"/>
      <c r="P1964" s="391"/>
      <c r="Q1964" s="389"/>
      <c r="R1964" s="390"/>
      <c r="S1964" s="390"/>
      <c r="T1964" s="391"/>
      <c r="U1964" s="392"/>
      <c r="V1964" s="391"/>
      <c r="W1964" s="391"/>
      <c r="X1964" s="388"/>
      <c r="Y1964" s="391"/>
      <c r="Z1964" s="393"/>
      <c r="AA1964" s="355" t="str">
        <f t="shared" si="1"/>
        <v/>
      </c>
      <c r="AB1964" s="391"/>
      <c r="AC1964" s="394" t="str">
        <f t="shared" si="2"/>
        <v/>
      </c>
      <c r="AD1964" s="389"/>
      <c r="AE1964" s="399"/>
      <c r="AF1964" s="395"/>
      <c r="AG1964" s="396" t="str">
        <f t="shared" si="3"/>
        <v/>
      </c>
      <c r="AH1964" s="396" t="str">
        <f t="shared" si="4"/>
        <v/>
      </c>
      <c r="AI1964" s="388"/>
      <c r="AJ1964" s="388"/>
      <c r="AK1964" s="397"/>
    </row>
    <row r="1965">
      <c r="A1965" s="398"/>
      <c r="B1965" s="386"/>
      <c r="C1965" s="387" t="str">
        <f>IF(A1965="","",IFERROR(IF(VLOOKUP(A1965,'1. Inbound Leads'!A:G,7,FALSE)=0,"",VLOOKUP(A1965,'1. Inbound Leads'!A:G,7,FALSE)),""))</f>
        <v/>
      </c>
      <c r="D1965" s="387" t="str">
        <f>IF(A1965="","",IFERROR(IF(VLOOKUP(A1965,'1. Inbound Leads'!A:L,12,FALSE)=0,"",VLOOKUP(A1965,'1. Inbound Leads'!A:L,12,FALSE)),""))</f>
        <v/>
      </c>
      <c r="E1965" s="388"/>
      <c r="F1965" s="389"/>
      <c r="G1965" s="387"/>
      <c r="H1965" s="387"/>
      <c r="I1965" s="387"/>
      <c r="J1965" s="387"/>
      <c r="K1965" s="387"/>
      <c r="L1965" s="387"/>
      <c r="M1965" s="388"/>
      <c r="N1965" s="388"/>
      <c r="O1965" s="390"/>
      <c r="P1965" s="391"/>
      <c r="Q1965" s="389"/>
      <c r="R1965" s="390"/>
      <c r="S1965" s="390"/>
      <c r="T1965" s="391"/>
      <c r="U1965" s="392"/>
      <c r="V1965" s="391"/>
      <c r="W1965" s="391"/>
      <c r="X1965" s="388"/>
      <c r="Y1965" s="391"/>
      <c r="Z1965" s="393"/>
      <c r="AA1965" s="355" t="str">
        <f t="shared" si="1"/>
        <v/>
      </c>
      <c r="AB1965" s="391"/>
      <c r="AC1965" s="394" t="str">
        <f t="shared" si="2"/>
        <v/>
      </c>
      <c r="AD1965" s="389"/>
      <c r="AE1965" s="399"/>
      <c r="AF1965" s="395"/>
      <c r="AG1965" s="396" t="str">
        <f t="shared" si="3"/>
        <v/>
      </c>
      <c r="AH1965" s="396" t="str">
        <f t="shared" si="4"/>
        <v/>
      </c>
      <c r="AI1965" s="388"/>
      <c r="AJ1965" s="388"/>
      <c r="AK1965" s="397"/>
    </row>
    <row r="1966">
      <c r="A1966" s="398"/>
      <c r="B1966" s="386"/>
      <c r="C1966" s="387" t="str">
        <f>IF(A1966="","",IFERROR(IF(VLOOKUP(A1966,'1. Inbound Leads'!A:G,7,FALSE)=0,"",VLOOKUP(A1966,'1. Inbound Leads'!A:G,7,FALSE)),""))</f>
        <v/>
      </c>
      <c r="D1966" s="387" t="str">
        <f>IF(A1966="","",IFERROR(IF(VLOOKUP(A1966,'1. Inbound Leads'!A:L,12,FALSE)=0,"",VLOOKUP(A1966,'1. Inbound Leads'!A:L,12,FALSE)),""))</f>
        <v/>
      </c>
      <c r="E1966" s="388"/>
      <c r="F1966" s="389"/>
      <c r="G1966" s="387"/>
      <c r="H1966" s="387"/>
      <c r="I1966" s="387"/>
      <c r="J1966" s="387"/>
      <c r="K1966" s="387"/>
      <c r="L1966" s="387"/>
      <c r="M1966" s="388"/>
      <c r="N1966" s="388"/>
      <c r="O1966" s="390"/>
      <c r="P1966" s="391"/>
      <c r="Q1966" s="389"/>
      <c r="R1966" s="390"/>
      <c r="S1966" s="390"/>
      <c r="T1966" s="391"/>
      <c r="U1966" s="392"/>
      <c r="V1966" s="391"/>
      <c r="W1966" s="391"/>
      <c r="X1966" s="388"/>
      <c r="Y1966" s="391"/>
      <c r="Z1966" s="393"/>
      <c r="AA1966" s="355" t="str">
        <f t="shared" si="1"/>
        <v/>
      </c>
      <c r="AB1966" s="391"/>
      <c r="AC1966" s="394" t="str">
        <f t="shared" si="2"/>
        <v/>
      </c>
      <c r="AD1966" s="389"/>
      <c r="AE1966" s="399"/>
      <c r="AF1966" s="395"/>
      <c r="AG1966" s="396" t="str">
        <f t="shared" si="3"/>
        <v/>
      </c>
      <c r="AH1966" s="396" t="str">
        <f t="shared" si="4"/>
        <v/>
      </c>
      <c r="AI1966" s="388"/>
      <c r="AJ1966" s="388"/>
      <c r="AK1966" s="397"/>
    </row>
    <row r="1967">
      <c r="A1967" s="398"/>
      <c r="B1967" s="386"/>
      <c r="C1967" s="387" t="str">
        <f>IF(A1967="","",IFERROR(IF(VLOOKUP(A1967,'1. Inbound Leads'!A:G,7,FALSE)=0,"",VLOOKUP(A1967,'1. Inbound Leads'!A:G,7,FALSE)),""))</f>
        <v/>
      </c>
      <c r="D1967" s="387" t="str">
        <f>IF(A1967="","",IFERROR(IF(VLOOKUP(A1967,'1. Inbound Leads'!A:L,12,FALSE)=0,"",VLOOKUP(A1967,'1. Inbound Leads'!A:L,12,FALSE)),""))</f>
        <v/>
      </c>
      <c r="E1967" s="388"/>
      <c r="F1967" s="389"/>
      <c r="G1967" s="387"/>
      <c r="H1967" s="387"/>
      <c r="I1967" s="387"/>
      <c r="J1967" s="387"/>
      <c r="K1967" s="387"/>
      <c r="L1967" s="387"/>
      <c r="M1967" s="388"/>
      <c r="N1967" s="388"/>
      <c r="O1967" s="390"/>
      <c r="P1967" s="391"/>
      <c r="Q1967" s="389"/>
      <c r="R1967" s="390"/>
      <c r="S1967" s="390"/>
      <c r="T1967" s="391"/>
      <c r="U1967" s="392"/>
      <c r="V1967" s="391"/>
      <c r="W1967" s="391"/>
      <c r="X1967" s="388"/>
      <c r="Y1967" s="391"/>
      <c r="Z1967" s="393"/>
      <c r="AA1967" s="355" t="str">
        <f t="shared" si="1"/>
        <v/>
      </c>
      <c r="AB1967" s="391"/>
      <c r="AC1967" s="394" t="str">
        <f t="shared" si="2"/>
        <v/>
      </c>
      <c r="AD1967" s="389"/>
      <c r="AE1967" s="399"/>
      <c r="AF1967" s="395"/>
      <c r="AG1967" s="396" t="str">
        <f t="shared" si="3"/>
        <v/>
      </c>
      <c r="AH1967" s="396" t="str">
        <f t="shared" si="4"/>
        <v/>
      </c>
      <c r="AI1967" s="388"/>
      <c r="AJ1967" s="388"/>
      <c r="AK1967" s="397"/>
    </row>
    <row r="1968">
      <c r="A1968" s="398"/>
      <c r="B1968" s="386"/>
      <c r="C1968" s="387" t="str">
        <f>IF(A1968="","",IFERROR(IF(VLOOKUP(A1968,'1. Inbound Leads'!A:G,7,FALSE)=0,"",VLOOKUP(A1968,'1. Inbound Leads'!A:G,7,FALSE)),""))</f>
        <v/>
      </c>
      <c r="D1968" s="387" t="str">
        <f>IF(A1968="","",IFERROR(IF(VLOOKUP(A1968,'1. Inbound Leads'!A:L,12,FALSE)=0,"",VLOOKUP(A1968,'1. Inbound Leads'!A:L,12,FALSE)),""))</f>
        <v/>
      </c>
      <c r="E1968" s="388"/>
      <c r="F1968" s="389"/>
      <c r="G1968" s="387"/>
      <c r="H1968" s="387"/>
      <c r="I1968" s="387"/>
      <c r="J1968" s="387"/>
      <c r="K1968" s="387"/>
      <c r="L1968" s="387"/>
      <c r="M1968" s="388"/>
      <c r="N1968" s="388"/>
      <c r="O1968" s="390"/>
      <c r="P1968" s="391"/>
      <c r="Q1968" s="389"/>
      <c r="R1968" s="390"/>
      <c r="S1968" s="390"/>
      <c r="T1968" s="391"/>
      <c r="U1968" s="392"/>
      <c r="V1968" s="391"/>
      <c r="W1968" s="391"/>
      <c r="X1968" s="388"/>
      <c r="Y1968" s="391"/>
      <c r="Z1968" s="393"/>
      <c r="AA1968" s="355" t="str">
        <f t="shared" si="1"/>
        <v/>
      </c>
      <c r="AB1968" s="391"/>
      <c r="AC1968" s="394" t="str">
        <f t="shared" si="2"/>
        <v/>
      </c>
      <c r="AD1968" s="389"/>
      <c r="AE1968" s="399"/>
      <c r="AF1968" s="395"/>
      <c r="AG1968" s="396" t="str">
        <f t="shared" si="3"/>
        <v/>
      </c>
      <c r="AH1968" s="396" t="str">
        <f t="shared" si="4"/>
        <v/>
      </c>
      <c r="AI1968" s="388"/>
      <c r="AJ1968" s="388"/>
      <c r="AK1968" s="397"/>
    </row>
    <row r="1969">
      <c r="A1969" s="398"/>
      <c r="B1969" s="386"/>
      <c r="C1969" s="387" t="str">
        <f>IF(A1969="","",IFERROR(IF(VLOOKUP(A1969,'1. Inbound Leads'!A:G,7,FALSE)=0,"",VLOOKUP(A1969,'1. Inbound Leads'!A:G,7,FALSE)),""))</f>
        <v/>
      </c>
      <c r="D1969" s="387" t="str">
        <f>IF(A1969="","",IFERROR(IF(VLOOKUP(A1969,'1. Inbound Leads'!A:L,12,FALSE)=0,"",VLOOKUP(A1969,'1. Inbound Leads'!A:L,12,FALSE)),""))</f>
        <v/>
      </c>
      <c r="E1969" s="388"/>
      <c r="F1969" s="389"/>
      <c r="G1969" s="387"/>
      <c r="H1969" s="387"/>
      <c r="I1969" s="387"/>
      <c r="J1969" s="387"/>
      <c r="K1969" s="387"/>
      <c r="L1969" s="387"/>
      <c r="M1969" s="388"/>
      <c r="N1969" s="388"/>
      <c r="O1969" s="390"/>
      <c r="P1969" s="391"/>
      <c r="Q1969" s="389"/>
      <c r="R1969" s="390"/>
      <c r="S1969" s="390"/>
      <c r="T1969" s="391"/>
      <c r="U1969" s="392"/>
      <c r="V1969" s="391"/>
      <c r="W1969" s="391"/>
      <c r="X1969" s="388"/>
      <c r="Y1969" s="391"/>
      <c r="Z1969" s="393"/>
      <c r="AA1969" s="355" t="str">
        <f t="shared" si="1"/>
        <v/>
      </c>
      <c r="AB1969" s="391"/>
      <c r="AC1969" s="394" t="str">
        <f t="shared" si="2"/>
        <v/>
      </c>
      <c r="AD1969" s="389"/>
      <c r="AE1969" s="399"/>
      <c r="AF1969" s="395"/>
      <c r="AG1969" s="396" t="str">
        <f t="shared" si="3"/>
        <v/>
      </c>
      <c r="AH1969" s="396" t="str">
        <f t="shared" si="4"/>
        <v/>
      </c>
      <c r="AI1969" s="388"/>
      <c r="AJ1969" s="388"/>
      <c r="AK1969" s="397"/>
    </row>
    <row r="1970">
      <c r="A1970" s="398"/>
      <c r="B1970" s="386"/>
      <c r="C1970" s="387" t="str">
        <f>IF(A1970="","",IFERROR(IF(VLOOKUP(A1970,'1. Inbound Leads'!A:G,7,FALSE)=0,"",VLOOKUP(A1970,'1. Inbound Leads'!A:G,7,FALSE)),""))</f>
        <v/>
      </c>
      <c r="D1970" s="387" t="str">
        <f>IF(A1970="","",IFERROR(IF(VLOOKUP(A1970,'1. Inbound Leads'!A:L,12,FALSE)=0,"",VLOOKUP(A1970,'1. Inbound Leads'!A:L,12,FALSE)),""))</f>
        <v/>
      </c>
      <c r="E1970" s="388"/>
      <c r="F1970" s="389"/>
      <c r="G1970" s="387"/>
      <c r="H1970" s="387"/>
      <c r="I1970" s="387"/>
      <c r="J1970" s="387"/>
      <c r="K1970" s="387"/>
      <c r="L1970" s="387"/>
      <c r="M1970" s="388"/>
      <c r="N1970" s="388"/>
      <c r="O1970" s="390"/>
      <c r="P1970" s="391"/>
      <c r="Q1970" s="389"/>
      <c r="R1970" s="390"/>
      <c r="S1970" s="390"/>
      <c r="T1970" s="391"/>
      <c r="U1970" s="392"/>
      <c r="V1970" s="391"/>
      <c r="W1970" s="391"/>
      <c r="X1970" s="388"/>
      <c r="Y1970" s="391"/>
      <c r="Z1970" s="393"/>
      <c r="AA1970" s="355" t="str">
        <f t="shared" si="1"/>
        <v/>
      </c>
      <c r="AB1970" s="391"/>
      <c r="AC1970" s="394" t="str">
        <f t="shared" si="2"/>
        <v/>
      </c>
      <c r="AD1970" s="389"/>
      <c r="AE1970" s="399"/>
      <c r="AF1970" s="395"/>
      <c r="AG1970" s="396" t="str">
        <f t="shared" si="3"/>
        <v/>
      </c>
      <c r="AH1970" s="396" t="str">
        <f t="shared" si="4"/>
        <v/>
      </c>
      <c r="AI1970" s="388"/>
      <c r="AJ1970" s="388"/>
      <c r="AK1970" s="397"/>
    </row>
    <row r="1971">
      <c r="A1971" s="398"/>
      <c r="B1971" s="386"/>
      <c r="C1971" s="387" t="str">
        <f>IF(A1971="","",IFERROR(IF(VLOOKUP(A1971,'1. Inbound Leads'!A:G,7,FALSE)=0,"",VLOOKUP(A1971,'1. Inbound Leads'!A:G,7,FALSE)),""))</f>
        <v/>
      </c>
      <c r="D1971" s="387" t="str">
        <f>IF(A1971="","",IFERROR(IF(VLOOKUP(A1971,'1. Inbound Leads'!A:L,12,FALSE)=0,"",VLOOKUP(A1971,'1. Inbound Leads'!A:L,12,FALSE)),""))</f>
        <v/>
      </c>
      <c r="E1971" s="388"/>
      <c r="F1971" s="389"/>
      <c r="G1971" s="387"/>
      <c r="H1971" s="387"/>
      <c r="I1971" s="387"/>
      <c r="J1971" s="387"/>
      <c r="K1971" s="387"/>
      <c r="L1971" s="387"/>
      <c r="M1971" s="388"/>
      <c r="N1971" s="388"/>
      <c r="O1971" s="390"/>
      <c r="P1971" s="391"/>
      <c r="Q1971" s="389"/>
      <c r="R1971" s="390"/>
      <c r="S1971" s="390"/>
      <c r="T1971" s="391"/>
      <c r="U1971" s="392"/>
      <c r="V1971" s="391"/>
      <c r="W1971" s="391"/>
      <c r="X1971" s="388"/>
      <c r="Y1971" s="391"/>
      <c r="Z1971" s="393"/>
      <c r="AA1971" s="355" t="str">
        <f t="shared" si="1"/>
        <v/>
      </c>
      <c r="AB1971" s="391"/>
      <c r="AC1971" s="394" t="str">
        <f t="shared" si="2"/>
        <v/>
      </c>
      <c r="AD1971" s="389"/>
      <c r="AE1971" s="399"/>
      <c r="AF1971" s="395"/>
      <c r="AG1971" s="396" t="str">
        <f t="shared" si="3"/>
        <v/>
      </c>
      <c r="AH1971" s="396" t="str">
        <f t="shared" si="4"/>
        <v/>
      </c>
      <c r="AI1971" s="388"/>
      <c r="AJ1971" s="388"/>
      <c r="AK1971" s="397"/>
    </row>
    <row r="1972">
      <c r="A1972" s="398"/>
      <c r="B1972" s="386"/>
      <c r="C1972" s="387" t="str">
        <f>IF(A1972="","",IFERROR(IF(VLOOKUP(A1972,'1. Inbound Leads'!A:G,7,FALSE)=0,"",VLOOKUP(A1972,'1. Inbound Leads'!A:G,7,FALSE)),""))</f>
        <v/>
      </c>
      <c r="D1972" s="387" t="str">
        <f>IF(A1972="","",IFERROR(IF(VLOOKUP(A1972,'1. Inbound Leads'!A:L,12,FALSE)=0,"",VLOOKUP(A1972,'1. Inbound Leads'!A:L,12,FALSE)),""))</f>
        <v/>
      </c>
      <c r="E1972" s="388"/>
      <c r="F1972" s="389"/>
      <c r="G1972" s="387"/>
      <c r="H1972" s="387"/>
      <c r="I1972" s="387"/>
      <c r="J1972" s="387"/>
      <c r="K1972" s="387"/>
      <c r="L1972" s="387"/>
      <c r="M1972" s="388"/>
      <c r="N1972" s="388"/>
      <c r="O1972" s="390"/>
      <c r="P1972" s="391"/>
      <c r="Q1972" s="389"/>
      <c r="R1972" s="390"/>
      <c r="S1972" s="390"/>
      <c r="T1972" s="391"/>
      <c r="U1972" s="392"/>
      <c r="V1972" s="391"/>
      <c r="W1972" s="391"/>
      <c r="X1972" s="388"/>
      <c r="Y1972" s="391"/>
      <c r="Z1972" s="393"/>
      <c r="AA1972" s="355" t="str">
        <f t="shared" si="1"/>
        <v/>
      </c>
      <c r="AB1972" s="391"/>
      <c r="AC1972" s="394" t="str">
        <f t="shared" si="2"/>
        <v/>
      </c>
      <c r="AD1972" s="389"/>
      <c r="AE1972" s="399"/>
      <c r="AF1972" s="395"/>
      <c r="AG1972" s="396" t="str">
        <f t="shared" si="3"/>
        <v/>
      </c>
      <c r="AH1972" s="396" t="str">
        <f t="shared" si="4"/>
        <v/>
      </c>
      <c r="AI1972" s="388"/>
      <c r="AJ1972" s="388"/>
      <c r="AK1972" s="397"/>
    </row>
    <row r="1973">
      <c r="A1973" s="398"/>
      <c r="B1973" s="386"/>
      <c r="C1973" s="387" t="str">
        <f>IF(A1973="","",IFERROR(IF(VLOOKUP(A1973,'1. Inbound Leads'!A:G,7,FALSE)=0,"",VLOOKUP(A1973,'1. Inbound Leads'!A:G,7,FALSE)),""))</f>
        <v/>
      </c>
      <c r="D1973" s="387" t="str">
        <f>IF(A1973="","",IFERROR(IF(VLOOKUP(A1973,'1. Inbound Leads'!A:L,12,FALSE)=0,"",VLOOKUP(A1973,'1. Inbound Leads'!A:L,12,FALSE)),""))</f>
        <v/>
      </c>
      <c r="E1973" s="388"/>
      <c r="F1973" s="389"/>
      <c r="G1973" s="387"/>
      <c r="H1973" s="387"/>
      <c r="I1973" s="387"/>
      <c r="J1973" s="387"/>
      <c r="K1973" s="387"/>
      <c r="L1973" s="387"/>
      <c r="M1973" s="388"/>
      <c r="N1973" s="388"/>
      <c r="O1973" s="390"/>
      <c r="P1973" s="391"/>
      <c r="Q1973" s="389"/>
      <c r="R1973" s="390"/>
      <c r="S1973" s="390"/>
      <c r="T1973" s="391"/>
      <c r="U1973" s="392"/>
      <c r="V1973" s="391"/>
      <c r="W1973" s="391"/>
      <c r="X1973" s="388"/>
      <c r="Y1973" s="391"/>
      <c r="Z1973" s="393"/>
      <c r="AA1973" s="355" t="str">
        <f t="shared" si="1"/>
        <v/>
      </c>
      <c r="AB1973" s="391"/>
      <c r="AC1973" s="394" t="str">
        <f t="shared" si="2"/>
        <v/>
      </c>
      <c r="AD1973" s="389"/>
      <c r="AE1973" s="399"/>
      <c r="AF1973" s="395"/>
      <c r="AG1973" s="396" t="str">
        <f t="shared" si="3"/>
        <v/>
      </c>
      <c r="AH1973" s="396" t="str">
        <f t="shared" si="4"/>
        <v/>
      </c>
      <c r="AI1973" s="388"/>
      <c r="AJ1973" s="388"/>
      <c r="AK1973" s="397"/>
    </row>
    <row r="1974">
      <c r="A1974" s="398"/>
      <c r="B1974" s="386"/>
      <c r="C1974" s="387" t="str">
        <f>IF(A1974="","",IFERROR(IF(VLOOKUP(A1974,'1. Inbound Leads'!A:G,7,FALSE)=0,"",VLOOKUP(A1974,'1. Inbound Leads'!A:G,7,FALSE)),""))</f>
        <v/>
      </c>
      <c r="D1974" s="387" t="str">
        <f>IF(A1974="","",IFERROR(IF(VLOOKUP(A1974,'1. Inbound Leads'!A:L,12,FALSE)=0,"",VLOOKUP(A1974,'1. Inbound Leads'!A:L,12,FALSE)),""))</f>
        <v/>
      </c>
      <c r="E1974" s="388"/>
      <c r="F1974" s="389"/>
      <c r="G1974" s="387"/>
      <c r="H1974" s="387"/>
      <c r="I1974" s="387"/>
      <c r="J1974" s="387"/>
      <c r="K1974" s="387"/>
      <c r="L1974" s="387"/>
      <c r="M1974" s="388"/>
      <c r="N1974" s="388"/>
      <c r="O1974" s="390"/>
      <c r="P1974" s="391"/>
      <c r="Q1974" s="389"/>
      <c r="R1974" s="390"/>
      <c r="S1974" s="390"/>
      <c r="T1974" s="391"/>
      <c r="U1974" s="392"/>
      <c r="V1974" s="391"/>
      <c r="W1974" s="391"/>
      <c r="X1974" s="388"/>
      <c r="Y1974" s="391"/>
      <c r="Z1974" s="393"/>
      <c r="AA1974" s="355" t="str">
        <f t="shared" si="1"/>
        <v/>
      </c>
      <c r="AB1974" s="391"/>
      <c r="AC1974" s="394" t="str">
        <f t="shared" si="2"/>
        <v/>
      </c>
      <c r="AD1974" s="389"/>
      <c r="AE1974" s="399"/>
      <c r="AF1974" s="395"/>
      <c r="AG1974" s="396" t="str">
        <f t="shared" si="3"/>
        <v/>
      </c>
      <c r="AH1974" s="396" t="str">
        <f t="shared" si="4"/>
        <v/>
      </c>
      <c r="AI1974" s="388"/>
      <c r="AJ1974" s="388"/>
      <c r="AK1974" s="397"/>
    </row>
    <row r="1975">
      <c r="A1975" s="398"/>
      <c r="B1975" s="386"/>
      <c r="C1975" s="387" t="str">
        <f>IF(A1975="","",IFERROR(IF(VLOOKUP(A1975,'1. Inbound Leads'!A:G,7,FALSE)=0,"",VLOOKUP(A1975,'1. Inbound Leads'!A:G,7,FALSE)),""))</f>
        <v/>
      </c>
      <c r="D1975" s="387" t="str">
        <f>IF(A1975="","",IFERROR(IF(VLOOKUP(A1975,'1. Inbound Leads'!A:L,12,FALSE)=0,"",VLOOKUP(A1975,'1. Inbound Leads'!A:L,12,FALSE)),""))</f>
        <v/>
      </c>
      <c r="E1975" s="388"/>
      <c r="F1975" s="389"/>
      <c r="G1975" s="387"/>
      <c r="H1975" s="387"/>
      <c r="I1975" s="387"/>
      <c r="J1975" s="387"/>
      <c r="K1975" s="387"/>
      <c r="L1975" s="387"/>
      <c r="M1975" s="388"/>
      <c r="N1975" s="388"/>
      <c r="O1975" s="390"/>
      <c r="P1975" s="391"/>
      <c r="Q1975" s="389"/>
      <c r="R1975" s="390"/>
      <c r="S1975" s="390"/>
      <c r="T1975" s="391"/>
      <c r="U1975" s="392"/>
      <c r="V1975" s="391"/>
      <c r="W1975" s="391"/>
      <c r="X1975" s="388"/>
      <c r="Y1975" s="391"/>
      <c r="Z1975" s="393"/>
      <c r="AA1975" s="355" t="str">
        <f t="shared" si="1"/>
        <v/>
      </c>
      <c r="AB1975" s="391"/>
      <c r="AC1975" s="394" t="str">
        <f t="shared" si="2"/>
        <v/>
      </c>
      <c r="AD1975" s="389"/>
      <c r="AE1975" s="399"/>
      <c r="AF1975" s="395"/>
      <c r="AG1975" s="396" t="str">
        <f t="shared" si="3"/>
        <v/>
      </c>
      <c r="AH1975" s="396" t="str">
        <f t="shared" si="4"/>
        <v/>
      </c>
      <c r="AI1975" s="388"/>
      <c r="AJ1975" s="388"/>
      <c r="AK1975" s="397"/>
    </row>
    <row r="1976">
      <c r="A1976" s="398"/>
      <c r="B1976" s="386"/>
      <c r="C1976" s="387" t="str">
        <f>IF(A1976="","",IFERROR(IF(VLOOKUP(A1976,'1. Inbound Leads'!A:G,7,FALSE)=0,"",VLOOKUP(A1976,'1. Inbound Leads'!A:G,7,FALSE)),""))</f>
        <v/>
      </c>
      <c r="D1976" s="387" t="str">
        <f>IF(A1976="","",IFERROR(IF(VLOOKUP(A1976,'1. Inbound Leads'!A:L,12,FALSE)=0,"",VLOOKUP(A1976,'1. Inbound Leads'!A:L,12,FALSE)),""))</f>
        <v/>
      </c>
      <c r="E1976" s="388"/>
      <c r="F1976" s="389"/>
      <c r="G1976" s="387"/>
      <c r="H1976" s="387"/>
      <c r="I1976" s="387"/>
      <c r="J1976" s="387"/>
      <c r="K1976" s="387"/>
      <c r="L1976" s="387"/>
      <c r="M1976" s="388"/>
      <c r="N1976" s="388"/>
      <c r="O1976" s="390"/>
      <c r="P1976" s="391"/>
      <c r="Q1976" s="389"/>
      <c r="R1976" s="390"/>
      <c r="S1976" s="390"/>
      <c r="T1976" s="391"/>
      <c r="U1976" s="392"/>
      <c r="V1976" s="391"/>
      <c r="W1976" s="391"/>
      <c r="X1976" s="388"/>
      <c r="Y1976" s="391"/>
      <c r="Z1976" s="393"/>
      <c r="AA1976" s="355" t="str">
        <f t="shared" si="1"/>
        <v/>
      </c>
      <c r="AB1976" s="391"/>
      <c r="AC1976" s="394" t="str">
        <f t="shared" si="2"/>
        <v/>
      </c>
      <c r="AD1976" s="389"/>
      <c r="AE1976" s="399"/>
      <c r="AF1976" s="395"/>
      <c r="AG1976" s="396" t="str">
        <f t="shared" si="3"/>
        <v/>
      </c>
      <c r="AH1976" s="396" t="str">
        <f t="shared" si="4"/>
        <v/>
      </c>
      <c r="AI1976" s="388"/>
      <c r="AJ1976" s="388"/>
      <c r="AK1976" s="397"/>
    </row>
    <row r="1977">
      <c r="A1977" s="398"/>
      <c r="B1977" s="386"/>
      <c r="C1977" s="387" t="str">
        <f>IF(A1977="","",IFERROR(IF(VLOOKUP(A1977,'1. Inbound Leads'!A:G,7,FALSE)=0,"",VLOOKUP(A1977,'1. Inbound Leads'!A:G,7,FALSE)),""))</f>
        <v/>
      </c>
      <c r="D1977" s="387" t="str">
        <f>IF(A1977="","",IFERROR(IF(VLOOKUP(A1977,'1. Inbound Leads'!A:L,12,FALSE)=0,"",VLOOKUP(A1977,'1. Inbound Leads'!A:L,12,FALSE)),""))</f>
        <v/>
      </c>
      <c r="E1977" s="388"/>
      <c r="F1977" s="389"/>
      <c r="G1977" s="387"/>
      <c r="H1977" s="387"/>
      <c r="I1977" s="387"/>
      <c r="J1977" s="387"/>
      <c r="K1977" s="387"/>
      <c r="L1977" s="387"/>
      <c r="M1977" s="388"/>
      <c r="N1977" s="388"/>
      <c r="O1977" s="390"/>
      <c r="P1977" s="391"/>
      <c r="Q1977" s="389"/>
      <c r="R1977" s="390"/>
      <c r="S1977" s="390"/>
      <c r="T1977" s="391"/>
      <c r="U1977" s="392"/>
      <c r="V1977" s="391"/>
      <c r="W1977" s="391"/>
      <c r="X1977" s="388"/>
      <c r="Y1977" s="391"/>
      <c r="Z1977" s="393"/>
      <c r="AA1977" s="355" t="str">
        <f t="shared" si="1"/>
        <v/>
      </c>
      <c r="AB1977" s="391"/>
      <c r="AC1977" s="394" t="str">
        <f t="shared" si="2"/>
        <v/>
      </c>
      <c r="AD1977" s="389"/>
      <c r="AE1977" s="399"/>
      <c r="AF1977" s="395"/>
      <c r="AG1977" s="396" t="str">
        <f t="shared" si="3"/>
        <v/>
      </c>
      <c r="AH1977" s="396" t="str">
        <f t="shared" si="4"/>
        <v/>
      </c>
      <c r="AI1977" s="388"/>
      <c r="AJ1977" s="388"/>
      <c r="AK1977" s="397"/>
    </row>
    <row r="1978">
      <c r="A1978" s="398"/>
      <c r="B1978" s="386"/>
      <c r="C1978" s="387" t="str">
        <f>IF(A1978="","",IFERROR(IF(VLOOKUP(A1978,'1. Inbound Leads'!A:G,7,FALSE)=0,"",VLOOKUP(A1978,'1. Inbound Leads'!A:G,7,FALSE)),""))</f>
        <v/>
      </c>
      <c r="D1978" s="387" t="str">
        <f>IF(A1978="","",IFERROR(IF(VLOOKUP(A1978,'1. Inbound Leads'!A:L,12,FALSE)=0,"",VLOOKUP(A1978,'1. Inbound Leads'!A:L,12,FALSE)),""))</f>
        <v/>
      </c>
      <c r="E1978" s="388"/>
      <c r="F1978" s="389"/>
      <c r="G1978" s="387"/>
      <c r="H1978" s="387"/>
      <c r="I1978" s="387"/>
      <c r="J1978" s="387"/>
      <c r="K1978" s="387"/>
      <c r="L1978" s="387"/>
      <c r="M1978" s="388"/>
      <c r="N1978" s="388"/>
      <c r="O1978" s="390"/>
      <c r="P1978" s="391"/>
      <c r="Q1978" s="389"/>
      <c r="R1978" s="390"/>
      <c r="S1978" s="390"/>
      <c r="T1978" s="391"/>
      <c r="U1978" s="392"/>
      <c r="V1978" s="391"/>
      <c r="W1978" s="391"/>
      <c r="X1978" s="388"/>
      <c r="Y1978" s="391"/>
      <c r="Z1978" s="393"/>
      <c r="AA1978" s="355" t="str">
        <f t="shared" si="1"/>
        <v/>
      </c>
      <c r="AB1978" s="391"/>
      <c r="AC1978" s="394" t="str">
        <f t="shared" si="2"/>
        <v/>
      </c>
      <c r="AD1978" s="389"/>
      <c r="AE1978" s="399"/>
      <c r="AF1978" s="395"/>
      <c r="AG1978" s="396" t="str">
        <f t="shared" si="3"/>
        <v/>
      </c>
      <c r="AH1978" s="396" t="str">
        <f t="shared" si="4"/>
        <v/>
      </c>
      <c r="AI1978" s="388"/>
      <c r="AJ1978" s="388"/>
      <c r="AK1978" s="397"/>
    </row>
    <row r="1979">
      <c r="A1979" s="398"/>
      <c r="B1979" s="386"/>
      <c r="C1979" s="387" t="str">
        <f>IF(A1979="","",IFERROR(IF(VLOOKUP(A1979,'1. Inbound Leads'!A:G,7,FALSE)=0,"",VLOOKUP(A1979,'1. Inbound Leads'!A:G,7,FALSE)),""))</f>
        <v/>
      </c>
      <c r="D1979" s="387" t="str">
        <f>IF(A1979="","",IFERROR(IF(VLOOKUP(A1979,'1. Inbound Leads'!A:L,12,FALSE)=0,"",VLOOKUP(A1979,'1. Inbound Leads'!A:L,12,FALSE)),""))</f>
        <v/>
      </c>
      <c r="E1979" s="388"/>
      <c r="F1979" s="389"/>
      <c r="G1979" s="387"/>
      <c r="H1979" s="387"/>
      <c r="I1979" s="387"/>
      <c r="J1979" s="387"/>
      <c r="K1979" s="387"/>
      <c r="L1979" s="387"/>
      <c r="M1979" s="388"/>
      <c r="N1979" s="388"/>
      <c r="O1979" s="390"/>
      <c r="P1979" s="391"/>
      <c r="Q1979" s="389"/>
      <c r="R1979" s="390"/>
      <c r="S1979" s="390"/>
      <c r="T1979" s="391"/>
      <c r="U1979" s="392"/>
      <c r="V1979" s="391"/>
      <c r="W1979" s="391"/>
      <c r="X1979" s="388"/>
      <c r="Y1979" s="391"/>
      <c r="Z1979" s="393"/>
      <c r="AA1979" s="355" t="str">
        <f t="shared" si="1"/>
        <v/>
      </c>
      <c r="AB1979" s="391"/>
      <c r="AC1979" s="394" t="str">
        <f t="shared" si="2"/>
        <v/>
      </c>
      <c r="AD1979" s="389"/>
      <c r="AE1979" s="399"/>
      <c r="AF1979" s="395"/>
      <c r="AG1979" s="396" t="str">
        <f t="shared" si="3"/>
        <v/>
      </c>
      <c r="AH1979" s="396" t="str">
        <f t="shared" si="4"/>
        <v/>
      </c>
      <c r="AI1979" s="388"/>
      <c r="AJ1979" s="388"/>
      <c r="AK1979" s="397"/>
    </row>
    <row r="1980">
      <c r="A1980" s="398"/>
      <c r="B1980" s="386"/>
      <c r="C1980" s="387" t="str">
        <f>IF(A1980="","",IFERROR(IF(VLOOKUP(A1980,'1. Inbound Leads'!A:G,7,FALSE)=0,"",VLOOKUP(A1980,'1. Inbound Leads'!A:G,7,FALSE)),""))</f>
        <v/>
      </c>
      <c r="D1980" s="387" t="str">
        <f>IF(A1980="","",IFERROR(IF(VLOOKUP(A1980,'1. Inbound Leads'!A:L,12,FALSE)=0,"",VLOOKUP(A1980,'1. Inbound Leads'!A:L,12,FALSE)),""))</f>
        <v/>
      </c>
      <c r="E1980" s="388"/>
      <c r="F1980" s="389"/>
      <c r="G1980" s="387"/>
      <c r="H1980" s="387"/>
      <c r="I1980" s="387"/>
      <c r="J1980" s="387"/>
      <c r="K1980" s="387"/>
      <c r="L1980" s="387"/>
      <c r="M1980" s="388"/>
      <c r="N1980" s="388"/>
      <c r="O1980" s="390"/>
      <c r="P1980" s="391"/>
      <c r="Q1980" s="389"/>
      <c r="R1980" s="390"/>
      <c r="S1980" s="390"/>
      <c r="T1980" s="391"/>
      <c r="U1980" s="392"/>
      <c r="V1980" s="391"/>
      <c r="W1980" s="391"/>
      <c r="X1980" s="388"/>
      <c r="Y1980" s="391"/>
      <c r="Z1980" s="393"/>
      <c r="AA1980" s="355" t="str">
        <f t="shared" si="1"/>
        <v/>
      </c>
      <c r="AB1980" s="391"/>
      <c r="AC1980" s="394" t="str">
        <f t="shared" si="2"/>
        <v/>
      </c>
      <c r="AD1980" s="389"/>
      <c r="AE1980" s="399"/>
      <c r="AF1980" s="395"/>
      <c r="AG1980" s="396" t="str">
        <f t="shared" si="3"/>
        <v/>
      </c>
      <c r="AH1980" s="396" t="str">
        <f t="shared" si="4"/>
        <v/>
      </c>
      <c r="AI1980" s="388"/>
      <c r="AJ1980" s="388"/>
      <c r="AK1980" s="397"/>
    </row>
    <row r="1981">
      <c r="A1981" s="398"/>
      <c r="B1981" s="386"/>
      <c r="C1981" s="387" t="str">
        <f>IF(A1981="","",IFERROR(IF(VLOOKUP(A1981,'1. Inbound Leads'!A:G,7,FALSE)=0,"",VLOOKUP(A1981,'1. Inbound Leads'!A:G,7,FALSE)),""))</f>
        <v/>
      </c>
      <c r="D1981" s="387" t="str">
        <f>IF(A1981="","",IFERROR(IF(VLOOKUP(A1981,'1. Inbound Leads'!A:L,12,FALSE)=0,"",VLOOKUP(A1981,'1. Inbound Leads'!A:L,12,FALSE)),""))</f>
        <v/>
      </c>
      <c r="E1981" s="388"/>
      <c r="F1981" s="389"/>
      <c r="G1981" s="387"/>
      <c r="H1981" s="387"/>
      <c r="I1981" s="387"/>
      <c r="J1981" s="387"/>
      <c r="K1981" s="387"/>
      <c r="L1981" s="387"/>
      <c r="M1981" s="388"/>
      <c r="N1981" s="388"/>
      <c r="O1981" s="390"/>
      <c r="P1981" s="391"/>
      <c r="Q1981" s="389"/>
      <c r="R1981" s="390"/>
      <c r="S1981" s="390"/>
      <c r="T1981" s="391"/>
      <c r="U1981" s="392"/>
      <c r="V1981" s="391"/>
      <c r="W1981" s="391"/>
      <c r="X1981" s="388"/>
      <c r="Y1981" s="391"/>
      <c r="Z1981" s="393"/>
      <c r="AA1981" s="355" t="str">
        <f t="shared" si="1"/>
        <v/>
      </c>
      <c r="AB1981" s="391"/>
      <c r="AC1981" s="394" t="str">
        <f t="shared" si="2"/>
        <v/>
      </c>
      <c r="AD1981" s="389"/>
      <c r="AE1981" s="399"/>
      <c r="AF1981" s="395"/>
      <c r="AG1981" s="396" t="str">
        <f t="shared" si="3"/>
        <v/>
      </c>
      <c r="AH1981" s="396" t="str">
        <f t="shared" si="4"/>
        <v/>
      </c>
      <c r="AI1981" s="388"/>
      <c r="AJ1981" s="388"/>
      <c r="AK1981" s="397"/>
    </row>
    <row r="1982">
      <c r="A1982" s="398"/>
      <c r="B1982" s="386"/>
      <c r="C1982" s="387" t="str">
        <f>IF(A1982="","",IFERROR(IF(VLOOKUP(A1982,'1. Inbound Leads'!A:G,7,FALSE)=0,"",VLOOKUP(A1982,'1. Inbound Leads'!A:G,7,FALSE)),""))</f>
        <v/>
      </c>
      <c r="D1982" s="387" t="str">
        <f>IF(A1982="","",IFERROR(IF(VLOOKUP(A1982,'1. Inbound Leads'!A:L,12,FALSE)=0,"",VLOOKUP(A1982,'1. Inbound Leads'!A:L,12,FALSE)),""))</f>
        <v/>
      </c>
      <c r="E1982" s="388"/>
      <c r="F1982" s="389"/>
      <c r="G1982" s="387"/>
      <c r="H1982" s="387"/>
      <c r="I1982" s="387"/>
      <c r="J1982" s="387"/>
      <c r="K1982" s="387"/>
      <c r="L1982" s="387"/>
      <c r="M1982" s="388"/>
      <c r="N1982" s="388"/>
      <c r="O1982" s="390"/>
      <c r="P1982" s="391"/>
      <c r="Q1982" s="389"/>
      <c r="R1982" s="390"/>
      <c r="S1982" s="390"/>
      <c r="T1982" s="391"/>
      <c r="U1982" s="392"/>
      <c r="V1982" s="391"/>
      <c r="W1982" s="391"/>
      <c r="X1982" s="388"/>
      <c r="Y1982" s="391"/>
      <c r="Z1982" s="393"/>
      <c r="AA1982" s="355" t="str">
        <f t="shared" si="1"/>
        <v/>
      </c>
      <c r="AB1982" s="391"/>
      <c r="AC1982" s="394" t="str">
        <f t="shared" si="2"/>
        <v/>
      </c>
      <c r="AD1982" s="389"/>
      <c r="AE1982" s="399"/>
      <c r="AF1982" s="395"/>
      <c r="AG1982" s="396" t="str">
        <f t="shared" si="3"/>
        <v/>
      </c>
      <c r="AH1982" s="396" t="str">
        <f t="shared" si="4"/>
        <v/>
      </c>
      <c r="AI1982" s="388"/>
      <c r="AJ1982" s="388"/>
      <c r="AK1982" s="397"/>
    </row>
    <row r="1983">
      <c r="A1983" s="398"/>
      <c r="B1983" s="386"/>
      <c r="C1983" s="387" t="str">
        <f>IF(A1983="","",IFERROR(IF(VLOOKUP(A1983,'1. Inbound Leads'!A:G,7,FALSE)=0,"",VLOOKUP(A1983,'1. Inbound Leads'!A:G,7,FALSE)),""))</f>
        <v/>
      </c>
      <c r="D1983" s="387" t="str">
        <f>IF(A1983="","",IFERROR(IF(VLOOKUP(A1983,'1. Inbound Leads'!A:L,12,FALSE)=0,"",VLOOKUP(A1983,'1. Inbound Leads'!A:L,12,FALSE)),""))</f>
        <v/>
      </c>
      <c r="E1983" s="388"/>
      <c r="F1983" s="389"/>
      <c r="G1983" s="387"/>
      <c r="H1983" s="387"/>
      <c r="I1983" s="387"/>
      <c r="J1983" s="387"/>
      <c r="K1983" s="387"/>
      <c r="L1983" s="387"/>
      <c r="M1983" s="388"/>
      <c r="N1983" s="388"/>
      <c r="O1983" s="390"/>
      <c r="P1983" s="391"/>
      <c r="Q1983" s="389"/>
      <c r="R1983" s="390"/>
      <c r="S1983" s="390"/>
      <c r="T1983" s="391"/>
      <c r="U1983" s="392"/>
      <c r="V1983" s="391"/>
      <c r="W1983" s="391"/>
      <c r="X1983" s="388"/>
      <c r="Y1983" s="391"/>
      <c r="Z1983" s="393"/>
      <c r="AA1983" s="355" t="str">
        <f t="shared" si="1"/>
        <v/>
      </c>
      <c r="AB1983" s="391"/>
      <c r="AC1983" s="394" t="str">
        <f t="shared" si="2"/>
        <v/>
      </c>
      <c r="AD1983" s="389"/>
      <c r="AE1983" s="399"/>
      <c r="AF1983" s="395"/>
      <c r="AG1983" s="396" t="str">
        <f t="shared" si="3"/>
        <v/>
      </c>
      <c r="AH1983" s="396" t="str">
        <f t="shared" si="4"/>
        <v/>
      </c>
      <c r="AI1983" s="388"/>
      <c r="AJ1983" s="388"/>
      <c r="AK1983" s="397"/>
    </row>
    <row r="1984">
      <c r="A1984" s="398"/>
      <c r="B1984" s="386"/>
      <c r="C1984" s="387" t="str">
        <f>IF(A1984="","",IFERROR(IF(VLOOKUP(A1984,'1. Inbound Leads'!A:G,7,FALSE)=0,"",VLOOKUP(A1984,'1. Inbound Leads'!A:G,7,FALSE)),""))</f>
        <v/>
      </c>
      <c r="D1984" s="387" t="str">
        <f>IF(A1984="","",IFERROR(IF(VLOOKUP(A1984,'1. Inbound Leads'!A:L,12,FALSE)=0,"",VLOOKUP(A1984,'1. Inbound Leads'!A:L,12,FALSE)),""))</f>
        <v/>
      </c>
      <c r="E1984" s="388"/>
      <c r="F1984" s="389"/>
      <c r="G1984" s="387"/>
      <c r="H1984" s="387"/>
      <c r="I1984" s="387"/>
      <c r="J1984" s="387"/>
      <c r="K1984" s="387"/>
      <c r="L1984" s="387"/>
      <c r="M1984" s="388"/>
      <c r="N1984" s="388"/>
      <c r="O1984" s="390"/>
      <c r="P1984" s="391"/>
      <c r="Q1984" s="389"/>
      <c r="R1984" s="390"/>
      <c r="S1984" s="390"/>
      <c r="T1984" s="391"/>
      <c r="U1984" s="392"/>
      <c r="V1984" s="391"/>
      <c r="W1984" s="391"/>
      <c r="X1984" s="388"/>
      <c r="Y1984" s="391"/>
      <c r="Z1984" s="393"/>
      <c r="AA1984" s="355" t="str">
        <f t="shared" si="1"/>
        <v/>
      </c>
      <c r="AB1984" s="391"/>
      <c r="AC1984" s="394" t="str">
        <f t="shared" si="2"/>
        <v/>
      </c>
      <c r="AD1984" s="389"/>
      <c r="AE1984" s="399"/>
      <c r="AF1984" s="395"/>
      <c r="AG1984" s="396" t="str">
        <f t="shared" si="3"/>
        <v/>
      </c>
      <c r="AH1984" s="396" t="str">
        <f t="shared" si="4"/>
        <v/>
      </c>
      <c r="AI1984" s="388"/>
      <c r="AJ1984" s="388"/>
      <c r="AK1984" s="397"/>
    </row>
    <row r="1985">
      <c r="A1985" s="398"/>
      <c r="B1985" s="386"/>
      <c r="C1985" s="387" t="str">
        <f>IF(A1985="","",IFERROR(IF(VLOOKUP(A1985,'1. Inbound Leads'!A:G,7,FALSE)=0,"",VLOOKUP(A1985,'1. Inbound Leads'!A:G,7,FALSE)),""))</f>
        <v/>
      </c>
      <c r="D1985" s="387" t="str">
        <f>IF(A1985="","",IFERROR(IF(VLOOKUP(A1985,'1. Inbound Leads'!A:L,12,FALSE)=0,"",VLOOKUP(A1985,'1. Inbound Leads'!A:L,12,FALSE)),""))</f>
        <v/>
      </c>
      <c r="E1985" s="388"/>
      <c r="F1985" s="389"/>
      <c r="G1985" s="387"/>
      <c r="H1985" s="387"/>
      <c r="I1985" s="387"/>
      <c r="J1985" s="387"/>
      <c r="K1985" s="387"/>
      <c r="L1985" s="387"/>
      <c r="M1985" s="388"/>
      <c r="N1985" s="388"/>
      <c r="O1985" s="390"/>
      <c r="P1985" s="391"/>
      <c r="Q1985" s="389"/>
      <c r="R1985" s="390"/>
      <c r="S1985" s="390"/>
      <c r="T1985" s="391"/>
      <c r="U1985" s="392"/>
      <c r="V1985" s="391"/>
      <c r="W1985" s="391"/>
      <c r="X1985" s="388"/>
      <c r="Y1985" s="391"/>
      <c r="Z1985" s="393"/>
      <c r="AA1985" s="355" t="str">
        <f t="shared" si="1"/>
        <v/>
      </c>
      <c r="AB1985" s="391"/>
      <c r="AC1985" s="394" t="str">
        <f t="shared" si="2"/>
        <v/>
      </c>
      <c r="AD1985" s="389"/>
      <c r="AE1985" s="399"/>
      <c r="AF1985" s="395"/>
      <c r="AG1985" s="396" t="str">
        <f t="shared" si="3"/>
        <v/>
      </c>
      <c r="AH1985" s="396" t="str">
        <f t="shared" si="4"/>
        <v/>
      </c>
      <c r="AI1985" s="388"/>
      <c r="AJ1985" s="388"/>
      <c r="AK1985" s="397"/>
    </row>
    <row r="1986">
      <c r="A1986" s="398"/>
      <c r="B1986" s="386"/>
      <c r="C1986" s="387" t="str">
        <f>IF(A1986="","",IFERROR(IF(VLOOKUP(A1986,'1. Inbound Leads'!A:G,7,FALSE)=0,"",VLOOKUP(A1986,'1. Inbound Leads'!A:G,7,FALSE)),""))</f>
        <v/>
      </c>
      <c r="D1986" s="387" t="str">
        <f>IF(A1986="","",IFERROR(IF(VLOOKUP(A1986,'1. Inbound Leads'!A:L,12,FALSE)=0,"",VLOOKUP(A1986,'1. Inbound Leads'!A:L,12,FALSE)),""))</f>
        <v/>
      </c>
      <c r="E1986" s="388"/>
      <c r="F1986" s="389"/>
      <c r="G1986" s="387"/>
      <c r="H1986" s="387"/>
      <c r="I1986" s="387"/>
      <c r="J1986" s="387"/>
      <c r="K1986" s="387"/>
      <c r="L1986" s="387"/>
      <c r="M1986" s="388"/>
      <c r="N1986" s="388"/>
      <c r="O1986" s="390"/>
      <c r="P1986" s="391"/>
      <c r="Q1986" s="389"/>
      <c r="R1986" s="390"/>
      <c r="S1986" s="390"/>
      <c r="T1986" s="391"/>
      <c r="U1986" s="392"/>
      <c r="V1986" s="391"/>
      <c r="W1986" s="391"/>
      <c r="X1986" s="388"/>
      <c r="Y1986" s="391"/>
      <c r="Z1986" s="393"/>
      <c r="AA1986" s="355" t="str">
        <f t="shared" si="1"/>
        <v/>
      </c>
      <c r="AB1986" s="391"/>
      <c r="AC1986" s="394" t="str">
        <f t="shared" si="2"/>
        <v/>
      </c>
      <c r="AD1986" s="389"/>
      <c r="AE1986" s="399"/>
      <c r="AF1986" s="395"/>
      <c r="AG1986" s="396" t="str">
        <f t="shared" si="3"/>
        <v/>
      </c>
      <c r="AH1986" s="396" t="str">
        <f t="shared" si="4"/>
        <v/>
      </c>
      <c r="AI1986" s="388"/>
      <c r="AJ1986" s="388"/>
      <c r="AK1986" s="397"/>
    </row>
    <row r="1987">
      <c r="A1987" s="398"/>
      <c r="B1987" s="386"/>
      <c r="C1987" s="387" t="str">
        <f>IF(A1987="","",IFERROR(IF(VLOOKUP(A1987,'1. Inbound Leads'!A:G,7,FALSE)=0,"",VLOOKUP(A1987,'1. Inbound Leads'!A:G,7,FALSE)),""))</f>
        <v/>
      </c>
      <c r="D1987" s="387" t="str">
        <f>IF(A1987="","",IFERROR(IF(VLOOKUP(A1987,'1. Inbound Leads'!A:L,12,FALSE)=0,"",VLOOKUP(A1987,'1. Inbound Leads'!A:L,12,FALSE)),""))</f>
        <v/>
      </c>
      <c r="E1987" s="388"/>
      <c r="F1987" s="389"/>
      <c r="G1987" s="387"/>
      <c r="H1987" s="387"/>
      <c r="I1987" s="387"/>
      <c r="J1987" s="387"/>
      <c r="K1987" s="387"/>
      <c r="L1987" s="387"/>
      <c r="M1987" s="388"/>
      <c r="N1987" s="388"/>
      <c r="O1987" s="390"/>
      <c r="P1987" s="391"/>
      <c r="Q1987" s="389"/>
      <c r="R1987" s="390"/>
      <c r="S1987" s="390"/>
      <c r="T1987" s="391"/>
      <c r="U1987" s="392"/>
      <c r="V1987" s="391"/>
      <c r="W1987" s="391"/>
      <c r="X1987" s="388"/>
      <c r="Y1987" s="391"/>
      <c r="Z1987" s="393"/>
      <c r="AA1987" s="355" t="str">
        <f t="shared" si="1"/>
        <v/>
      </c>
      <c r="AB1987" s="391"/>
      <c r="AC1987" s="394" t="str">
        <f t="shared" si="2"/>
        <v/>
      </c>
      <c r="AD1987" s="389"/>
      <c r="AE1987" s="399"/>
      <c r="AF1987" s="395"/>
      <c r="AG1987" s="396" t="str">
        <f t="shared" si="3"/>
        <v/>
      </c>
      <c r="AH1987" s="396" t="str">
        <f t="shared" si="4"/>
        <v/>
      </c>
      <c r="AI1987" s="388"/>
      <c r="AJ1987" s="388"/>
      <c r="AK1987" s="397"/>
    </row>
    <row r="1988">
      <c r="A1988" s="398"/>
      <c r="B1988" s="386"/>
      <c r="C1988" s="387" t="str">
        <f>IF(A1988="","",IFERROR(IF(VLOOKUP(A1988,'1. Inbound Leads'!A:G,7,FALSE)=0,"",VLOOKUP(A1988,'1. Inbound Leads'!A:G,7,FALSE)),""))</f>
        <v/>
      </c>
      <c r="D1988" s="387" t="str">
        <f>IF(A1988="","",IFERROR(IF(VLOOKUP(A1988,'1. Inbound Leads'!A:L,12,FALSE)=0,"",VLOOKUP(A1988,'1. Inbound Leads'!A:L,12,FALSE)),""))</f>
        <v/>
      </c>
      <c r="E1988" s="388"/>
      <c r="F1988" s="389"/>
      <c r="G1988" s="387"/>
      <c r="H1988" s="387"/>
      <c r="I1988" s="387"/>
      <c r="J1988" s="387"/>
      <c r="K1988" s="387"/>
      <c r="L1988" s="387"/>
      <c r="M1988" s="388"/>
      <c r="N1988" s="388"/>
      <c r="O1988" s="390"/>
      <c r="P1988" s="391"/>
      <c r="Q1988" s="389"/>
      <c r="R1988" s="390"/>
      <c r="S1988" s="390"/>
      <c r="T1988" s="391"/>
      <c r="U1988" s="392"/>
      <c r="V1988" s="391"/>
      <c r="W1988" s="391"/>
      <c r="X1988" s="388"/>
      <c r="Y1988" s="391"/>
      <c r="Z1988" s="393"/>
      <c r="AA1988" s="355" t="str">
        <f t="shared" si="1"/>
        <v/>
      </c>
      <c r="AB1988" s="391"/>
      <c r="AC1988" s="394" t="str">
        <f t="shared" si="2"/>
        <v/>
      </c>
      <c r="AD1988" s="389"/>
      <c r="AE1988" s="399"/>
      <c r="AF1988" s="395"/>
      <c r="AG1988" s="396" t="str">
        <f t="shared" si="3"/>
        <v/>
      </c>
      <c r="AH1988" s="396" t="str">
        <f t="shared" si="4"/>
        <v/>
      </c>
      <c r="AI1988" s="388"/>
      <c r="AJ1988" s="388"/>
      <c r="AK1988" s="397"/>
    </row>
    <row r="1989">
      <c r="A1989" s="398"/>
      <c r="B1989" s="386"/>
      <c r="C1989" s="387" t="str">
        <f>IF(A1989="","",IFERROR(IF(VLOOKUP(A1989,'1. Inbound Leads'!A:G,7,FALSE)=0,"",VLOOKUP(A1989,'1. Inbound Leads'!A:G,7,FALSE)),""))</f>
        <v/>
      </c>
      <c r="D1989" s="387" t="str">
        <f>IF(A1989="","",IFERROR(IF(VLOOKUP(A1989,'1. Inbound Leads'!A:L,12,FALSE)=0,"",VLOOKUP(A1989,'1. Inbound Leads'!A:L,12,FALSE)),""))</f>
        <v/>
      </c>
      <c r="E1989" s="388"/>
      <c r="F1989" s="389"/>
      <c r="G1989" s="387"/>
      <c r="H1989" s="387"/>
      <c r="I1989" s="387"/>
      <c r="J1989" s="387"/>
      <c r="K1989" s="387"/>
      <c r="L1989" s="387"/>
      <c r="M1989" s="388"/>
      <c r="N1989" s="388"/>
      <c r="O1989" s="390"/>
      <c r="P1989" s="391"/>
      <c r="Q1989" s="389"/>
      <c r="R1989" s="390"/>
      <c r="S1989" s="390"/>
      <c r="T1989" s="391"/>
      <c r="U1989" s="392"/>
      <c r="V1989" s="391"/>
      <c r="W1989" s="391"/>
      <c r="X1989" s="388"/>
      <c r="Y1989" s="391"/>
      <c r="Z1989" s="393"/>
      <c r="AA1989" s="355" t="str">
        <f t="shared" si="1"/>
        <v/>
      </c>
      <c r="AB1989" s="391"/>
      <c r="AC1989" s="394" t="str">
        <f t="shared" si="2"/>
        <v/>
      </c>
      <c r="AD1989" s="389"/>
      <c r="AE1989" s="399"/>
      <c r="AF1989" s="395"/>
      <c r="AG1989" s="396" t="str">
        <f t="shared" si="3"/>
        <v/>
      </c>
      <c r="AH1989" s="396" t="str">
        <f t="shared" si="4"/>
        <v/>
      </c>
      <c r="AI1989" s="388"/>
      <c r="AJ1989" s="388"/>
      <c r="AK1989" s="397"/>
    </row>
    <row r="1990">
      <c r="A1990" s="398"/>
      <c r="B1990" s="386"/>
      <c r="C1990" s="387" t="str">
        <f>IF(A1990="","",IFERROR(IF(VLOOKUP(A1990,'1. Inbound Leads'!A:G,7,FALSE)=0,"",VLOOKUP(A1990,'1. Inbound Leads'!A:G,7,FALSE)),""))</f>
        <v/>
      </c>
      <c r="D1990" s="387" t="str">
        <f>IF(A1990="","",IFERROR(IF(VLOOKUP(A1990,'1. Inbound Leads'!A:L,12,FALSE)=0,"",VLOOKUP(A1990,'1. Inbound Leads'!A:L,12,FALSE)),""))</f>
        <v/>
      </c>
      <c r="E1990" s="388"/>
      <c r="F1990" s="389"/>
      <c r="G1990" s="387"/>
      <c r="H1990" s="387"/>
      <c r="I1990" s="387"/>
      <c r="J1990" s="387"/>
      <c r="K1990" s="387"/>
      <c r="L1990" s="387"/>
      <c r="M1990" s="388"/>
      <c r="N1990" s="388"/>
      <c r="O1990" s="390"/>
      <c r="P1990" s="391"/>
      <c r="Q1990" s="389"/>
      <c r="R1990" s="390"/>
      <c r="S1990" s="390"/>
      <c r="T1990" s="391"/>
      <c r="U1990" s="392"/>
      <c r="V1990" s="391"/>
      <c r="W1990" s="391"/>
      <c r="X1990" s="388"/>
      <c r="Y1990" s="391"/>
      <c r="Z1990" s="393"/>
      <c r="AA1990" s="355" t="str">
        <f t="shared" si="1"/>
        <v/>
      </c>
      <c r="AB1990" s="391"/>
      <c r="AC1990" s="394" t="str">
        <f t="shared" si="2"/>
        <v/>
      </c>
      <c r="AD1990" s="389"/>
      <c r="AE1990" s="399"/>
      <c r="AF1990" s="395"/>
      <c r="AG1990" s="396" t="str">
        <f t="shared" si="3"/>
        <v/>
      </c>
      <c r="AH1990" s="396" t="str">
        <f t="shared" si="4"/>
        <v/>
      </c>
      <c r="AI1990" s="388"/>
      <c r="AJ1990" s="388"/>
      <c r="AK1990" s="397"/>
    </row>
    <row r="1991">
      <c r="A1991" s="398"/>
      <c r="B1991" s="386"/>
      <c r="C1991" s="387" t="str">
        <f>IF(A1991="","",IFERROR(IF(VLOOKUP(A1991,'1. Inbound Leads'!A:G,7,FALSE)=0,"",VLOOKUP(A1991,'1. Inbound Leads'!A:G,7,FALSE)),""))</f>
        <v/>
      </c>
      <c r="D1991" s="387" t="str">
        <f>IF(A1991="","",IFERROR(IF(VLOOKUP(A1991,'1. Inbound Leads'!A:L,12,FALSE)=0,"",VLOOKUP(A1991,'1. Inbound Leads'!A:L,12,FALSE)),""))</f>
        <v/>
      </c>
      <c r="E1991" s="388"/>
      <c r="F1991" s="389"/>
      <c r="G1991" s="387"/>
      <c r="H1991" s="387"/>
      <c r="I1991" s="387"/>
      <c r="J1991" s="387"/>
      <c r="K1991" s="387"/>
      <c r="L1991" s="387"/>
      <c r="M1991" s="388"/>
      <c r="N1991" s="388"/>
      <c r="O1991" s="390"/>
      <c r="P1991" s="391"/>
      <c r="Q1991" s="389"/>
      <c r="R1991" s="390"/>
      <c r="S1991" s="390"/>
      <c r="T1991" s="391"/>
      <c r="U1991" s="392"/>
      <c r="V1991" s="391"/>
      <c r="W1991" s="391"/>
      <c r="X1991" s="388"/>
      <c r="Y1991" s="391"/>
      <c r="Z1991" s="393"/>
      <c r="AA1991" s="355" t="str">
        <f t="shared" si="1"/>
        <v/>
      </c>
      <c r="AB1991" s="391"/>
      <c r="AC1991" s="394" t="str">
        <f t="shared" si="2"/>
        <v/>
      </c>
      <c r="AD1991" s="389"/>
      <c r="AE1991" s="399"/>
      <c r="AF1991" s="395"/>
      <c r="AG1991" s="396" t="str">
        <f t="shared" si="3"/>
        <v/>
      </c>
      <c r="AH1991" s="396" t="str">
        <f t="shared" si="4"/>
        <v/>
      </c>
      <c r="AI1991" s="388"/>
      <c r="AJ1991" s="388"/>
      <c r="AK1991" s="397"/>
    </row>
    <row r="1992">
      <c r="A1992" s="398"/>
      <c r="B1992" s="386"/>
      <c r="C1992" s="387" t="str">
        <f>IF(A1992="","",IFERROR(IF(VLOOKUP(A1992,'1. Inbound Leads'!A:G,7,FALSE)=0,"",VLOOKUP(A1992,'1. Inbound Leads'!A:G,7,FALSE)),""))</f>
        <v/>
      </c>
      <c r="D1992" s="387" t="str">
        <f>IF(A1992="","",IFERROR(IF(VLOOKUP(A1992,'1. Inbound Leads'!A:L,12,FALSE)=0,"",VLOOKUP(A1992,'1. Inbound Leads'!A:L,12,FALSE)),""))</f>
        <v/>
      </c>
      <c r="E1992" s="388"/>
      <c r="F1992" s="389"/>
      <c r="G1992" s="387"/>
      <c r="H1992" s="387"/>
      <c r="I1992" s="387"/>
      <c r="J1992" s="387"/>
      <c r="K1992" s="387"/>
      <c r="L1992" s="387"/>
      <c r="M1992" s="388"/>
      <c r="N1992" s="388"/>
      <c r="O1992" s="390"/>
      <c r="P1992" s="391"/>
      <c r="Q1992" s="389"/>
      <c r="R1992" s="390"/>
      <c r="S1992" s="390"/>
      <c r="T1992" s="391"/>
      <c r="U1992" s="392"/>
      <c r="V1992" s="391"/>
      <c r="W1992" s="391"/>
      <c r="X1992" s="388"/>
      <c r="Y1992" s="391"/>
      <c r="Z1992" s="393"/>
      <c r="AA1992" s="355" t="str">
        <f t="shared" si="1"/>
        <v/>
      </c>
      <c r="AB1992" s="391"/>
      <c r="AC1992" s="394" t="str">
        <f t="shared" si="2"/>
        <v/>
      </c>
      <c r="AD1992" s="389"/>
      <c r="AE1992" s="399"/>
      <c r="AF1992" s="395"/>
      <c r="AG1992" s="396" t="str">
        <f t="shared" si="3"/>
        <v/>
      </c>
      <c r="AH1992" s="396" t="str">
        <f t="shared" si="4"/>
        <v/>
      </c>
      <c r="AI1992" s="388"/>
      <c r="AJ1992" s="388"/>
      <c r="AK1992" s="397"/>
    </row>
    <row r="1993">
      <c r="A1993" s="398"/>
      <c r="B1993" s="386"/>
      <c r="C1993" s="387" t="str">
        <f>IF(A1993="","",IFERROR(IF(VLOOKUP(A1993,'1. Inbound Leads'!A:G,7,FALSE)=0,"",VLOOKUP(A1993,'1. Inbound Leads'!A:G,7,FALSE)),""))</f>
        <v/>
      </c>
      <c r="D1993" s="387" t="str">
        <f>IF(A1993="","",IFERROR(IF(VLOOKUP(A1993,'1. Inbound Leads'!A:L,12,FALSE)=0,"",VLOOKUP(A1993,'1. Inbound Leads'!A:L,12,FALSE)),""))</f>
        <v/>
      </c>
      <c r="E1993" s="388"/>
      <c r="F1993" s="389"/>
      <c r="G1993" s="387"/>
      <c r="H1993" s="387"/>
      <c r="I1993" s="387"/>
      <c r="J1993" s="387"/>
      <c r="K1993" s="387"/>
      <c r="L1993" s="387"/>
      <c r="M1993" s="388"/>
      <c r="N1993" s="388"/>
      <c r="O1993" s="390"/>
      <c r="P1993" s="391"/>
      <c r="Q1993" s="389"/>
      <c r="R1993" s="390"/>
      <c r="S1993" s="390"/>
      <c r="T1993" s="391"/>
      <c r="U1993" s="392"/>
      <c r="V1993" s="391"/>
      <c r="W1993" s="391"/>
      <c r="X1993" s="388"/>
      <c r="Y1993" s="391"/>
      <c r="Z1993" s="393"/>
      <c r="AA1993" s="355" t="str">
        <f t="shared" si="1"/>
        <v/>
      </c>
      <c r="AB1993" s="391"/>
      <c r="AC1993" s="394" t="str">
        <f t="shared" si="2"/>
        <v/>
      </c>
      <c r="AD1993" s="389"/>
      <c r="AE1993" s="399"/>
      <c r="AF1993" s="395"/>
      <c r="AG1993" s="396" t="str">
        <f t="shared" si="3"/>
        <v/>
      </c>
      <c r="AH1993" s="396" t="str">
        <f t="shared" si="4"/>
        <v/>
      </c>
      <c r="AI1993" s="388"/>
      <c r="AJ1993" s="388"/>
      <c r="AK1993" s="397"/>
    </row>
    <row r="1994">
      <c r="A1994" s="398"/>
      <c r="B1994" s="386"/>
      <c r="C1994" s="387" t="str">
        <f>IF(A1994="","",IFERROR(IF(VLOOKUP(A1994,'1. Inbound Leads'!A:G,7,FALSE)=0,"",VLOOKUP(A1994,'1. Inbound Leads'!A:G,7,FALSE)),""))</f>
        <v/>
      </c>
      <c r="D1994" s="387" t="str">
        <f>IF(A1994="","",IFERROR(IF(VLOOKUP(A1994,'1. Inbound Leads'!A:L,12,FALSE)=0,"",VLOOKUP(A1994,'1. Inbound Leads'!A:L,12,FALSE)),""))</f>
        <v/>
      </c>
      <c r="E1994" s="388"/>
      <c r="F1994" s="389"/>
      <c r="G1994" s="387"/>
      <c r="H1994" s="387"/>
      <c r="I1994" s="387"/>
      <c r="J1994" s="387"/>
      <c r="K1994" s="387"/>
      <c r="L1994" s="387"/>
      <c r="M1994" s="388"/>
      <c r="N1994" s="388"/>
      <c r="O1994" s="390"/>
      <c r="P1994" s="391"/>
      <c r="Q1994" s="389"/>
      <c r="R1994" s="390"/>
      <c r="S1994" s="390"/>
      <c r="T1994" s="391"/>
      <c r="U1994" s="392"/>
      <c r="V1994" s="391"/>
      <c r="W1994" s="391"/>
      <c r="X1994" s="388"/>
      <c r="Y1994" s="391"/>
      <c r="Z1994" s="393"/>
      <c r="AA1994" s="355" t="str">
        <f t="shared" si="1"/>
        <v/>
      </c>
      <c r="AB1994" s="391"/>
      <c r="AC1994" s="394" t="str">
        <f t="shared" si="2"/>
        <v/>
      </c>
      <c r="AD1994" s="389"/>
      <c r="AE1994" s="399"/>
      <c r="AF1994" s="395"/>
      <c r="AG1994" s="396" t="str">
        <f t="shared" si="3"/>
        <v/>
      </c>
      <c r="AH1994" s="396" t="str">
        <f t="shared" si="4"/>
        <v/>
      </c>
      <c r="AI1994" s="388"/>
      <c r="AJ1994" s="388"/>
      <c r="AK1994" s="397"/>
    </row>
    <row r="1995">
      <c r="A1995" s="398"/>
      <c r="B1995" s="386"/>
      <c r="C1995" s="387" t="str">
        <f>IF(A1995="","",IFERROR(IF(VLOOKUP(A1995,'1. Inbound Leads'!A:G,7,FALSE)=0,"",VLOOKUP(A1995,'1. Inbound Leads'!A:G,7,FALSE)),""))</f>
        <v/>
      </c>
      <c r="D1995" s="387" t="str">
        <f>IF(A1995="","",IFERROR(IF(VLOOKUP(A1995,'1. Inbound Leads'!A:L,12,FALSE)=0,"",VLOOKUP(A1995,'1. Inbound Leads'!A:L,12,FALSE)),""))</f>
        <v/>
      </c>
      <c r="E1995" s="388"/>
      <c r="F1995" s="389"/>
      <c r="G1995" s="387"/>
      <c r="H1995" s="387"/>
      <c r="I1995" s="387"/>
      <c r="J1995" s="387"/>
      <c r="K1995" s="387"/>
      <c r="L1995" s="387"/>
      <c r="M1995" s="388"/>
      <c r="N1995" s="388"/>
      <c r="O1995" s="390"/>
      <c r="P1995" s="391"/>
      <c r="Q1995" s="389"/>
      <c r="R1995" s="390"/>
      <c r="S1995" s="390"/>
      <c r="T1995" s="391"/>
      <c r="U1995" s="392"/>
      <c r="V1995" s="391"/>
      <c r="W1995" s="391"/>
      <c r="X1995" s="388"/>
      <c r="Y1995" s="391"/>
      <c r="Z1995" s="393"/>
      <c r="AA1995" s="355" t="str">
        <f t="shared" si="1"/>
        <v/>
      </c>
      <c r="AB1995" s="391"/>
      <c r="AC1995" s="394" t="str">
        <f t="shared" si="2"/>
        <v/>
      </c>
      <c r="AD1995" s="389"/>
      <c r="AE1995" s="399"/>
      <c r="AF1995" s="395"/>
      <c r="AG1995" s="396" t="str">
        <f t="shared" si="3"/>
        <v/>
      </c>
      <c r="AH1995" s="396" t="str">
        <f t="shared" si="4"/>
        <v/>
      </c>
      <c r="AI1995" s="388"/>
      <c r="AJ1995" s="388"/>
      <c r="AK1995" s="397"/>
    </row>
    <row r="1996">
      <c r="A1996" s="400"/>
      <c r="B1996" s="401"/>
      <c r="C1996" s="387" t="str">
        <f>IF(A1996="","",IFERROR(IF(VLOOKUP(A1996,'1. Inbound Leads'!A:G,7,FALSE)=0,"",VLOOKUP(A1996,'1. Inbound Leads'!A:G,7,FALSE)),""))</f>
        <v/>
      </c>
      <c r="D1996" s="387" t="str">
        <f>IF(A1996="","",IFERROR(IF(VLOOKUP(A1996,'1. Inbound Leads'!A:L,12,FALSE)=0,"",VLOOKUP(A1996,'1. Inbound Leads'!A:L,12,FALSE)),""))</f>
        <v/>
      </c>
      <c r="E1996" s="402"/>
      <c r="F1996" s="403"/>
      <c r="G1996" s="404"/>
      <c r="H1996" s="404"/>
      <c r="I1996" s="404"/>
      <c r="J1996" s="404"/>
      <c r="K1996" s="404"/>
      <c r="L1996" s="404"/>
      <c r="M1996" s="402"/>
      <c r="N1996" s="402"/>
      <c r="O1996" s="405"/>
      <c r="P1996" s="406"/>
      <c r="Q1996" s="403"/>
      <c r="R1996" s="405"/>
      <c r="S1996" s="405"/>
      <c r="T1996" s="406"/>
      <c r="U1996" s="407"/>
      <c r="V1996" s="406"/>
      <c r="W1996" s="406"/>
      <c r="X1996" s="402"/>
      <c r="Y1996" s="406"/>
      <c r="Z1996" s="393"/>
      <c r="AA1996" s="355" t="str">
        <f t="shared" si="1"/>
        <v/>
      </c>
      <c r="AB1996" s="406"/>
      <c r="AC1996" s="394" t="str">
        <f t="shared" si="2"/>
        <v/>
      </c>
      <c r="AD1996" s="403"/>
      <c r="AE1996" s="408"/>
      <c r="AF1996" s="409"/>
      <c r="AG1996" s="410" t="str">
        <f t="shared" si="3"/>
        <v/>
      </c>
      <c r="AH1996" s="410" t="str">
        <f t="shared" si="4"/>
        <v/>
      </c>
      <c r="AI1996" s="402"/>
      <c r="AJ1996" s="402"/>
      <c r="AK1996" s="411"/>
    </row>
    <row r="1997">
      <c r="O1997" s="27"/>
      <c r="R1997" s="27"/>
      <c r="S1997" s="27"/>
      <c r="U1997" s="27"/>
      <c r="V1997" s="27"/>
      <c r="AA1997" s="355" t="str">
        <f t="shared" si="1"/>
        <v/>
      </c>
    </row>
    <row r="1998">
      <c r="O1998" s="27"/>
      <c r="R1998" s="27"/>
      <c r="S1998" s="27"/>
      <c r="U1998" s="27"/>
      <c r="V1998" s="27"/>
      <c r="AA1998" s="355" t="str">
        <f t="shared" si="1"/>
        <v/>
      </c>
    </row>
    <row r="1999">
      <c r="O1999" s="27"/>
      <c r="R1999" s="27"/>
      <c r="S1999" s="27"/>
      <c r="U1999" s="27"/>
      <c r="V1999" s="27"/>
      <c r="AA1999" s="355" t="str">
        <f t="shared" si="1"/>
        <v/>
      </c>
    </row>
    <row r="2000">
      <c r="O2000" s="27"/>
      <c r="R2000" s="27"/>
      <c r="S2000" s="27"/>
      <c r="U2000" s="27"/>
      <c r="V2000" s="27"/>
      <c r="AA2000" s="355" t="str">
        <f t="shared" si="1"/>
        <v/>
      </c>
    </row>
  </sheetData>
  <autoFilter ref="$A$4:$AA$183"/>
  <mergeCells count="7">
    <mergeCell ref="A1:AK1"/>
    <mergeCell ref="A2:AK2"/>
    <mergeCell ref="A3:D3"/>
    <mergeCell ref="E3:Q3"/>
    <mergeCell ref="R3:X3"/>
    <mergeCell ref="Y3:AG3"/>
    <mergeCell ref="AH3:AK3"/>
  </mergeCells>
  <conditionalFormatting sqref="Y5 Y7:Y183">
    <cfRule type="cellIs" dxfId="1" priority="1" operator="equal">
      <formula>"Won — In Production"</formula>
    </cfRule>
  </conditionalFormatting>
  <conditionalFormatting sqref="Y5 Y7:Y183">
    <cfRule type="cellIs" dxfId="4" priority="2" operator="equal">
      <formula>"Lost"</formula>
    </cfRule>
  </conditionalFormatting>
  <conditionalFormatting sqref="Y5 Y7:Y183">
    <cfRule type="cellIs" dxfId="7" priority="3" operator="equal">
      <formula>"Pilot Approved"</formula>
    </cfRule>
  </conditionalFormatting>
  <conditionalFormatting sqref="Z5">
    <cfRule type="cellIs" dxfId="4" priority="4" operator="greaterThan">
      <formula>30</formula>
    </cfRule>
  </conditionalFormatting>
  <conditionalFormatting sqref="Z5">
    <cfRule type="cellIs" dxfId="8" priority="5" operator="between">
      <formula>15</formula>
      <formula>30</formula>
    </cfRule>
  </conditionalFormatting>
  <dataValidations>
    <dataValidation type="list" allowBlank="1" showErrorMessage="1" sqref="H5:H1996">
      <formula1>"Image,Video,Text/NLP,Audio/Speech,LiDAR/3D,Document/OCR,Tabular Data,Mixed,Other"</formula1>
    </dataValidation>
    <dataValidation type="list" allowBlank="1" showErrorMessage="1" sqref="P6:P1996">
      <formula1>"Passed,Failed,In Progress,Cancelled,N/A"</formula1>
    </dataValidation>
    <dataValidation type="decimal" allowBlank="1" showErrorMessage="1" sqref="U6:U2000">
      <formula1>0.0</formula1>
      <formula2>1.0</formula2>
    </dataValidation>
    <dataValidation type="decimal" operator="greaterThanOrEqual" allowBlank="1" showErrorMessage="1" sqref="O6:O2000 R6:S2000">
      <formula1>0.0</formula1>
    </dataValidation>
    <dataValidation type="list" allowBlank="1" showErrorMessage="1" sqref="Y6:Y1996">
      <formula1>"Discovery,PoC,Scoping,Negotiation,Won — In Production,Lost,On Hold"</formula1>
    </dataValidation>
    <dataValidation type="list" allowBlank="1" showErrorMessage="1" sqref="D5">
      <formula1>"Akhil,Seyram,Darius,Michael,Olivia,Freddie,Elton,Other"</formula1>
    </dataValidation>
    <dataValidation type="list" allowBlank="1" showErrorMessage="1" sqref="Q5">
      <formula1>"Not Started,Drafting,Sent to Client,Under Review,Signed,Stalled"</formula1>
    </dataValidation>
    <dataValidation type="list" allowBlank="1" showErrorMessage="1" sqref="AE5">
      <formula1>"Quality — Passed,Pricing — Too High,Pricing — Competitive,Competitor Won,Client Budget Cut,Client Timeline Shifted,No Response / Ghosted,Internal Capacity,Other"</formula1>
    </dataValidation>
    <dataValidation type="decimal" allowBlank="1" showErrorMessage="1" sqref="Z6:Z1996">
      <formula1>0.0</formula1>
      <formula2>100.0</formula2>
    </dataValidation>
    <dataValidation type="date" allowBlank="1" showErrorMessage="1" sqref="M6:N77 N78 E6:E1996 M79:N1996 X6:X1996 AG6:AJ1996">
      <formula1>43831.0</formula1>
      <formula2>47848.0</formula2>
    </dataValidation>
    <dataValidation type="list" allowBlank="1" showErrorMessage="1" sqref="N5 P5">
      <formula1>"Hourly Rate,Per-Unit (per image/frame),Fixed Price,Retainer (monthly),T&amp;M with Cap"</formula1>
    </dataValidation>
    <dataValidation type="list" allowBlank="1" showErrorMessage="1" sqref="S5">
      <formula1>"Yes,No,TBD"</formula1>
    </dataValidation>
    <dataValidation type="list" allowBlank="1" showErrorMessage="1" sqref="G5">
      <formula1>"Data Annotation,Data Collection,AI Consulting,GenAI / LLM Eval,Medical Annotation,AyaSpeech,Agentic AI,Other"</formula1>
    </dataValidation>
    <dataValidation type="list" allowBlank="1" showErrorMessage="1" sqref="W6:W1996">
      <formula1>"Draft,Sent,Signed,Negotiating,N/A"</formula1>
    </dataValidation>
    <dataValidation type="list" allowBlank="1" showErrorMessage="1" sqref="AB6:AB1996">
      <formula1>"One-off Project,Recurring,Retainer,Framework"</formula1>
    </dataValidation>
    <dataValidation type="list" allowBlank="1" showErrorMessage="1" sqref="G6:G1996">
      <formula1>"Medical AI Annotation,GenAI Annotation,Data Annotation,CV Annotation,LiDAR Annotation,Data Collection,Speech Solutions,Grow Solutions,Agentic AI Solutions,Other Solutions"</formula1>
    </dataValidation>
    <dataValidation type="list" allowBlank="1" showErrorMessage="1" sqref="T6:T1996">
      <formula1>"Hourly,Per-unit,Fixed,Milestone-based"</formula1>
    </dataValidation>
    <dataValidation type="list" allowBlank="1" showErrorMessage="1" sqref="Y5">
      <formula1>"Scoping,PoC In Progress,PoC Complete,Pilot Approved,SOW Negotiation,Won — In Production,Lost,On Hold"</formula1>
    </dataValidation>
    <dataValidation type="list" allowBlank="1" showErrorMessage="1" sqref="V6:V2000">
      <formula1>"Yes,No,Pending"</formula1>
    </dataValidation>
    <dataValidation type="list" allowBlank="1" showErrorMessage="1" sqref="W5">
      <formula1>"Passed,Failed — Quality,Failed — Speed,Failed — Pricing,Pending Review,N/A"</formula1>
    </dataValidation>
    <dataValidation type="list" allowBlank="1" showErrorMessage="1" sqref="AK6:AK1996">
      <formula1>"Superior Product,Price,Relationship,Speed,Lost to Competitor,Budget Cut,No Decision,Other"</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20.86"/>
  </cols>
  <sheetData>
    <row r="1">
      <c r="A1" s="412" t="s">
        <v>2156</v>
      </c>
      <c r="B1" s="413"/>
      <c r="C1" s="413"/>
      <c r="D1" s="413"/>
      <c r="E1" s="413"/>
      <c r="F1" s="413"/>
      <c r="G1" s="413"/>
      <c r="H1" s="413"/>
      <c r="I1" s="413"/>
      <c r="J1" s="413"/>
      <c r="K1" s="413"/>
      <c r="L1" s="413"/>
      <c r="M1" s="413"/>
      <c r="N1" s="413"/>
      <c r="O1" s="413"/>
      <c r="P1" s="413"/>
      <c r="Q1" s="413"/>
      <c r="R1" s="413"/>
      <c r="S1" s="414"/>
      <c r="T1" s="413"/>
      <c r="U1" s="413"/>
      <c r="V1" s="413"/>
      <c r="W1" s="413"/>
      <c r="X1" s="413"/>
      <c r="Y1" s="413"/>
      <c r="Z1" s="413"/>
      <c r="AA1" s="413"/>
      <c r="AB1" s="413"/>
      <c r="AC1" s="413"/>
      <c r="AD1" s="413"/>
      <c r="AE1" s="413"/>
      <c r="AF1" s="413"/>
      <c r="AG1" s="413"/>
      <c r="AH1" s="413"/>
    </row>
    <row r="2">
      <c r="A2" s="413"/>
      <c r="B2" s="413"/>
      <c r="C2" s="413"/>
      <c r="D2" s="413"/>
      <c r="E2" s="413"/>
      <c r="F2" s="413"/>
      <c r="G2" s="413"/>
      <c r="H2" s="413"/>
      <c r="I2" s="413"/>
      <c r="J2" s="413"/>
      <c r="K2" s="413"/>
      <c r="L2" s="413"/>
      <c r="M2" s="413"/>
      <c r="N2" s="413"/>
      <c r="O2" s="413"/>
      <c r="P2" s="413"/>
      <c r="Q2" s="413"/>
      <c r="R2" s="413"/>
      <c r="S2" s="414"/>
      <c r="T2" s="413"/>
      <c r="U2" s="413"/>
      <c r="V2" s="413"/>
      <c r="W2" s="413"/>
      <c r="X2" s="413"/>
      <c r="Y2" s="413"/>
      <c r="Z2" s="413"/>
      <c r="AA2" s="413"/>
      <c r="AB2" s="413"/>
      <c r="AC2" s="413"/>
      <c r="AD2" s="413"/>
      <c r="AE2" s="413"/>
      <c r="AF2" s="413"/>
      <c r="AG2" s="413"/>
      <c r="AH2" s="413"/>
    </row>
    <row r="3">
      <c r="A3" s="412" t="s">
        <v>2157</v>
      </c>
      <c r="B3" s="413"/>
      <c r="C3" s="413"/>
      <c r="D3" s="413"/>
      <c r="E3" s="413"/>
      <c r="F3" s="413"/>
      <c r="G3" s="413"/>
      <c r="H3" s="413"/>
      <c r="I3" s="413"/>
      <c r="J3" s="413"/>
      <c r="K3" s="413"/>
      <c r="L3" s="413"/>
      <c r="M3" s="413"/>
      <c r="N3" s="413"/>
      <c r="O3" s="413"/>
      <c r="P3" s="413"/>
      <c r="Q3" s="413"/>
      <c r="R3" s="413"/>
      <c r="S3" s="414"/>
      <c r="T3" s="413"/>
      <c r="U3" s="413"/>
      <c r="V3" s="413"/>
      <c r="W3" s="413"/>
      <c r="X3" s="413"/>
      <c r="Y3" s="413"/>
      <c r="Z3" s="413"/>
      <c r="AA3" s="413"/>
      <c r="AB3" s="413"/>
      <c r="AC3" s="413"/>
      <c r="AD3" s="413"/>
      <c r="AE3" s="413"/>
      <c r="AF3" s="413"/>
      <c r="AG3" s="413"/>
      <c r="AH3" s="413"/>
    </row>
    <row r="4">
      <c r="A4" s="415" t="s">
        <v>2158</v>
      </c>
      <c r="B4" s="416" t="s">
        <v>2159</v>
      </c>
      <c r="C4" s="416" t="s">
        <v>2160</v>
      </c>
      <c r="D4" s="416" t="s">
        <v>2161</v>
      </c>
      <c r="E4" s="417" t="s">
        <v>2162</v>
      </c>
      <c r="F4" s="417" t="s">
        <v>2163</v>
      </c>
      <c r="G4" s="417" t="s">
        <v>2164</v>
      </c>
      <c r="H4" s="418" t="s">
        <v>2165</v>
      </c>
      <c r="I4" s="418" t="s">
        <v>2166</v>
      </c>
      <c r="J4" s="418" t="s">
        <v>2167</v>
      </c>
      <c r="K4" s="419" t="s">
        <v>2168</v>
      </c>
      <c r="L4" s="419" t="s">
        <v>2169</v>
      </c>
      <c r="M4" s="419" t="s">
        <v>2170</v>
      </c>
      <c r="N4" s="420" t="s">
        <v>2171</v>
      </c>
      <c r="O4" s="415" t="s">
        <v>2172</v>
      </c>
      <c r="P4" s="415" t="s">
        <v>2173</v>
      </c>
      <c r="Q4" s="415" t="s">
        <v>2174</v>
      </c>
      <c r="R4" s="415" t="s">
        <v>2175</v>
      </c>
      <c r="S4" s="415" t="s">
        <v>2176</v>
      </c>
      <c r="T4" s="421" t="s">
        <v>2177</v>
      </c>
      <c r="U4" s="415" t="s">
        <v>2178</v>
      </c>
      <c r="V4" s="415" t="s">
        <v>2179</v>
      </c>
      <c r="W4" s="420" t="s">
        <v>2180</v>
      </c>
      <c r="X4" s="415" t="s">
        <v>2181</v>
      </c>
      <c r="Y4" s="413"/>
      <c r="Z4" s="413"/>
      <c r="AA4" s="413"/>
      <c r="AB4" s="413"/>
      <c r="AC4" s="413"/>
      <c r="AD4" s="413"/>
      <c r="AE4" s="413"/>
      <c r="AF4" s="413"/>
      <c r="AG4" s="413"/>
      <c r="AH4" s="413"/>
    </row>
    <row r="5">
      <c r="A5" s="422" t="s">
        <v>2182</v>
      </c>
      <c r="B5" s="423">
        <v>3.0</v>
      </c>
      <c r="C5" s="423">
        <v>3.0</v>
      </c>
      <c r="D5" s="424">
        <v>4.0</v>
      </c>
      <c r="E5" s="423">
        <v>0.0</v>
      </c>
      <c r="F5" s="423">
        <v>0.0</v>
      </c>
      <c r="G5" s="423">
        <v>0.0</v>
      </c>
      <c r="H5" s="423">
        <v>0.0</v>
      </c>
      <c r="I5" s="423">
        <v>0.0</v>
      </c>
      <c r="J5" s="423">
        <v>0.0</v>
      </c>
      <c r="K5" s="423">
        <v>0.0</v>
      </c>
      <c r="L5" s="423">
        <v>0.0</v>
      </c>
      <c r="M5" s="423">
        <v>0.0</v>
      </c>
      <c r="N5" s="420">
        <f t="shared" ref="N5:N12" si="1">SUM(B5:M5)</f>
        <v>10</v>
      </c>
      <c r="O5" s="425">
        <f t="shared" ref="O5:O11" si="2">SUM(B5:D5)</f>
        <v>10</v>
      </c>
      <c r="P5" s="426">
        <f t="shared" ref="P5:P10" si="3">O5/$O$11</f>
        <v>0.1724137931</v>
      </c>
      <c r="Q5" s="425">
        <f t="shared" ref="Q5:Q11" si="4">sum(E5:G5)</f>
        <v>0</v>
      </c>
      <c r="R5" s="427">
        <f t="shared" ref="R5:R10" si="5">Q5/$Q$11</f>
        <v>0</v>
      </c>
      <c r="S5" s="428">
        <f t="shared" ref="S5:S11" si="6">SUM(H5:J5)</f>
        <v>0</v>
      </c>
      <c r="T5" s="427" t="str">
        <f t="shared" ref="T5:T10" si="7">S5/$S$11</f>
        <v>#DIV/0!</v>
      </c>
      <c r="U5" s="425">
        <f t="shared" ref="U5:U12" si="8">sum(K5:M5)</f>
        <v>0</v>
      </c>
      <c r="V5" s="427" t="str">
        <f t="shared" ref="V5:V10" si="9">U5/$U$11</f>
        <v>#DIV/0!</v>
      </c>
      <c r="W5" s="420">
        <f t="shared" ref="W5:W10" si="10">sum(B5:M5)</f>
        <v>10</v>
      </c>
      <c r="X5" s="426">
        <f t="shared" ref="X5:X10" si="11">W5/$W$11</f>
        <v>0.1587301587</v>
      </c>
      <c r="Y5" s="413"/>
      <c r="Z5" s="413"/>
      <c r="AA5" s="413"/>
      <c r="AB5" s="413"/>
      <c r="AC5" s="413"/>
      <c r="AD5" s="413"/>
      <c r="AE5" s="413"/>
      <c r="AF5" s="413"/>
      <c r="AG5" s="413"/>
      <c r="AH5" s="413"/>
    </row>
    <row r="6">
      <c r="A6" s="422" t="s">
        <v>267</v>
      </c>
      <c r="B6" s="423">
        <v>7.0</v>
      </c>
      <c r="C6" s="423">
        <v>10.0</v>
      </c>
      <c r="D6" s="424">
        <v>12.0</v>
      </c>
      <c r="E6" s="424">
        <v>3.0</v>
      </c>
      <c r="F6" s="423">
        <v>0.0</v>
      </c>
      <c r="G6" s="423">
        <v>0.0</v>
      </c>
      <c r="H6" s="423">
        <v>0.0</v>
      </c>
      <c r="I6" s="423">
        <v>0.0</v>
      </c>
      <c r="J6" s="423">
        <v>0.0</v>
      </c>
      <c r="K6" s="423">
        <v>0.0</v>
      </c>
      <c r="L6" s="423">
        <v>0.0</v>
      </c>
      <c r="M6" s="423">
        <v>0.0</v>
      </c>
      <c r="N6" s="420">
        <f t="shared" si="1"/>
        <v>32</v>
      </c>
      <c r="O6" s="425">
        <f t="shared" si="2"/>
        <v>29</v>
      </c>
      <c r="P6" s="426">
        <f t="shared" si="3"/>
        <v>0.5</v>
      </c>
      <c r="Q6" s="425">
        <f t="shared" si="4"/>
        <v>3</v>
      </c>
      <c r="R6" s="427">
        <f t="shared" si="5"/>
        <v>0.6</v>
      </c>
      <c r="S6" s="425">
        <f t="shared" si="6"/>
        <v>0</v>
      </c>
      <c r="T6" s="427" t="str">
        <f t="shared" si="7"/>
        <v>#DIV/0!</v>
      </c>
      <c r="U6" s="425">
        <f t="shared" si="8"/>
        <v>0</v>
      </c>
      <c r="V6" s="427" t="str">
        <f t="shared" si="9"/>
        <v>#DIV/0!</v>
      </c>
      <c r="W6" s="420">
        <f t="shared" si="10"/>
        <v>32</v>
      </c>
      <c r="X6" s="426">
        <f t="shared" si="11"/>
        <v>0.5079365079</v>
      </c>
      <c r="Y6" s="413"/>
      <c r="Z6" s="413"/>
      <c r="AA6" s="413"/>
      <c r="AB6" s="413"/>
      <c r="AC6" s="413"/>
      <c r="AD6" s="413"/>
      <c r="AE6" s="413"/>
      <c r="AF6" s="413"/>
      <c r="AG6" s="413"/>
      <c r="AH6" s="413"/>
    </row>
    <row r="7">
      <c r="A7" s="422" t="s">
        <v>2183</v>
      </c>
      <c r="B7" s="423">
        <v>3.0</v>
      </c>
      <c r="C7" s="423">
        <v>3.0</v>
      </c>
      <c r="D7" s="423">
        <v>0.0</v>
      </c>
      <c r="E7" s="424">
        <v>1.0</v>
      </c>
      <c r="F7" s="423">
        <v>0.0</v>
      </c>
      <c r="G7" s="423">
        <v>0.0</v>
      </c>
      <c r="H7" s="423">
        <v>0.0</v>
      </c>
      <c r="I7" s="423">
        <v>0.0</v>
      </c>
      <c r="J7" s="423">
        <v>0.0</v>
      </c>
      <c r="K7" s="423">
        <v>0.0</v>
      </c>
      <c r="L7" s="423">
        <v>0.0</v>
      </c>
      <c r="M7" s="423">
        <v>0.0</v>
      </c>
      <c r="N7" s="420">
        <f t="shared" si="1"/>
        <v>7</v>
      </c>
      <c r="O7" s="425">
        <f t="shared" si="2"/>
        <v>6</v>
      </c>
      <c r="P7" s="426">
        <f t="shared" si="3"/>
        <v>0.1034482759</v>
      </c>
      <c r="Q7" s="425">
        <f t="shared" si="4"/>
        <v>1</v>
      </c>
      <c r="R7" s="427">
        <f t="shared" si="5"/>
        <v>0.2</v>
      </c>
      <c r="S7" s="425">
        <f t="shared" si="6"/>
        <v>0</v>
      </c>
      <c r="T7" s="427" t="str">
        <f t="shared" si="7"/>
        <v>#DIV/0!</v>
      </c>
      <c r="U7" s="425">
        <f t="shared" si="8"/>
        <v>0</v>
      </c>
      <c r="V7" s="427" t="str">
        <f t="shared" si="9"/>
        <v>#DIV/0!</v>
      </c>
      <c r="W7" s="420">
        <f t="shared" si="10"/>
        <v>7</v>
      </c>
      <c r="X7" s="426">
        <f t="shared" si="11"/>
        <v>0.1111111111</v>
      </c>
      <c r="Y7" s="413"/>
      <c r="Z7" s="413"/>
      <c r="AA7" s="413"/>
      <c r="AB7" s="413"/>
      <c r="AC7" s="413"/>
      <c r="AD7" s="413"/>
      <c r="AE7" s="413"/>
      <c r="AF7" s="413"/>
      <c r="AG7" s="413"/>
      <c r="AH7" s="413"/>
    </row>
    <row r="8">
      <c r="A8" s="422" t="s">
        <v>2184</v>
      </c>
      <c r="B8" s="423">
        <v>1.0</v>
      </c>
      <c r="C8" s="423">
        <v>2.0</v>
      </c>
      <c r="D8" s="424">
        <v>8.0</v>
      </c>
      <c r="E8" s="424">
        <v>1.0</v>
      </c>
      <c r="F8" s="423">
        <v>0.0</v>
      </c>
      <c r="G8" s="423">
        <v>0.0</v>
      </c>
      <c r="H8" s="423">
        <v>0.0</v>
      </c>
      <c r="I8" s="423">
        <v>0.0</v>
      </c>
      <c r="J8" s="423">
        <v>0.0</v>
      </c>
      <c r="K8" s="423">
        <v>0.0</v>
      </c>
      <c r="L8" s="423">
        <v>0.0</v>
      </c>
      <c r="M8" s="423">
        <v>0.0</v>
      </c>
      <c r="N8" s="420">
        <f t="shared" si="1"/>
        <v>12</v>
      </c>
      <c r="O8" s="425">
        <f t="shared" si="2"/>
        <v>11</v>
      </c>
      <c r="P8" s="426">
        <f t="shared" si="3"/>
        <v>0.1896551724</v>
      </c>
      <c r="Q8" s="425">
        <f t="shared" si="4"/>
        <v>1</v>
      </c>
      <c r="R8" s="427">
        <f t="shared" si="5"/>
        <v>0.2</v>
      </c>
      <c r="S8" s="425">
        <f t="shared" si="6"/>
        <v>0</v>
      </c>
      <c r="T8" s="427" t="str">
        <f t="shared" si="7"/>
        <v>#DIV/0!</v>
      </c>
      <c r="U8" s="425">
        <f t="shared" si="8"/>
        <v>0</v>
      </c>
      <c r="V8" s="427" t="str">
        <f t="shared" si="9"/>
        <v>#DIV/0!</v>
      </c>
      <c r="W8" s="420">
        <f t="shared" si="10"/>
        <v>12</v>
      </c>
      <c r="X8" s="426">
        <f t="shared" si="11"/>
        <v>0.1904761905</v>
      </c>
      <c r="Y8" s="413"/>
      <c r="Z8" s="413"/>
      <c r="AA8" s="413"/>
      <c r="AB8" s="413"/>
      <c r="AC8" s="413"/>
      <c r="AD8" s="413"/>
      <c r="AE8" s="413"/>
      <c r="AF8" s="413"/>
      <c r="AG8" s="413"/>
      <c r="AH8" s="413"/>
    </row>
    <row r="9">
      <c r="A9" s="422" t="s">
        <v>1762</v>
      </c>
      <c r="B9" s="423">
        <v>2.0</v>
      </c>
      <c r="C9" s="423">
        <v>0.0</v>
      </c>
      <c r="D9" s="423">
        <v>0.0</v>
      </c>
      <c r="E9" s="423">
        <v>0.0</v>
      </c>
      <c r="F9" s="423">
        <v>0.0</v>
      </c>
      <c r="G9" s="423">
        <v>0.0</v>
      </c>
      <c r="H9" s="423">
        <v>0.0</v>
      </c>
      <c r="I9" s="423">
        <v>0.0</v>
      </c>
      <c r="J9" s="423">
        <v>0.0</v>
      </c>
      <c r="K9" s="423">
        <v>0.0</v>
      </c>
      <c r="L9" s="423">
        <v>0.0</v>
      </c>
      <c r="M9" s="423">
        <v>0.0</v>
      </c>
      <c r="N9" s="420">
        <f t="shared" si="1"/>
        <v>2</v>
      </c>
      <c r="O9" s="425">
        <f t="shared" si="2"/>
        <v>2</v>
      </c>
      <c r="P9" s="426">
        <f t="shared" si="3"/>
        <v>0.03448275862</v>
      </c>
      <c r="Q9" s="425">
        <f t="shared" si="4"/>
        <v>0</v>
      </c>
      <c r="R9" s="427">
        <f t="shared" si="5"/>
        <v>0</v>
      </c>
      <c r="S9" s="425">
        <f t="shared" si="6"/>
        <v>0</v>
      </c>
      <c r="T9" s="427" t="str">
        <f t="shared" si="7"/>
        <v>#DIV/0!</v>
      </c>
      <c r="U9" s="425">
        <f t="shared" si="8"/>
        <v>0</v>
      </c>
      <c r="V9" s="427" t="str">
        <f t="shared" si="9"/>
        <v>#DIV/0!</v>
      </c>
      <c r="W9" s="420">
        <f t="shared" si="10"/>
        <v>2</v>
      </c>
      <c r="X9" s="426">
        <f t="shared" si="11"/>
        <v>0.03174603175</v>
      </c>
      <c r="Y9" s="413"/>
      <c r="Z9" s="413"/>
      <c r="AA9" s="413"/>
      <c r="AB9" s="413"/>
      <c r="AC9" s="413"/>
      <c r="AD9" s="413"/>
      <c r="AE9" s="413"/>
      <c r="AF9" s="413"/>
      <c r="AG9" s="413"/>
      <c r="AH9" s="413"/>
    </row>
    <row r="10">
      <c r="A10" s="422" t="s">
        <v>1702</v>
      </c>
      <c r="B10" s="423">
        <v>0.0</v>
      </c>
      <c r="C10" s="423">
        <v>0.0</v>
      </c>
      <c r="D10" s="423">
        <v>0.0</v>
      </c>
      <c r="E10" s="423">
        <v>0.0</v>
      </c>
      <c r="F10" s="423">
        <v>0.0</v>
      </c>
      <c r="G10" s="423">
        <v>0.0</v>
      </c>
      <c r="H10" s="423">
        <v>0.0</v>
      </c>
      <c r="I10" s="423">
        <v>0.0</v>
      </c>
      <c r="J10" s="423">
        <v>0.0</v>
      </c>
      <c r="K10" s="423">
        <v>0.0</v>
      </c>
      <c r="L10" s="423">
        <v>0.0</v>
      </c>
      <c r="M10" s="423">
        <v>0.0</v>
      </c>
      <c r="N10" s="420">
        <f t="shared" si="1"/>
        <v>0</v>
      </c>
      <c r="O10" s="425">
        <f t="shared" si="2"/>
        <v>0</v>
      </c>
      <c r="P10" s="426">
        <f t="shared" si="3"/>
        <v>0</v>
      </c>
      <c r="Q10" s="425">
        <f t="shared" si="4"/>
        <v>0</v>
      </c>
      <c r="R10" s="427">
        <f t="shared" si="5"/>
        <v>0</v>
      </c>
      <c r="S10" s="425">
        <f t="shared" si="6"/>
        <v>0</v>
      </c>
      <c r="T10" s="427" t="str">
        <f t="shared" si="7"/>
        <v>#DIV/0!</v>
      </c>
      <c r="U10" s="425">
        <f t="shared" si="8"/>
        <v>0</v>
      </c>
      <c r="V10" s="427" t="str">
        <f t="shared" si="9"/>
        <v>#DIV/0!</v>
      </c>
      <c r="W10" s="420">
        <f t="shared" si="10"/>
        <v>0</v>
      </c>
      <c r="X10" s="426">
        <f t="shared" si="11"/>
        <v>0</v>
      </c>
      <c r="Y10" s="413"/>
      <c r="Z10" s="413"/>
      <c r="AA10" s="413"/>
      <c r="AB10" s="413"/>
      <c r="AC10" s="413"/>
      <c r="AD10" s="413"/>
      <c r="AE10" s="413"/>
      <c r="AF10" s="413"/>
      <c r="AG10" s="413"/>
      <c r="AH10" s="413"/>
    </row>
    <row r="11">
      <c r="A11" s="415" t="s">
        <v>2185</v>
      </c>
      <c r="B11" s="416">
        <f t="shared" ref="B11:M11" si="12">SUM(B5:B10)</f>
        <v>16</v>
      </c>
      <c r="C11" s="416">
        <f t="shared" si="12"/>
        <v>18</v>
      </c>
      <c r="D11" s="416">
        <f t="shared" si="12"/>
        <v>24</v>
      </c>
      <c r="E11" s="417">
        <f t="shared" si="12"/>
        <v>5</v>
      </c>
      <c r="F11" s="417">
        <f t="shared" si="12"/>
        <v>0</v>
      </c>
      <c r="G11" s="417">
        <f t="shared" si="12"/>
        <v>0</v>
      </c>
      <c r="H11" s="418">
        <f t="shared" si="12"/>
        <v>0</v>
      </c>
      <c r="I11" s="418">
        <f t="shared" si="12"/>
        <v>0</v>
      </c>
      <c r="J11" s="418">
        <f t="shared" si="12"/>
        <v>0</v>
      </c>
      <c r="K11" s="419">
        <f t="shared" si="12"/>
        <v>0</v>
      </c>
      <c r="L11" s="419">
        <f t="shared" si="12"/>
        <v>0</v>
      </c>
      <c r="M11" s="419">
        <f t="shared" si="12"/>
        <v>0</v>
      </c>
      <c r="N11" s="420">
        <f t="shared" si="1"/>
        <v>63</v>
      </c>
      <c r="O11" s="425">
        <f t="shared" si="2"/>
        <v>58</v>
      </c>
      <c r="P11" s="429">
        <f>SUM(P5:P10)</f>
        <v>1</v>
      </c>
      <c r="Q11" s="425">
        <f t="shared" si="4"/>
        <v>5</v>
      </c>
      <c r="R11" s="430">
        <f>SUM(R5:R10)</f>
        <v>1</v>
      </c>
      <c r="S11" s="425">
        <f t="shared" si="6"/>
        <v>0</v>
      </c>
      <c r="T11" s="431" t="str">
        <f>SUM(T5:T10)</f>
        <v>#DIV/0!</v>
      </c>
      <c r="U11" s="425">
        <f t="shared" si="8"/>
        <v>0</v>
      </c>
      <c r="V11" s="431" t="str">
        <f t="shared" ref="V11:X11" si="13">SUM(V5:V10)</f>
        <v>#DIV/0!</v>
      </c>
      <c r="W11" s="420">
        <f t="shared" si="13"/>
        <v>63</v>
      </c>
      <c r="X11" s="432">
        <f t="shared" si="13"/>
        <v>1</v>
      </c>
      <c r="Y11" s="413"/>
      <c r="Z11" s="413"/>
      <c r="AA11" s="413"/>
      <c r="AB11" s="413"/>
      <c r="AC11" s="413"/>
      <c r="AD11" s="413"/>
      <c r="AE11" s="413"/>
      <c r="AF11" s="413"/>
      <c r="AG11" s="413"/>
      <c r="AH11" s="413"/>
    </row>
    <row r="12">
      <c r="A12" s="413"/>
      <c r="B12" s="416">
        <f>SUM(B11:D11)</f>
        <v>58</v>
      </c>
      <c r="E12" s="417">
        <f>sum(E11:G11)</f>
        <v>5</v>
      </c>
      <c r="H12" s="418">
        <f>SUM(H11:J11)</f>
        <v>0</v>
      </c>
      <c r="K12" s="419">
        <f>sum(K11:M11)</f>
        <v>0</v>
      </c>
      <c r="N12" s="420">
        <f t="shared" si="1"/>
        <v>63</v>
      </c>
      <c r="O12" s="433">
        <f>SUM(O5:O10)</f>
        <v>58</v>
      </c>
      <c r="P12" s="434"/>
      <c r="Q12" s="433">
        <f>sum(G12:I12)</f>
        <v>0</v>
      </c>
      <c r="R12" s="414"/>
      <c r="S12" s="433">
        <f>SUM(H12:I12)</f>
        <v>0</v>
      </c>
      <c r="T12" s="434"/>
      <c r="U12" s="433">
        <f t="shared" si="8"/>
        <v>0</v>
      </c>
      <c r="V12" s="414"/>
      <c r="W12" s="435">
        <f>sum(B12:K12)</f>
        <v>63</v>
      </c>
      <c r="X12" s="413"/>
      <c r="Y12" s="413"/>
      <c r="Z12" s="413"/>
      <c r="AA12" s="413"/>
      <c r="AB12" s="413"/>
      <c r="AC12" s="413"/>
      <c r="AD12" s="413"/>
      <c r="AE12" s="413"/>
      <c r="AF12" s="413"/>
      <c r="AG12" s="413"/>
      <c r="AH12" s="413"/>
    </row>
    <row r="13">
      <c r="A13" s="436" t="s">
        <v>2186</v>
      </c>
      <c r="B13" s="413"/>
      <c r="C13" s="437">
        <f>(B12-E47)/E47*100</f>
        <v>152.173913</v>
      </c>
      <c r="D13" s="413"/>
      <c r="E13" s="413"/>
      <c r="F13" s="413"/>
      <c r="G13" s="413"/>
      <c r="H13" s="413"/>
      <c r="I13" s="413"/>
      <c r="J13" s="413"/>
      <c r="K13" s="413"/>
      <c r="L13" s="413"/>
      <c r="M13" s="413"/>
      <c r="N13" s="413"/>
      <c r="O13" s="413"/>
      <c r="P13" s="413"/>
      <c r="Q13" s="413"/>
      <c r="R13" s="414"/>
      <c r="S13" s="414"/>
      <c r="T13" s="413"/>
      <c r="U13" s="413"/>
      <c r="V13" s="413"/>
      <c r="W13" s="413"/>
      <c r="X13" s="413"/>
      <c r="Y13" s="413"/>
      <c r="Z13" s="413"/>
      <c r="AA13" s="413"/>
      <c r="AB13" s="413"/>
      <c r="AC13" s="413"/>
      <c r="AD13" s="413"/>
      <c r="AE13" s="413"/>
      <c r="AF13" s="413"/>
      <c r="AG13" s="413"/>
      <c r="AH13" s="413"/>
    </row>
    <row r="14">
      <c r="A14" s="438"/>
      <c r="B14" s="438"/>
      <c r="C14" s="438"/>
      <c r="D14" s="438"/>
      <c r="E14" s="438"/>
      <c r="F14" s="438"/>
      <c r="G14" s="438"/>
      <c r="H14" s="438"/>
      <c r="I14" s="438"/>
      <c r="J14" s="438"/>
      <c r="K14" s="438"/>
      <c r="L14" s="438"/>
      <c r="M14" s="438"/>
      <c r="N14" s="438"/>
      <c r="O14" s="438"/>
      <c r="P14" s="438"/>
      <c r="Q14" s="438"/>
      <c r="R14" s="438"/>
      <c r="S14" s="438"/>
      <c r="T14" s="438"/>
      <c r="U14" s="438"/>
      <c r="V14" s="438"/>
      <c r="W14" s="438"/>
      <c r="X14" s="438"/>
      <c r="Y14" s="438"/>
      <c r="Z14" s="438"/>
      <c r="AA14" s="438"/>
      <c r="AB14" s="438"/>
      <c r="AC14" s="438"/>
      <c r="AD14" s="438"/>
      <c r="AE14" s="438"/>
      <c r="AF14" s="438"/>
      <c r="AG14" s="438"/>
      <c r="AH14" s="438"/>
    </row>
    <row r="15">
      <c r="A15" s="438"/>
      <c r="B15" s="438"/>
      <c r="C15" s="438"/>
      <c r="D15" s="438"/>
      <c r="E15" s="438"/>
      <c r="F15" s="438"/>
      <c r="G15" s="438"/>
      <c r="H15" s="438"/>
      <c r="I15" s="438"/>
      <c r="J15" s="438"/>
      <c r="K15" s="438"/>
      <c r="L15" s="438"/>
      <c r="M15" s="438"/>
      <c r="N15" s="438"/>
      <c r="O15" s="438"/>
      <c r="P15" s="438"/>
      <c r="Q15" s="438"/>
      <c r="R15" s="438"/>
      <c r="S15" s="438"/>
      <c r="T15" s="438"/>
      <c r="U15" s="438"/>
      <c r="V15" s="438"/>
      <c r="W15" s="438"/>
      <c r="X15" s="438"/>
      <c r="Y15" s="438"/>
      <c r="Z15" s="438"/>
      <c r="AA15" s="438"/>
      <c r="AB15" s="438"/>
      <c r="AC15" s="438"/>
      <c r="AD15" s="438"/>
      <c r="AE15" s="438"/>
      <c r="AF15" s="438"/>
      <c r="AG15" s="438"/>
      <c r="AH15" s="438"/>
    </row>
    <row r="16">
      <c r="A16" s="438"/>
      <c r="B16" s="438"/>
      <c r="C16" s="438"/>
      <c r="D16" s="438"/>
      <c r="E16" s="438"/>
      <c r="F16" s="438"/>
      <c r="G16" s="438"/>
      <c r="H16" s="438"/>
      <c r="I16" s="438"/>
      <c r="J16" s="438"/>
      <c r="K16" s="438"/>
      <c r="L16" s="438"/>
      <c r="M16" s="438"/>
      <c r="N16" s="438"/>
      <c r="O16" s="438"/>
      <c r="P16" s="438"/>
      <c r="Q16" s="438"/>
      <c r="R16" s="438"/>
      <c r="S16" s="438"/>
      <c r="T16" s="438"/>
      <c r="U16" s="438"/>
      <c r="V16" s="438"/>
      <c r="W16" s="438"/>
      <c r="X16" s="438"/>
      <c r="Y16" s="438"/>
      <c r="Z16" s="438"/>
      <c r="AA16" s="438"/>
      <c r="AB16" s="438"/>
      <c r="AC16" s="438"/>
      <c r="AD16" s="438"/>
      <c r="AE16" s="438"/>
      <c r="AF16" s="438"/>
      <c r="AG16" s="438"/>
      <c r="AH16" s="438"/>
    </row>
    <row r="17">
      <c r="A17" s="438"/>
      <c r="B17" s="438"/>
      <c r="C17" s="438"/>
      <c r="D17" s="438"/>
      <c r="E17" s="438"/>
      <c r="F17" s="438"/>
      <c r="G17" s="438"/>
      <c r="H17" s="438"/>
      <c r="I17" s="438"/>
      <c r="J17" s="438"/>
      <c r="K17" s="438"/>
      <c r="L17" s="438"/>
      <c r="M17" s="438"/>
      <c r="N17" s="438"/>
      <c r="O17" s="438"/>
      <c r="P17" s="438"/>
      <c r="Q17" s="438"/>
      <c r="R17" s="438"/>
      <c r="S17" s="438"/>
      <c r="T17" s="438"/>
      <c r="U17" s="438"/>
      <c r="V17" s="438"/>
      <c r="W17" s="438"/>
      <c r="X17" s="438"/>
      <c r="Y17" s="438"/>
      <c r="Z17" s="438"/>
      <c r="AA17" s="438"/>
      <c r="AB17" s="438"/>
      <c r="AC17" s="438"/>
      <c r="AD17" s="438"/>
      <c r="AE17" s="438"/>
      <c r="AF17" s="438"/>
      <c r="AG17" s="438"/>
      <c r="AH17" s="438"/>
    </row>
    <row r="18">
      <c r="A18" s="438"/>
      <c r="B18" s="438"/>
      <c r="C18" s="438"/>
      <c r="D18" s="438"/>
      <c r="E18" s="438"/>
      <c r="F18" s="438"/>
      <c r="G18" s="438"/>
      <c r="H18" s="438"/>
      <c r="I18" s="438"/>
      <c r="J18" s="438"/>
      <c r="K18" s="438"/>
      <c r="L18" s="438"/>
      <c r="M18" s="438"/>
      <c r="N18" s="438"/>
      <c r="O18" s="438"/>
      <c r="P18" s="438"/>
      <c r="Q18" s="438"/>
      <c r="R18" s="438"/>
      <c r="S18" s="438"/>
      <c r="T18" s="438"/>
      <c r="U18" s="438"/>
      <c r="V18" s="438"/>
      <c r="W18" s="438"/>
      <c r="X18" s="438"/>
      <c r="Y18" s="438"/>
      <c r="Z18" s="438"/>
      <c r="AA18" s="438"/>
      <c r="AB18" s="438"/>
      <c r="AC18" s="438"/>
      <c r="AD18" s="438"/>
      <c r="AE18" s="438"/>
      <c r="AF18" s="438"/>
      <c r="AG18" s="438"/>
      <c r="AH18" s="438"/>
    </row>
    <row r="19">
      <c r="A19" s="438"/>
      <c r="B19" s="438"/>
      <c r="C19" s="438"/>
      <c r="D19" s="438"/>
      <c r="E19" s="438"/>
      <c r="F19" s="438"/>
      <c r="G19" s="438"/>
      <c r="H19" s="438"/>
      <c r="I19" s="438"/>
      <c r="J19" s="438"/>
      <c r="K19" s="438"/>
      <c r="L19" s="438"/>
      <c r="M19" s="438"/>
      <c r="N19" s="438"/>
      <c r="O19" s="438"/>
      <c r="P19" s="438"/>
      <c r="Q19" s="438"/>
      <c r="R19" s="438"/>
      <c r="S19" s="438"/>
      <c r="T19" s="438"/>
      <c r="U19" s="438"/>
      <c r="V19" s="438"/>
      <c r="W19" s="438"/>
      <c r="X19" s="438"/>
      <c r="Y19" s="438"/>
      <c r="Z19" s="438"/>
      <c r="AA19" s="438"/>
      <c r="AB19" s="438"/>
      <c r="AC19" s="438"/>
      <c r="AD19" s="438"/>
      <c r="AE19" s="438"/>
      <c r="AF19" s="438"/>
      <c r="AG19" s="438"/>
      <c r="AH19" s="438"/>
    </row>
    <row r="20">
      <c r="A20" s="438"/>
      <c r="B20" s="438"/>
      <c r="C20" s="438"/>
      <c r="D20" s="438"/>
      <c r="E20" s="438"/>
      <c r="F20" s="438"/>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438"/>
      <c r="AG20" s="438"/>
      <c r="AH20" s="438"/>
    </row>
    <row r="21">
      <c r="A21" s="438"/>
      <c r="B21" s="438"/>
      <c r="C21" s="438"/>
      <c r="D21" s="438"/>
      <c r="E21" s="438"/>
      <c r="F21" s="438"/>
      <c r="G21" s="438"/>
      <c r="H21" s="438"/>
      <c r="I21" s="438"/>
      <c r="J21" s="438"/>
      <c r="K21" s="438"/>
      <c r="L21" s="438"/>
      <c r="M21" s="438"/>
      <c r="N21" s="438"/>
      <c r="O21" s="438"/>
      <c r="P21" s="438"/>
      <c r="Q21" s="438"/>
      <c r="R21" s="438"/>
      <c r="S21" s="438"/>
      <c r="T21" s="438"/>
      <c r="U21" s="438"/>
      <c r="V21" s="438"/>
      <c r="W21" s="438"/>
      <c r="X21" s="438"/>
      <c r="Y21" s="438"/>
      <c r="Z21" s="438"/>
      <c r="AA21" s="438"/>
      <c r="AB21" s="438"/>
      <c r="AC21" s="438"/>
      <c r="AD21" s="438"/>
      <c r="AE21" s="438"/>
      <c r="AF21" s="438"/>
      <c r="AG21" s="438"/>
      <c r="AH21" s="438"/>
    </row>
    <row r="22">
      <c r="A22" s="438"/>
      <c r="B22" s="438"/>
      <c r="C22" s="438"/>
      <c r="D22" s="438"/>
      <c r="E22" s="438"/>
      <c r="F22" s="438"/>
      <c r="G22" s="438"/>
      <c r="H22" s="438"/>
      <c r="I22" s="438"/>
      <c r="J22" s="438"/>
      <c r="K22" s="438"/>
      <c r="L22" s="438"/>
      <c r="M22" s="438"/>
      <c r="N22" s="438"/>
      <c r="O22" s="438"/>
      <c r="P22" s="438"/>
      <c r="Q22" s="438"/>
      <c r="R22" s="438"/>
      <c r="S22" s="438"/>
      <c r="T22" s="438"/>
      <c r="U22" s="438"/>
      <c r="V22" s="438"/>
      <c r="W22" s="438"/>
      <c r="X22" s="438"/>
      <c r="Y22" s="438"/>
      <c r="Z22" s="438"/>
      <c r="AA22" s="438"/>
      <c r="AB22" s="438"/>
      <c r="AC22" s="438"/>
      <c r="AD22" s="438"/>
      <c r="AE22" s="438"/>
      <c r="AF22" s="438"/>
      <c r="AG22" s="438"/>
      <c r="AH22" s="438"/>
    </row>
    <row r="23">
      <c r="A23" s="438"/>
      <c r="B23" s="438"/>
      <c r="C23" s="438"/>
      <c r="D23" s="438"/>
      <c r="E23" s="438"/>
      <c r="F23" s="438"/>
      <c r="G23" s="438"/>
      <c r="H23" s="438"/>
      <c r="I23" s="438"/>
      <c r="J23" s="438"/>
      <c r="K23" s="438"/>
      <c r="L23" s="438"/>
      <c r="M23" s="438"/>
      <c r="N23" s="438"/>
      <c r="O23" s="438"/>
      <c r="P23" s="438"/>
      <c r="Q23" s="438"/>
      <c r="R23" s="438"/>
      <c r="S23" s="438"/>
      <c r="T23" s="438"/>
      <c r="U23" s="438"/>
      <c r="V23" s="438"/>
      <c r="W23" s="438"/>
      <c r="X23" s="438"/>
      <c r="Y23" s="438"/>
      <c r="Z23" s="438"/>
      <c r="AA23" s="438"/>
      <c r="AB23" s="438"/>
      <c r="AC23" s="438"/>
      <c r="AD23" s="438"/>
      <c r="AE23" s="438"/>
      <c r="AF23" s="438"/>
      <c r="AG23" s="438"/>
      <c r="AH23" s="438"/>
    </row>
    <row r="24">
      <c r="A24" s="438"/>
      <c r="B24" s="438"/>
      <c r="C24" s="438"/>
      <c r="D24" s="438"/>
      <c r="E24" s="438"/>
      <c r="F24" s="438"/>
      <c r="G24" s="438"/>
      <c r="H24" s="438"/>
      <c r="I24" s="438"/>
      <c r="J24" s="438"/>
      <c r="K24" s="438"/>
      <c r="L24" s="438"/>
      <c r="M24" s="438"/>
      <c r="N24" s="438"/>
      <c r="O24" s="438"/>
      <c r="P24" s="438"/>
      <c r="Q24" s="438"/>
      <c r="R24" s="438"/>
      <c r="S24" s="438"/>
      <c r="T24" s="438"/>
      <c r="U24" s="438"/>
      <c r="V24" s="438"/>
      <c r="W24" s="438"/>
      <c r="X24" s="438"/>
      <c r="Y24" s="438"/>
      <c r="Z24" s="438"/>
      <c r="AA24" s="438"/>
      <c r="AB24" s="438"/>
      <c r="AC24" s="438"/>
      <c r="AD24" s="438"/>
      <c r="AE24" s="438"/>
      <c r="AF24" s="438"/>
      <c r="AG24" s="438"/>
      <c r="AH24" s="438"/>
    </row>
    <row r="25">
      <c r="A25" s="438"/>
      <c r="B25" s="438"/>
      <c r="C25" s="438"/>
      <c r="D25" s="438"/>
      <c r="E25" s="438"/>
      <c r="F25" s="438"/>
      <c r="G25" s="438"/>
      <c r="H25" s="438"/>
      <c r="I25" s="438"/>
      <c r="J25" s="438"/>
      <c r="K25" s="438"/>
      <c r="L25" s="438"/>
      <c r="M25" s="438"/>
      <c r="N25" s="438"/>
      <c r="O25" s="438"/>
      <c r="P25" s="438"/>
      <c r="Q25" s="438"/>
      <c r="R25" s="438"/>
      <c r="S25" s="438"/>
      <c r="T25" s="438"/>
      <c r="U25" s="438"/>
      <c r="V25" s="438"/>
      <c r="W25" s="438"/>
      <c r="X25" s="438"/>
      <c r="Y25" s="438"/>
      <c r="Z25" s="438"/>
      <c r="AA25" s="438"/>
      <c r="AB25" s="438"/>
      <c r="AC25" s="438"/>
      <c r="AD25" s="438"/>
      <c r="AE25" s="438"/>
      <c r="AF25" s="438"/>
      <c r="AG25" s="438"/>
      <c r="AH25" s="438"/>
    </row>
    <row r="26">
      <c r="A26" s="438"/>
      <c r="B26" s="438"/>
      <c r="C26" s="438"/>
      <c r="D26" s="438"/>
      <c r="E26" s="438"/>
      <c r="F26" s="438"/>
      <c r="G26" s="438"/>
      <c r="H26" s="438"/>
      <c r="I26" s="438"/>
      <c r="J26" s="438"/>
      <c r="K26" s="438"/>
      <c r="L26" s="438"/>
      <c r="M26" s="438"/>
      <c r="N26" s="438"/>
      <c r="O26" s="438"/>
      <c r="P26" s="438"/>
      <c r="Q26" s="438"/>
      <c r="R26" s="438"/>
      <c r="S26" s="438"/>
      <c r="T26" s="438"/>
      <c r="U26" s="438"/>
      <c r="V26" s="438"/>
      <c r="W26" s="438"/>
      <c r="X26" s="438"/>
      <c r="Y26" s="438"/>
      <c r="Z26" s="438"/>
      <c r="AA26" s="438"/>
      <c r="AB26" s="438"/>
      <c r="AC26" s="438"/>
      <c r="AD26" s="438"/>
      <c r="AE26" s="438"/>
      <c r="AF26" s="438"/>
      <c r="AG26" s="438"/>
      <c r="AH26" s="438"/>
    </row>
    <row r="27">
      <c r="A27" s="438"/>
      <c r="B27" s="438"/>
      <c r="C27" s="438"/>
      <c r="D27" s="438"/>
      <c r="E27" s="438"/>
      <c r="F27" s="438"/>
      <c r="G27" s="438"/>
      <c r="H27" s="438"/>
      <c r="I27" s="438"/>
      <c r="J27" s="438"/>
      <c r="K27" s="438"/>
      <c r="L27" s="438"/>
      <c r="M27" s="438"/>
      <c r="N27" s="438"/>
      <c r="O27" s="438"/>
      <c r="P27" s="438"/>
      <c r="Q27" s="438"/>
      <c r="R27" s="438"/>
      <c r="S27" s="438"/>
      <c r="T27" s="438"/>
      <c r="U27" s="438"/>
      <c r="V27" s="438"/>
      <c r="W27" s="438"/>
      <c r="X27" s="438"/>
      <c r="Y27" s="438"/>
      <c r="Z27" s="438"/>
      <c r="AA27" s="438"/>
      <c r="AB27" s="438"/>
      <c r="AC27" s="438"/>
      <c r="AD27" s="438"/>
      <c r="AE27" s="438"/>
      <c r="AF27" s="438"/>
      <c r="AG27" s="438"/>
      <c r="AH27" s="438"/>
    </row>
    <row r="28">
      <c r="A28" s="438"/>
      <c r="B28" s="438"/>
      <c r="C28" s="438"/>
      <c r="D28" s="438"/>
      <c r="E28" s="438"/>
      <c r="F28" s="438"/>
      <c r="G28" s="438"/>
      <c r="H28" s="438"/>
      <c r="I28" s="438"/>
      <c r="J28" s="438"/>
      <c r="K28" s="438"/>
      <c r="L28" s="438"/>
      <c r="M28" s="438"/>
      <c r="N28" s="438"/>
      <c r="O28" s="438"/>
      <c r="P28" s="438"/>
      <c r="Q28" s="438"/>
      <c r="R28" s="438"/>
      <c r="S28" s="438"/>
      <c r="T28" s="438"/>
      <c r="U28" s="438"/>
      <c r="V28" s="438"/>
      <c r="W28" s="438"/>
      <c r="X28" s="438"/>
      <c r="Y28" s="438"/>
      <c r="Z28" s="438"/>
      <c r="AA28" s="438"/>
      <c r="AB28" s="438"/>
      <c r="AC28" s="438"/>
      <c r="AD28" s="438"/>
      <c r="AE28" s="438"/>
      <c r="AF28" s="438"/>
      <c r="AG28" s="438"/>
      <c r="AH28" s="438"/>
    </row>
    <row r="29">
      <c r="A29" s="438"/>
      <c r="B29" s="438"/>
      <c r="C29" s="438"/>
      <c r="D29" s="438"/>
      <c r="E29" s="438"/>
      <c r="F29" s="438"/>
      <c r="G29" s="438"/>
      <c r="H29" s="438"/>
      <c r="I29" s="438"/>
      <c r="J29" s="438"/>
      <c r="K29" s="438"/>
      <c r="L29" s="438"/>
      <c r="M29" s="438"/>
      <c r="N29" s="438"/>
      <c r="O29" s="438"/>
      <c r="P29" s="438"/>
      <c r="Q29" s="438"/>
      <c r="R29" s="438"/>
      <c r="S29" s="438"/>
      <c r="T29" s="438"/>
      <c r="U29" s="438"/>
      <c r="V29" s="438"/>
      <c r="W29" s="438"/>
      <c r="X29" s="438"/>
      <c r="Y29" s="438"/>
      <c r="Z29" s="438"/>
      <c r="AA29" s="438"/>
      <c r="AB29" s="438"/>
      <c r="AC29" s="438"/>
      <c r="AD29" s="438"/>
      <c r="AE29" s="438"/>
      <c r="AF29" s="438"/>
      <c r="AG29" s="438"/>
      <c r="AH29" s="438"/>
    </row>
    <row r="30">
      <c r="A30" s="438"/>
      <c r="B30" s="438"/>
      <c r="C30" s="438"/>
      <c r="D30" s="438"/>
      <c r="E30" s="438"/>
      <c r="F30" s="438"/>
      <c r="G30" s="438"/>
      <c r="H30" s="438"/>
      <c r="I30" s="438"/>
      <c r="J30" s="438"/>
      <c r="K30" s="438"/>
      <c r="L30" s="438"/>
      <c r="M30" s="438"/>
      <c r="N30" s="438"/>
      <c r="O30" s="438"/>
      <c r="P30" s="438"/>
      <c r="Q30" s="438"/>
      <c r="R30" s="438"/>
      <c r="S30" s="438"/>
      <c r="T30" s="438"/>
      <c r="U30" s="438"/>
      <c r="V30" s="438"/>
      <c r="W30" s="438"/>
      <c r="X30" s="438"/>
      <c r="Y30" s="438"/>
      <c r="Z30" s="438"/>
      <c r="AA30" s="438"/>
      <c r="AB30" s="438"/>
      <c r="AC30" s="438"/>
      <c r="AD30" s="438"/>
      <c r="AE30" s="438"/>
      <c r="AF30" s="438"/>
      <c r="AG30" s="438"/>
      <c r="AH30" s="438"/>
    </row>
    <row r="31">
      <c r="A31" s="438"/>
      <c r="B31" s="438"/>
      <c r="C31" s="438"/>
      <c r="D31" s="438"/>
      <c r="E31" s="438"/>
      <c r="F31" s="438"/>
      <c r="G31" s="438"/>
      <c r="H31" s="438"/>
      <c r="I31" s="438"/>
      <c r="J31" s="438"/>
      <c r="K31" s="438"/>
      <c r="L31" s="438"/>
      <c r="M31" s="438"/>
      <c r="N31" s="438"/>
      <c r="O31" s="438"/>
      <c r="P31" s="438"/>
      <c r="Q31" s="438"/>
      <c r="R31" s="438"/>
      <c r="S31" s="438"/>
      <c r="T31" s="438"/>
      <c r="U31" s="438"/>
      <c r="V31" s="438"/>
      <c r="W31" s="438"/>
      <c r="X31" s="438"/>
      <c r="Y31" s="438"/>
      <c r="Z31" s="438"/>
      <c r="AA31" s="438"/>
      <c r="AB31" s="438"/>
      <c r="AC31" s="438"/>
      <c r="AD31" s="438"/>
      <c r="AE31" s="438"/>
      <c r="AF31" s="438"/>
      <c r="AG31" s="438"/>
      <c r="AH31" s="438"/>
    </row>
    <row r="32">
      <c r="A32" s="438"/>
      <c r="B32" s="438"/>
      <c r="C32" s="438"/>
      <c r="D32" s="438"/>
      <c r="E32" s="438"/>
      <c r="F32" s="438"/>
      <c r="G32" s="438"/>
      <c r="H32" s="438"/>
      <c r="I32" s="438"/>
      <c r="J32" s="438"/>
      <c r="K32" s="438"/>
      <c r="L32" s="438"/>
      <c r="M32" s="438"/>
      <c r="N32" s="438"/>
      <c r="O32" s="438"/>
      <c r="P32" s="438"/>
      <c r="Q32" s="438"/>
      <c r="R32" s="438"/>
      <c r="S32" s="438"/>
      <c r="T32" s="438"/>
      <c r="U32" s="438"/>
      <c r="V32" s="438"/>
      <c r="W32" s="438"/>
      <c r="X32" s="438"/>
      <c r="Y32" s="438"/>
      <c r="Z32" s="438"/>
      <c r="AA32" s="438"/>
      <c r="AB32" s="438"/>
      <c r="AC32" s="438"/>
      <c r="AD32" s="438"/>
      <c r="AE32" s="438"/>
      <c r="AF32" s="438"/>
      <c r="AG32" s="438"/>
      <c r="AH32" s="438"/>
    </row>
    <row r="33">
      <c r="A33" s="438"/>
      <c r="B33" s="438"/>
      <c r="C33" s="438"/>
      <c r="D33" s="438"/>
      <c r="E33" s="438"/>
      <c r="F33" s="438"/>
      <c r="G33" s="438"/>
      <c r="H33" s="438"/>
      <c r="I33" s="438"/>
      <c r="J33" s="438"/>
      <c r="K33" s="438"/>
      <c r="L33" s="438"/>
      <c r="M33" s="438"/>
      <c r="N33" s="438"/>
      <c r="O33" s="438"/>
      <c r="P33" s="438"/>
      <c r="Q33" s="438"/>
      <c r="R33" s="438"/>
      <c r="S33" s="438"/>
      <c r="T33" s="438"/>
      <c r="U33" s="438"/>
      <c r="V33" s="438"/>
      <c r="W33" s="438"/>
      <c r="X33" s="438"/>
      <c r="Y33" s="438"/>
      <c r="Z33" s="438"/>
      <c r="AA33" s="438"/>
      <c r="AB33" s="438"/>
      <c r="AC33" s="438"/>
      <c r="AD33" s="438"/>
      <c r="AE33" s="438"/>
      <c r="AF33" s="438"/>
      <c r="AG33" s="438"/>
      <c r="AH33" s="438"/>
    </row>
    <row r="34">
      <c r="A34" s="438"/>
      <c r="B34" s="438"/>
      <c r="C34" s="438"/>
      <c r="D34" s="438"/>
      <c r="E34" s="438"/>
      <c r="F34" s="438"/>
      <c r="G34" s="438"/>
      <c r="H34" s="438"/>
      <c r="I34" s="438"/>
      <c r="J34" s="438"/>
      <c r="K34" s="438"/>
      <c r="L34" s="438"/>
      <c r="M34" s="438"/>
      <c r="N34" s="438"/>
      <c r="O34" s="438"/>
      <c r="P34" s="438"/>
      <c r="Q34" s="438"/>
      <c r="R34" s="438"/>
      <c r="S34" s="438"/>
      <c r="T34" s="438"/>
      <c r="U34" s="438"/>
      <c r="V34" s="438"/>
      <c r="W34" s="438"/>
      <c r="X34" s="438"/>
      <c r="Y34" s="438"/>
      <c r="Z34" s="438"/>
      <c r="AA34" s="438"/>
      <c r="AB34" s="438"/>
      <c r="AC34" s="438"/>
      <c r="AD34" s="438"/>
      <c r="AE34" s="438"/>
      <c r="AF34" s="438"/>
      <c r="AG34" s="438"/>
      <c r="AH34" s="438"/>
    </row>
    <row r="35">
      <c r="A35" s="438"/>
      <c r="B35" s="438"/>
      <c r="C35" s="438"/>
      <c r="D35" s="438"/>
      <c r="E35" s="438"/>
      <c r="F35" s="438"/>
      <c r="G35" s="438"/>
      <c r="H35" s="438"/>
      <c r="I35" s="438"/>
      <c r="J35" s="438"/>
      <c r="K35" s="438"/>
      <c r="L35" s="438"/>
      <c r="M35" s="438"/>
      <c r="N35" s="438"/>
      <c r="O35" s="438"/>
      <c r="P35" s="438"/>
      <c r="Q35" s="438"/>
      <c r="R35" s="438"/>
      <c r="S35" s="438"/>
      <c r="T35" s="438"/>
      <c r="U35" s="438"/>
      <c r="V35" s="438"/>
      <c r="W35" s="438"/>
      <c r="X35" s="438"/>
      <c r="Y35" s="438"/>
      <c r="Z35" s="438"/>
      <c r="AA35" s="438"/>
      <c r="AB35" s="438"/>
      <c r="AC35" s="438"/>
      <c r="AD35" s="438"/>
      <c r="AE35" s="438"/>
      <c r="AF35" s="438"/>
      <c r="AG35" s="438"/>
      <c r="AH35" s="438"/>
    </row>
    <row r="36">
      <c r="A36" s="438"/>
      <c r="B36" s="438"/>
      <c r="C36" s="438"/>
      <c r="D36" s="438"/>
      <c r="E36" s="438"/>
      <c r="F36" s="438"/>
      <c r="G36" s="438"/>
      <c r="H36" s="438"/>
      <c r="I36" s="438"/>
      <c r="J36" s="438"/>
      <c r="K36" s="438"/>
      <c r="L36" s="438"/>
      <c r="M36" s="438"/>
      <c r="N36" s="438"/>
      <c r="O36" s="438"/>
      <c r="P36" s="438"/>
      <c r="Q36" s="438"/>
      <c r="R36" s="438"/>
      <c r="S36" s="438"/>
      <c r="T36" s="438"/>
      <c r="U36" s="438"/>
      <c r="V36" s="438"/>
      <c r="W36" s="438"/>
      <c r="X36" s="438"/>
      <c r="Y36" s="438"/>
      <c r="Z36" s="438"/>
      <c r="AA36" s="438"/>
      <c r="AB36" s="438"/>
      <c r="AC36" s="438"/>
      <c r="AD36" s="438"/>
      <c r="AE36" s="438"/>
      <c r="AF36" s="438"/>
      <c r="AG36" s="438"/>
      <c r="AH36" s="438"/>
    </row>
    <row r="37">
      <c r="A37" s="412" t="s">
        <v>2187</v>
      </c>
      <c r="B37" s="413"/>
      <c r="C37" s="413"/>
      <c r="D37" s="413"/>
      <c r="E37" s="413"/>
      <c r="F37" s="413"/>
      <c r="G37" s="413"/>
      <c r="H37" s="413"/>
      <c r="I37" s="413"/>
      <c r="J37" s="413"/>
      <c r="K37" s="413"/>
      <c r="L37" s="413"/>
      <c r="M37" s="413"/>
      <c r="N37" s="413"/>
      <c r="O37" s="413"/>
      <c r="P37" s="413"/>
      <c r="Q37" s="413"/>
      <c r="R37" s="413"/>
      <c r="S37" s="414"/>
      <c r="T37" s="413"/>
      <c r="U37" s="413"/>
      <c r="V37" s="413"/>
      <c r="W37" s="413"/>
      <c r="X37" s="413"/>
      <c r="Y37" s="413"/>
      <c r="Z37" s="413"/>
      <c r="AA37" s="413"/>
      <c r="AB37" s="413"/>
      <c r="AC37" s="413"/>
      <c r="AD37" s="413"/>
      <c r="AE37" s="413"/>
      <c r="AF37" s="413"/>
      <c r="AG37" s="413"/>
      <c r="AH37" s="413"/>
    </row>
    <row r="38">
      <c r="A38" s="415" t="s">
        <v>2158</v>
      </c>
      <c r="B38" s="419" t="s">
        <v>2168</v>
      </c>
      <c r="C38" s="419" t="s">
        <v>2169</v>
      </c>
      <c r="D38" s="419" t="s">
        <v>2170</v>
      </c>
      <c r="E38" s="439" t="s">
        <v>2159</v>
      </c>
      <c r="F38" s="439" t="s">
        <v>2160</v>
      </c>
      <c r="G38" s="439" t="s">
        <v>2161</v>
      </c>
      <c r="H38" s="417" t="s">
        <v>2162</v>
      </c>
      <c r="I38" s="417" t="s">
        <v>2163</v>
      </c>
      <c r="J38" s="417" t="s">
        <v>2164</v>
      </c>
      <c r="K38" s="418" t="s">
        <v>2165</v>
      </c>
      <c r="L38" s="418" t="s">
        <v>2166</v>
      </c>
      <c r="M38" s="418" t="s">
        <v>2167</v>
      </c>
      <c r="N38" s="419" t="s">
        <v>2168</v>
      </c>
      <c r="O38" s="419" t="s">
        <v>2169</v>
      </c>
      <c r="P38" s="419" t="s">
        <v>2170</v>
      </c>
      <c r="Q38" s="420" t="s">
        <v>188</v>
      </c>
      <c r="R38" s="415" t="s">
        <v>2176</v>
      </c>
      <c r="S38" s="421" t="s">
        <v>2177</v>
      </c>
      <c r="T38" s="415" t="s">
        <v>2178</v>
      </c>
      <c r="U38" s="415" t="s">
        <v>2179</v>
      </c>
      <c r="V38" s="420" t="s">
        <v>2188</v>
      </c>
      <c r="W38" s="415" t="s">
        <v>2189</v>
      </c>
      <c r="X38" s="413"/>
      <c r="Y38" s="413"/>
      <c r="Z38" s="413"/>
      <c r="AA38" s="413"/>
      <c r="AB38" s="413"/>
      <c r="AC38" s="413"/>
      <c r="AD38" s="413"/>
      <c r="AE38" s="413"/>
      <c r="AF38" s="413"/>
      <c r="AG38" s="413"/>
      <c r="AH38" s="413"/>
    </row>
    <row r="39">
      <c r="A39" s="413" t="s">
        <v>1856</v>
      </c>
      <c r="B39" s="440">
        <v>1.0</v>
      </c>
      <c r="C39" s="440">
        <v>1.0</v>
      </c>
      <c r="D39" s="440">
        <v>1.0</v>
      </c>
      <c r="E39" s="423">
        <v>0.0</v>
      </c>
      <c r="F39" s="423">
        <v>0.0</v>
      </c>
      <c r="G39" s="423">
        <v>1.0</v>
      </c>
      <c r="H39" s="441">
        <v>0.0</v>
      </c>
      <c r="I39" s="441">
        <v>5.0</v>
      </c>
      <c r="J39" s="441">
        <v>4.0</v>
      </c>
      <c r="K39" s="442">
        <v>2.0</v>
      </c>
      <c r="L39" s="442">
        <v>1.0</v>
      </c>
      <c r="M39" s="442">
        <v>0.0</v>
      </c>
      <c r="N39" s="440">
        <v>1.0</v>
      </c>
      <c r="O39" s="443"/>
      <c r="P39" s="443"/>
      <c r="Q39" s="420">
        <f t="shared" ref="Q39:Q47" si="14">SUM(B39:P39)</f>
        <v>17</v>
      </c>
      <c r="R39" s="425">
        <f t="shared" ref="R39:R46" si="15">SUM(K39:M39)</f>
        <v>3</v>
      </c>
      <c r="S39" s="426">
        <f>R39/$R$46</f>
        <v>0.0652173913</v>
      </c>
      <c r="T39" s="425">
        <f t="shared" ref="T39:T47" si="16">sum(N39:P39)</f>
        <v>1</v>
      </c>
      <c r="U39" s="426">
        <f t="shared" ref="U39:U45" si="17">T39/$T$46</f>
        <v>0.02325581395</v>
      </c>
      <c r="V39" s="420">
        <f t="shared" ref="V39:V45" si="18">sum(E39:P39)</f>
        <v>14</v>
      </c>
      <c r="W39" s="426">
        <f t="shared" ref="W39:W45" si="19">V39/$V$46</f>
        <v>0.08860759494</v>
      </c>
      <c r="X39" s="413"/>
      <c r="Y39" s="413"/>
      <c r="Z39" s="413"/>
      <c r="AA39" s="413"/>
      <c r="AB39" s="413"/>
      <c r="AC39" s="413"/>
      <c r="AD39" s="413"/>
      <c r="AE39" s="413"/>
      <c r="AF39" s="413"/>
      <c r="AG39" s="413"/>
      <c r="AH39" s="413"/>
    </row>
    <row r="40">
      <c r="A40" s="413" t="s">
        <v>267</v>
      </c>
      <c r="B40" s="440">
        <v>0.0</v>
      </c>
      <c r="C40" s="440">
        <v>1.0</v>
      </c>
      <c r="D40" s="440">
        <v>1.0</v>
      </c>
      <c r="E40" s="423">
        <v>3.0</v>
      </c>
      <c r="F40" s="423">
        <v>4.0</v>
      </c>
      <c r="G40" s="423">
        <v>4.0</v>
      </c>
      <c r="H40" s="441">
        <v>5.0</v>
      </c>
      <c r="I40" s="441">
        <v>9.0</v>
      </c>
      <c r="J40" s="441">
        <v>8.0</v>
      </c>
      <c r="K40" s="442">
        <v>10.0</v>
      </c>
      <c r="L40" s="442">
        <v>14.0</v>
      </c>
      <c r="M40" s="442">
        <v>7.0</v>
      </c>
      <c r="N40" s="440">
        <v>13.0</v>
      </c>
      <c r="O40" s="440">
        <v>11.0</v>
      </c>
      <c r="P40" s="440">
        <v>8.0</v>
      </c>
      <c r="Q40" s="420">
        <f t="shared" si="14"/>
        <v>98</v>
      </c>
      <c r="R40" s="425">
        <f t="shared" si="15"/>
        <v>31</v>
      </c>
      <c r="S40" s="426">
        <f t="shared" ref="S40:S45" si="20">R40/$R$47</f>
        <v>0.6739130435</v>
      </c>
      <c r="T40" s="425">
        <f t="shared" si="16"/>
        <v>32</v>
      </c>
      <c r="U40" s="426">
        <f t="shared" si="17"/>
        <v>0.7441860465</v>
      </c>
      <c r="V40" s="420">
        <f t="shared" si="18"/>
        <v>96</v>
      </c>
      <c r="W40" s="426">
        <f t="shared" si="19"/>
        <v>0.6075949367</v>
      </c>
      <c r="X40" s="413"/>
      <c r="Y40" s="413"/>
      <c r="Z40" s="413"/>
      <c r="AA40" s="413"/>
      <c r="AB40" s="413"/>
      <c r="AC40" s="413"/>
      <c r="AD40" s="413"/>
      <c r="AE40" s="413"/>
      <c r="AF40" s="413"/>
      <c r="AG40" s="413"/>
      <c r="AH40" s="413"/>
    </row>
    <row r="41">
      <c r="A41" s="413" t="s">
        <v>2183</v>
      </c>
      <c r="B41" s="440">
        <v>1.0</v>
      </c>
      <c r="C41" s="440">
        <v>1.0</v>
      </c>
      <c r="D41" s="440">
        <v>0.0</v>
      </c>
      <c r="E41" s="423">
        <v>1.0</v>
      </c>
      <c r="F41" s="423">
        <v>2.0</v>
      </c>
      <c r="G41" s="423">
        <v>2.0</v>
      </c>
      <c r="H41" s="441">
        <v>1.0</v>
      </c>
      <c r="I41" s="441">
        <v>2.0</v>
      </c>
      <c r="J41" s="441">
        <v>0.0</v>
      </c>
      <c r="K41" s="442">
        <v>0.0</v>
      </c>
      <c r="L41" s="442">
        <v>1.0</v>
      </c>
      <c r="M41" s="442">
        <v>3.0</v>
      </c>
      <c r="N41" s="443"/>
      <c r="O41" s="443"/>
      <c r="P41" s="443"/>
      <c r="Q41" s="420">
        <f t="shared" si="14"/>
        <v>14</v>
      </c>
      <c r="R41" s="425">
        <f t="shared" si="15"/>
        <v>4</v>
      </c>
      <c r="S41" s="426">
        <f t="shared" si="20"/>
        <v>0.08695652174</v>
      </c>
      <c r="T41" s="425">
        <f t="shared" si="16"/>
        <v>0</v>
      </c>
      <c r="U41" s="426">
        <f t="shared" si="17"/>
        <v>0</v>
      </c>
      <c r="V41" s="420">
        <f t="shared" si="18"/>
        <v>12</v>
      </c>
      <c r="W41" s="426">
        <f t="shared" si="19"/>
        <v>0.07594936709</v>
      </c>
      <c r="X41" s="413"/>
      <c r="Y41" s="413"/>
      <c r="Z41" s="413"/>
      <c r="AA41" s="413"/>
      <c r="AB41" s="413"/>
      <c r="AC41" s="413"/>
      <c r="AD41" s="413"/>
      <c r="AE41" s="413"/>
      <c r="AF41" s="413"/>
      <c r="AG41" s="413"/>
      <c r="AH41" s="413"/>
    </row>
    <row r="42">
      <c r="A42" s="413" t="s">
        <v>2184</v>
      </c>
      <c r="B42" s="440">
        <v>0.0</v>
      </c>
      <c r="C42" s="440">
        <v>0.0</v>
      </c>
      <c r="D42" s="440">
        <v>0.0</v>
      </c>
      <c r="E42" s="423">
        <v>0.0</v>
      </c>
      <c r="F42" s="423">
        <v>3.0</v>
      </c>
      <c r="G42" s="423">
        <v>3.0</v>
      </c>
      <c r="H42" s="441">
        <v>5.0</v>
      </c>
      <c r="I42" s="441">
        <v>1.0</v>
      </c>
      <c r="J42" s="441">
        <v>1.0</v>
      </c>
      <c r="K42" s="442">
        <v>1.0</v>
      </c>
      <c r="L42" s="442">
        <v>0.0</v>
      </c>
      <c r="M42" s="442">
        <v>2.0</v>
      </c>
      <c r="N42" s="440">
        <v>4.0</v>
      </c>
      <c r="O42" s="443"/>
      <c r="P42" s="443"/>
      <c r="Q42" s="420">
        <f t="shared" si="14"/>
        <v>20</v>
      </c>
      <c r="R42" s="425">
        <f t="shared" si="15"/>
        <v>3</v>
      </c>
      <c r="S42" s="426">
        <f t="shared" si="20"/>
        <v>0.0652173913</v>
      </c>
      <c r="T42" s="425">
        <f t="shared" si="16"/>
        <v>4</v>
      </c>
      <c r="U42" s="426">
        <f t="shared" si="17"/>
        <v>0.09302325581</v>
      </c>
      <c r="V42" s="420">
        <f t="shared" si="18"/>
        <v>20</v>
      </c>
      <c r="W42" s="426">
        <f t="shared" si="19"/>
        <v>0.1265822785</v>
      </c>
      <c r="X42" s="413"/>
      <c r="Y42" s="413"/>
      <c r="Z42" s="413"/>
      <c r="AA42" s="413"/>
      <c r="AB42" s="413"/>
      <c r="AC42" s="413"/>
      <c r="AD42" s="413"/>
      <c r="AE42" s="413"/>
      <c r="AF42" s="413"/>
      <c r="AG42" s="413"/>
      <c r="AH42" s="413"/>
    </row>
    <row r="43">
      <c r="A43" s="413" t="s">
        <v>1762</v>
      </c>
      <c r="B43" s="440">
        <v>1.0</v>
      </c>
      <c r="C43" s="440">
        <v>1.0</v>
      </c>
      <c r="D43" s="440">
        <v>0.0</v>
      </c>
      <c r="E43" s="423">
        <v>0.0</v>
      </c>
      <c r="F43" s="423">
        <v>0.0</v>
      </c>
      <c r="G43" s="423">
        <v>0.0</v>
      </c>
      <c r="H43" s="441">
        <v>1.0</v>
      </c>
      <c r="I43" s="441">
        <v>1.0</v>
      </c>
      <c r="J43" s="441">
        <v>1.0</v>
      </c>
      <c r="K43" s="442">
        <v>0.0</v>
      </c>
      <c r="L43" s="442">
        <v>0.0</v>
      </c>
      <c r="M43" s="442">
        <v>0.0</v>
      </c>
      <c r="N43" s="440">
        <v>1.0</v>
      </c>
      <c r="O43" s="443"/>
      <c r="P43" s="443"/>
      <c r="Q43" s="420">
        <f t="shared" si="14"/>
        <v>6</v>
      </c>
      <c r="R43" s="425">
        <f t="shared" si="15"/>
        <v>0</v>
      </c>
      <c r="S43" s="426">
        <f t="shared" si="20"/>
        <v>0</v>
      </c>
      <c r="T43" s="425">
        <f t="shared" si="16"/>
        <v>1</v>
      </c>
      <c r="U43" s="426">
        <f t="shared" si="17"/>
        <v>0.02325581395</v>
      </c>
      <c r="V43" s="420">
        <f t="shared" si="18"/>
        <v>4</v>
      </c>
      <c r="W43" s="426">
        <f t="shared" si="19"/>
        <v>0.0253164557</v>
      </c>
      <c r="X43" s="413"/>
      <c r="Y43" s="413"/>
      <c r="Z43" s="413"/>
      <c r="AA43" s="413"/>
      <c r="AB43" s="413"/>
      <c r="AC43" s="413"/>
      <c r="AD43" s="413"/>
      <c r="AE43" s="413"/>
      <c r="AF43" s="413"/>
      <c r="AG43" s="413"/>
      <c r="AH43" s="413"/>
    </row>
    <row r="44">
      <c r="A44" s="413" t="s">
        <v>1702</v>
      </c>
      <c r="B44" s="440">
        <v>1.0</v>
      </c>
      <c r="C44" s="440">
        <v>0.0</v>
      </c>
      <c r="D44" s="440">
        <v>0.0</v>
      </c>
      <c r="E44" s="423">
        <v>0.0</v>
      </c>
      <c r="F44" s="423">
        <v>0.0</v>
      </c>
      <c r="G44" s="423">
        <v>0.0</v>
      </c>
      <c r="H44" s="441">
        <v>0.0</v>
      </c>
      <c r="I44" s="441">
        <v>1.0</v>
      </c>
      <c r="J44" s="441">
        <v>1.0</v>
      </c>
      <c r="K44" s="442">
        <v>1.0</v>
      </c>
      <c r="L44" s="442">
        <v>0.0</v>
      </c>
      <c r="M44" s="442">
        <v>2.0</v>
      </c>
      <c r="N44" s="443"/>
      <c r="O44" s="443"/>
      <c r="P44" s="440">
        <v>1.0</v>
      </c>
      <c r="Q44" s="420">
        <f t="shared" si="14"/>
        <v>7</v>
      </c>
      <c r="R44" s="425">
        <f t="shared" si="15"/>
        <v>3</v>
      </c>
      <c r="S44" s="426">
        <f t="shared" si="20"/>
        <v>0.0652173913</v>
      </c>
      <c r="T44" s="425">
        <f t="shared" si="16"/>
        <v>1</v>
      </c>
      <c r="U44" s="426">
        <f t="shared" si="17"/>
        <v>0.02325581395</v>
      </c>
      <c r="V44" s="420">
        <f t="shared" si="18"/>
        <v>6</v>
      </c>
      <c r="W44" s="426">
        <f t="shared" si="19"/>
        <v>0.03797468354</v>
      </c>
      <c r="X44" s="413"/>
      <c r="Y44" s="413"/>
      <c r="Z44" s="413"/>
      <c r="AA44" s="413"/>
      <c r="AB44" s="413"/>
      <c r="AC44" s="413"/>
      <c r="AD44" s="413"/>
      <c r="AE44" s="413"/>
      <c r="AF44" s="413"/>
      <c r="AG44" s="413"/>
      <c r="AH44" s="413"/>
    </row>
    <row r="45">
      <c r="A45" s="413" t="s">
        <v>2190</v>
      </c>
      <c r="B45" s="443"/>
      <c r="C45" s="443"/>
      <c r="D45" s="443"/>
      <c r="E45" s="444"/>
      <c r="F45" s="444"/>
      <c r="G45" s="444"/>
      <c r="H45" s="445"/>
      <c r="I45" s="445"/>
      <c r="J45" s="445"/>
      <c r="K45" s="446"/>
      <c r="L45" s="446"/>
      <c r="M45" s="442">
        <v>2.0</v>
      </c>
      <c r="N45" s="440">
        <v>2.0</v>
      </c>
      <c r="O45" s="440">
        <v>2.0</v>
      </c>
      <c r="P45" s="443"/>
      <c r="Q45" s="420">
        <f t="shared" si="14"/>
        <v>6</v>
      </c>
      <c r="R45" s="425">
        <f t="shared" si="15"/>
        <v>2</v>
      </c>
      <c r="S45" s="426">
        <f t="shared" si="20"/>
        <v>0.04347826087</v>
      </c>
      <c r="T45" s="425">
        <f t="shared" si="16"/>
        <v>4</v>
      </c>
      <c r="U45" s="426">
        <f t="shared" si="17"/>
        <v>0.09302325581</v>
      </c>
      <c r="V45" s="420">
        <f t="shared" si="18"/>
        <v>6</v>
      </c>
      <c r="W45" s="426">
        <f t="shared" si="19"/>
        <v>0.03797468354</v>
      </c>
      <c r="X45" s="413"/>
      <c r="Y45" s="413"/>
      <c r="Z45" s="413"/>
      <c r="AA45" s="413"/>
      <c r="AB45" s="413"/>
      <c r="AC45" s="413"/>
      <c r="AD45" s="413"/>
      <c r="AE45" s="413"/>
      <c r="AF45" s="413"/>
      <c r="AG45" s="413"/>
      <c r="AH45" s="413"/>
    </row>
    <row r="46">
      <c r="A46" s="415" t="s">
        <v>2185</v>
      </c>
      <c r="B46" s="419">
        <f t="shared" ref="B46:F46" si="21">SUM(B39:B44)</f>
        <v>4</v>
      </c>
      <c r="C46" s="419">
        <f t="shared" si="21"/>
        <v>4</v>
      </c>
      <c r="D46" s="419">
        <f t="shared" si="21"/>
        <v>2</v>
      </c>
      <c r="E46" s="439">
        <f t="shared" si="21"/>
        <v>4</v>
      </c>
      <c r="F46" s="439">
        <f t="shared" si="21"/>
        <v>9</v>
      </c>
      <c r="G46" s="439">
        <v>10.0</v>
      </c>
      <c r="H46" s="417">
        <f t="shared" ref="H46:L46" si="22">SUM(H39:H44)</f>
        <v>12</v>
      </c>
      <c r="I46" s="417">
        <f t="shared" si="22"/>
        <v>19</v>
      </c>
      <c r="J46" s="417">
        <f t="shared" si="22"/>
        <v>15</v>
      </c>
      <c r="K46" s="418">
        <f t="shared" si="22"/>
        <v>14</v>
      </c>
      <c r="L46" s="418">
        <f t="shared" si="22"/>
        <v>16</v>
      </c>
      <c r="M46" s="418">
        <f t="shared" ref="M46:P46" si="23">SUM(M39:M45)</f>
        <v>16</v>
      </c>
      <c r="N46" s="419">
        <f t="shared" si="23"/>
        <v>21</v>
      </c>
      <c r="O46" s="419">
        <f t="shared" si="23"/>
        <v>13</v>
      </c>
      <c r="P46" s="419">
        <f t="shared" si="23"/>
        <v>9</v>
      </c>
      <c r="Q46" s="420">
        <f t="shared" si="14"/>
        <v>168</v>
      </c>
      <c r="R46" s="425">
        <f t="shared" si="15"/>
        <v>46</v>
      </c>
      <c r="S46" s="429">
        <f>SUM(S39:S45)</f>
        <v>1</v>
      </c>
      <c r="T46" s="425">
        <f t="shared" si="16"/>
        <v>43</v>
      </c>
      <c r="U46" s="429">
        <f t="shared" ref="U46:W46" si="24">SUM(U39:U45)</f>
        <v>1</v>
      </c>
      <c r="V46" s="420">
        <f t="shared" si="24"/>
        <v>158</v>
      </c>
      <c r="W46" s="429">
        <f t="shared" si="24"/>
        <v>1</v>
      </c>
      <c r="X46" s="413"/>
      <c r="Y46" s="413"/>
      <c r="Z46" s="413"/>
      <c r="AA46" s="413"/>
      <c r="AB46" s="413"/>
      <c r="AC46" s="413"/>
      <c r="AD46" s="413"/>
      <c r="AE46" s="413"/>
      <c r="AF46" s="413"/>
      <c r="AG46" s="413"/>
      <c r="AH46" s="413"/>
    </row>
    <row r="47">
      <c r="A47" s="413"/>
      <c r="B47" s="419">
        <f>sum(B46:D46)</f>
        <v>10</v>
      </c>
      <c r="E47" s="447">
        <f>SUM(E46:G46)</f>
        <v>23</v>
      </c>
      <c r="H47" s="417">
        <f>sum(H46:J46)</f>
        <v>46</v>
      </c>
      <c r="K47" s="418">
        <f>SUM(K46:M46)</f>
        <v>46</v>
      </c>
      <c r="N47" s="419">
        <f>sum(N46:P46)</f>
        <v>43</v>
      </c>
      <c r="Q47" s="420">
        <f t="shared" si="14"/>
        <v>168</v>
      </c>
      <c r="R47" s="433">
        <f>SUM(K47:L47)</f>
        <v>46</v>
      </c>
      <c r="S47" s="434"/>
      <c r="T47" s="433">
        <f t="shared" si="16"/>
        <v>43</v>
      </c>
      <c r="U47" s="414"/>
      <c r="V47" s="435">
        <f>sum(E47:N47)</f>
        <v>158</v>
      </c>
      <c r="W47" s="413"/>
      <c r="X47" s="413"/>
      <c r="Y47" s="413"/>
      <c r="Z47" s="413"/>
      <c r="AA47" s="413"/>
      <c r="AB47" s="413"/>
      <c r="AC47" s="413"/>
      <c r="AD47" s="413"/>
      <c r="AE47" s="413"/>
      <c r="AF47" s="413"/>
      <c r="AG47" s="413"/>
      <c r="AH47" s="413"/>
    </row>
    <row r="48">
      <c r="A48" s="438"/>
      <c r="B48" s="438"/>
      <c r="C48" s="438"/>
      <c r="D48" s="438"/>
      <c r="E48" s="438"/>
      <c r="F48" s="438"/>
      <c r="G48" s="438"/>
      <c r="H48" s="438"/>
      <c r="I48" s="438"/>
      <c r="J48" s="438"/>
      <c r="K48" s="438"/>
      <c r="L48" s="438"/>
      <c r="M48" s="438"/>
      <c r="N48" s="438"/>
      <c r="O48" s="438"/>
      <c r="P48" s="438"/>
      <c r="Q48" s="438"/>
      <c r="R48" s="438"/>
      <c r="S48" s="438"/>
      <c r="T48" s="438"/>
      <c r="U48" s="438"/>
      <c r="V48" s="438"/>
      <c r="W48" s="438"/>
      <c r="X48" s="438"/>
      <c r="Y48" s="438"/>
      <c r="Z48" s="438"/>
      <c r="AA48" s="438"/>
      <c r="AB48" s="438"/>
      <c r="AC48" s="438"/>
      <c r="AD48" s="438"/>
      <c r="AE48" s="438"/>
      <c r="AF48" s="438"/>
      <c r="AG48" s="438"/>
      <c r="AH48" s="438"/>
    </row>
    <row r="49">
      <c r="A49" s="438"/>
      <c r="B49" s="438"/>
      <c r="C49" s="438"/>
      <c r="D49" s="438"/>
      <c r="E49" s="438"/>
      <c r="F49" s="438"/>
      <c r="G49" s="438"/>
      <c r="H49" s="438"/>
      <c r="I49" s="438"/>
      <c r="J49" s="438"/>
      <c r="K49" s="438"/>
      <c r="L49" s="438"/>
      <c r="M49" s="438"/>
      <c r="N49" s="438"/>
      <c r="O49" s="438"/>
      <c r="P49" s="438"/>
      <c r="Q49" s="438"/>
      <c r="R49" s="438"/>
      <c r="S49" s="438"/>
      <c r="T49" s="438"/>
      <c r="U49" s="438"/>
      <c r="V49" s="438"/>
      <c r="W49" s="438"/>
      <c r="X49" s="438"/>
      <c r="Y49" s="438"/>
      <c r="Z49" s="438"/>
      <c r="AA49" s="438"/>
      <c r="AB49" s="438"/>
      <c r="AC49" s="438"/>
      <c r="AD49" s="438"/>
      <c r="AE49" s="438"/>
      <c r="AF49" s="438"/>
      <c r="AG49" s="438"/>
      <c r="AH49" s="438"/>
    </row>
    <row r="50">
      <c r="A50" s="438"/>
      <c r="B50" s="438"/>
      <c r="C50" s="438"/>
      <c r="D50" s="438"/>
      <c r="E50" s="438"/>
      <c r="F50" s="438"/>
      <c r="G50" s="438"/>
      <c r="H50" s="438"/>
      <c r="I50" s="438"/>
      <c r="J50" s="438"/>
      <c r="K50" s="438"/>
      <c r="L50" s="438"/>
      <c r="M50" s="438"/>
      <c r="N50" s="438"/>
      <c r="O50" s="438"/>
      <c r="P50" s="438"/>
      <c r="Q50" s="438"/>
      <c r="R50" s="438"/>
      <c r="S50" s="438"/>
      <c r="T50" s="438"/>
      <c r="U50" s="438"/>
      <c r="V50" s="438"/>
      <c r="W50" s="438"/>
      <c r="X50" s="438"/>
      <c r="Y50" s="438"/>
      <c r="Z50" s="438"/>
      <c r="AA50" s="438"/>
      <c r="AB50" s="438"/>
      <c r="AC50" s="438"/>
      <c r="AD50" s="438"/>
      <c r="AE50" s="438"/>
      <c r="AF50" s="438"/>
      <c r="AG50" s="438"/>
      <c r="AH50" s="438"/>
    </row>
    <row r="51">
      <c r="A51" s="438"/>
      <c r="B51" s="438"/>
      <c r="C51" s="438"/>
      <c r="D51" s="438"/>
      <c r="E51" s="438"/>
      <c r="F51" s="438"/>
      <c r="G51" s="438"/>
      <c r="H51" s="438"/>
      <c r="I51" s="438"/>
      <c r="J51" s="438"/>
      <c r="K51" s="438"/>
      <c r="L51" s="438"/>
      <c r="M51" s="438"/>
      <c r="N51" s="438"/>
      <c r="O51" s="438"/>
      <c r="P51" s="438"/>
      <c r="Q51" s="438"/>
      <c r="R51" s="438"/>
      <c r="S51" s="438"/>
      <c r="T51" s="438"/>
      <c r="U51" s="438"/>
      <c r="V51" s="438"/>
      <c r="W51" s="438"/>
      <c r="X51" s="438"/>
      <c r="Y51" s="438"/>
      <c r="Z51" s="438"/>
      <c r="AA51" s="438"/>
      <c r="AB51" s="438"/>
      <c r="AC51" s="438"/>
      <c r="AD51" s="438"/>
      <c r="AE51" s="438"/>
      <c r="AF51" s="438"/>
      <c r="AG51" s="438"/>
      <c r="AH51" s="438"/>
    </row>
    <row r="52">
      <c r="A52" s="438"/>
      <c r="B52" s="438"/>
      <c r="C52" s="438"/>
      <c r="D52" s="438"/>
      <c r="E52" s="438"/>
      <c r="F52" s="438"/>
      <c r="G52" s="438"/>
      <c r="H52" s="438"/>
      <c r="I52" s="438"/>
      <c r="J52" s="438"/>
      <c r="K52" s="438"/>
      <c r="L52" s="438"/>
      <c r="M52" s="438"/>
      <c r="N52" s="438"/>
      <c r="O52" s="438"/>
      <c r="P52" s="438"/>
      <c r="Q52" s="438"/>
      <c r="R52" s="438"/>
      <c r="S52" s="438"/>
      <c r="T52" s="438"/>
      <c r="U52" s="438"/>
      <c r="V52" s="438"/>
      <c r="W52" s="438"/>
      <c r="X52" s="438"/>
      <c r="Y52" s="438"/>
      <c r="Z52" s="438"/>
      <c r="AA52" s="438"/>
      <c r="AB52" s="438"/>
      <c r="AC52" s="438"/>
      <c r="AD52" s="438"/>
      <c r="AE52" s="438"/>
      <c r="AF52" s="438"/>
      <c r="AG52" s="438"/>
      <c r="AH52" s="438"/>
    </row>
    <row r="53">
      <c r="A53" s="438"/>
      <c r="B53" s="438"/>
      <c r="C53" s="438"/>
      <c r="D53" s="438"/>
      <c r="E53" s="438"/>
      <c r="F53" s="438"/>
      <c r="G53" s="438"/>
      <c r="H53" s="438"/>
      <c r="I53" s="438"/>
      <c r="J53" s="438"/>
      <c r="K53" s="438"/>
      <c r="L53" s="438"/>
      <c r="M53" s="438"/>
      <c r="N53" s="438"/>
      <c r="O53" s="438"/>
      <c r="P53" s="438"/>
      <c r="Q53" s="438"/>
      <c r="R53" s="438"/>
      <c r="S53" s="438"/>
      <c r="T53" s="438"/>
      <c r="U53" s="438"/>
      <c r="V53" s="438"/>
      <c r="W53" s="438"/>
      <c r="X53" s="438"/>
      <c r="Y53" s="438"/>
      <c r="Z53" s="438"/>
      <c r="AA53" s="438"/>
      <c r="AB53" s="438"/>
      <c r="AC53" s="438"/>
      <c r="AD53" s="438"/>
      <c r="AE53" s="438"/>
      <c r="AF53" s="438"/>
      <c r="AG53" s="438"/>
      <c r="AH53" s="438"/>
    </row>
    <row r="54">
      <c r="A54" s="438"/>
      <c r="B54" s="438"/>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8"/>
      <c r="AA54" s="438"/>
      <c r="AB54" s="438"/>
      <c r="AC54" s="438"/>
      <c r="AD54" s="438"/>
      <c r="AE54" s="438"/>
      <c r="AF54" s="438"/>
      <c r="AG54" s="438"/>
      <c r="AH54" s="438"/>
    </row>
    <row r="55">
      <c r="A55" s="438"/>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c r="AA55" s="438"/>
      <c r="AB55" s="438"/>
      <c r="AC55" s="438"/>
      <c r="AD55" s="438"/>
      <c r="AE55" s="438"/>
      <c r="AF55" s="438"/>
      <c r="AG55" s="438"/>
      <c r="AH55" s="438"/>
    </row>
    <row r="56">
      <c r="A56" s="438"/>
      <c r="B56" s="438"/>
      <c r="C56" s="438"/>
      <c r="D56" s="438"/>
      <c r="E56" s="438"/>
      <c r="F56" s="438"/>
      <c r="G56" s="438"/>
      <c r="H56" s="438"/>
      <c r="I56" s="438"/>
      <c r="J56" s="438"/>
      <c r="K56" s="438"/>
      <c r="L56" s="438"/>
      <c r="M56" s="438"/>
      <c r="N56" s="438"/>
      <c r="O56" s="438"/>
      <c r="P56" s="438"/>
      <c r="Q56" s="438"/>
      <c r="R56" s="438"/>
      <c r="S56" s="438"/>
      <c r="T56" s="438"/>
      <c r="U56" s="438"/>
      <c r="V56" s="438"/>
      <c r="W56" s="438"/>
      <c r="X56" s="438"/>
      <c r="Y56" s="438"/>
      <c r="Z56" s="438"/>
      <c r="AA56" s="438"/>
      <c r="AB56" s="438"/>
      <c r="AC56" s="438"/>
      <c r="AD56" s="438"/>
      <c r="AE56" s="438"/>
      <c r="AF56" s="438"/>
      <c r="AG56" s="438"/>
      <c r="AH56" s="438"/>
    </row>
    <row r="57">
      <c r="A57" s="438"/>
      <c r="B57" s="438"/>
      <c r="C57" s="438"/>
      <c r="D57" s="438"/>
      <c r="E57" s="438"/>
      <c r="F57" s="438"/>
      <c r="G57" s="438"/>
      <c r="H57" s="438"/>
      <c r="I57" s="438"/>
      <c r="J57" s="438"/>
      <c r="K57" s="438"/>
      <c r="L57" s="438"/>
      <c r="M57" s="438"/>
      <c r="N57" s="438"/>
      <c r="O57" s="438"/>
      <c r="P57" s="438"/>
      <c r="Q57" s="438"/>
      <c r="R57" s="438"/>
      <c r="S57" s="438"/>
      <c r="T57" s="438"/>
      <c r="U57" s="438"/>
      <c r="V57" s="438"/>
      <c r="W57" s="438"/>
      <c r="X57" s="438"/>
      <c r="Y57" s="438"/>
      <c r="Z57" s="438"/>
      <c r="AA57" s="438"/>
      <c r="AB57" s="438"/>
      <c r="AC57" s="438"/>
      <c r="AD57" s="438"/>
      <c r="AE57" s="438"/>
      <c r="AF57" s="438"/>
      <c r="AG57" s="438"/>
      <c r="AH57" s="438"/>
    </row>
    <row r="58">
      <c r="A58" s="438"/>
      <c r="B58" s="438"/>
      <c r="C58" s="438"/>
      <c r="D58" s="438"/>
      <c r="E58" s="438"/>
      <c r="F58" s="438"/>
      <c r="G58" s="438"/>
      <c r="H58" s="438"/>
      <c r="I58" s="438"/>
      <c r="J58" s="438"/>
      <c r="K58" s="438"/>
      <c r="L58" s="438"/>
      <c r="M58" s="438"/>
      <c r="N58" s="438"/>
      <c r="O58" s="438"/>
      <c r="P58" s="438"/>
      <c r="Q58" s="438"/>
      <c r="R58" s="438"/>
      <c r="S58" s="438"/>
      <c r="T58" s="438"/>
      <c r="U58" s="438"/>
      <c r="V58" s="438"/>
      <c r="W58" s="438"/>
      <c r="X58" s="438"/>
      <c r="Y58" s="438"/>
      <c r="Z58" s="438"/>
      <c r="AA58" s="438"/>
      <c r="AB58" s="438"/>
      <c r="AC58" s="438"/>
      <c r="AD58" s="438"/>
      <c r="AE58" s="438"/>
      <c r="AF58" s="438"/>
      <c r="AG58" s="438"/>
      <c r="AH58" s="438"/>
    </row>
    <row r="59">
      <c r="A59" s="438"/>
      <c r="B59" s="438"/>
      <c r="C59" s="438"/>
      <c r="D59" s="438"/>
      <c r="E59" s="438"/>
      <c r="F59" s="438"/>
      <c r="G59" s="438"/>
      <c r="H59" s="438"/>
      <c r="I59" s="438"/>
      <c r="J59" s="438"/>
      <c r="K59" s="438"/>
      <c r="L59" s="438"/>
      <c r="M59" s="438"/>
      <c r="N59" s="438"/>
      <c r="O59" s="438"/>
      <c r="P59" s="438"/>
      <c r="Q59" s="438"/>
      <c r="R59" s="438"/>
      <c r="S59" s="438"/>
      <c r="T59" s="438"/>
      <c r="U59" s="438"/>
      <c r="V59" s="438"/>
      <c r="W59" s="438"/>
      <c r="X59" s="438"/>
      <c r="Y59" s="438"/>
      <c r="Z59" s="438"/>
      <c r="AA59" s="438"/>
      <c r="AB59" s="438"/>
      <c r="AC59" s="438"/>
      <c r="AD59" s="438"/>
      <c r="AE59" s="438"/>
      <c r="AF59" s="438"/>
      <c r="AG59" s="438"/>
      <c r="AH59" s="438"/>
    </row>
    <row r="60">
      <c r="A60" s="438"/>
      <c r="B60" s="438"/>
      <c r="C60" s="438"/>
      <c r="D60" s="438"/>
      <c r="E60" s="438"/>
      <c r="F60" s="438"/>
      <c r="G60" s="438"/>
      <c r="H60" s="438"/>
      <c r="I60" s="438"/>
      <c r="J60" s="438"/>
      <c r="K60" s="438"/>
      <c r="L60" s="438"/>
      <c r="M60" s="438"/>
      <c r="N60" s="438"/>
      <c r="O60" s="438"/>
      <c r="P60" s="438"/>
      <c r="Q60" s="438"/>
      <c r="R60" s="438"/>
      <c r="S60" s="438"/>
      <c r="T60" s="438"/>
      <c r="U60" s="438"/>
      <c r="V60" s="438"/>
      <c r="W60" s="438"/>
      <c r="X60" s="438"/>
      <c r="Y60" s="438"/>
      <c r="Z60" s="438"/>
      <c r="AA60" s="438"/>
      <c r="AB60" s="438"/>
      <c r="AC60" s="438"/>
      <c r="AD60" s="438"/>
      <c r="AE60" s="438"/>
      <c r="AF60" s="438"/>
      <c r="AG60" s="438"/>
      <c r="AH60" s="438"/>
    </row>
    <row r="61">
      <c r="A61" s="438"/>
      <c r="B61" s="438"/>
      <c r="C61" s="438"/>
      <c r="D61" s="438"/>
      <c r="E61" s="438"/>
      <c r="F61" s="438"/>
      <c r="G61" s="438"/>
      <c r="H61" s="438"/>
      <c r="I61" s="438"/>
      <c r="J61" s="438"/>
      <c r="K61" s="438"/>
      <c r="L61" s="438"/>
      <c r="M61" s="438"/>
      <c r="N61" s="438"/>
      <c r="O61" s="438"/>
      <c r="P61" s="438"/>
      <c r="Q61" s="438"/>
      <c r="R61" s="438"/>
      <c r="S61" s="438"/>
      <c r="T61" s="438"/>
      <c r="U61" s="438"/>
      <c r="V61" s="438"/>
      <c r="W61" s="438"/>
      <c r="X61" s="438"/>
      <c r="Y61" s="438"/>
      <c r="Z61" s="438"/>
      <c r="AA61" s="438"/>
      <c r="AB61" s="438"/>
      <c r="AC61" s="438"/>
      <c r="AD61" s="438"/>
      <c r="AE61" s="438"/>
      <c r="AF61" s="438"/>
      <c r="AG61" s="438"/>
      <c r="AH61" s="438"/>
    </row>
    <row r="62">
      <c r="A62" s="438"/>
      <c r="B62" s="438"/>
      <c r="C62" s="438"/>
      <c r="D62" s="438"/>
      <c r="E62" s="438"/>
      <c r="F62" s="438"/>
      <c r="G62" s="438"/>
      <c r="H62" s="438"/>
      <c r="I62" s="438"/>
      <c r="J62" s="438"/>
      <c r="K62" s="438"/>
      <c r="L62" s="438"/>
      <c r="M62" s="438"/>
      <c r="N62" s="438"/>
      <c r="O62" s="438"/>
      <c r="P62" s="438"/>
      <c r="Q62" s="438"/>
      <c r="R62" s="438"/>
      <c r="S62" s="438"/>
      <c r="T62" s="438"/>
      <c r="U62" s="438"/>
      <c r="V62" s="438"/>
      <c r="W62" s="438"/>
      <c r="X62" s="438"/>
      <c r="Y62" s="438"/>
      <c r="Z62" s="438"/>
      <c r="AA62" s="438"/>
      <c r="AB62" s="438"/>
      <c r="AC62" s="438"/>
      <c r="AD62" s="438"/>
      <c r="AE62" s="438"/>
      <c r="AF62" s="438"/>
      <c r="AG62" s="438"/>
      <c r="AH62" s="438"/>
    </row>
    <row r="63">
      <c r="A63" s="438"/>
      <c r="B63" s="438"/>
      <c r="C63" s="438"/>
      <c r="D63" s="438"/>
      <c r="E63" s="438"/>
      <c r="F63" s="438"/>
      <c r="G63" s="438"/>
      <c r="H63" s="438"/>
      <c r="I63" s="438"/>
      <c r="J63" s="438"/>
      <c r="K63" s="438"/>
      <c r="L63" s="438"/>
      <c r="M63" s="438"/>
      <c r="N63" s="438"/>
      <c r="O63" s="438"/>
      <c r="P63" s="438"/>
      <c r="Q63" s="438"/>
      <c r="R63" s="438"/>
      <c r="S63" s="438"/>
      <c r="T63" s="438"/>
      <c r="U63" s="438"/>
      <c r="V63" s="438"/>
      <c r="W63" s="438"/>
      <c r="X63" s="438"/>
      <c r="Y63" s="438"/>
      <c r="Z63" s="438"/>
      <c r="AA63" s="438"/>
      <c r="AB63" s="438"/>
      <c r="AC63" s="438"/>
      <c r="AD63" s="438"/>
      <c r="AE63" s="438"/>
      <c r="AF63" s="438"/>
      <c r="AG63" s="438"/>
      <c r="AH63" s="438"/>
    </row>
    <row r="64">
      <c r="A64" s="438"/>
      <c r="B64" s="438"/>
      <c r="C64" s="438"/>
      <c r="D64" s="438"/>
      <c r="E64" s="438"/>
      <c r="F64" s="438"/>
      <c r="G64" s="438"/>
      <c r="H64" s="438"/>
      <c r="I64" s="438"/>
      <c r="J64" s="438"/>
      <c r="K64" s="438"/>
      <c r="L64" s="438"/>
      <c r="M64" s="438"/>
      <c r="N64" s="438"/>
      <c r="O64" s="438"/>
      <c r="P64" s="438"/>
      <c r="Q64" s="438"/>
      <c r="R64" s="438"/>
      <c r="S64" s="438"/>
      <c r="T64" s="438"/>
      <c r="U64" s="438"/>
      <c r="V64" s="438"/>
      <c r="W64" s="438"/>
      <c r="X64" s="438"/>
      <c r="Y64" s="438"/>
      <c r="Z64" s="438"/>
      <c r="AA64" s="438"/>
      <c r="AB64" s="438"/>
      <c r="AC64" s="438"/>
      <c r="AD64" s="438"/>
      <c r="AE64" s="438"/>
      <c r="AF64" s="438"/>
      <c r="AG64" s="438"/>
      <c r="AH64" s="438"/>
    </row>
    <row r="65">
      <c r="A65" s="438"/>
      <c r="B65" s="438"/>
      <c r="C65" s="438"/>
      <c r="D65" s="438"/>
      <c r="E65" s="438"/>
      <c r="F65" s="438"/>
      <c r="G65" s="438"/>
      <c r="H65" s="438"/>
      <c r="I65" s="438"/>
      <c r="J65" s="438"/>
      <c r="K65" s="438"/>
      <c r="L65" s="438"/>
      <c r="M65" s="438"/>
      <c r="N65" s="438"/>
      <c r="O65" s="438"/>
      <c r="P65" s="438"/>
      <c r="Q65" s="438"/>
      <c r="R65" s="438"/>
      <c r="S65" s="438"/>
      <c r="T65" s="438"/>
      <c r="U65" s="438"/>
      <c r="V65" s="438"/>
      <c r="W65" s="438"/>
      <c r="X65" s="438"/>
      <c r="Y65" s="438"/>
      <c r="Z65" s="438"/>
      <c r="AA65" s="438"/>
      <c r="AB65" s="438"/>
      <c r="AC65" s="438"/>
      <c r="AD65" s="438"/>
      <c r="AE65" s="438"/>
      <c r="AF65" s="438"/>
      <c r="AG65" s="438"/>
      <c r="AH65" s="438"/>
    </row>
    <row r="66">
      <c r="A66" s="438"/>
      <c r="B66" s="438"/>
      <c r="C66" s="438"/>
      <c r="D66" s="438"/>
      <c r="E66" s="438"/>
      <c r="F66" s="438"/>
      <c r="G66" s="438"/>
      <c r="H66" s="438"/>
      <c r="I66" s="438"/>
      <c r="J66" s="438"/>
      <c r="K66" s="438"/>
      <c r="L66" s="438"/>
      <c r="M66" s="438"/>
      <c r="N66" s="438"/>
      <c r="O66" s="438"/>
      <c r="P66" s="438"/>
      <c r="Q66" s="438"/>
      <c r="R66" s="438"/>
      <c r="S66" s="438"/>
      <c r="T66" s="438"/>
      <c r="U66" s="438"/>
      <c r="V66" s="438"/>
      <c r="W66" s="438"/>
      <c r="X66" s="438"/>
      <c r="Y66" s="438"/>
      <c r="Z66" s="438"/>
      <c r="AA66" s="438"/>
      <c r="AB66" s="438"/>
      <c r="AC66" s="438"/>
      <c r="AD66" s="438"/>
      <c r="AE66" s="438"/>
      <c r="AF66" s="438"/>
      <c r="AG66" s="438"/>
      <c r="AH66" s="438"/>
    </row>
    <row r="67">
      <c r="A67" s="438"/>
      <c r="B67" s="438"/>
      <c r="C67" s="438"/>
      <c r="D67" s="438"/>
      <c r="E67" s="438"/>
      <c r="F67" s="438"/>
      <c r="G67" s="438"/>
      <c r="H67" s="438"/>
      <c r="I67" s="438"/>
      <c r="J67" s="438"/>
      <c r="K67" s="438"/>
      <c r="L67" s="438"/>
      <c r="M67" s="438"/>
      <c r="N67" s="438"/>
      <c r="O67" s="438"/>
      <c r="P67" s="438"/>
      <c r="Q67" s="438"/>
      <c r="R67" s="438"/>
      <c r="S67" s="438"/>
      <c r="T67" s="438"/>
      <c r="U67" s="438"/>
      <c r="V67" s="438"/>
      <c r="W67" s="438"/>
      <c r="X67" s="438"/>
      <c r="Y67" s="438"/>
      <c r="Z67" s="438"/>
      <c r="AA67" s="438"/>
      <c r="AB67" s="438"/>
      <c r="AC67" s="438"/>
      <c r="AD67" s="438"/>
      <c r="AE67" s="438"/>
      <c r="AF67" s="438"/>
      <c r="AG67" s="438"/>
      <c r="AH67" s="438"/>
    </row>
    <row r="68">
      <c r="A68" s="438"/>
      <c r="B68" s="438"/>
      <c r="C68" s="438"/>
      <c r="D68" s="438"/>
      <c r="E68" s="438"/>
      <c r="F68" s="438"/>
      <c r="G68" s="438"/>
      <c r="H68" s="438"/>
      <c r="I68" s="438"/>
      <c r="J68" s="438"/>
      <c r="K68" s="438"/>
      <c r="L68" s="438"/>
      <c r="M68" s="438"/>
      <c r="N68" s="438"/>
      <c r="O68" s="438"/>
      <c r="P68" s="438"/>
      <c r="Q68" s="438"/>
      <c r="R68" s="438"/>
      <c r="S68" s="438"/>
      <c r="T68" s="438"/>
      <c r="U68" s="438"/>
      <c r="V68" s="438"/>
      <c r="W68" s="438"/>
      <c r="X68" s="438"/>
      <c r="Y68" s="438"/>
      <c r="Z68" s="438"/>
      <c r="AA68" s="438"/>
      <c r="AB68" s="438"/>
      <c r="AC68" s="438"/>
      <c r="AD68" s="438"/>
      <c r="AE68" s="438"/>
      <c r="AF68" s="438"/>
      <c r="AG68" s="438"/>
      <c r="AH68" s="438"/>
    </row>
    <row r="69">
      <c r="A69" s="438"/>
      <c r="B69" s="438"/>
      <c r="C69" s="438"/>
      <c r="D69" s="438"/>
      <c r="E69" s="438"/>
      <c r="F69" s="438"/>
      <c r="G69" s="438"/>
      <c r="H69" s="438"/>
      <c r="I69" s="438"/>
      <c r="J69" s="438"/>
      <c r="K69" s="438"/>
      <c r="L69" s="438"/>
      <c r="M69" s="438"/>
      <c r="N69" s="438"/>
      <c r="O69" s="438"/>
      <c r="P69" s="438"/>
      <c r="Q69" s="438"/>
      <c r="R69" s="438"/>
      <c r="S69" s="438"/>
      <c r="T69" s="438"/>
      <c r="U69" s="438"/>
      <c r="V69" s="438"/>
      <c r="W69" s="438"/>
      <c r="X69" s="438"/>
      <c r="Y69" s="438"/>
      <c r="Z69" s="438"/>
      <c r="AA69" s="438"/>
      <c r="AB69" s="438"/>
      <c r="AC69" s="438"/>
      <c r="AD69" s="438"/>
      <c r="AE69" s="438"/>
      <c r="AF69" s="438"/>
      <c r="AG69" s="438"/>
      <c r="AH69" s="438"/>
    </row>
    <row r="70">
      <c r="A70" s="438"/>
      <c r="B70" s="438"/>
      <c r="C70" s="438"/>
      <c r="D70" s="438"/>
      <c r="E70" s="438"/>
      <c r="F70" s="438"/>
      <c r="G70" s="438"/>
      <c r="H70" s="438"/>
      <c r="I70" s="438"/>
      <c r="J70" s="438"/>
      <c r="K70" s="438"/>
      <c r="L70" s="438"/>
      <c r="M70" s="438"/>
      <c r="N70" s="438"/>
      <c r="O70" s="438"/>
      <c r="P70" s="438"/>
      <c r="Q70" s="438"/>
      <c r="R70" s="438"/>
      <c r="S70" s="438"/>
      <c r="T70" s="438"/>
      <c r="U70" s="438"/>
      <c r="V70" s="438"/>
      <c r="W70" s="438"/>
      <c r="X70" s="438"/>
      <c r="Y70" s="438"/>
      <c r="Z70" s="438"/>
      <c r="AA70" s="438"/>
      <c r="AB70" s="438"/>
      <c r="AC70" s="438"/>
      <c r="AD70" s="438"/>
      <c r="AE70" s="438"/>
      <c r="AF70" s="438"/>
      <c r="AG70" s="438"/>
      <c r="AH70" s="438"/>
    </row>
    <row r="71">
      <c r="A71" s="438"/>
      <c r="B71" s="438"/>
      <c r="C71" s="438"/>
      <c r="D71" s="438"/>
      <c r="E71" s="438"/>
      <c r="F71" s="438"/>
      <c r="G71" s="438"/>
      <c r="H71" s="438"/>
      <c r="I71" s="438"/>
      <c r="J71" s="438"/>
      <c r="K71" s="438"/>
      <c r="L71" s="438"/>
      <c r="M71" s="438"/>
      <c r="N71" s="438"/>
      <c r="O71" s="438"/>
      <c r="P71" s="438"/>
      <c r="Q71" s="438"/>
      <c r="R71" s="438"/>
      <c r="S71" s="438"/>
      <c r="T71" s="438"/>
      <c r="U71" s="438"/>
      <c r="V71" s="438"/>
      <c r="W71" s="438"/>
      <c r="X71" s="438"/>
      <c r="Y71" s="438"/>
      <c r="Z71" s="438"/>
      <c r="AA71" s="438"/>
      <c r="AB71" s="438"/>
      <c r="AC71" s="438"/>
      <c r="AD71" s="438"/>
      <c r="AE71" s="438"/>
      <c r="AF71" s="438"/>
      <c r="AG71" s="438"/>
      <c r="AH71" s="438"/>
    </row>
    <row r="72">
      <c r="A72" s="438"/>
      <c r="B72" s="438"/>
      <c r="C72" s="438"/>
      <c r="D72" s="438"/>
      <c r="E72" s="438"/>
      <c r="F72" s="438"/>
      <c r="G72" s="438"/>
      <c r="H72" s="438"/>
      <c r="I72" s="438"/>
      <c r="J72" s="438"/>
      <c r="K72" s="438"/>
      <c r="L72" s="438"/>
      <c r="M72" s="438"/>
      <c r="N72" s="438"/>
      <c r="O72" s="438"/>
      <c r="P72" s="438"/>
      <c r="Q72" s="438"/>
      <c r="R72" s="438"/>
      <c r="S72" s="438"/>
      <c r="T72" s="438"/>
      <c r="U72" s="438"/>
      <c r="V72" s="438"/>
      <c r="W72" s="438"/>
      <c r="X72" s="438"/>
      <c r="Y72" s="438"/>
      <c r="Z72" s="438"/>
      <c r="AA72" s="438"/>
      <c r="AB72" s="438"/>
      <c r="AC72" s="438"/>
      <c r="AD72" s="438"/>
      <c r="AE72" s="438"/>
      <c r="AF72" s="438"/>
      <c r="AG72" s="438"/>
      <c r="AH72" s="438"/>
    </row>
    <row r="73">
      <c r="A73" s="438"/>
      <c r="B73" s="438"/>
      <c r="C73" s="438"/>
      <c r="D73" s="438"/>
      <c r="E73" s="438"/>
      <c r="F73" s="438"/>
      <c r="G73" s="438"/>
      <c r="H73" s="438"/>
      <c r="I73" s="438"/>
      <c r="J73" s="438"/>
      <c r="K73" s="438"/>
      <c r="L73" s="438"/>
      <c r="M73" s="438"/>
      <c r="N73" s="438"/>
      <c r="O73" s="438"/>
      <c r="P73" s="438"/>
      <c r="Q73" s="438"/>
      <c r="R73" s="438"/>
      <c r="S73" s="438"/>
      <c r="T73" s="438"/>
      <c r="U73" s="438"/>
      <c r="V73" s="438"/>
      <c r="W73" s="438"/>
      <c r="X73" s="438"/>
      <c r="Y73" s="438"/>
      <c r="Z73" s="438"/>
      <c r="AA73" s="438"/>
      <c r="AB73" s="438"/>
      <c r="AC73" s="438"/>
      <c r="AD73" s="438"/>
      <c r="AE73" s="438"/>
      <c r="AF73" s="438"/>
      <c r="AG73" s="438"/>
      <c r="AH73" s="438"/>
    </row>
    <row r="74">
      <c r="A74" s="438"/>
      <c r="B74" s="438"/>
      <c r="C74" s="438"/>
      <c r="D74" s="438"/>
      <c r="E74" s="438"/>
      <c r="F74" s="438"/>
      <c r="G74" s="438"/>
      <c r="H74" s="438"/>
      <c r="I74" s="438"/>
      <c r="J74" s="438"/>
      <c r="K74" s="438"/>
      <c r="L74" s="438"/>
      <c r="M74" s="438"/>
      <c r="N74" s="438"/>
      <c r="O74" s="438"/>
      <c r="P74" s="438"/>
      <c r="Q74" s="438"/>
      <c r="R74" s="438"/>
      <c r="S74" s="438"/>
      <c r="T74" s="438"/>
      <c r="U74" s="438"/>
      <c r="V74" s="438"/>
      <c r="W74" s="438"/>
      <c r="X74" s="438"/>
      <c r="Y74" s="438"/>
      <c r="Z74" s="438"/>
      <c r="AA74" s="438"/>
      <c r="AB74" s="438"/>
      <c r="AC74" s="438"/>
      <c r="AD74" s="438"/>
      <c r="AE74" s="438"/>
      <c r="AF74" s="438"/>
      <c r="AG74" s="438"/>
      <c r="AH74" s="438"/>
    </row>
    <row r="75">
      <c r="A75" s="438"/>
      <c r="B75" s="438"/>
      <c r="C75" s="438"/>
      <c r="D75" s="438"/>
      <c r="E75" s="438"/>
      <c r="F75" s="438"/>
      <c r="G75" s="438"/>
      <c r="H75" s="438"/>
      <c r="I75" s="438"/>
      <c r="J75" s="438"/>
      <c r="K75" s="438"/>
      <c r="L75" s="438"/>
      <c r="M75" s="438"/>
      <c r="N75" s="438"/>
      <c r="O75" s="438"/>
      <c r="P75" s="438"/>
      <c r="Q75" s="438"/>
      <c r="R75" s="438"/>
      <c r="S75" s="438"/>
      <c r="T75" s="438"/>
      <c r="U75" s="438"/>
      <c r="V75" s="438"/>
      <c r="W75" s="438"/>
      <c r="X75" s="438"/>
      <c r="Y75" s="438"/>
      <c r="Z75" s="438"/>
      <c r="AA75" s="438"/>
      <c r="AB75" s="438"/>
      <c r="AC75" s="438"/>
      <c r="AD75" s="438"/>
      <c r="AE75" s="438"/>
      <c r="AF75" s="438"/>
      <c r="AG75" s="438"/>
      <c r="AH75" s="438"/>
    </row>
    <row r="76">
      <c r="A76" s="438"/>
      <c r="B76" s="438"/>
      <c r="C76" s="438"/>
      <c r="D76" s="438"/>
      <c r="E76" s="438"/>
      <c r="F76" s="438"/>
      <c r="G76" s="438"/>
      <c r="H76" s="438"/>
      <c r="I76" s="438"/>
      <c r="J76" s="438"/>
      <c r="K76" s="438"/>
      <c r="L76" s="438"/>
      <c r="M76" s="438"/>
      <c r="N76" s="438"/>
      <c r="O76" s="438"/>
      <c r="P76" s="438"/>
      <c r="Q76" s="438"/>
      <c r="R76" s="438"/>
      <c r="S76" s="438"/>
      <c r="T76" s="438"/>
      <c r="U76" s="438"/>
      <c r="V76" s="438"/>
      <c r="W76" s="438"/>
      <c r="X76" s="438"/>
      <c r="Y76" s="438"/>
      <c r="Z76" s="438"/>
      <c r="AA76" s="438"/>
      <c r="AB76" s="438"/>
      <c r="AC76" s="438"/>
      <c r="AD76" s="438"/>
      <c r="AE76" s="438"/>
      <c r="AF76" s="438"/>
      <c r="AG76" s="438"/>
      <c r="AH76" s="438"/>
    </row>
    <row r="77">
      <c r="A77" s="438"/>
      <c r="B77" s="438"/>
      <c r="C77" s="438"/>
      <c r="D77" s="438"/>
      <c r="E77" s="438"/>
      <c r="F77" s="438"/>
      <c r="G77" s="438"/>
      <c r="H77" s="438"/>
      <c r="I77" s="438"/>
      <c r="J77" s="438"/>
      <c r="K77" s="438"/>
      <c r="L77" s="438"/>
      <c r="M77" s="438"/>
      <c r="N77" s="438"/>
      <c r="O77" s="438"/>
      <c r="P77" s="438"/>
      <c r="Q77" s="438"/>
      <c r="R77" s="438"/>
      <c r="S77" s="438"/>
      <c r="T77" s="438"/>
      <c r="U77" s="438"/>
      <c r="V77" s="438"/>
      <c r="W77" s="438"/>
      <c r="X77" s="438"/>
      <c r="Y77" s="438"/>
      <c r="Z77" s="438"/>
      <c r="AA77" s="438"/>
      <c r="AB77" s="438"/>
      <c r="AC77" s="438"/>
      <c r="AD77" s="438"/>
      <c r="AE77" s="438"/>
      <c r="AF77" s="438"/>
      <c r="AG77" s="438"/>
      <c r="AH77" s="438"/>
    </row>
    <row r="78">
      <c r="A78" s="438"/>
      <c r="B78" s="438"/>
      <c r="C78" s="438"/>
      <c r="D78" s="438"/>
      <c r="E78" s="438"/>
      <c r="F78" s="438"/>
      <c r="G78" s="438"/>
      <c r="H78" s="438"/>
      <c r="I78" s="438"/>
      <c r="J78" s="438"/>
      <c r="K78" s="438"/>
      <c r="L78" s="438"/>
      <c r="M78" s="438"/>
      <c r="N78" s="438"/>
      <c r="O78" s="438"/>
      <c r="P78" s="438"/>
      <c r="Q78" s="438"/>
      <c r="R78" s="438"/>
      <c r="S78" s="438"/>
      <c r="T78" s="438"/>
      <c r="U78" s="438"/>
      <c r="V78" s="438"/>
      <c r="W78" s="438"/>
      <c r="X78" s="438"/>
      <c r="Y78" s="438"/>
      <c r="Z78" s="438"/>
      <c r="AA78" s="438"/>
      <c r="AB78" s="438"/>
      <c r="AC78" s="438"/>
      <c r="AD78" s="438"/>
      <c r="AE78" s="438"/>
      <c r="AF78" s="438"/>
      <c r="AG78" s="438"/>
      <c r="AH78" s="438"/>
    </row>
    <row r="79">
      <c r="A79" s="438"/>
      <c r="B79" s="438"/>
      <c r="C79" s="438"/>
      <c r="D79" s="438"/>
      <c r="E79" s="438"/>
      <c r="F79" s="438"/>
      <c r="G79" s="438"/>
      <c r="H79" s="438"/>
      <c r="I79" s="438"/>
      <c r="J79" s="438"/>
      <c r="K79" s="438"/>
      <c r="L79" s="438"/>
      <c r="M79" s="438"/>
      <c r="N79" s="438"/>
      <c r="O79" s="438"/>
      <c r="P79" s="438"/>
      <c r="Q79" s="438"/>
      <c r="R79" s="438"/>
      <c r="S79" s="438"/>
      <c r="T79" s="438"/>
      <c r="U79" s="438"/>
      <c r="V79" s="438"/>
      <c r="W79" s="438"/>
      <c r="X79" s="438"/>
      <c r="Y79" s="438"/>
      <c r="Z79" s="438"/>
      <c r="AA79" s="438"/>
      <c r="AB79" s="438"/>
      <c r="AC79" s="438"/>
      <c r="AD79" s="438"/>
      <c r="AE79" s="438"/>
      <c r="AF79" s="438"/>
      <c r="AG79" s="438"/>
      <c r="AH79" s="438"/>
    </row>
    <row r="80">
      <c r="A80" s="438"/>
      <c r="B80" s="438"/>
      <c r="C80" s="438"/>
      <c r="D80" s="438"/>
      <c r="E80" s="438"/>
      <c r="F80" s="438"/>
      <c r="G80" s="438"/>
      <c r="H80" s="438"/>
      <c r="I80" s="438"/>
      <c r="J80" s="438"/>
      <c r="K80" s="438"/>
      <c r="L80" s="438"/>
      <c r="M80" s="438"/>
      <c r="N80" s="438"/>
      <c r="O80" s="438"/>
      <c r="P80" s="438"/>
      <c r="Q80" s="438"/>
      <c r="R80" s="438"/>
      <c r="S80" s="438"/>
      <c r="T80" s="438"/>
      <c r="U80" s="438"/>
      <c r="V80" s="438"/>
      <c r="W80" s="438"/>
      <c r="X80" s="438"/>
      <c r="Y80" s="438"/>
      <c r="Z80" s="438"/>
      <c r="AA80" s="438"/>
      <c r="AB80" s="438"/>
      <c r="AC80" s="438"/>
      <c r="AD80" s="438"/>
      <c r="AE80" s="438"/>
      <c r="AF80" s="438"/>
      <c r="AG80" s="438"/>
      <c r="AH80" s="438"/>
    </row>
    <row r="81">
      <c r="A81" s="438"/>
      <c r="B81" s="438"/>
      <c r="C81" s="438"/>
      <c r="D81" s="438"/>
      <c r="E81" s="438"/>
      <c r="F81" s="438"/>
      <c r="G81" s="438"/>
      <c r="H81" s="438"/>
      <c r="I81" s="438"/>
      <c r="J81" s="438"/>
      <c r="K81" s="438"/>
      <c r="L81" s="438"/>
      <c r="M81" s="438"/>
      <c r="N81" s="438"/>
      <c r="O81" s="438"/>
      <c r="P81" s="438"/>
      <c r="Q81" s="438"/>
      <c r="R81" s="438"/>
      <c r="S81" s="438"/>
      <c r="T81" s="438"/>
      <c r="U81" s="438"/>
      <c r="V81" s="438"/>
      <c r="W81" s="438"/>
      <c r="X81" s="438"/>
      <c r="Y81" s="438"/>
      <c r="Z81" s="438"/>
      <c r="AA81" s="438"/>
      <c r="AB81" s="438"/>
      <c r="AC81" s="438"/>
      <c r="AD81" s="438"/>
      <c r="AE81" s="438"/>
      <c r="AF81" s="438"/>
      <c r="AG81" s="438"/>
      <c r="AH81" s="438"/>
    </row>
    <row r="82">
      <c r="A82" s="438"/>
      <c r="B82" s="438"/>
      <c r="C82" s="438"/>
      <c r="D82" s="438"/>
      <c r="E82" s="438"/>
      <c r="F82" s="438"/>
      <c r="G82" s="438"/>
      <c r="H82" s="438"/>
      <c r="I82" s="438"/>
      <c r="J82" s="438"/>
      <c r="K82" s="438"/>
      <c r="L82" s="438"/>
      <c r="M82" s="438"/>
      <c r="N82" s="438"/>
      <c r="O82" s="438"/>
      <c r="P82" s="438"/>
      <c r="Q82" s="438"/>
      <c r="R82" s="438"/>
      <c r="S82" s="438"/>
      <c r="T82" s="438"/>
      <c r="U82" s="438"/>
      <c r="V82" s="438"/>
      <c r="W82" s="438"/>
      <c r="X82" s="438"/>
      <c r="Y82" s="438"/>
      <c r="Z82" s="438"/>
      <c r="AA82" s="438"/>
      <c r="AB82" s="438"/>
      <c r="AC82" s="438"/>
      <c r="AD82" s="438"/>
      <c r="AE82" s="438"/>
      <c r="AF82" s="438"/>
      <c r="AG82" s="438"/>
      <c r="AH82" s="438"/>
    </row>
    <row r="83">
      <c r="A83" s="438"/>
      <c r="B83" s="438"/>
      <c r="C83" s="438"/>
      <c r="D83" s="438"/>
      <c r="E83" s="438"/>
      <c r="F83" s="438"/>
      <c r="G83" s="438"/>
      <c r="H83" s="438"/>
      <c r="I83" s="438"/>
      <c r="J83" s="438"/>
      <c r="K83" s="438"/>
      <c r="L83" s="438"/>
      <c r="M83" s="438"/>
      <c r="N83" s="438"/>
      <c r="O83" s="438"/>
      <c r="P83" s="438"/>
      <c r="Q83" s="438"/>
      <c r="R83" s="438"/>
      <c r="S83" s="438"/>
      <c r="T83" s="438"/>
      <c r="U83" s="438"/>
      <c r="V83" s="438"/>
      <c r="W83" s="438"/>
      <c r="X83" s="438"/>
      <c r="Y83" s="438"/>
      <c r="Z83" s="438"/>
      <c r="AA83" s="438"/>
      <c r="AB83" s="438"/>
      <c r="AC83" s="438"/>
      <c r="AD83" s="438"/>
      <c r="AE83" s="438"/>
      <c r="AF83" s="438"/>
      <c r="AG83" s="438"/>
      <c r="AH83" s="438"/>
    </row>
    <row r="84">
      <c r="A84" s="438"/>
      <c r="B84" s="438"/>
      <c r="C84" s="438"/>
      <c r="D84" s="438"/>
      <c r="E84" s="438"/>
      <c r="F84" s="438"/>
      <c r="G84" s="438"/>
      <c r="H84" s="438"/>
      <c r="I84" s="438"/>
      <c r="J84" s="438"/>
      <c r="K84" s="438"/>
      <c r="L84" s="438"/>
      <c r="M84" s="438"/>
      <c r="N84" s="438"/>
      <c r="O84" s="438"/>
      <c r="P84" s="438"/>
      <c r="Q84" s="438"/>
      <c r="R84" s="438"/>
      <c r="S84" s="438"/>
      <c r="T84" s="438"/>
      <c r="U84" s="438"/>
      <c r="V84" s="438"/>
      <c r="W84" s="438"/>
      <c r="X84" s="438"/>
      <c r="Y84" s="438"/>
      <c r="Z84" s="438"/>
      <c r="AA84" s="438"/>
      <c r="AB84" s="438"/>
      <c r="AC84" s="438"/>
      <c r="AD84" s="438"/>
      <c r="AE84" s="438"/>
      <c r="AF84" s="438"/>
      <c r="AG84" s="438"/>
      <c r="AH84" s="438"/>
    </row>
    <row r="85">
      <c r="A85" s="438"/>
      <c r="B85" s="438"/>
      <c r="C85" s="438"/>
      <c r="D85" s="438"/>
      <c r="E85" s="438"/>
      <c r="F85" s="438"/>
      <c r="G85" s="438"/>
      <c r="H85" s="438"/>
      <c r="I85" s="438"/>
      <c r="J85" s="438"/>
      <c r="K85" s="438"/>
      <c r="L85" s="438"/>
      <c r="M85" s="438"/>
      <c r="N85" s="438"/>
      <c r="O85" s="438"/>
      <c r="P85" s="438"/>
      <c r="Q85" s="438"/>
      <c r="R85" s="438"/>
      <c r="S85" s="438"/>
      <c r="T85" s="438"/>
      <c r="U85" s="438"/>
      <c r="V85" s="438"/>
      <c r="W85" s="438"/>
      <c r="X85" s="438"/>
      <c r="Y85" s="438"/>
      <c r="Z85" s="438"/>
      <c r="AA85" s="438"/>
      <c r="AB85" s="438"/>
      <c r="AC85" s="438"/>
      <c r="AD85" s="438"/>
      <c r="AE85" s="438"/>
      <c r="AF85" s="438"/>
      <c r="AG85" s="438"/>
      <c r="AH85" s="438"/>
    </row>
    <row r="86">
      <c r="A86" s="438"/>
      <c r="B86" s="438"/>
      <c r="C86" s="438"/>
      <c r="D86" s="438"/>
      <c r="E86" s="438"/>
      <c r="F86" s="438"/>
      <c r="G86" s="438"/>
      <c r="H86" s="438"/>
      <c r="I86" s="438"/>
      <c r="J86" s="438"/>
      <c r="K86" s="438"/>
      <c r="L86" s="438"/>
      <c r="M86" s="438"/>
      <c r="N86" s="438"/>
      <c r="O86" s="438"/>
      <c r="P86" s="438"/>
      <c r="Q86" s="438"/>
      <c r="R86" s="438"/>
      <c r="S86" s="438"/>
      <c r="T86" s="438"/>
      <c r="U86" s="438"/>
      <c r="V86" s="438"/>
      <c r="W86" s="438"/>
      <c r="X86" s="438"/>
      <c r="Y86" s="438"/>
      <c r="Z86" s="438"/>
      <c r="AA86" s="438"/>
      <c r="AB86" s="438"/>
      <c r="AC86" s="438"/>
      <c r="AD86" s="438"/>
      <c r="AE86" s="438"/>
      <c r="AF86" s="438"/>
      <c r="AG86" s="438"/>
      <c r="AH86" s="438"/>
    </row>
    <row r="87">
      <c r="A87" s="438"/>
      <c r="B87" s="438"/>
      <c r="C87" s="438"/>
      <c r="D87" s="438"/>
      <c r="E87" s="438"/>
      <c r="F87" s="438"/>
      <c r="G87" s="438"/>
      <c r="H87" s="438"/>
      <c r="I87" s="438"/>
      <c r="J87" s="438"/>
      <c r="K87" s="438"/>
      <c r="L87" s="438"/>
      <c r="M87" s="438"/>
      <c r="N87" s="438"/>
      <c r="O87" s="438"/>
      <c r="P87" s="438"/>
      <c r="Q87" s="438"/>
      <c r="R87" s="438"/>
      <c r="S87" s="438"/>
      <c r="T87" s="438"/>
      <c r="U87" s="438"/>
      <c r="V87" s="438"/>
      <c r="W87" s="438"/>
      <c r="X87" s="438"/>
      <c r="Y87" s="438"/>
      <c r="Z87" s="438"/>
      <c r="AA87" s="438"/>
      <c r="AB87" s="438"/>
      <c r="AC87" s="438"/>
      <c r="AD87" s="438"/>
      <c r="AE87" s="438"/>
      <c r="AF87" s="438"/>
      <c r="AG87" s="438"/>
      <c r="AH87" s="438"/>
    </row>
    <row r="88">
      <c r="A88" s="438"/>
      <c r="B88" s="438"/>
      <c r="C88" s="438"/>
      <c r="D88" s="438"/>
      <c r="E88" s="438"/>
      <c r="F88" s="438"/>
      <c r="G88" s="438"/>
      <c r="H88" s="438"/>
      <c r="I88" s="438"/>
      <c r="J88" s="438"/>
      <c r="K88" s="438"/>
      <c r="L88" s="438"/>
      <c r="M88" s="438"/>
      <c r="N88" s="438"/>
      <c r="O88" s="438"/>
      <c r="P88" s="438"/>
      <c r="Q88" s="438"/>
      <c r="R88" s="438"/>
      <c r="S88" s="438"/>
      <c r="T88" s="438"/>
      <c r="U88" s="438"/>
      <c r="V88" s="438"/>
      <c r="W88" s="438"/>
      <c r="X88" s="438"/>
      <c r="Y88" s="438"/>
      <c r="Z88" s="438"/>
      <c r="AA88" s="438"/>
      <c r="AB88" s="438"/>
      <c r="AC88" s="438"/>
      <c r="AD88" s="438"/>
      <c r="AE88" s="438"/>
      <c r="AF88" s="438"/>
      <c r="AG88" s="438"/>
      <c r="AH88" s="438"/>
    </row>
    <row r="89">
      <c r="A89" s="438"/>
      <c r="B89" s="438"/>
      <c r="C89" s="438"/>
      <c r="D89" s="438"/>
      <c r="E89" s="438"/>
      <c r="F89" s="438"/>
      <c r="G89" s="438"/>
      <c r="H89" s="438"/>
      <c r="I89" s="438"/>
      <c r="J89" s="438"/>
      <c r="K89" s="438"/>
      <c r="L89" s="438"/>
      <c r="M89" s="438"/>
      <c r="N89" s="438"/>
      <c r="O89" s="438"/>
      <c r="P89" s="438"/>
      <c r="Q89" s="438"/>
      <c r="R89" s="438"/>
      <c r="S89" s="438"/>
      <c r="T89" s="438"/>
      <c r="U89" s="438"/>
      <c r="V89" s="438"/>
      <c r="W89" s="438"/>
      <c r="X89" s="438"/>
      <c r="Y89" s="438"/>
      <c r="Z89" s="438"/>
      <c r="AA89" s="438"/>
      <c r="AB89" s="438"/>
      <c r="AC89" s="438"/>
      <c r="AD89" s="438"/>
      <c r="AE89" s="438"/>
      <c r="AF89" s="438"/>
      <c r="AG89" s="438"/>
      <c r="AH89" s="438"/>
    </row>
    <row r="90">
      <c r="A90" s="438"/>
      <c r="B90" s="438"/>
      <c r="C90" s="438"/>
      <c r="D90" s="438"/>
      <c r="E90" s="438"/>
      <c r="F90" s="438"/>
      <c r="G90" s="438"/>
      <c r="H90" s="438"/>
      <c r="I90" s="438"/>
      <c r="J90" s="438"/>
      <c r="K90" s="438"/>
      <c r="L90" s="438"/>
      <c r="M90" s="438"/>
      <c r="N90" s="438"/>
      <c r="O90" s="438"/>
      <c r="P90" s="438"/>
      <c r="Q90" s="438"/>
      <c r="R90" s="438"/>
      <c r="S90" s="438"/>
      <c r="T90" s="438"/>
      <c r="U90" s="438"/>
      <c r="V90" s="438"/>
      <c r="W90" s="438"/>
      <c r="X90" s="438"/>
      <c r="Y90" s="438"/>
      <c r="Z90" s="438"/>
      <c r="AA90" s="438"/>
      <c r="AB90" s="438"/>
      <c r="AC90" s="438"/>
      <c r="AD90" s="438"/>
      <c r="AE90" s="438"/>
      <c r="AF90" s="438"/>
      <c r="AG90" s="438"/>
      <c r="AH90" s="438"/>
    </row>
    <row r="91">
      <c r="A91" s="438"/>
      <c r="B91" s="438"/>
      <c r="C91" s="438"/>
      <c r="D91" s="438"/>
      <c r="E91" s="438"/>
      <c r="F91" s="438"/>
      <c r="G91" s="438"/>
      <c r="H91" s="438"/>
      <c r="I91" s="438"/>
      <c r="J91" s="438"/>
      <c r="K91" s="438"/>
      <c r="L91" s="438"/>
      <c r="M91" s="438"/>
      <c r="N91" s="438"/>
      <c r="O91" s="438"/>
      <c r="P91" s="438"/>
      <c r="Q91" s="438"/>
      <c r="R91" s="438"/>
      <c r="S91" s="438"/>
      <c r="T91" s="438"/>
      <c r="U91" s="438"/>
      <c r="V91" s="438"/>
      <c r="W91" s="438"/>
      <c r="X91" s="438"/>
      <c r="Y91" s="438"/>
      <c r="Z91" s="438"/>
      <c r="AA91" s="438"/>
      <c r="AB91" s="438"/>
      <c r="AC91" s="438"/>
      <c r="AD91" s="438"/>
      <c r="AE91" s="438"/>
      <c r="AF91" s="438"/>
      <c r="AG91" s="438"/>
      <c r="AH91" s="438"/>
    </row>
    <row r="92">
      <c r="A92" s="438"/>
      <c r="B92" s="438"/>
      <c r="C92" s="438"/>
      <c r="D92" s="438"/>
      <c r="E92" s="438"/>
      <c r="F92" s="438"/>
      <c r="G92" s="438"/>
      <c r="H92" s="438"/>
      <c r="I92" s="438"/>
      <c r="J92" s="438"/>
      <c r="K92" s="438"/>
      <c r="L92" s="438"/>
      <c r="M92" s="438"/>
      <c r="N92" s="438"/>
      <c r="O92" s="438"/>
      <c r="P92" s="438"/>
      <c r="Q92" s="438"/>
      <c r="R92" s="438"/>
      <c r="S92" s="438"/>
      <c r="T92" s="438"/>
      <c r="U92" s="438"/>
      <c r="V92" s="438"/>
      <c r="W92" s="438"/>
      <c r="X92" s="438"/>
      <c r="Y92" s="438"/>
      <c r="Z92" s="438"/>
      <c r="AA92" s="438"/>
      <c r="AB92" s="438"/>
      <c r="AC92" s="438"/>
      <c r="AD92" s="438"/>
      <c r="AE92" s="438"/>
      <c r="AF92" s="438"/>
      <c r="AG92" s="438"/>
      <c r="AH92" s="438"/>
    </row>
    <row r="93">
      <c r="A93" s="438"/>
      <c r="B93" s="438"/>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8"/>
      <c r="AA93" s="438"/>
      <c r="AB93" s="438"/>
      <c r="AC93" s="438"/>
      <c r="AD93" s="438"/>
      <c r="AE93" s="438"/>
      <c r="AF93" s="438"/>
      <c r="AG93" s="438"/>
      <c r="AH93" s="438"/>
    </row>
    <row r="94">
      <c r="A94" s="438"/>
      <c r="B94" s="438"/>
      <c r="C94" s="438"/>
      <c r="D94" s="438"/>
      <c r="E94" s="438"/>
      <c r="F94" s="438"/>
      <c r="G94" s="438"/>
      <c r="H94" s="438"/>
      <c r="I94" s="438"/>
      <c r="J94" s="438"/>
      <c r="K94" s="438"/>
      <c r="L94" s="438"/>
      <c r="M94" s="438"/>
      <c r="N94" s="438"/>
      <c r="O94" s="438"/>
      <c r="P94" s="438"/>
      <c r="Q94" s="438"/>
      <c r="R94" s="438"/>
      <c r="S94" s="438"/>
      <c r="T94" s="438"/>
      <c r="U94" s="438"/>
      <c r="V94" s="438"/>
      <c r="W94" s="438"/>
      <c r="X94" s="438"/>
      <c r="Y94" s="438"/>
      <c r="Z94" s="438"/>
      <c r="AA94" s="438"/>
      <c r="AB94" s="438"/>
      <c r="AC94" s="438"/>
      <c r="AD94" s="438"/>
      <c r="AE94" s="438"/>
      <c r="AF94" s="438"/>
      <c r="AG94" s="438"/>
      <c r="AH94" s="438"/>
    </row>
    <row r="95">
      <c r="A95" s="438"/>
      <c r="B95" s="438"/>
      <c r="C95" s="438"/>
      <c r="D95" s="438"/>
      <c r="E95" s="438"/>
      <c r="F95" s="438"/>
      <c r="G95" s="438"/>
      <c r="H95" s="438"/>
      <c r="I95" s="438"/>
      <c r="J95" s="438"/>
      <c r="K95" s="438"/>
      <c r="L95" s="438"/>
      <c r="M95" s="438"/>
      <c r="N95" s="438"/>
      <c r="O95" s="438"/>
      <c r="P95" s="438"/>
      <c r="Q95" s="438"/>
      <c r="R95" s="438"/>
      <c r="S95" s="438"/>
      <c r="T95" s="438"/>
      <c r="U95" s="438"/>
      <c r="V95" s="438"/>
      <c r="W95" s="438"/>
      <c r="X95" s="438"/>
      <c r="Y95" s="438"/>
      <c r="Z95" s="438"/>
      <c r="AA95" s="438"/>
      <c r="AB95" s="438"/>
      <c r="AC95" s="438"/>
      <c r="AD95" s="438"/>
      <c r="AE95" s="438"/>
      <c r="AF95" s="438"/>
      <c r="AG95" s="438"/>
      <c r="AH95" s="438"/>
    </row>
    <row r="96">
      <c r="A96" s="438"/>
      <c r="B96" s="438"/>
      <c r="C96" s="438"/>
      <c r="D96" s="438"/>
      <c r="E96" s="438"/>
      <c r="F96" s="438"/>
      <c r="G96" s="438"/>
      <c r="H96" s="438"/>
      <c r="I96" s="438"/>
      <c r="J96" s="438"/>
      <c r="K96" s="438"/>
      <c r="L96" s="438"/>
      <c r="M96" s="438"/>
      <c r="N96" s="438"/>
      <c r="O96" s="438"/>
      <c r="P96" s="438"/>
      <c r="Q96" s="438"/>
      <c r="R96" s="438"/>
      <c r="S96" s="438"/>
      <c r="T96" s="438"/>
      <c r="U96" s="438"/>
      <c r="V96" s="438"/>
      <c r="W96" s="438"/>
      <c r="X96" s="438"/>
      <c r="Y96" s="438"/>
      <c r="Z96" s="438"/>
      <c r="AA96" s="438"/>
      <c r="AB96" s="438"/>
      <c r="AC96" s="438"/>
      <c r="AD96" s="438"/>
      <c r="AE96" s="438"/>
      <c r="AF96" s="438"/>
      <c r="AG96" s="438"/>
      <c r="AH96" s="438"/>
    </row>
    <row r="97">
      <c r="A97" s="438"/>
      <c r="B97" s="438"/>
      <c r="C97" s="438"/>
      <c r="D97" s="438"/>
      <c r="E97" s="438"/>
      <c r="F97" s="438"/>
      <c r="G97" s="438"/>
      <c r="H97" s="438"/>
      <c r="I97" s="438"/>
      <c r="J97" s="438"/>
      <c r="K97" s="438"/>
      <c r="L97" s="438"/>
      <c r="M97" s="438"/>
      <c r="N97" s="438"/>
      <c r="O97" s="438"/>
      <c r="P97" s="438"/>
      <c r="Q97" s="438"/>
      <c r="R97" s="438"/>
      <c r="S97" s="438"/>
      <c r="T97" s="438"/>
      <c r="U97" s="438"/>
      <c r="V97" s="438"/>
      <c r="W97" s="438"/>
      <c r="X97" s="438"/>
      <c r="Y97" s="438"/>
      <c r="Z97" s="438"/>
      <c r="AA97" s="438"/>
      <c r="AB97" s="438"/>
      <c r="AC97" s="438"/>
      <c r="AD97" s="438"/>
      <c r="AE97" s="438"/>
      <c r="AF97" s="438"/>
      <c r="AG97" s="438"/>
      <c r="AH97" s="438"/>
    </row>
    <row r="98">
      <c r="A98" s="438"/>
      <c r="B98" s="438"/>
      <c r="C98" s="438"/>
      <c r="D98" s="438"/>
      <c r="E98" s="438"/>
      <c r="F98" s="438"/>
      <c r="G98" s="438"/>
      <c r="H98" s="438"/>
      <c r="I98" s="438"/>
      <c r="J98" s="438"/>
      <c r="K98" s="438"/>
      <c r="L98" s="438"/>
      <c r="M98" s="438"/>
      <c r="N98" s="438"/>
      <c r="O98" s="438"/>
      <c r="P98" s="438"/>
      <c r="Q98" s="438"/>
      <c r="R98" s="438"/>
      <c r="S98" s="438"/>
      <c r="T98" s="438"/>
      <c r="U98" s="438"/>
      <c r="V98" s="438"/>
      <c r="W98" s="438"/>
      <c r="X98" s="438"/>
      <c r="Y98" s="438"/>
      <c r="Z98" s="438"/>
      <c r="AA98" s="438"/>
      <c r="AB98" s="438"/>
      <c r="AC98" s="438"/>
      <c r="AD98" s="438"/>
      <c r="AE98" s="438"/>
      <c r="AF98" s="438"/>
      <c r="AG98" s="438"/>
      <c r="AH98" s="438"/>
    </row>
    <row r="99">
      <c r="A99" s="438"/>
      <c r="B99" s="438"/>
      <c r="C99" s="438"/>
      <c r="D99" s="438"/>
      <c r="E99" s="438"/>
      <c r="F99" s="438"/>
      <c r="G99" s="438"/>
      <c r="H99" s="438"/>
      <c r="I99" s="438"/>
      <c r="J99" s="438"/>
      <c r="K99" s="438"/>
      <c r="L99" s="438"/>
      <c r="M99" s="438"/>
      <c r="N99" s="438"/>
      <c r="O99" s="438"/>
      <c r="P99" s="438"/>
      <c r="Q99" s="438"/>
      <c r="R99" s="438"/>
      <c r="S99" s="438"/>
      <c r="T99" s="438"/>
      <c r="U99" s="438"/>
      <c r="V99" s="438"/>
      <c r="W99" s="438"/>
      <c r="X99" s="438"/>
      <c r="Y99" s="438"/>
      <c r="Z99" s="438"/>
      <c r="AA99" s="438"/>
      <c r="AB99" s="438"/>
      <c r="AC99" s="438"/>
      <c r="AD99" s="438"/>
      <c r="AE99" s="438"/>
      <c r="AF99" s="438"/>
      <c r="AG99" s="438"/>
      <c r="AH99" s="438"/>
    </row>
    <row r="100">
      <c r="A100" s="438"/>
      <c r="B100" s="438"/>
      <c r="C100" s="438"/>
      <c r="D100" s="438"/>
      <c r="E100" s="438"/>
      <c r="F100" s="438"/>
      <c r="G100" s="438"/>
      <c r="H100" s="438"/>
      <c r="I100" s="438"/>
      <c r="J100" s="438"/>
      <c r="K100" s="438"/>
      <c r="L100" s="438"/>
      <c r="M100" s="438"/>
      <c r="N100" s="438"/>
      <c r="O100" s="438"/>
      <c r="P100" s="438"/>
      <c r="Q100" s="438"/>
      <c r="R100" s="438"/>
      <c r="S100" s="438"/>
      <c r="T100" s="438"/>
      <c r="U100" s="438"/>
      <c r="V100" s="438"/>
      <c r="W100" s="438"/>
      <c r="X100" s="438"/>
      <c r="Y100" s="438"/>
      <c r="Z100" s="438"/>
      <c r="AA100" s="438"/>
      <c r="AB100" s="438"/>
      <c r="AC100" s="438"/>
      <c r="AD100" s="438"/>
      <c r="AE100" s="438"/>
      <c r="AF100" s="438"/>
      <c r="AG100" s="438"/>
      <c r="AH100" s="438"/>
    </row>
    <row r="101">
      <c r="A101" s="438"/>
      <c r="B101" s="438"/>
      <c r="C101" s="438"/>
      <c r="D101" s="438"/>
      <c r="E101" s="438"/>
      <c r="F101" s="438"/>
      <c r="G101" s="438"/>
      <c r="H101" s="438"/>
      <c r="I101" s="438"/>
      <c r="J101" s="438"/>
      <c r="K101" s="438"/>
      <c r="L101" s="438"/>
      <c r="M101" s="438"/>
      <c r="N101" s="438"/>
      <c r="O101" s="438"/>
      <c r="P101" s="438"/>
      <c r="Q101" s="438"/>
      <c r="R101" s="438"/>
      <c r="S101" s="438"/>
      <c r="T101" s="438"/>
      <c r="U101" s="438"/>
      <c r="V101" s="438"/>
      <c r="W101" s="438"/>
      <c r="X101" s="438"/>
      <c r="Y101" s="438"/>
      <c r="Z101" s="438"/>
      <c r="AA101" s="438"/>
      <c r="AB101" s="438"/>
      <c r="AC101" s="438"/>
      <c r="AD101" s="438"/>
      <c r="AE101" s="438"/>
      <c r="AF101" s="438"/>
      <c r="AG101" s="438"/>
      <c r="AH101" s="438"/>
    </row>
    <row r="102">
      <c r="A102" s="438"/>
      <c r="B102" s="438"/>
      <c r="C102" s="438"/>
      <c r="D102" s="438"/>
      <c r="E102" s="438"/>
      <c r="F102" s="438"/>
      <c r="G102" s="438"/>
      <c r="H102" s="438"/>
      <c r="I102" s="438"/>
      <c r="J102" s="438"/>
      <c r="K102" s="438"/>
      <c r="L102" s="438"/>
      <c r="M102" s="438"/>
      <c r="N102" s="438"/>
      <c r="O102" s="438"/>
      <c r="P102" s="438"/>
      <c r="Q102" s="438"/>
      <c r="R102" s="438"/>
      <c r="S102" s="438"/>
      <c r="T102" s="438"/>
      <c r="U102" s="438"/>
      <c r="V102" s="438"/>
      <c r="W102" s="438"/>
      <c r="X102" s="438"/>
      <c r="Y102" s="438"/>
      <c r="Z102" s="438"/>
      <c r="AA102" s="438"/>
      <c r="AB102" s="438"/>
      <c r="AC102" s="438"/>
      <c r="AD102" s="438"/>
      <c r="AE102" s="438"/>
      <c r="AF102" s="438"/>
      <c r="AG102" s="438"/>
      <c r="AH102" s="438"/>
    </row>
    <row r="103">
      <c r="A103" s="438"/>
      <c r="B103" s="438"/>
      <c r="C103" s="438"/>
      <c r="D103" s="438"/>
      <c r="E103" s="438"/>
      <c r="F103" s="438"/>
      <c r="G103" s="438"/>
      <c r="H103" s="438"/>
      <c r="I103" s="438"/>
      <c r="J103" s="438"/>
      <c r="K103" s="438"/>
      <c r="L103" s="438"/>
      <c r="M103" s="438"/>
      <c r="N103" s="438"/>
      <c r="O103" s="438"/>
      <c r="P103" s="438"/>
      <c r="Q103" s="438"/>
      <c r="R103" s="438"/>
      <c r="S103" s="438"/>
      <c r="T103" s="438"/>
      <c r="U103" s="438"/>
      <c r="V103" s="438"/>
      <c r="W103" s="438"/>
      <c r="X103" s="438"/>
      <c r="Y103" s="438"/>
      <c r="Z103" s="438"/>
      <c r="AA103" s="438"/>
      <c r="AB103" s="438"/>
      <c r="AC103" s="438"/>
      <c r="AD103" s="438"/>
      <c r="AE103" s="438"/>
      <c r="AF103" s="438"/>
      <c r="AG103" s="438"/>
      <c r="AH103" s="438"/>
    </row>
    <row r="104">
      <c r="A104" s="438"/>
      <c r="B104" s="438"/>
      <c r="C104" s="438"/>
      <c r="D104" s="438"/>
      <c r="E104" s="438"/>
      <c r="F104" s="438"/>
      <c r="G104" s="438"/>
      <c r="H104" s="438"/>
      <c r="I104" s="438"/>
      <c r="J104" s="438"/>
      <c r="K104" s="438"/>
      <c r="L104" s="438"/>
      <c r="M104" s="438"/>
      <c r="N104" s="438"/>
      <c r="O104" s="438"/>
      <c r="P104" s="438"/>
      <c r="Q104" s="438"/>
      <c r="R104" s="438"/>
      <c r="S104" s="438"/>
      <c r="T104" s="438"/>
      <c r="U104" s="438"/>
      <c r="V104" s="438"/>
      <c r="W104" s="438"/>
      <c r="X104" s="438"/>
      <c r="Y104" s="438"/>
      <c r="Z104" s="438"/>
      <c r="AA104" s="438"/>
      <c r="AB104" s="438"/>
      <c r="AC104" s="438"/>
      <c r="AD104" s="438"/>
      <c r="AE104" s="438"/>
      <c r="AF104" s="438"/>
      <c r="AG104" s="438"/>
      <c r="AH104" s="438"/>
    </row>
    <row r="105">
      <c r="A105" s="438"/>
      <c r="B105" s="438"/>
      <c r="C105" s="438"/>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c r="AA105" s="438"/>
      <c r="AB105" s="438"/>
      <c r="AC105" s="438"/>
      <c r="AD105" s="438"/>
      <c r="AE105" s="438"/>
      <c r="AF105" s="438"/>
      <c r="AG105" s="438"/>
      <c r="AH105" s="438"/>
    </row>
    <row r="106">
      <c r="A106" s="438"/>
      <c r="B106" s="438"/>
      <c r="C106" s="438"/>
      <c r="D106" s="438"/>
      <c r="E106" s="438"/>
      <c r="F106" s="438"/>
      <c r="G106" s="438"/>
      <c r="H106" s="438"/>
      <c r="I106" s="438"/>
      <c r="J106" s="438"/>
      <c r="K106" s="438"/>
      <c r="L106" s="438"/>
      <c r="M106" s="438"/>
      <c r="N106" s="438"/>
      <c r="O106" s="438"/>
      <c r="P106" s="438"/>
      <c r="Q106" s="438"/>
      <c r="R106" s="438"/>
      <c r="S106" s="438"/>
      <c r="T106" s="438"/>
      <c r="U106" s="438"/>
      <c r="V106" s="438"/>
      <c r="W106" s="438"/>
      <c r="X106" s="438"/>
      <c r="Y106" s="438"/>
      <c r="Z106" s="438"/>
      <c r="AA106" s="438"/>
      <c r="AB106" s="438"/>
      <c r="AC106" s="438"/>
      <c r="AD106" s="438"/>
      <c r="AE106" s="438"/>
      <c r="AF106" s="438"/>
      <c r="AG106" s="438"/>
      <c r="AH106" s="438"/>
    </row>
    <row r="107">
      <c r="A107" s="438"/>
      <c r="B107" s="438"/>
      <c r="C107" s="438"/>
      <c r="D107" s="438"/>
      <c r="E107" s="438"/>
      <c r="F107" s="438"/>
      <c r="G107" s="438"/>
      <c r="H107" s="438"/>
      <c r="I107" s="438"/>
      <c r="J107" s="438"/>
      <c r="K107" s="438"/>
      <c r="L107" s="438"/>
      <c r="M107" s="438"/>
      <c r="N107" s="438"/>
      <c r="O107" s="438"/>
      <c r="P107" s="438"/>
      <c r="Q107" s="438"/>
      <c r="R107" s="438"/>
      <c r="S107" s="438"/>
      <c r="T107" s="438"/>
      <c r="U107" s="438"/>
      <c r="V107" s="438"/>
      <c r="W107" s="438"/>
      <c r="X107" s="438"/>
      <c r="Y107" s="438"/>
      <c r="Z107" s="438"/>
      <c r="AA107" s="438"/>
      <c r="AB107" s="438"/>
      <c r="AC107" s="438"/>
      <c r="AD107" s="438"/>
      <c r="AE107" s="438"/>
      <c r="AF107" s="438"/>
      <c r="AG107" s="438"/>
      <c r="AH107" s="438"/>
    </row>
    <row r="108">
      <c r="A108" s="438"/>
      <c r="B108" s="438"/>
      <c r="C108" s="438"/>
      <c r="D108" s="438"/>
      <c r="E108" s="438"/>
      <c r="F108" s="438"/>
      <c r="G108" s="438"/>
      <c r="H108" s="438"/>
      <c r="I108" s="438"/>
      <c r="J108" s="438"/>
      <c r="K108" s="438"/>
      <c r="L108" s="438"/>
      <c r="M108" s="438"/>
      <c r="N108" s="438"/>
      <c r="O108" s="438"/>
      <c r="P108" s="438"/>
      <c r="Q108" s="438"/>
      <c r="R108" s="438"/>
      <c r="S108" s="438"/>
      <c r="T108" s="438"/>
      <c r="U108" s="438"/>
      <c r="V108" s="438"/>
      <c r="W108" s="438"/>
      <c r="X108" s="438"/>
      <c r="Y108" s="438"/>
      <c r="Z108" s="438"/>
      <c r="AA108" s="438"/>
      <c r="AB108" s="438"/>
      <c r="AC108" s="438"/>
      <c r="AD108" s="438"/>
      <c r="AE108" s="438"/>
      <c r="AF108" s="438"/>
      <c r="AG108" s="438"/>
      <c r="AH108" s="438"/>
    </row>
    <row r="109">
      <c r="A109" s="438"/>
      <c r="B109" s="438"/>
      <c r="C109" s="438"/>
      <c r="D109" s="438"/>
      <c r="E109" s="438"/>
      <c r="F109" s="438"/>
      <c r="G109" s="438"/>
      <c r="H109" s="438"/>
      <c r="I109" s="438"/>
      <c r="J109" s="438"/>
      <c r="K109" s="438"/>
      <c r="L109" s="438"/>
      <c r="M109" s="438"/>
      <c r="N109" s="438"/>
      <c r="O109" s="438"/>
      <c r="P109" s="438"/>
      <c r="Q109" s="438"/>
      <c r="R109" s="438"/>
      <c r="S109" s="438"/>
      <c r="T109" s="438"/>
      <c r="U109" s="438"/>
      <c r="V109" s="438"/>
      <c r="W109" s="438"/>
      <c r="X109" s="438"/>
      <c r="Y109" s="438"/>
      <c r="Z109" s="438"/>
      <c r="AA109" s="438"/>
      <c r="AB109" s="438"/>
      <c r="AC109" s="438"/>
      <c r="AD109" s="438"/>
      <c r="AE109" s="438"/>
      <c r="AF109" s="438"/>
      <c r="AG109" s="438"/>
      <c r="AH109" s="438"/>
    </row>
    <row r="110">
      <c r="A110" s="438"/>
      <c r="B110" s="438"/>
      <c r="C110" s="438"/>
      <c r="D110" s="438"/>
      <c r="E110" s="438"/>
      <c r="F110" s="438"/>
      <c r="G110" s="438"/>
      <c r="H110" s="438"/>
      <c r="I110" s="438"/>
      <c r="J110" s="438"/>
      <c r="K110" s="438"/>
      <c r="L110" s="438"/>
      <c r="M110" s="438"/>
      <c r="N110" s="438"/>
      <c r="O110" s="438"/>
      <c r="P110" s="438"/>
      <c r="Q110" s="438"/>
      <c r="R110" s="438"/>
      <c r="S110" s="438"/>
      <c r="T110" s="438"/>
      <c r="U110" s="438"/>
      <c r="V110" s="438"/>
      <c r="W110" s="438"/>
      <c r="X110" s="438"/>
      <c r="Y110" s="438"/>
      <c r="Z110" s="438"/>
      <c r="AA110" s="438"/>
      <c r="AB110" s="438"/>
      <c r="AC110" s="438"/>
      <c r="AD110" s="438"/>
      <c r="AE110" s="438"/>
      <c r="AF110" s="438"/>
      <c r="AG110" s="438"/>
      <c r="AH110" s="438"/>
    </row>
    <row r="111">
      <c r="A111" s="438"/>
      <c r="B111" s="438"/>
      <c r="C111" s="438"/>
      <c r="D111" s="438"/>
      <c r="E111" s="438"/>
      <c r="F111" s="438"/>
      <c r="G111" s="438"/>
      <c r="H111" s="438"/>
      <c r="I111" s="438"/>
      <c r="J111" s="438"/>
      <c r="K111" s="438"/>
      <c r="L111" s="438"/>
      <c r="M111" s="438"/>
      <c r="N111" s="438"/>
      <c r="O111" s="438"/>
      <c r="P111" s="438"/>
      <c r="Q111" s="438"/>
      <c r="R111" s="438"/>
      <c r="S111" s="438"/>
      <c r="T111" s="438"/>
      <c r="U111" s="438"/>
      <c r="V111" s="438"/>
      <c r="W111" s="438"/>
      <c r="X111" s="438"/>
      <c r="Y111" s="438"/>
      <c r="Z111" s="438"/>
      <c r="AA111" s="438"/>
      <c r="AB111" s="438"/>
      <c r="AC111" s="438"/>
      <c r="AD111" s="438"/>
      <c r="AE111" s="438"/>
      <c r="AF111" s="438"/>
      <c r="AG111" s="438"/>
      <c r="AH111" s="438"/>
    </row>
    <row r="112">
      <c r="A112" s="438"/>
      <c r="B112" s="438"/>
      <c r="C112" s="438"/>
      <c r="D112" s="438"/>
      <c r="E112" s="438"/>
      <c r="F112" s="438"/>
      <c r="G112" s="438"/>
      <c r="H112" s="438"/>
      <c r="I112" s="438"/>
      <c r="J112" s="438"/>
      <c r="K112" s="438"/>
      <c r="L112" s="438"/>
      <c r="M112" s="438"/>
      <c r="N112" s="438"/>
      <c r="O112" s="438"/>
      <c r="P112" s="438"/>
      <c r="Q112" s="438"/>
      <c r="R112" s="438"/>
      <c r="S112" s="438"/>
      <c r="T112" s="438"/>
      <c r="U112" s="438"/>
      <c r="V112" s="438"/>
      <c r="W112" s="438"/>
      <c r="X112" s="438"/>
      <c r="Y112" s="438"/>
      <c r="Z112" s="438"/>
      <c r="AA112" s="438"/>
      <c r="AB112" s="438"/>
      <c r="AC112" s="438"/>
      <c r="AD112" s="438"/>
      <c r="AE112" s="438"/>
      <c r="AF112" s="438"/>
      <c r="AG112" s="438"/>
      <c r="AH112" s="438"/>
    </row>
    <row r="113">
      <c r="A113" s="438"/>
      <c r="B113" s="438"/>
      <c r="C113" s="438"/>
      <c r="D113" s="438"/>
      <c r="E113" s="438"/>
      <c r="F113" s="438"/>
      <c r="G113" s="438"/>
      <c r="H113" s="438"/>
      <c r="I113" s="438"/>
      <c r="J113" s="438"/>
      <c r="K113" s="438"/>
      <c r="L113" s="438"/>
      <c r="M113" s="438"/>
      <c r="N113" s="438"/>
      <c r="O113" s="438"/>
      <c r="P113" s="438"/>
      <c r="Q113" s="438"/>
      <c r="R113" s="438"/>
      <c r="S113" s="438"/>
      <c r="T113" s="438"/>
      <c r="U113" s="438"/>
      <c r="V113" s="438"/>
      <c r="W113" s="438"/>
      <c r="X113" s="438"/>
      <c r="Y113" s="438"/>
      <c r="Z113" s="438"/>
      <c r="AA113" s="438"/>
      <c r="AB113" s="438"/>
      <c r="AC113" s="438"/>
      <c r="AD113" s="438"/>
      <c r="AE113" s="438"/>
      <c r="AF113" s="438"/>
      <c r="AG113" s="438"/>
      <c r="AH113" s="438"/>
    </row>
    <row r="114">
      <c r="A114" s="438"/>
      <c r="B114" s="438"/>
      <c r="C114" s="438"/>
      <c r="D114" s="438"/>
      <c r="E114" s="438"/>
      <c r="F114" s="438"/>
      <c r="G114" s="438"/>
      <c r="H114" s="438"/>
      <c r="I114" s="438"/>
      <c r="J114" s="438"/>
      <c r="K114" s="438"/>
      <c r="L114" s="438"/>
      <c r="M114" s="438"/>
      <c r="N114" s="438"/>
      <c r="O114" s="438"/>
      <c r="P114" s="438"/>
      <c r="Q114" s="438"/>
      <c r="R114" s="438"/>
      <c r="S114" s="438"/>
      <c r="T114" s="438"/>
      <c r="U114" s="438"/>
      <c r="V114" s="438"/>
      <c r="W114" s="438"/>
      <c r="X114" s="438"/>
      <c r="Y114" s="438"/>
      <c r="Z114" s="438"/>
      <c r="AA114" s="438"/>
      <c r="AB114" s="438"/>
      <c r="AC114" s="438"/>
      <c r="AD114" s="438"/>
      <c r="AE114" s="438"/>
      <c r="AF114" s="438"/>
      <c r="AG114" s="438"/>
      <c r="AH114" s="438"/>
    </row>
    <row r="115">
      <c r="A115" s="438"/>
      <c r="B115" s="438"/>
      <c r="C115" s="438"/>
      <c r="D115" s="438"/>
      <c r="E115" s="438"/>
      <c r="F115" s="438"/>
      <c r="G115" s="438"/>
      <c r="H115" s="438"/>
      <c r="I115" s="438"/>
      <c r="J115" s="438"/>
      <c r="K115" s="438"/>
      <c r="L115" s="438"/>
      <c r="M115" s="438"/>
      <c r="N115" s="438"/>
      <c r="O115" s="438"/>
      <c r="P115" s="438"/>
      <c r="Q115" s="438"/>
      <c r="R115" s="438"/>
      <c r="S115" s="438"/>
      <c r="T115" s="438"/>
      <c r="U115" s="438"/>
      <c r="V115" s="438"/>
      <c r="W115" s="438"/>
      <c r="X115" s="438"/>
      <c r="Y115" s="438"/>
      <c r="Z115" s="438"/>
      <c r="AA115" s="438"/>
      <c r="AB115" s="438"/>
      <c r="AC115" s="438"/>
      <c r="AD115" s="438"/>
      <c r="AE115" s="438"/>
      <c r="AF115" s="438"/>
      <c r="AG115" s="438"/>
      <c r="AH115" s="438"/>
    </row>
    <row r="116">
      <c r="A116" s="438"/>
      <c r="B116" s="438"/>
      <c r="C116" s="438"/>
      <c r="D116" s="438"/>
      <c r="E116" s="438"/>
      <c r="F116" s="438"/>
      <c r="G116" s="438"/>
      <c r="H116" s="438"/>
      <c r="I116" s="438"/>
      <c r="J116" s="438"/>
      <c r="K116" s="438"/>
      <c r="L116" s="438"/>
      <c r="M116" s="438"/>
      <c r="N116" s="438"/>
      <c r="O116" s="438"/>
      <c r="P116" s="438"/>
      <c r="Q116" s="438"/>
      <c r="R116" s="438"/>
      <c r="S116" s="438"/>
      <c r="T116" s="438"/>
      <c r="U116" s="438"/>
      <c r="V116" s="438"/>
      <c r="W116" s="438"/>
      <c r="X116" s="438"/>
      <c r="Y116" s="438"/>
      <c r="Z116" s="438"/>
      <c r="AA116" s="438"/>
      <c r="AB116" s="438"/>
      <c r="AC116" s="438"/>
      <c r="AD116" s="438"/>
      <c r="AE116" s="438"/>
      <c r="AF116" s="438"/>
      <c r="AG116" s="438"/>
      <c r="AH116" s="438"/>
    </row>
    <row r="117">
      <c r="A117" s="438"/>
      <c r="B117" s="438"/>
      <c r="C117" s="438"/>
      <c r="D117" s="438"/>
      <c r="E117" s="438"/>
      <c r="F117" s="438"/>
      <c r="G117" s="438"/>
      <c r="H117" s="438"/>
      <c r="I117" s="438"/>
      <c r="J117" s="438"/>
      <c r="K117" s="438"/>
      <c r="L117" s="438"/>
      <c r="M117" s="438"/>
      <c r="N117" s="438"/>
      <c r="O117" s="438"/>
      <c r="P117" s="438"/>
      <c r="Q117" s="438"/>
      <c r="R117" s="438"/>
      <c r="S117" s="438"/>
      <c r="T117" s="438"/>
      <c r="U117" s="438"/>
      <c r="V117" s="438"/>
      <c r="W117" s="438"/>
      <c r="X117" s="438"/>
      <c r="Y117" s="438"/>
      <c r="Z117" s="438"/>
      <c r="AA117" s="438"/>
      <c r="AB117" s="438"/>
      <c r="AC117" s="438"/>
      <c r="AD117" s="438"/>
      <c r="AE117" s="438"/>
      <c r="AF117" s="438"/>
      <c r="AG117" s="438"/>
      <c r="AH117" s="438"/>
    </row>
    <row r="118">
      <c r="A118" s="438"/>
      <c r="B118" s="438"/>
      <c r="C118" s="438"/>
      <c r="D118" s="438"/>
      <c r="E118" s="438"/>
      <c r="F118" s="438"/>
      <c r="G118" s="438"/>
      <c r="H118" s="438"/>
      <c r="I118" s="438"/>
      <c r="J118" s="438"/>
      <c r="K118" s="438"/>
      <c r="L118" s="438"/>
      <c r="M118" s="438"/>
      <c r="N118" s="438"/>
      <c r="O118" s="438"/>
      <c r="P118" s="438"/>
      <c r="Q118" s="438"/>
      <c r="R118" s="438"/>
      <c r="S118" s="438"/>
      <c r="T118" s="438"/>
      <c r="U118" s="438"/>
      <c r="V118" s="438"/>
      <c r="W118" s="438"/>
      <c r="X118" s="438"/>
      <c r="Y118" s="438"/>
      <c r="Z118" s="438"/>
      <c r="AA118" s="438"/>
      <c r="AB118" s="438"/>
      <c r="AC118" s="438"/>
      <c r="AD118" s="438"/>
      <c r="AE118" s="438"/>
      <c r="AF118" s="438"/>
      <c r="AG118" s="438"/>
      <c r="AH118" s="438"/>
    </row>
    <row r="119">
      <c r="A119" s="438"/>
      <c r="B119" s="438"/>
      <c r="C119" s="438"/>
      <c r="D119" s="438"/>
      <c r="E119" s="438"/>
      <c r="F119" s="438"/>
      <c r="G119" s="438"/>
      <c r="H119" s="438"/>
      <c r="I119" s="438"/>
      <c r="J119" s="438"/>
      <c r="K119" s="438"/>
      <c r="L119" s="438"/>
      <c r="M119" s="438"/>
      <c r="N119" s="438"/>
      <c r="O119" s="438"/>
      <c r="P119" s="438"/>
      <c r="Q119" s="438"/>
      <c r="R119" s="438"/>
      <c r="S119" s="438"/>
      <c r="T119" s="438"/>
      <c r="U119" s="438"/>
      <c r="V119" s="438"/>
      <c r="W119" s="438"/>
      <c r="X119" s="438"/>
      <c r="Y119" s="438"/>
      <c r="Z119" s="438"/>
      <c r="AA119" s="438"/>
      <c r="AB119" s="438"/>
      <c r="AC119" s="438"/>
      <c r="AD119" s="438"/>
      <c r="AE119" s="438"/>
      <c r="AF119" s="438"/>
      <c r="AG119" s="438"/>
      <c r="AH119" s="438"/>
    </row>
    <row r="120">
      <c r="A120" s="438"/>
      <c r="B120" s="438"/>
      <c r="C120" s="438"/>
      <c r="D120" s="438"/>
      <c r="E120" s="438"/>
      <c r="F120" s="438"/>
      <c r="G120" s="438"/>
      <c r="H120" s="438"/>
      <c r="I120" s="438"/>
      <c r="J120" s="438"/>
      <c r="K120" s="438"/>
      <c r="L120" s="438"/>
      <c r="M120" s="438"/>
      <c r="N120" s="438"/>
      <c r="O120" s="438"/>
      <c r="P120" s="438"/>
      <c r="Q120" s="438"/>
      <c r="R120" s="438"/>
      <c r="S120" s="438"/>
      <c r="T120" s="438"/>
      <c r="U120" s="438"/>
      <c r="V120" s="438"/>
      <c r="W120" s="438"/>
      <c r="X120" s="438"/>
      <c r="Y120" s="438"/>
      <c r="Z120" s="438"/>
      <c r="AA120" s="438"/>
      <c r="AB120" s="438"/>
      <c r="AC120" s="438"/>
      <c r="AD120" s="438"/>
      <c r="AE120" s="438"/>
      <c r="AF120" s="438"/>
      <c r="AG120" s="438"/>
      <c r="AH120" s="438"/>
    </row>
    <row r="121">
      <c r="A121" s="438"/>
      <c r="B121" s="438"/>
      <c r="C121" s="438"/>
      <c r="D121" s="438"/>
      <c r="E121" s="438"/>
      <c r="F121" s="438"/>
      <c r="G121" s="438"/>
      <c r="H121" s="438"/>
      <c r="I121" s="438"/>
      <c r="J121" s="438"/>
      <c r="K121" s="438"/>
      <c r="L121" s="438"/>
      <c r="M121" s="438"/>
      <c r="N121" s="438"/>
      <c r="O121" s="438"/>
      <c r="P121" s="438"/>
      <c r="Q121" s="438"/>
      <c r="R121" s="438"/>
      <c r="S121" s="438"/>
      <c r="T121" s="438"/>
      <c r="U121" s="438"/>
      <c r="V121" s="438"/>
      <c r="W121" s="438"/>
      <c r="X121" s="438"/>
      <c r="Y121" s="438"/>
      <c r="Z121" s="438"/>
      <c r="AA121" s="438"/>
      <c r="AB121" s="438"/>
      <c r="AC121" s="438"/>
      <c r="AD121" s="438"/>
      <c r="AE121" s="438"/>
      <c r="AF121" s="438"/>
      <c r="AG121" s="438"/>
      <c r="AH121" s="438"/>
    </row>
    <row r="122">
      <c r="A122" s="438"/>
      <c r="B122" s="438"/>
      <c r="C122" s="438"/>
      <c r="D122" s="438"/>
      <c r="E122" s="438"/>
      <c r="F122" s="438"/>
      <c r="G122" s="438"/>
      <c r="H122" s="438"/>
      <c r="I122" s="438"/>
      <c r="J122" s="438"/>
      <c r="K122" s="438"/>
      <c r="L122" s="438"/>
      <c r="M122" s="438"/>
      <c r="N122" s="438"/>
      <c r="O122" s="438"/>
      <c r="P122" s="438"/>
      <c r="Q122" s="438"/>
      <c r="R122" s="438"/>
      <c r="S122" s="438"/>
      <c r="T122" s="438"/>
      <c r="U122" s="438"/>
      <c r="V122" s="438"/>
      <c r="W122" s="438"/>
      <c r="X122" s="438"/>
      <c r="Y122" s="438"/>
      <c r="Z122" s="438"/>
      <c r="AA122" s="438"/>
      <c r="AB122" s="438"/>
      <c r="AC122" s="438"/>
      <c r="AD122" s="438"/>
      <c r="AE122" s="438"/>
      <c r="AF122" s="438"/>
      <c r="AG122" s="438"/>
      <c r="AH122" s="438"/>
    </row>
    <row r="123">
      <c r="A123" s="438"/>
      <c r="B123" s="438"/>
      <c r="C123" s="438"/>
      <c r="D123" s="438"/>
      <c r="E123" s="438"/>
      <c r="F123" s="438"/>
      <c r="G123" s="438"/>
      <c r="H123" s="438"/>
      <c r="I123" s="438"/>
      <c r="J123" s="438"/>
      <c r="K123" s="438"/>
      <c r="L123" s="438"/>
      <c r="M123" s="438"/>
      <c r="N123" s="438"/>
      <c r="O123" s="438"/>
      <c r="P123" s="438"/>
      <c r="Q123" s="438"/>
      <c r="R123" s="438"/>
      <c r="S123" s="438"/>
      <c r="T123" s="438"/>
      <c r="U123" s="438"/>
      <c r="V123" s="438"/>
      <c r="W123" s="438"/>
      <c r="X123" s="438"/>
      <c r="Y123" s="438"/>
      <c r="Z123" s="438"/>
      <c r="AA123" s="438"/>
      <c r="AB123" s="438"/>
      <c r="AC123" s="438"/>
      <c r="AD123" s="438"/>
      <c r="AE123" s="438"/>
      <c r="AF123" s="438"/>
      <c r="AG123" s="438"/>
      <c r="AH123" s="438"/>
    </row>
    <row r="124">
      <c r="A124" s="438"/>
      <c r="B124" s="438"/>
      <c r="C124" s="438"/>
      <c r="D124" s="438"/>
      <c r="E124" s="438"/>
      <c r="F124" s="438"/>
      <c r="G124" s="438"/>
      <c r="H124" s="438"/>
      <c r="I124" s="438"/>
      <c r="J124" s="438"/>
      <c r="K124" s="438"/>
      <c r="L124" s="438"/>
      <c r="M124" s="438"/>
      <c r="N124" s="438"/>
      <c r="O124" s="438"/>
      <c r="P124" s="438"/>
      <c r="Q124" s="438"/>
      <c r="R124" s="438"/>
      <c r="S124" s="438"/>
      <c r="T124" s="438"/>
      <c r="U124" s="438"/>
      <c r="V124" s="438"/>
      <c r="W124" s="438"/>
      <c r="X124" s="438"/>
      <c r="Y124" s="438"/>
      <c r="Z124" s="438"/>
      <c r="AA124" s="438"/>
      <c r="AB124" s="438"/>
      <c r="AC124" s="438"/>
      <c r="AD124" s="438"/>
      <c r="AE124" s="438"/>
      <c r="AF124" s="438"/>
      <c r="AG124" s="438"/>
      <c r="AH124" s="438"/>
    </row>
    <row r="125">
      <c r="A125" s="438"/>
      <c r="B125" s="438"/>
      <c r="C125" s="438"/>
      <c r="D125" s="438"/>
      <c r="E125" s="438"/>
      <c r="F125" s="438"/>
      <c r="G125" s="438"/>
      <c r="H125" s="438"/>
      <c r="I125" s="438"/>
      <c r="J125" s="438"/>
      <c r="K125" s="438"/>
      <c r="L125" s="438"/>
      <c r="M125" s="438"/>
      <c r="N125" s="438"/>
      <c r="O125" s="438"/>
      <c r="P125" s="438"/>
      <c r="Q125" s="438"/>
      <c r="R125" s="438"/>
      <c r="S125" s="438"/>
      <c r="T125" s="438"/>
      <c r="U125" s="438"/>
      <c r="V125" s="438"/>
      <c r="W125" s="438"/>
      <c r="X125" s="438"/>
      <c r="Y125" s="438"/>
      <c r="Z125" s="438"/>
      <c r="AA125" s="438"/>
      <c r="AB125" s="438"/>
      <c r="AC125" s="438"/>
      <c r="AD125" s="438"/>
      <c r="AE125" s="438"/>
      <c r="AF125" s="438"/>
      <c r="AG125" s="438"/>
      <c r="AH125" s="438"/>
    </row>
    <row r="126">
      <c r="A126" s="438"/>
      <c r="B126" s="438"/>
      <c r="C126" s="438"/>
      <c r="D126" s="438"/>
      <c r="E126" s="438"/>
      <c r="F126" s="438"/>
      <c r="G126" s="438"/>
      <c r="H126" s="438"/>
      <c r="I126" s="438"/>
      <c r="J126" s="438"/>
      <c r="K126" s="438"/>
      <c r="L126" s="438"/>
      <c r="M126" s="438"/>
      <c r="N126" s="438"/>
      <c r="O126" s="438"/>
      <c r="P126" s="438"/>
      <c r="Q126" s="438"/>
      <c r="R126" s="438"/>
      <c r="S126" s="438"/>
      <c r="T126" s="438"/>
      <c r="U126" s="438"/>
      <c r="V126" s="438"/>
      <c r="W126" s="438"/>
      <c r="X126" s="438"/>
      <c r="Y126" s="438"/>
      <c r="Z126" s="438"/>
      <c r="AA126" s="438"/>
      <c r="AB126" s="438"/>
      <c r="AC126" s="438"/>
      <c r="AD126" s="438"/>
      <c r="AE126" s="438"/>
      <c r="AF126" s="438"/>
      <c r="AG126" s="438"/>
      <c r="AH126" s="438"/>
    </row>
    <row r="127">
      <c r="A127" s="438"/>
      <c r="B127" s="438"/>
      <c r="C127" s="438"/>
      <c r="D127" s="438"/>
      <c r="E127" s="438"/>
      <c r="F127" s="438"/>
      <c r="G127" s="438"/>
      <c r="H127" s="438"/>
      <c r="I127" s="438"/>
      <c r="J127" s="438"/>
      <c r="K127" s="438"/>
      <c r="L127" s="438"/>
      <c r="M127" s="438"/>
      <c r="N127" s="438"/>
      <c r="O127" s="438"/>
      <c r="P127" s="438"/>
      <c r="Q127" s="438"/>
      <c r="R127" s="438"/>
      <c r="S127" s="438"/>
      <c r="T127" s="438"/>
      <c r="U127" s="438"/>
      <c r="V127" s="438"/>
      <c r="W127" s="438"/>
      <c r="X127" s="438"/>
      <c r="Y127" s="438"/>
      <c r="Z127" s="438"/>
      <c r="AA127" s="438"/>
      <c r="AB127" s="438"/>
      <c r="AC127" s="438"/>
      <c r="AD127" s="438"/>
      <c r="AE127" s="438"/>
      <c r="AF127" s="438"/>
      <c r="AG127" s="438"/>
      <c r="AH127" s="438"/>
    </row>
    <row r="128">
      <c r="A128" s="438"/>
      <c r="B128" s="438"/>
      <c r="C128" s="438"/>
      <c r="D128" s="438"/>
      <c r="E128" s="438"/>
      <c r="F128" s="438"/>
      <c r="G128" s="438"/>
      <c r="H128" s="438"/>
      <c r="I128" s="438"/>
      <c r="J128" s="438"/>
      <c r="K128" s="438"/>
      <c r="L128" s="438"/>
      <c r="M128" s="438"/>
      <c r="N128" s="438"/>
      <c r="O128" s="438"/>
      <c r="P128" s="438"/>
      <c r="Q128" s="438"/>
      <c r="R128" s="438"/>
      <c r="S128" s="438"/>
      <c r="T128" s="438"/>
      <c r="U128" s="438"/>
      <c r="V128" s="438"/>
      <c r="W128" s="438"/>
      <c r="X128" s="438"/>
      <c r="Y128" s="438"/>
      <c r="Z128" s="438"/>
      <c r="AA128" s="438"/>
      <c r="AB128" s="438"/>
      <c r="AC128" s="438"/>
      <c r="AD128" s="438"/>
      <c r="AE128" s="438"/>
      <c r="AF128" s="438"/>
      <c r="AG128" s="438"/>
      <c r="AH128" s="438"/>
    </row>
    <row r="129">
      <c r="A129" s="438"/>
      <c r="B129" s="438"/>
      <c r="C129" s="438"/>
      <c r="D129" s="438"/>
      <c r="E129" s="438"/>
      <c r="F129" s="438"/>
      <c r="G129" s="438"/>
      <c r="H129" s="438"/>
      <c r="I129" s="438"/>
      <c r="J129" s="438"/>
      <c r="K129" s="438"/>
      <c r="L129" s="438"/>
      <c r="M129" s="438"/>
      <c r="N129" s="438"/>
      <c r="O129" s="438"/>
      <c r="P129" s="438"/>
      <c r="Q129" s="438"/>
      <c r="R129" s="438"/>
      <c r="S129" s="438"/>
      <c r="T129" s="438"/>
      <c r="U129" s="438"/>
      <c r="V129" s="438"/>
      <c r="W129" s="438"/>
      <c r="X129" s="438"/>
      <c r="Y129" s="438"/>
      <c r="Z129" s="438"/>
      <c r="AA129" s="438"/>
      <c r="AB129" s="438"/>
      <c r="AC129" s="438"/>
      <c r="AD129" s="438"/>
      <c r="AE129" s="438"/>
      <c r="AF129" s="438"/>
      <c r="AG129" s="438"/>
      <c r="AH129" s="438"/>
    </row>
    <row r="130">
      <c r="A130" s="438"/>
      <c r="B130" s="438"/>
      <c r="C130" s="438"/>
      <c r="D130" s="438"/>
      <c r="E130" s="438"/>
      <c r="F130" s="438"/>
      <c r="G130" s="438"/>
      <c r="H130" s="438"/>
      <c r="I130" s="438"/>
      <c r="J130" s="438"/>
      <c r="K130" s="438"/>
      <c r="L130" s="438"/>
      <c r="M130" s="438"/>
      <c r="N130" s="438"/>
      <c r="O130" s="438"/>
      <c r="P130" s="438"/>
      <c r="Q130" s="438"/>
      <c r="R130" s="438"/>
      <c r="S130" s="438"/>
      <c r="T130" s="438"/>
      <c r="U130" s="438"/>
      <c r="V130" s="438"/>
      <c r="W130" s="438"/>
      <c r="X130" s="438"/>
      <c r="Y130" s="438"/>
      <c r="Z130" s="438"/>
      <c r="AA130" s="438"/>
      <c r="AB130" s="438"/>
      <c r="AC130" s="438"/>
      <c r="AD130" s="438"/>
      <c r="AE130" s="438"/>
      <c r="AF130" s="438"/>
      <c r="AG130" s="438"/>
      <c r="AH130" s="438"/>
    </row>
    <row r="131">
      <c r="A131" s="438"/>
      <c r="B131" s="438"/>
      <c r="C131" s="438"/>
      <c r="D131" s="438"/>
      <c r="E131" s="438"/>
      <c r="F131" s="438"/>
      <c r="G131" s="438"/>
      <c r="H131" s="438"/>
      <c r="I131" s="438"/>
      <c r="J131" s="438"/>
      <c r="K131" s="438"/>
      <c r="L131" s="438"/>
      <c r="M131" s="438"/>
      <c r="N131" s="438"/>
      <c r="O131" s="438"/>
      <c r="P131" s="438"/>
      <c r="Q131" s="438"/>
      <c r="R131" s="438"/>
      <c r="S131" s="438"/>
      <c r="T131" s="438"/>
      <c r="U131" s="438"/>
      <c r="V131" s="438"/>
      <c r="W131" s="438"/>
      <c r="X131" s="438"/>
      <c r="Y131" s="438"/>
      <c r="Z131" s="438"/>
      <c r="AA131" s="438"/>
      <c r="AB131" s="438"/>
      <c r="AC131" s="438"/>
      <c r="AD131" s="438"/>
      <c r="AE131" s="438"/>
      <c r="AF131" s="438"/>
      <c r="AG131" s="438"/>
      <c r="AH131" s="438"/>
    </row>
    <row r="132">
      <c r="A132" s="438"/>
      <c r="B132" s="438"/>
      <c r="C132" s="438"/>
      <c r="D132" s="438"/>
      <c r="E132" s="438"/>
      <c r="F132" s="438"/>
      <c r="G132" s="438"/>
      <c r="H132" s="438"/>
      <c r="I132" s="438"/>
      <c r="J132" s="438"/>
      <c r="K132" s="438"/>
      <c r="L132" s="438"/>
      <c r="M132" s="438"/>
      <c r="N132" s="438"/>
      <c r="O132" s="438"/>
      <c r="P132" s="438"/>
      <c r="Q132" s="438"/>
      <c r="R132" s="438"/>
      <c r="S132" s="438"/>
      <c r="T132" s="438"/>
      <c r="U132" s="438"/>
      <c r="V132" s="438"/>
      <c r="W132" s="438"/>
      <c r="X132" s="438"/>
      <c r="Y132" s="438"/>
      <c r="Z132" s="438"/>
      <c r="AA132" s="438"/>
      <c r="AB132" s="438"/>
      <c r="AC132" s="438"/>
      <c r="AD132" s="438"/>
      <c r="AE132" s="438"/>
      <c r="AF132" s="438"/>
      <c r="AG132" s="438"/>
      <c r="AH132" s="438"/>
    </row>
    <row r="133">
      <c r="A133" s="438"/>
      <c r="B133" s="438"/>
      <c r="C133" s="438"/>
      <c r="D133" s="438"/>
      <c r="E133" s="438"/>
      <c r="F133" s="438"/>
      <c r="G133" s="438"/>
      <c r="H133" s="438"/>
      <c r="I133" s="438"/>
      <c r="J133" s="438"/>
      <c r="K133" s="438"/>
      <c r="L133" s="438"/>
      <c r="M133" s="438"/>
      <c r="N133" s="438"/>
      <c r="O133" s="438"/>
      <c r="P133" s="438"/>
      <c r="Q133" s="438"/>
      <c r="R133" s="438"/>
      <c r="S133" s="438"/>
      <c r="T133" s="438"/>
      <c r="U133" s="438"/>
      <c r="V133" s="438"/>
      <c r="W133" s="438"/>
      <c r="X133" s="438"/>
      <c r="Y133" s="438"/>
      <c r="Z133" s="438"/>
      <c r="AA133" s="438"/>
      <c r="AB133" s="438"/>
      <c r="AC133" s="438"/>
      <c r="AD133" s="438"/>
      <c r="AE133" s="438"/>
      <c r="AF133" s="438"/>
      <c r="AG133" s="438"/>
      <c r="AH133" s="438"/>
    </row>
    <row r="134">
      <c r="A134" s="438"/>
      <c r="B134" s="438"/>
      <c r="C134" s="438"/>
      <c r="D134" s="438"/>
      <c r="E134" s="438"/>
      <c r="F134" s="438"/>
      <c r="G134" s="438"/>
      <c r="H134" s="438"/>
      <c r="I134" s="438"/>
      <c r="J134" s="438"/>
      <c r="K134" s="438"/>
      <c r="L134" s="438"/>
      <c r="M134" s="438"/>
      <c r="N134" s="438"/>
      <c r="O134" s="438"/>
      <c r="P134" s="438"/>
      <c r="Q134" s="438"/>
      <c r="R134" s="438"/>
      <c r="S134" s="438"/>
      <c r="T134" s="438"/>
      <c r="U134" s="438"/>
      <c r="V134" s="438"/>
      <c r="W134" s="438"/>
      <c r="X134" s="438"/>
      <c r="Y134" s="438"/>
      <c r="Z134" s="438"/>
      <c r="AA134" s="438"/>
      <c r="AB134" s="438"/>
      <c r="AC134" s="438"/>
      <c r="AD134" s="438"/>
      <c r="AE134" s="438"/>
      <c r="AF134" s="438"/>
      <c r="AG134" s="438"/>
      <c r="AH134" s="438"/>
    </row>
    <row r="135">
      <c r="A135" s="438"/>
      <c r="B135" s="438"/>
      <c r="C135" s="438"/>
      <c r="D135" s="438"/>
      <c r="E135" s="438"/>
      <c r="F135" s="438"/>
      <c r="G135" s="438"/>
      <c r="H135" s="438"/>
      <c r="I135" s="438"/>
      <c r="J135" s="438"/>
      <c r="K135" s="438"/>
      <c r="L135" s="438"/>
      <c r="M135" s="438"/>
      <c r="N135" s="438"/>
      <c r="O135" s="438"/>
      <c r="P135" s="438"/>
      <c r="Q135" s="438"/>
      <c r="R135" s="438"/>
      <c r="S135" s="438"/>
      <c r="T135" s="438"/>
      <c r="U135" s="438"/>
      <c r="V135" s="438"/>
      <c r="W135" s="438"/>
      <c r="X135" s="438"/>
      <c r="Y135" s="438"/>
      <c r="Z135" s="438"/>
      <c r="AA135" s="438"/>
      <c r="AB135" s="438"/>
      <c r="AC135" s="438"/>
      <c r="AD135" s="438"/>
      <c r="AE135" s="438"/>
      <c r="AF135" s="438"/>
      <c r="AG135" s="438"/>
      <c r="AH135" s="438"/>
    </row>
    <row r="136">
      <c r="A136" s="438"/>
      <c r="B136" s="438"/>
      <c r="C136" s="438"/>
      <c r="D136" s="438"/>
      <c r="E136" s="438"/>
      <c r="F136" s="438"/>
      <c r="G136" s="438"/>
      <c r="H136" s="438"/>
      <c r="I136" s="438"/>
      <c r="J136" s="438"/>
      <c r="K136" s="438"/>
      <c r="L136" s="438"/>
      <c r="M136" s="438"/>
      <c r="N136" s="438"/>
      <c r="O136" s="438"/>
      <c r="P136" s="438"/>
      <c r="Q136" s="438"/>
      <c r="R136" s="438"/>
      <c r="S136" s="438"/>
      <c r="T136" s="438"/>
      <c r="U136" s="438"/>
      <c r="V136" s="438"/>
      <c r="W136" s="438"/>
      <c r="X136" s="438"/>
      <c r="Y136" s="438"/>
      <c r="Z136" s="438"/>
      <c r="AA136" s="438"/>
      <c r="AB136" s="438"/>
      <c r="AC136" s="438"/>
      <c r="AD136" s="438"/>
      <c r="AE136" s="438"/>
      <c r="AF136" s="438"/>
      <c r="AG136" s="438"/>
      <c r="AH136" s="438"/>
    </row>
    <row r="137">
      <c r="A137" s="438"/>
      <c r="B137" s="438"/>
      <c r="C137" s="438"/>
      <c r="D137" s="438"/>
      <c r="E137" s="438"/>
      <c r="F137" s="438"/>
      <c r="G137" s="438"/>
      <c r="H137" s="438"/>
      <c r="I137" s="438"/>
      <c r="J137" s="438"/>
      <c r="K137" s="438"/>
      <c r="L137" s="438"/>
      <c r="M137" s="438"/>
      <c r="N137" s="438"/>
      <c r="O137" s="438"/>
      <c r="P137" s="438"/>
      <c r="Q137" s="438"/>
      <c r="R137" s="438"/>
      <c r="S137" s="438"/>
      <c r="T137" s="438"/>
      <c r="U137" s="438"/>
      <c r="V137" s="438"/>
      <c r="W137" s="438"/>
      <c r="X137" s="438"/>
      <c r="Y137" s="438"/>
      <c r="Z137" s="438"/>
      <c r="AA137" s="438"/>
      <c r="AB137" s="438"/>
      <c r="AC137" s="438"/>
      <c r="AD137" s="438"/>
      <c r="AE137" s="438"/>
      <c r="AF137" s="438"/>
      <c r="AG137" s="438"/>
      <c r="AH137" s="438"/>
    </row>
    <row r="138">
      <c r="A138" s="438"/>
      <c r="B138" s="438"/>
      <c r="C138" s="438"/>
      <c r="D138" s="438"/>
      <c r="E138" s="438"/>
      <c r="F138" s="438"/>
      <c r="G138" s="438"/>
      <c r="H138" s="438"/>
      <c r="I138" s="438"/>
      <c r="J138" s="438"/>
      <c r="K138" s="438"/>
      <c r="L138" s="438"/>
      <c r="M138" s="438"/>
      <c r="N138" s="438"/>
      <c r="O138" s="438"/>
      <c r="P138" s="438"/>
      <c r="Q138" s="438"/>
      <c r="R138" s="438"/>
      <c r="S138" s="438"/>
      <c r="T138" s="438"/>
      <c r="U138" s="438"/>
      <c r="V138" s="438"/>
      <c r="W138" s="438"/>
      <c r="X138" s="438"/>
      <c r="Y138" s="438"/>
      <c r="Z138" s="438"/>
      <c r="AA138" s="438"/>
      <c r="AB138" s="438"/>
      <c r="AC138" s="438"/>
      <c r="AD138" s="438"/>
      <c r="AE138" s="438"/>
      <c r="AF138" s="438"/>
      <c r="AG138" s="438"/>
      <c r="AH138" s="438"/>
    </row>
    <row r="139">
      <c r="A139" s="438"/>
      <c r="B139" s="438"/>
      <c r="C139" s="438"/>
      <c r="D139" s="438"/>
      <c r="E139" s="438"/>
      <c r="F139" s="438"/>
      <c r="G139" s="438"/>
      <c r="H139" s="438"/>
      <c r="I139" s="438"/>
      <c r="J139" s="438"/>
      <c r="K139" s="438"/>
      <c r="L139" s="438"/>
      <c r="M139" s="438"/>
      <c r="N139" s="438"/>
      <c r="O139" s="438"/>
      <c r="P139" s="438"/>
      <c r="Q139" s="438"/>
      <c r="R139" s="438"/>
      <c r="S139" s="438"/>
      <c r="T139" s="438"/>
      <c r="U139" s="438"/>
      <c r="V139" s="438"/>
      <c r="W139" s="438"/>
      <c r="X139" s="438"/>
      <c r="Y139" s="438"/>
      <c r="Z139" s="438"/>
      <c r="AA139" s="438"/>
      <c r="AB139" s="438"/>
      <c r="AC139" s="438"/>
      <c r="AD139" s="438"/>
      <c r="AE139" s="438"/>
      <c r="AF139" s="438"/>
      <c r="AG139" s="438"/>
      <c r="AH139" s="438"/>
    </row>
    <row r="140">
      <c r="A140" s="438"/>
      <c r="B140" s="438"/>
      <c r="C140" s="438"/>
      <c r="D140" s="438"/>
      <c r="E140" s="438"/>
      <c r="F140" s="438"/>
      <c r="G140" s="438"/>
      <c r="H140" s="438"/>
      <c r="I140" s="438"/>
      <c r="J140" s="438"/>
      <c r="K140" s="438"/>
      <c r="L140" s="438"/>
      <c r="M140" s="438"/>
      <c r="N140" s="438"/>
      <c r="O140" s="438"/>
      <c r="P140" s="438"/>
      <c r="Q140" s="438"/>
      <c r="R140" s="438"/>
      <c r="S140" s="438"/>
      <c r="T140" s="438"/>
      <c r="U140" s="438"/>
      <c r="V140" s="438"/>
      <c r="W140" s="438"/>
      <c r="X140" s="438"/>
      <c r="Y140" s="438"/>
      <c r="Z140" s="438"/>
      <c r="AA140" s="438"/>
      <c r="AB140" s="438"/>
      <c r="AC140" s="438"/>
      <c r="AD140" s="438"/>
      <c r="AE140" s="438"/>
      <c r="AF140" s="438"/>
      <c r="AG140" s="438"/>
      <c r="AH140" s="438"/>
    </row>
    <row r="141">
      <c r="A141" s="438"/>
      <c r="B141" s="438"/>
      <c r="C141" s="438"/>
      <c r="D141" s="438"/>
      <c r="E141" s="438"/>
      <c r="F141" s="438"/>
      <c r="G141" s="438"/>
      <c r="H141" s="438"/>
      <c r="I141" s="438"/>
      <c r="J141" s="438"/>
      <c r="K141" s="438"/>
      <c r="L141" s="438"/>
      <c r="M141" s="438"/>
      <c r="N141" s="438"/>
      <c r="O141" s="438"/>
      <c r="P141" s="438"/>
      <c r="Q141" s="438"/>
      <c r="R141" s="438"/>
      <c r="S141" s="438"/>
      <c r="T141" s="438"/>
      <c r="U141" s="438"/>
      <c r="V141" s="438"/>
      <c r="W141" s="438"/>
      <c r="X141" s="438"/>
      <c r="Y141" s="438"/>
      <c r="Z141" s="438"/>
      <c r="AA141" s="438"/>
      <c r="AB141" s="438"/>
      <c r="AC141" s="438"/>
      <c r="AD141" s="438"/>
      <c r="AE141" s="438"/>
      <c r="AF141" s="438"/>
      <c r="AG141" s="438"/>
      <c r="AH141" s="438"/>
    </row>
    <row r="142">
      <c r="A142" s="438"/>
      <c r="B142" s="438"/>
      <c r="C142" s="438"/>
      <c r="D142" s="438"/>
      <c r="E142" s="438"/>
      <c r="F142" s="438"/>
      <c r="G142" s="438"/>
      <c r="H142" s="438"/>
      <c r="I142" s="438"/>
      <c r="J142" s="438"/>
      <c r="K142" s="438"/>
      <c r="L142" s="438"/>
      <c r="M142" s="438"/>
      <c r="N142" s="438"/>
      <c r="O142" s="438"/>
      <c r="P142" s="438"/>
      <c r="Q142" s="438"/>
      <c r="R142" s="438"/>
      <c r="S142" s="438"/>
      <c r="T142" s="438"/>
      <c r="U142" s="438"/>
      <c r="V142" s="438"/>
      <c r="W142" s="438"/>
      <c r="X142" s="438"/>
      <c r="Y142" s="438"/>
      <c r="Z142" s="438"/>
      <c r="AA142" s="438"/>
      <c r="AB142" s="438"/>
      <c r="AC142" s="438"/>
      <c r="AD142" s="438"/>
      <c r="AE142" s="438"/>
      <c r="AF142" s="438"/>
      <c r="AG142" s="438"/>
      <c r="AH142" s="438"/>
    </row>
    <row r="143">
      <c r="A143" s="438"/>
      <c r="B143" s="438"/>
      <c r="C143" s="438"/>
      <c r="D143" s="438"/>
      <c r="E143" s="438"/>
      <c r="F143" s="438"/>
      <c r="G143" s="438"/>
      <c r="H143" s="438"/>
      <c r="I143" s="438"/>
      <c r="J143" s="438"/>
      <c r="K143" s="438"/>
      <c r="L143" s="438"/>
      <c r="M143" s="438"/>
      <c r="N143" s="438"/>
      <c r="O143" s="438"/>
      <c r="P143" s="438"/>
      <c r="Q143" s="438"/>
      <c r="R143" s="438"/>
      <c r="S143" s="438"/>
      <c r="T143" s="438"/>
      <c r="U143" s="438"/>
      <c r="V143" s="438"/>
      <c r="W143" s="438"/>
      <c r="X143" s="438"/>
      <c r="Y143" s="438"/>
      <c r="Z143" s="438"/>
      <c r="AA143" s="438"/>
      <c r="AB143" s="438"/>
      <c r="AC143" s="438"/>
      <c r="AD143" s="438"/>
      <c r="AE143" s="438"/>
      <c r="AF143" s="438"/>
      <c r="AG143" s="438"/>
      <c r="AH143" s="438"/>
    </row>
    <row r="144">
      <c r="A144" s="438"/>
      <c r="B144" s="438"/>
      <c r="C144" s="438"/>
      <c r="D144" s="438"/>
      <c r="E144" s="438"/>
      <c r="F144" s="438"/>
      <c r="G144" s="438"/>
      <c r="H144" s="438"/>
      <c r="I144" s="438"/>
      <c r="J144" s="438"/>
      <c r="K144" s="438"/>
      <c r="L144" s="438"/>
      <c r="M144" s="438"/>
      <c r="N144" s="438"/>
      <c r="O144" s="438"/>
      <c r="P144" s="438"/>
      <c r="Q144" s="438"/>
      <c r="R144" s="438"/>
      <c r="S144" s="438"/>
      <c r="T144" s="438"/>
      <c r="U144" s="438"/>
      <c r="V144" s="438"/>
      <c r="W144" s="438"/>
      <c r="X144" s="438"/>
      <c r="Y144" s="438"/>
      <c r="Z144" s="438"/>
      <c r="AA144" s="438"/>
      <c r="AB144" s="438"/>
      <c r="AC144" s="438"/>
      <c r="AD144" s="438"/>
      <c r="AE144" s="438"/>
      <c r="AF144" s="438"/>
      <c r="AG144" s="438"/>
      <c r="AH144" s="438"/>
    </row>
    <row r="145">
      <c r="A145" s="438"/>
      <c r="B145" s="438"/>
      <c r="C145" s="438"/>
      <c r="D145" s="438"/>
      <c r="E145" s="438"/>
      <c r="F145" s="438"/>
      <c r="G145" s="438"/>
      <c r="H145" s="438"/>
      <c r="I145" s="438"/>
      <c r="J145" s="438"/>
      <c r="K145" s="438"/>
      <c r="L145" s="438"/>
      <c r="M145" s="438"/>
      <c r="N145" s="438"/>
      <c r="O145" s="438"/>
      <c r="P145" s="438"/>
      <c r="Q145" s="438"/>
      <c r="R145" s="438"/>
      <c r="S145" s="438"/>
      <c r="T145" s="438"/>
      <c r="U145" s="438"/>
      <c r="V145" s="438"/>
      <c r="W145" s="438"/>
      <c r="X145" s="438"/>
      <c r="Y145" s="438"/>
      <c r="Z145" s="438"/>
      <c r="AA145" s="438"/>
      <c r="AB145" s="438"/>
      <c r="AC145" s="438"/>
      <c r="AD145" s="438"/>
      <c r="AE145" s="438"/>
      <c r="AF145" s="438"/>
      <c r="AG145" s="438"/>
      <c r="AH145" s="438"/>
    </row>
    <row r="146">
      <c r="A146" s="438"/>
      <c r="B146" s="438"/>
      <c r="C146" s="438"/>
      <c r="D146" s="438"/>
      <c r="E146" s="438"/>
      <c r="F146" s="438"/>
      <c r="G146" s="438"/>
      <c r="H146" s="438"/>
      <c r="I146" s="438"/>
      <c r="J146" s="438"/>
      <c r="K146" s="438"/>
      <c r="L146" s="438"/>
      <c r="M146" s="438"/>
      <c r="N146" s="438"/>
      <c r="O146" s="438"/>
      <c r="P146" s="438"/>
      <c r="Q146" s="438"/>
      <c r="R146" s="438"/>
      <c r="S146" s="438"/>
      <c r="T146" s="438"/>
      <c r="U146" s="438"/>
      <c r="V146" s="438"/>
      <c r="W146" s="438"/>
      <c r="X146" s="438"/>
      <c r="Y146" s="438"/>
      <c r="Z146" s="438"/>
      <c r="AA146" s="438"/>
      <c r="AB146" s="438"/>
      <c r="AC146" s="438"/>
      <c r="AD146" s="438"/>
      <c r="AE146" s="438"/>
      <c r="AF146" s="438"/>
      <c r="AG146" s="438"/>
      <c r="AH146" s="438"/>
    </row>
    <row r="147">
      <c r="A147" s="438"/>
      <c r="B147" s="438"/>
      <c r="C147" s="438"/>
      <c r="D147" s="438"/>
      <c r="E147" s="438"/>
      <c r="F147" s="438"/>
      <c r="G147" s="438"/>
      <c r="H147" s="438"/>
      <c r="I147" s="438"/>
      <c r="J147" s="438"/>
      <c r="K147" s="438"/>
      <c r="L147" s="438"/>
      <c r="M147" s="438"/>
      <c r="N147" s="438"/>
      <c r="O147" s="438"/>
      <c r="P147" s="438"/>
      <c r="Q147" s="438"/>
      <c r="R147" s="438"/>
      <c r="S147" s="438"/>
      <c r="T147" s="438"/>
      <c r="U147" s="438"/>
      <c r="V147" s="438"/>
      <c r="W147" s="438"/>
      <c r="X147" s="438"/>
      <c r="Y147" s="438"/>
      <c r="Z147" s="438"/>
      <c r="AA147" s="438"/>
      <c r="AB147" s="438"/>
      <c r="AC147" s="438"/>
      <c r="AD147" s="438"/>
      <c r="AE147" s="438"/>
      <c r="AF147" s="438"/>
      <c r="AG147" s="438"/>
      <c r="AH147" s="438"/>
    </row>
    <row r="148">
      <c r="A148" s="438"/>
      <c r="B148" s="438"/>
      <c r="C148" s="438"/>
      <c r="D148" s="438"/>
      <c r="E148" s="438"/>
      <c r="F148" s="438"/>
      <c r="G148" s="438"/>
      <c r="H148" s="438"/>
      <c r="I148" s="438"/>
      <c r="J148" s="438"/>
      <c r="K148" s="438"/>
      <c r="L148" s="438"/>
      <c r="M148" s="438"/>
      <c r="N148" s="438"/>
      <c r="O148" s="438"/>
      <c r="P148" s="438"/>
      <c r="Q148" s="438"/>
      <c r="R148" s="438"/>
      <c r="S148" s="438"/>
      <c r="T148" s="438"/>
      <c r="U148" s="438"/>
      <c r="V148" s="438"/>
      <c r="W148" s="438"/>
      <c r="X148" s="438"/>
      <c r="Y148" s="438"/>
      <c r="Z148" s="438"/>
      <c r="AA148" s="438"/>
      <c r="AB148" s="438"/>
      <c r="AC148" s="438"/>
      <c r="AD148" s="438"/>
      <c r="AE148" s="438"/>
      <c r="AF148" s="438"/>
      <c r="AG148" s="438"/>
      <c r="AH148" s="438"/>
    </row>
    <row r="149">
      <c r="A149" s="438"/>
      <c r="B149" s="438"/>
      <c r="C149" s="438"/>
      <c r="D149" s="438"/>
      <c r="E149" s="438"/>
      <c r="F149" s="438"/>
      <c r="G149" s="438"/>
      <c r="H149" s="438"/>
      <c r="I149" s="438"/>
      <c r="J149" s="438"/>
      <c r="K149" s="438"/>
      <c r="L149" s="438"/>
      <c r="M149" s="438"/>
      <c r="N149" s="438"/>
      <c r="O149" s="438"/>
      <c r="P149" s="438"/>
      <c r="Q149" s="438"/>
      <c r="R149" s="438"/>
      <c r="S149" s="438"/>
      <c r="T149" s="438"/>
      <c r="U149" s="438"/>
      <c r="V149" s="438"/>
      <c r="W149" s="438"/>
      <c r="X149" s="438"/>
      <c r="Y149" s="438"/>
      <c r="Z149" s="438"/>
      <c r="AA149" s="438"/>
      <c r="AB149" s="438"/>
      <c r="AC149" s="438"/>
      <c r="AD149" s="438"/>
      <c r="AE149" s="438"/>
      <c r="AF149" s="438"/>
      <c r="AG149" s="438"/>
      <c r="AH149" s="438"/>
    </row>
    <row r="150">
      <c r="A150" s="438"/>
      <c r="B150" s="438"/>
      <c r="C150" s="438"/>
      <c r="D150" s="438"/>
      <c r="E150" s="438"/>
      <c r="F150" s="438"/>
      <c r="G150" s="438"/>
      <c r="H150" s="438"/>
      <c r="I150" s="438"/>
      <c r="J150" s="438"/>
      <c r="K150" s="438"/>
      <c r="L150" s="438"/>
      <c r="M150" s="438"/>
      <c r="N150" s="438"/>
      <c r="O150" s="438"/>
      <c r="P150" s="438"/>
      <c r="Q150" s="438"/>
      <c r="R150" s="438"/>
      <c r="S150" s="438"/>
      <c r="T150" s="438"/>
      <c r="U150" s="438"/>
      <c r="V150" s="438"/>
      <c r="W150" s="438"/>
      <c r="X150" s="438"/>
      <c r="Y150" s="438"/>
      <c r="Z150" s="438"/>
      <c r="AA150" s="438"/>
      <c r="AB150" s="438"/>
      <c r="AC150" s="438"/>
      <c r="AD150" s="438"/>
      <c r="AE150" s="438"/>
      <c r="AF150" s="438"/>
      <c r="AG150" s="438"/>
      <c r="AH150" s="438"/>
    </row>
    <row r="151">
      <c r="A151" s="438"/>
      <c r="B151" s="438"/>
      <c r="C151" s="438"/>
      <c r="D151" s="438"/>
      <c r="E151" s="438"/>
      <c r="F151" s="438"/>
      <c r="G151" s="438"/>
      <c r="H151" s="438"/>
      <c r="I151" s="438"/>
      <c r="J151" s="438"/>
      <c r="K151" s="438"/>
      <c r="L151" s="438"/>
      <c r="M151" s="438"/>
      <c r="N151" s="438"/>
      <c r="O151" s="438"/>
      <c r="P151" s="438"/>
      <c r="Q151" s="438"/>
      <c r="R151" s="438"/>
      <c r="S151" s="438"/>
      <c r="T151" s="438"/>
      <c r="U151" s="438"/>
      <c r="V151" s="438"/>
      <c r="W151" s="438"/>
      <c r="X151" s="438"/>
      <c r="Y151" s="438"/>
      <c r="Z151" s="438"/>
      <c r="AA151" s="438"/>
      <c r="AB151" s="438"/>
      <c r="AC151" s="438"/>
      <c r="AD151" s="438"/>
      <c r="AE151" s="438"/>
      <c r="AF151" s="438"/>
      <c r="AG151" s="438"/>
      <c r="AH151" s="438"/>
    </row>
    <row r="152">
      <c r="A152" s="438"/>
      <c r="B152" s="438"/>
      <c r="C152" s="438"/>
      <c r="D152" s="438"/>
      <c r="E152" s="438"/>
      <c r="F152" s="438"/>
      <c r="G152" s="438"/>
      <c r="H152" s="438"/>
      <c r="I152" s="438"/>
      <c r="J152" s="438"/>
      <c r="K152" s="438"/>
      <c r="L152" s="438"/>
      <c r="M152" s="438"/>
      <c r="N152" s="438"/>
      <c r="O152" s="438"/>
      <c r="P152" s="438"/>
      <c r="Q152" s="438"/>
      <c r="R152" s="438"/>
      <c r="S152" s="438"/>
      <c r="T152" s="438"/>
      <c r="U152" s="438"/>
      <c r="V152" s="438"/>
      <c r="W152" s="438"/>
      <c r="X152" s="438"/>
      <c r="Y152" s="438"/>
      <c r="Z152" s="438"/>
      <c r="AA152" s="438"/>
      <c r="AB152" s="438"/>
      <c r="AC152" s="438"/>
      <c r="AD152" s="438"/>
      <c r="AE152" s="438"/>
      <c r="AF152" s="438"/>
      <c r="AG152" s="438"/>
      <c r="AH152" s="438"/>
    </row>
    <row r="153">
      <c r="A153" s="438"/>
      <c r="B153" s="438"/>
      <c r="C153" s="438"/>
      <c r="D153" s="438"/>
      <c r="E153" s="438"/>
      <c r="F153" s="438"/>
      <c r="G153" s="438"/>
      <c r="H153" s="438"/>
      <c r="I153" s="438"/>
      <c r="J153" s="438"/>
      <c r="K153" s="438"/>
      <c r="L153" s="438"/>
      <c r="M153" s="438"/>
      <c r="N153" s="438"/>
      <c r="O153" s="438"/>
      <c r="P153" s="438"/>
      <c r="Q153" s="438"/>
      <c r="R153" s="438"/>
      <c r="S153" s="438"/>
      <c r="T153" s="438"/>
      <c r="U153" s="438"/>
      <c r="V153" s="438"/>
      <c r="W153" s="438"/>
      <c r="X153" s="438"/>
      <c r="Y153" s="438"/>
      <c r="Z153" s="438"/>
      <c r="AA153" s="438"/>
      <c r="AB153" s="438"/>
      <c r="AC153" s="438"/>
      <c r="AD153" s="438"/>
      <c r="AE153" s="438"/>
      <c r="AF153" s="438"/>
      <c r="AG153" s="438"/>
      <c r="AH153" s="438"/>
    </row>
    <row r="154">
      <c r="A154" s="438"/>
      <c r="B154" s="438"/>
      <c r="C154" s="438"/>
      <c r="D154" s="438"/>
      <c r="E154" s="438"/>
      <c r="F154" s="438"/>
      <c r="G154" s="438"/>
      <c r="H154" s="438"/>
      <c r="I154" s="438"/>
      <c r="J154" s="438"/>
      <c r="K154" s="438"/>
      <c r="L154" s="438"/>
      <c r="M154" s="438"/>
      <c r="N154" s="438"/>
      <c r="O154" s="438"/>
      <c r="P154" s="438"/>
      <c r="Q154" s="438"/>
      <c r="R154" s="438"/>
      <c r="S154" s="438"/>
      <c r="T154" s="438"/>
      <c r="U154" s="438"/>
      <c r="V154" s="438"/>
      <c r="W154" s="438"/>
      <c r="X154" s="438"/>
      <c r="Y154" s="438"/>
      <c r="Z154" s="438"/>
      <c r="AA154" s="438"/>
      <c r="AB154" s="438"/>
      <c r="AC154" s="438"/>
      <c r="AD154" s="438"/>
      <c r="AE154" s="438"/>
      <c r="AF154" s="438"/>
      <c r="AG154" s="438"/>
      <c r="AH154" s="438"/>
    </row>
    <row r="155">
      <c r="A155" s="438"/>
      <c r="B155" s="438"/>
      <c r="C155" s="438"/>
      <c r="D155" s="438"/>
      <c r="E155" s="438"/>
      <c r="F155" s="438"/>
      <c r="G155" s="438"/>
      <c r="H155" s="438"/>
      <c r="I155" s="438"/>
      <c r="J155" s="438"/>
      <c r="K155" s="438"/>
      <c r="L155" s="438"/>
      <c r="M155" s="438"/>
      <c r="N155" s="438"/>
      <c r="O155" s="438"/>
      <c r="P155" s="438"/>
      <c r="Q155" s="438"/>
      <c r="R155" s="438"/>
      <c r="S155" s="438"/>
      <c r="T155" s="438"/>
      <c r="U155" s="438"/>
      <c r="V155" s="438"/>
      <c r="W155" s="438"/>
      <c r="X155" s="438"/>
      <c r="Y155" s="438"/>
      <c r="Z155" s="438"/>
      <c r="AA155" s="438"/>
      <c r="AB155" s="438"/>
      <c r="AC155" s="438"/>
      <c r="AD155" s="438"/>
      <c r="AE155" s="438"/>
      <c r="AF155" s="438"/>
      <c r="AG155" s="438"/>
      <c r="AH155" s="438"/>
    </row>
    <row r="156">
      <c r="A156" s="438"/>
      <c r="B156" s="438"/>
      <c r="C156" s="438"/>
      <c r="D156" s="438"/>
      <c r="E156" s="438"/>
      <c r="F156" s="438"/>
      <c r="G156" s="438"/>
      <c r="H156" s="438"/>
      <c r="I156" s="438"/>
      <c r="J156" s="438"/>
      <c r="K156" s="438"/>
      <c r="L156" s="438"/>
      <c r="M156" s="438"/>
      <c r="N156" s="438"/>
      <c r="O156" s="438"/>
      <c r="P156" s="438"/>
      <c r="Q156" s="438"/>
      <c r="R156" s="438"/>
      <c r="S156" s="438"/>
      <c r="T156" s="438"/>
      <c r="U156" s="438"/>
      <c r="V156" s="438"/>
      <c r="W156" s="438"/>
      <c r="X156" s="438"/>
      <c r="Y156" s="438"/>
      <c r="Z156" s="438"/>
      <c r="AA156" s="438"/>
      <c r="AB156" s="438"/>
      <c r="AC156" s="438"/>
      <c r="AD156" s="438"/>
      <c r="AE156" s="438"/>
      <c r="AF156" s="438"/>
      <c r="AG156" s="438"/>
      <c r="AH156" s="438"/>
    </row>
    <row r="157">
      <c r="A157" s="438"/>
      <c r="B157" s="438"/>
      <c r="C157" s="438"/>
      <c r="D157" s="438"/>
      <c r="E157" s="438"/>
      <c r="F157" s="438"/>
      <c r="G157" s="438"/>
      <c r="H157" s="438"/>
      <c r="I157" s="438"/>
      <c r="J157" s="438"/>
      <c r="K157" s="438"/>
      <c r="L157" s="438"/>
      <c r="M157" s="438"/>
      <c r="N157" s="438"/>
      <c r="O157" s="438"/>
      <c r="P157" s="438"/>
      <c r="Q157" s="438"/>
      <c r="R157" s="438"/>
      <c r="S157" s="438"/>
      <c r="T157" s="438"/>
      <c r="U157" s="438"/>
      <c r="V157" s="438"/>
      <c r="W157" s="438"/>
      <c r="X157" s="438"/>
      <c r="Y157" s="438"/>
      <c r="Z157" s="438"/>
      <c r="AA157" s="438"/>
      <c r="AB157" s="438"/>
      <c r="AC157" s="438"/>
      <c r="AD157" s="438"/>
      <c r="AE157" s="438"/>
      <c r="AF157" s="438"/>
      <c r="AG157" s="438"/>
      <c r="AH157" s="438"/>
    </row>
    <row r="158">
      <c r="A158" s="438"/>
      <c r="B158" s="438"/>
      <c r="C158" s="438"/>
      <c r="D158" s="438"/>
      <c r="E158" s="438"/>
      <c r="F158" s="438"/>
      <c r="G158" s="438"/>
      <c r="H158" s="438"/>
      <c r="I158" s="438"/>
      <c r="J158" s="438"/>
      <c r="K158" s="438"/>
      <c r="L158" s="438"/>
      <c r="M158" s="438"/>
      <c r="N158" s="438"/>
      <c r="O158" s="438"/>
      <c r="P158" s="438"/>
      <c r="Q158" s="438"/>
      <c r="R158" s="438"/>
      <c r="S158" s="438"/>
      <c r="T158" s="438"/>
      <c r="U158" s="438"/>
      <c r="V158" s="438"/>
      <c r="W158" s="438"/>
      <c r="X158" s="438"/>
      <c r="Y158" s="438"/>
      <c r="Z158" s="438"/>
      <c r="AA158" s="438"/>
      <c r="AB158" s="438"/>
      <c r="AC158" s="438"/>
      <c r="AD158" s="438"/>
      <c r="AE158" s="438"/>
      <c r="AF158" s="438"/>
      <c r="AG158" s="438"/>
      <c r="AH158" s="438"/>
    </row>
    <row r="159">
      <c r="A159" s="438"/>
      <c r="B159" s="438"/>
      <c r="C159" s="438"/>
      <c r="D159" s="438"/>
      <c r="E159" s="438"/>
      <c r="F159" s="438"/>
      <c r="G159" s="438"/>
      <c r="H159" s="438"/>
      <c r="I159" s="438"/>
      <c r="J159" s="438"/>
      <c r="K159" s="438"/>
      <c r="L159" s="438"/>
      <c r="M159" s="438"/>
      <c r="N159" s="438"/>
      <c r="O159" s="438"/>
      <c r="P159" s="438"/>
      <c r="Q159" s="438"/>
      <c r="R159" s="438"/>
      <c r="S159" s="438"/>
      <c r="T159" s="438"/>
      <c r="U159" s="438"/>
      <c r="V159" s="438"/>
      <c r="W159" s="438"/>
      <c r="X159" s="438"/>
      <c r="Y159" s="438"/>
      <c r="Z159" s="438"/>
      <c r="AA159" s="438"/>
      <c r="AB159" s="438"/>
      <c r="AC159" s="438"/>
      <c r="AD159" s="438"/>
      <c r="AE159" s="438"/>
      <c r="AF159" s="438"/>
      <c r="AG159" s="438"/>
      <c r="AH159" s="438"/>
    </row>
    <row r="160">
      <c r="A160" s="438"/>
      <c r="B160" s="438"/>
      <c r="C160" s="438"/>
      <c r="D160" s="438"/>
      <c r="E160" s="438"/>
      <c r="F160" s="438"/>
      <c r="G160" s="438"/>
      <c r="H160" s="438"/>
      <c r="I160" s="438"/>
      <c r="J160" s="438"/>
      <c r="K160" s="438"/>
      <c r="L160" s="438"/>
      <c r="M160" s="438"/>
      <c r="N160" s="438"/>
      <c r="O160" s="438"/>
      <c r="P160" s="438"/>
      <c r="Q160" s="438"/>
      <c r="R160" s="438"/>
      <c r="S160" s="438"/>
      <c r="T160" s="438"/>
      <c r="U160" s="438"/>
      <c r="V160" s="438"/>
      <c r="W160" s="438"/>
      <c r="X160" s="438"/>
      <c r="Y160" s="438"/>
      <c r="Z160" s="438"/>
      <c r="AA160" s="438"/>
      <c r="AB160" s="438"/>
      <c r="AC160" s="438"/>
      <c r="AD160" s="438"/>
      <c r="AE160" s="438"/>
      <c r="AF160" s="438"/>
      <c r="AG160" s="438"/>
      <c r="AH160" s="438"/>
    </row>
    <row r="161">
      <c r="A161" s="438"/>
      <c r="B161" s="438"/>
      <c r="C161" s="438"/>
      <c r="D161" s="438"/>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c r="AA161" s="438"/>
      <c r="AB161" s="438"/>
      <c r="AC161" s="438"/>
      <c r="AD161" s="438"/>
      <c r="AE161" s="438"/>
      <c r="AF161" s="438"/>
      <c r="AG161" s="438"/>
      <c r="AH161" s="438"/>
    </row>
    <row r="162">
      <c r="A162" s="438"/>
      <c r="B162" s="438"/>
      <c r="C162" s="438"/>
      <c r="D162" s="438"/>
      <c r="E162" s="438"/>
      <c r="F162" s="438"/>
      <c r="G162" s="438"/>
      <c r="H162" s="438"/>
      <c r="I162" s="438"/>
      <c r="J162" s="438"/>
      <c r="K162" s="438"/>
      <c r="L162" s="438"/>
      <c r="M162" s="438"/>
      <c r="N162" s="438"/>
      <c r="O162" s="438"/>
      <c r="P162" s="438"/>
      <c r="Q162" s="438"/>
      <c r="R162" s="438"/>
      <c r="S162" s="438"/>
      <c r="T162" s="438"/>
      <c r="U162" s="438"/>
      <c r="V162" s="438"/>
      <c r="W162" s="438"/>
      <c r="X162" s="438"/>
      <c r="Y162" s="438"/>
      <c r="Z162" s="438"/>
      <c r="AA162" s="438"/>
      <c r="AB162" s="438"/>
      <c r="AC162" s="438"/>
      <c r="AD162" s="438"/>
      <c r="AE162" s="438"/>
      <c r="AF162" s="438"/>
      <c r="AG162" s="438"/>
      <c r="AH162" s="438"/>
    </row>
    <row r="163">
      <c r="A163" s="438"/>
      <c r="B163" s="438"/>
      <c r="C163" s="438"/>
      <c r="D163" s="438"/>
      <c r="E163" s="438"/>
      <c r="F163" s="438"/>
      <c r="G163" s="438"/>
      <c r="H163" s="438"/>
      <c r="I163" s="438"/>
      <c r="J163" s="438"/>
      <c r="K163" s="438"/>
      <c r="L163" s="438"/>
      <c r="M163" s="438"/>
      <c r="N163" s="438"/>
      <c r="O163" s="438"/>
      <c r="P163" s="438"/>
      <c r="Q163" s="438"/>
      <c r="R163" s="438"/>
      <c r="S163" s="438"/>
      <c r="T163" s="438"/>
      <c r="U163" s="438"/>
      <c r="V163" s="438"/>
      <c r="W163" s="438"/>
      <c r="X163" s="438"/>
      <c r="Y163" s="438"/>
      <c r="Z163" s="438"/>
      <c r="AA163" s="438"/>
      <c r="AB163" s="438"/>
      <c r="AC163" s="438"/>
      <c r="AD163" s="438"/>
      <c r="AE163" s="438"/>
      <c r="AF163" s="438"/>
      <c r="AG163" s="438"/>
      <c r="AH163" s="438"/>
    </row>
    <row r="164">
      <c r="A164" s="438"/>
      <c r="B164" s="438"/>
      <c r="C164" s="438"/>
      <c r="D164" s="438"/>
      <c r="E164" s="438"/>
      <c r="F164" s="438"/>
      <c r="G164" s="438"/>
      <c r="H164" s="438"/>
      <c r="I164" s="438"/>
      <c r="J164" s="438"/>
      <c r="K164" s="438"/>
      <c r="L164" s="438"/>
      <c r="M164" s="438"/>
      <c r="N164" s="438"/>
      <c r="O164" s="438"/>
      <c r="P164" s="438"/>
      <c r="Q164" s="438"/>
      <c r="R164" s="438"/>
      <c r="S164" s="438"/>
      <c r="T164" s="438"/>
      <c r="U164" s="438"/>
      <c r="V164" s="438"/>
      <c r="W164" s="438"/>
      <c r="X164" s="438"/>
      <c r="Y164" s="438"/>
      <c r="Z164" s="438"/>
      <c r="AA164" s="438"/>
      <c r="AB164" s="438"/>
      <c r="AC164" s="438"/>
      <c r="AD164" s="438"/>
      <c r="AE164" s="438"/>
      <c r="AF164" s="438"/>
      <c r="AG164" s="438"/>
      <c r="AH164" s="438"/>
    </row>
    <row r="165">
      <c r="A165" s="438"/>
      <c r="B165" s="438"/>
      <c r="C165" s="438"/>
      <c r="D165" s="438"/>
      <c r="E165" s="438"/>
      <c r="F165" s="438"/>
      <c r="G165" s="438"/>
      <c r="H165" s="438"/>
      <c r="I165" s="438"/>
      <c r="J165" s="438"/>
      <c r="K165" s="438"/>
      <c r="L165" s="438"/>
      <c r="M165" s="438"/>
      <c r="N165" s="438"/>
      <c r="O165" s="438"/>
      <c r="P165" s="438"/>
      <c r="Q165" s="438"/>
      <c r="R165" s="438"/>
      <c r="S165" s="438"/>
      <c r="T165" s="438"/>
      <c r="U165" s="438"/>
      <c r="V165" s="438"/>
      <c r="W165" s="438"/>
      <c r="X165" s="438"/>
      <c r="Y165" s="438"/>
      <c r="Z165" s="438"/>
      <c r="AA165" s="438"/>
      <c r="AB165" s="438"/>
      <c r="AC165" s="438"/>
      <c r="AD165" s="438"/>
      <c r="AE165" s="438"/>
      <c r="AF165" s="438"/>
      <c r="AG165" s="438"/>
      <c r="AH165" s="438"/>
    </row>
    <row r="166">
      <c r="A166" s="438"/>
      <c r="B166" s="438"/>
      <c r="C166" s="438"/>
      <c r="D166" s="438"/>
      <c r="E166" s="438"/>
      <c r="F166" s="438"/>
      <c r="G166" s="438"/>
      <c r="H166" s="438"/>
      <c r="I166" s="438"/>
      <c r="J166" s="438"/>
      <c r="K166" s="438"/>
      <c r="L166" s="438"/>
      <c r="M166" s="438"/>
      <c r="N166" s="438"/>
      <c r="O166" s="438"/>
      <c r="P166" s="438"/>
      <c r="Q166" s="438"/>
      <c r="R166" s="438"/>
      <c r="S166" s="438"/>
      <c r="T166" s="438"/>
      <c r="U166" s="438"/>
      <c r="V166" s="438"/>
      <c r="W166" s="438"/>
      <c r="X166" s="438"/>
      <c r="Y166" s="438"/>
      <c r="Z166" s="438"/>
      <c r="AA166" s="438"/>
      <c r="AB166" s="438"/>
      <c r="AC166" s="438"/>
      <c r="AD166" s="438"/>
      <c r="AE166" s="438"/>
      <c r="AF166" s="438"/>
      <c r="AG166" s="438"/>
      <c r="AH166" s="438"/>
    </row>
    <row r="167">
      <c r="A167" s="438"/>
      <c r="B167" s="438"/>
      <c r="C167" s="438"/>
      <c r="D167" s="438"/>
      <c r="E167" s="438"/>
      <c r="F167" s="438"/>
      <c r="G167" s="438"/>
      <c r="H167" s="438"/>
      <c r="I167" s="438"/>
      <c r="J167" s="438"/>
      <c r="K167" s="438"/>
      <c r="L167" s="438"/>
      <c r="M167" s="438"/>
      <c r="N167" s="438"/>
      <c r="O167" s="438"/>
      <c r="P167" s="438"/>
      <c r="Q167" s="438"/>
      <c r="R167" s="438"/>
      <c r="S167" s="438"/>
      <c r="T167" s="438"/>
      <c r="U167" s="438"/>
      <c r="V167" s="438"/>
      <c r="W167" s="438"/>
      <c r="X167" s="438"/>
      <c r="Y167" s="438"/>
      <c r="Z167" s="438"/>
      <c r="AA167" s="438"/>
      <c r="AB167" s="438"/>
      <c r="AC167" s="438"/>
      <c r="AD167" s="438"/>
      <c r="AE167" s="438"/>
      <c r="AF167" s="438"/>
      <c r="AG167" s="438"/>
      <c r="AH167" s="438"/>
    </row>
    <row r="168">
      <c r="A168" s="438"/>
      <c r="B168" s="438"/>
      <c r="C168" s="438"/>
      <c r="D168" s="438"/>
      <c r="E168" s="438"/>
      <c r="F168" s="438"/>
      <c r="G168" s="438"/>
      <c r="H168" s="438"/>
      <c r="I168" s="438"/>
      <c r="J168" s="438"/>
      <c r="K168" s="438"/>
      <c r="L168" s="438"/>
      <c r="M168" s="438"/>
      <c r="N168" s="438"/>
      <c r="O168" s="438"/>
      <c r="P168" s="438"/>
      <c r="Q168" s="438"/>
      <c r="R168" s="438"/>
      <c r="S168" s="438"/>
      <c r="T168" s="438"/>
      <c r="U168" s="438"/>
      <c r="V168" s="438"/>
      <c r="W168" s="438"/>
      <c r="X168" s="438"/>
      <c r="Y168" s="438"/>
      <c r="Z168" s="438"/>
      <c r="AA168" s="438"/>
      <c r="AB168" s="438"/>
      <c r="AC168" s="438"/>
      <c r="AD168" s="438"/>
      <c r="AE168" s="438"/>
      <c r="AF168" s="438"/>
      <c r="AG168" s="438"/>
      <c r="AH168" s="438"/>
    </row>
    <row r="169">
      <c r="A169" s="438"/>
      <c r="B169" s="438"/>
      <c r="C169" s="438"/>
      <c r="D169" s="438"/>
      <c r="E169" s="438"/>
      <c r="F169" s="438"/>
      <c r="G169" s="438"/>
      <c r="H169" s="438"/>
      <c r="I169" s="438"/>
      <c r="J169" s="438"/>
      <c r="K169" s="438"/>
      <c r="L169" s="438"/>
      <c r="M169" s="438"/>
      <c r="N169" s="438"/>
      <c r="O169" s="438"/>
      <c r="P169" s="438"/>
      <c r="Q169" s="438"/>
      <c r="R169" s="438"/>
      <c r="S169" s="438"/>
      <c r="T169" s="438"/>
      <c r="U169" s="438"/>
      <c r="V169" s="438"/>
      <c r="W169" s="438"/>
      <c r="X169" s="438"/>
      <c r="Y169" s="438"/>
      <c r="Z169" s="438"/>
      <c r="AA169" s="438"/>
      <c r="AB169" s="438"/>
      <c r="AC169" s="438"/>
      <c r="AD169" s="438"/>
      <c r="AE169" s="438"/>
      <c r="AF169" s="438"/>
      <c r="AG169" s="438"/>
      <c r="AH169" s="438"/>
    </row>
    <row r="170">
      <c r="A170" s="438"/>
      <c r="B170" s="438"/>
      <c r="C170" s="438"/>
      <c r="D170" s="438"/>
      <c r="E170" s="438"/>
      <c r="F170" s="438"/>
      <c r="G170" s="438"/>
      <c r="H170" s="438"/>
      <c r="I170" s="438"/>
      <c r="J170" s="438"/>
      <c r="K170" s="438"/>
      <c r="L170" s="438"/>
      <c r="M170" s="438"/>
      <c r="N170" s="438"/>
      <c r="O170" s="438"/>
      <c r="P170" s="438"/>
      <c r="Q170" s="438"/>
      <c r="R170" s="438"/>
      <c r="S170" s="438"/>
      <c r="T170" s="438"/>
      <c r="U170" s="438"/>
      <c r="V170" s="438"/>
      <c r="W170" s="438"/>
      <c r="X170" s="438"/>
      <c r="Y170" s="438"/>
      <c r="Z170" s="438"/>
      <c r="AA170" s="438"/>
      <c r="AB170" s="438"/>
      <c r="AC170" s="438"/>
      <c r="AD170" s="438"/>
      <c r="AE170" s="438"/>
      <c r="AF170" s="438"/>
      <c r="AG170" s="438"/>
      <c r="AH170" s="438"/>
    </row>
    <row r="171">
      <c r="A171" s="438"/>
      <c r="B171" s="438"/>
      <c r="C171" s="438"/>
      <c r="D171" s="438"/>
      <c r="E171" s="438"/>
      <c r="F171" s="438"/>
      <c r="G171" s="438"/>
      <c r="H171" s="438"/>
      <c r="I171" s="438"/>
      <c r="J171" s="438"/>
      <c r="K171" s="438"/>
      <c r="L171" s="438"/>
      <c r="M171" s="438"/>
      <c r="N171" s="438"/>
      <c r="O171" s="438"/>
      <c r="P171" s="438"/>
      <c r="Q171" s="438"/>
      <c r="R171" s="438"/>
      <c r="S171" s="438"/>
      <c r="T171" s="438"/>
      <c r="U171" s="438"/>
      <c r="V171" s="438"/>
      <c r="W171" s="438"/>
      <c r="X171" s="438"/>
      <c r="Y171" s="438"/>
      <c r="Z171" s="438"/>
      <c r="AA171" s="438"/>
      <c r="AB171" s="438"/>
      <c r="AC171" s="438"/>
      <c r="AD171" s="438"/>
      <c r="AE171" s="438"/>
      <c r="AF171" s="438"/>
      <c r="AG171" s="438"/>
      <c r="AH171" s="438"/>
    </row>
    <row r="172">
      <c r="A172" s="438"/>
      <c r="B172" s="438"/>
      <c r="C172" s="438"/>
      <c r="D172" s="438"/>
      <c r="E172" s="438"/>
      <c r="F172" s="438"/>
      <c r="G172" s="438"/>
      <c r="H172" s="438"/>
      <c r="I172" s="438"/>
      <c r="J172" s="438"/>
      <c r="K172" s="438"/>
      <c r="L172" s="438"/>
      <c r="M172" s="438"/>
      <c r="N172" s="438"/>
      <c r="O172" s="438"/>
      <c r="P172" s="438"/>
      <c r="Q172" s="438"/>
      <c r="R172" s="438"/>
      <c r="S172" s="438"/>
      <c r="T172" s="438"/>
      <c r="U172" s="438"/>
      <c r="V172" s="438"/>
      <c r="W172" s="438"/>
      <c r="X172" s="438"/>
      <c r="Y172" s="438"/>
      <c r="Z172" s="438"/>
      <c r="AA172" s="438"/>
      <c r="AB172" s="438"/>
      <c r="AC172" s="438"/>
      <c r="AD172" s="438"/>
      <c r="AE172" s="438"/>
      <c r="AF172" s="438"/>
      <c r="AG172" s="438"/>
      <c r="AH172" s="438"/>
    </row>
    <row r="173">
      <c r="A173" s="438"/>
      <c r="B173" s="438"/>
      <c r="C173" s="438"/>
      <c r="D173" s="438"/>
      <c r="E173" s="438"/>
      <c r="F173" s="438"/>
      <c r="G173" s="438"/>
      <c r="H173" s="438"/>
      <c r="I173" s="438"/>
      <c r="J173" s="438"/>
      <c r="K173" s="438"/>
      <c r="L173" s="438"/>
      <c r="M173" s="438"/>
      <c r="N173" s="438"/>
      <c r="O173" s="438"/>
      <c r="P173" s="438"/>
      <c r="Q173" s="438"/>
      <c r="R173" s="438"/>
      <c r="S173" s="438"/>
      <c r="T173" s="438"/>
      <c r="U173" s="438"/>
      <c r="V173" s="438"/>
      <c r="W173" s="438"/>
      <c r="X173" s="438"/>
      <c r="Y173" s="438"/>
      <c r="Z173" s="438"/>
      <c r="AA173" s="438"/>
      <c r="AB173" s="438"/>
      <c r="AC173" s="438"/>
      <c r="AD173" s="438"/>
      <c r="AE173" s="438"/>
      <c r="AF173" s="438"/>
      <c r="AG173" s="438"/>
      <c r="AH173" s="438"/>
    </row>
    <row r="174">
      <c r="A174" s="438"/>
      <c r="B174" s="438"/>
      <c r="C174" s="438"/>
      <c r="D174" s="438"/>
      <c r="E174" s="438"/>
      <c r="F174" s="438"/>
      <c r="G174" s="438"/>
      <c r="H174" s="438"/>
      <c r="I174" s="438"/>
      <c r="J174" s="438"/>
      <c r="K174" s="438"/>
      <c r="L174" s="438"/>
      <c r="M174" s="438"/>
      <c r="N174" s="438"/>
      <c r="O174" s="438"/>
      <c r="P174" s="438"/>
      <c r="Q174" s="438"/>
      <c r="R174" s="438"/>
      <c r="S174" s="438"/>
      <c r="T174" s="438"/>
      <c r="U174" s="438"/>
      <c r="V174" s="438"/>
      <c r="W174" s="438"/>
      <c r="X174" s="438"/>
      <c r="Y174" s="438"/>
      <c r="Z174" s="438"/>
      <c r="AA174" s="438"/>
      <c r="AB174" s="438"/>
      <c r="AC174" s="438"/>
      <c r="AD174" s="438"/>
      <c r="AE174" s="438"/>
      <c r="AF174" s="438"/>
      <c r="AG174" s="438"/>
      <c r="AH174" s="438"/>
    </row>
    <row r="175">
      <c r="A175" s="438"/>
      <c r="B175" s="438"/>
      <c r="C175" s="438"/>
      <c r="D175" s="438"/>
      <c r="E175" s="438"/>
      <c r="F175" s="438"/>
      <c r="G175" s="438"/>
      <c r="H175" s="438"/>
      <c r="I175" s="438"/>
      <c r="J175" s="438"/>
      <c r="K175" s="438"/>
      <c r="L175" s="438"/>
      <c r="M175" s="438"/>
      <c r="N175" s="438"/>
      <c r="O175" s="438"/>
      <c r="P175" s="438"/>
      <c r="Q175" s="438"/>
      <c r="R175" s="438"/>
      <c r="S175" s="438"/>
      <c r="T175" s="438"/>
      <c r="U175" s="438"/>
      <c r="V175" s="438"/>
      <c r="W175" s="438"/>
      <c r="X175" s="438"/>
      <c r="Y175" s="438"/>
      <c r="Z175" s="438"/>
      <c r="AA175" s="438"/>
      <c r="AB175" s="438"/>
      <c r="AC175" s="438"/>
      <c r="AD175" s="438"/>
      <c r="AE175" s="438"/>
      <c r="AF175" s="438"/>
      <c r="AG175" s="438"/>
      <c r="AH175" s="438"/>
    </row>
    <row r="176">
      <c r="A176" s="438"/>
      <c r="B176" s="438"/>
      <c r="C176" s="438"/>
      <c r="D176" s="438"/>
      <c r="E176" s="438"/>
      <c r="F176" s="438"/>
      <c r="G176" s="438"/>
      <c r="H176" s="438"/>
      <c r="I176" s="438"/>
      <c r="J176" s="438"/>
      <c r="K176" s="438"/>
      <c r="L176" s="438"/>
      <c r="M176" s="438"/>
      <c r="N176" s="438"/>
      <c r="O176" s="438"/>
      <c r="P176" s="438"/>
      <c r="Q176" s="438"/>
      <c r="R176" s="438"/>
      <c r="S176" s="438"/>
      <c r="T176" s="438"/>
      <c r="U176" s="438"/>
      <c r="V176" s="438"/>
      <c r="W176" s="438"/>
      <c r="X176" s="438"/>
      <c r="Y176" s="438"/>
      <c r="Z176" s="438"/>
      <c r="AA176" s="438"/>
      <c r="AB176" s="438"/>
      <c r="AC176" s="438"/>
      <c r="AD176" s="438"/>
      <c r="AE176" s="438"/>
      <c r="AF176" s="438"/>
      <c r="AG176" s="438"/>
      <c r="AH176" s="438"/>
    </row>
    <row r="177">
      <c r="A177" s="438"/>
      <c r="B177" s="438"/>
      <c r="C177" s="438"/>
      <c r="D177" s="438"/>
      <c r="E177" s="438"/>
      <c r="F177" s="438"/>
      <c r="G177" s="438"/>
      <c r="H177" s="438"/>
      <c r="I177" s="438"/>
      <c r="J177" s="438"/>
      <c r="K177" s="438"/>
      <c r="L177" s="438"/>
      <c r="M177" s="438"/>
      <c r="N177" s="438"/>
      <c r="O177" s="438"/>
      <c r="P177" s="438"/>
      <c r="Q177" s="438"/>
      <c r="R177" s="438"/>
      <c r="S177" s="438"/>
      <c r="T177" s="438"/>
      <c r="U177" s="438"/>
      <c r="V177" s="438"/>
      <c r="W177" s="438"/>
      <c r="X177" s="438"/>
      <c r="Y177" s="438"/>
      <c r="Z177" s="438"/>
      <c r="AA177" s="438"/>
      <c r="AB177" s="438"/>
      <c r="AC177" s="438"/>
      <c r="AD177" s="438"/>
      <c r="AE177" s="438"/>
      <c r="AF177" s="438"/>
      <c r="AG177" s="438"/>
      <c r="AH177" s="438"/>
    </row>
    <row r="178">
      <c r="A178" s="438"/>
      <c r="B178" s="438"/>
      <c r="C178" s="438"/>
      <c r="D178" s="438"/>
      <c r="E178" s="438"/>
      <c r="F178" s="438"/>
      <c r="G178" s="438"/>
      <c r="H178" s="438"/>
      <c r="I178" s="438"/>
      <c r="J178" s="438"/>
      <c r="K178" s="438"/>
      <c r="L178" s="438"/>
      <c r="M178" s="438"/>
      <c r="N178" s="438"/>
      <c r="O178" s="438"/>
      <c r="P178" s="438"/>
      <c r="Q178" s="438"/>
      <c r="R178" s="438"/>
      <c r="S178" s="438"/>
      <c r="T178" s="438"/>
      <c r="U178" s="438"/>
      <c r="V178" s="438"/>
      <c r="W178" s="438"/>
      <c r="X178" s="438"/>
      <c r="Y178" s="438"/>
      <c r="Z178" s="438"/>
      <c r="AA178" s="438"/>
      <c r="AB178" s="438"/>
      <c r="AC178" s="438"/>
      <c r="AD178" s="438"/>
      <c r="AE178" s="438"/>
      <c r="AF178" s="438"/>
      <c r="AG178" s="438"/>
      <c r="AH178" s="438"/>
    </row>
    <row r="179">
      <c r="A179" s="438"/>
      <c r="B179" s="438"/>
      <c r="C179" s="438"/>
      <c r="D179" s="438"/>
      <c r="E179" s="438"/>
      <c r="F179" s="438"/>
      <c r="G179" s="438"/>
      <c r="H179" s="438"/>
      <c r="I179" s="438"/>
      <c r="J179" s="438"/>
      <c r="K179" s="438"/>
      <c r="L179" s="438"/>
      <c r="M179" s="438"/>
      <c r="N179" s="438"/>
      <c r="O179" s="438"/>
      <c r="P179" s="438"/>
      <c r="Q179" s="438"/>
      <c r="R179" s="438"/>
      <c r="S179" s="438"/>
      <c r="T179" s="438"/>
      <c r="U179" s="438"/>
      <c r="V179" s="438"/>
      <c r="W179" s="438"/>
      <c r="X179" s="438"/>
      <c r="Y179" s="438"/>
      <c r="Z179" s="438"/>
      <c r="AA179" s="438"/>
      <c r="AB179" s="438"/>
      <c r="AC179" s="438"/>
      <c r="AD179" s="438"/>
      <c r="AE179" s="438"/>
      <c r="AF179" s="438"/>
      <c r="AG179" s="438"/>
      <c r="AH179" s="438"/>
    </row>
    <row r="180">
      <c r="A180" s="438"/>
      <c r="B180" s="438"/>
      <c r="C180" s="438"/>
      <c r="D180" s="438"/>
      <c r="E180" s="438"/>
      <c r="F180" s="438"/>
      <c r="G180" s="438"/>
      <c r="H180" s="438"/>
      <c r="I180" s="438"/>
      <c r="J180" s="438"/>
      <c r="K180" s="438"/>
      <c r="L180" s="438"/>
      <c r="M180" s="438"/>
      <c r="N180" s="438"/>
      <c r="O180" s="438"/>
      <c r="P180" s="438"/>
      <c r="Q180" s="438"/>
      <c r="R180" s="438"/>
      <c r="S180" s="438"/>
      <c r="T180" s="438"/>
      <c r="U180" s="438"/>
      <c r="V180" s="438"/>
      <c r="W180" s="438"/>
      <c r="X180" s="438"/>
      <c r="Y180" s="438"/>
      <c r="Z180" s="438"/>
      <c r="AA180" s="438"/>
      <c r="AB180" s="438"/>
      <c r="AC180" s="438"/>
      <c r="AD180" s="438"/>
      <c r="AE180" s="438"/>
      <c r="AF180" s="438"/>
      <c r="AG180" s="438"/>
      <c r="AH180" s="438"/>
    </row>
    <row r="181">
      <c r="A181" s="438"/>
      <c r="B181" s="438"/>
      <c r="C181" s="438"/>
      <c r="D181" s="438"/>
      <c r="E181" s="438"/>
      <c r="F181" s="438"/>
      <c r="G181" s="438"/>
      <c r="H181" s="438"/>
      <c r="I181" s="438"/>
      <c r="J181" s="438"/>
      <c r="K181" s="438"/>
      <c r="L181" s="438"/>
      <c r="M181" s="438"/>
      <c r="N181" s="438"/>
      <c r="O181" s="438"/>
      <c r="P181" s="438"/>
      <c r="Q181" s="438"/>
      <c r="R181" s="438"/>
      <c r="S181" s="438"/>
      <c r="T181" s="438"/>
      <c r="U181" s="438"/>
      <c r="V181" s="438"/>
      <c r="W181" s="438"/>
      <c r="X181" s="438"/>
      <c r="Y181" s="438"/>
      <c r="Z181" s="438"/>
      <c r="AA181" s="438"/>
      <c r="AB181" s="438"/>
      <c r="AC181" s="438"/>
      <c r="AD181" s="438"/>
      <c r="AE181" s="438"/>
      <c r="AF181" s="438"/>
      <c r="AG181" s="438"/>
      <c r="AH181" s="438"/>
    </row>
    <row r="182">
      <c r="A182" s="438"/>
      <c r="B182" s="438"/>
      <c r="C182" s="438"/>
      <c r="D182" s="438"/>
      <c r="E182" s="438"/>
      <c r="F182" s="438"/>
      <c r="G182" s="438"/>
      <c r="H182" s="438"/>
      <c r="I182" s="438"/>
      <c r="J182" s="438"/>
      <c r="K182" s="438"/>
      <c r="L182" s="438"/>
      <c r="M182" s="438"/>
      <c r="N182" s="438"/>
      <c r="O182" s="438"/>
      <c r="P182" s="438"/>
      <c r="Q182" s="438"/>
      <c r="R182" s="438"/>
      <c r="S182" s="438"/>
      <c r="T182" s="438"/>
      <c r="U182" s="438"/>
      <c r="V182" s="438"/>
      <c r="W182" s="438"/>
      <c r="X182" s="438"/>
      <c r="Y182" s="438"/>
      <c r="Z182" s="438"/>
      <c r="AA182" s="438"/>
      <c r="AB182" s="438"/>
      <c r="AC182" s="438"/>
      <c r="AD182" s="438"/>
      <c r="AE182" s="438"/>
      <c r="AF182" s="438"/>
      <c r="AG182" s="438"/>
      <c r="AH182" s="438"/>
    </row>
    <row r="183">
      <c r="A183" s="438"/>
      <c r="B183" s="438"/>
      <c r="C183" s="438"/>
      <c r="D183" s="438"/>
      <c r="E183" s="438"/>
      <c r="F183" s="438"/>
      <c r="G183" s="438"/>
      <c r="H183" s="438"/>
      <c r="I183" s="438"/>
      <c r="J183" s="438"/>
      <c r="K183" s="438"/>
      <c r="L183" s="438"/>
      <c r="M183" s="438"/>
      <c r="N183" s="438"/>
      <c r="O183" s="438"/>
      <c r="P183" s="438"/>
      <c r="Q183" s="438"/>
      <c r="R183" s="438"/>
      <c r="S183" s="438"/>
      <c r="T183" s="438"/>
      <c r="U183" s="438"/>
      <c r="V183" s="438"/>
      <c r="W183" s="438"/>
      <c r="X183" s="438"/>
      <c r="Y183" s="438"/>
      <c r="Z183" s="438"/>
      <c r="AA183" s="438"/>
      <c r="AB183" s="438"/>
      <c r="AC183" s="438"/>
      <c r="AD183" s="438"/>
      <c r="AE183" s="438"/>
      <c r="AF183" s="438"/>
      <c r="AG183" s="438"/>
      <c r="AH183" s="438"/>
    </row>
    <row r="184">
      <c r="A184" s="438"/>
      <c r="B184" s="438"/>
      <c r="C184" s="438"/>
      <c r="D184" s="438"/>
      <c r="E184" s="438"/>
      <c r="F184" s="438"/>
      <c r="G184" s="438"/>
      <c r="H184" s="438"/>
      <c r="I184" s="438"/>
      <c r="J184" s="438"/>
      <c r="K184" s="438"/>
      <c r="L184" s="438"/>
      <c r="M184" s="438"/>
      <c r="N184" s="438"/>
      <c r="O184" s="438"/>
      <c r="P184" s="438"/>
      <c r="Q184" s="438"/>
      <c r="R184" s="438"/>
      <c r="S184" s="438"/>
      <c r="T184" s="438"/>
      <c r="U184" s="438"/>
      <c r="V184" s="438"/>
      <c r="W184" s="438"/>
      <c r="X184" s="438"/>
      <c r="Y184" s="438"/>
      <c r="Z184" s="438"/>
      <c r="AA184" s="438"/>
      <c r="AB184" s="438"/>
      <c r="AC184" s="438"/>
      <c r="AD184" s="438"/>
      <c r="AE184" s="438"/>
      <c r="AF184" s="438"/>
      <c r="AG184" s="438"/>
      <c r="AH184" s="438"/>
    </row>
    <row r="185">
      <c r="A185" s="438"/>
      <c r="B185" s="438"/>
      <c r="C185" s="438"/>
      <c r="D185" s="438"/>
      <c r="E185" s="438"/>
      <c r="F185" s="438"/>
      <c r="G185" s="438"/>
      <c r="H185" s="438"/>
      <c r="I185" s="438"/>
      <c r="J185" s="438"/>
      <c r="K185" s="438"/>
      <c r="L185" s="438"/>
      <c r="M185" s="438"/>
      <c r="N185" s="438"/>
      <c r="O185" s="438"/>
      <c r="P185" s="438"/>
      <c r="Q185" s="438"/>
      <c r="R185" s="438"/>
      <c r="S185" s="438"/>
      <c r="T185" s="438"/>
      <c r="U185" s="438"/>
      <c r="V185" s="438"/>
      <c r="W185" s="438"/>
      <c r="X185" s="438"/>
      <c r="Y185" s="438"/>
      <c r="Z185" s="438"/>
      <c r="AA185" s="438"/>
      <c r="AB185" s="438"/>
      <c r="AC185" s="438"/>
      <c r="AD185" s="438"/>
      <c r="AE185" s="438"/>
      <c r="AF185" s="438"/>
      <c r="AG185" s="438"/>
      <c r="AH185" s="438"/>
    </row>
    <row r="186">
      <c r="A186" s="438"/>
      <c r="B186" s="438"/>
      <c r="C186" s="438"/>
      <c r="D186" s="438"/>
      <c r="E186" s="438"/>
      <c r="F186" s="438"/>
      <c r="G186" s="438"/>
      <c r="H186" s="438"/>
      <c r="I186" s="438"/>
      <c r="J186" s="438"/>
      <c r="K186" s="438"/>
      <c r="L186" s="438"/>
      <c r="M186" s="438"/>
      <c r="N186" s="438"/>
      <c r="O186" s="438"/>
      <c r="P186" s="438"/>
      <c r="Q186" s="438"/>
      <c r="R186" s="438"/>
      <c r="S186" s="438"/>
      <c r="T186" s="438"/>
      <c r="U186" s="438"/>
      <c r="V186" s="438"/>
      <c r="W186" s="438"/>
      <c r="X186" s="438"/>
      <c r="Y186" s="438"/>
      <c r="Z186" s="438"/>
      <c r="AA186" s="438"/>
      <c r="AB186" s="438"/>
      <c r="AC186" s="438"/>
      <c r="AD186" s="438"/>
      <c r="AE186" s="438"/>
      <c r="AF186" s="438"/>
      <c r="AG186" s="438"/>
      <c r="AH186" s="438"/>
    </row>
    <row r="187">
      <c r="A187" s="438"/>
      <c r="B187" s="438"/>
      <c r="C187" s="438"/>
      <c r="D187" s="438"/>
      <c r="E187" s="438"/>
      <c r="F187" s="438"/>
      <c r="G187" s="438"/>
      <c r="H187" s="438"/>
      <c r="I187" s="438"/>
      <c r="J187" s="438"/>
      <c r="K187" s="438"/>
      <c r="L187" s="438"/>
      <c r="M187" s="438"/>
      <c r="N187" s="438"/>
      <c r="O187" s="438"/>
      <c r="P187" s="438"/>
      <c r="Q187" s="438"/>
      <c r="R187" s="438"/>
      <c r="S187" s="438"/>
      <c r="T187" s="438"/>
      <c r="U187" s="438"/>
      <c r="V187" s="438"/>
      <c r="W187" s="438"/>
      <c r="X187" s="438"/>
      <c r="Y187" s="438"/>
      <c r="Z187" s="438"/>
      <c r="AA187" s="438"/>
      <c r="AB187" s="438"/>
      <c r="AC187" s="438"/>
      <c r="AD187" s="438"/>
      <c r="AE187" s="438"/>
      <c r="AF187" s="438"/>
      <c r="AG187" s="438"/>
      <c r="AH187" s="438"/>
    </row>
    <row r="188">
      <c r="A188" s="438"/>
      <c r="B188" s="438"/>
      <c r="C188" s="438"/>
      <c r="D188" s="438"/>
      <c r="E188" s="438"/>
      <c r="F188" s="438"/>
      <c r="G188" s="438"/>
      <c r="H188" s="438"/>
      <c r="I188" s="438"/>
      <c r="J188" s="438"/>
      <c r="K188" s="438"/>
      <c r="L188" s="438"/>
      <c r="M188" s="438"/>
      <c r="N188" s="438"/>
      <c r="O188" s="438"/>
      <c r="P188" s="438"/>
      <c r="Q188" s="438"/>
      <c r="R188" s="438"/>
      <c r="S188" s="438"/>
      <c r="T188" s="438"/>
      <c r="U188" s="438"/>
      <c r="V188" s="438"/>
      <c r="W188" s="438"/>
      <c r="X188" s="438"/>
      <c r="Y188" s="438"/>
      <c r="Z188" s="438"/>
      <c r="AA188" s="438"/>
      <c r="AB188" s="438"/>
      <c r="AC188" s="438"/>
      <c r="AD188" s="438"/>
      <c r="AE188" s="438"/>
      <c r="AF188" s="438"/>
      <c r="AG188" s="438"/>
      <c r="AH188" s="438"/>
    </row>
    <row r="189">
      <c r="A189" s="438"/>
      <c r="B189" s="438"/>
      <c r="C189" s="438"/>
      <c r="D189" s="438"/>
      <c r="E189" s="438"/>
      <c r="F189" s="438"/>
      <c r="G189" s="438"/>
      <c r="H189" s="438"/>
      <c r="I189" s="438"/>
      <c r="J189" s="438"/>
      <c r="K189" s="438"/>
      <c r="L189" s="438"/>
      <c r="M189" s="438"/>
      <c r="N189" s="438"/>
      <c r="O189" s="438"/>
      <c r="P189" s="438"/>
      <c r="Q189" s="438"/>
      <c r="R189" s="438"/>
      <c r="S189" s="438"/>
      <c r="T189" s="438"/>
      <c r="U189" s="438"/>
      <c r="V189" s="438"/>
      <c r="W189" s="438"/>
      <c r="X189" s="438"/>
      <c r="Y189" s="438"/>
      <c r="Z189" s="438"/>
      <c r="AA189" s="438"/>
      <c r="AB189" s="438"/>
      <c r="AC189" s="438"/>
      <c r="AD189" s="438"/>
      <c r="AE189" s="438"/>
      <c r="AF189" s="438"/>
      <c r="AG189" s="438"/>
      <c r="AH189" s="438"/>
    </row>
    <row r="190">
      <c r="A190" s="438"/>
      <c r="B190" s="438"/>
      <c r="C190" s="438"/>
      <c r="D190" s="438"/>
      <c r="E190" s="438"/>
      <c r="F190" s="438"/>
      <c r="G190" s="438"/>
      <c r="H190" s="438"/>
      <c r="I190" s="438"/>
      <c r="J190" s="438"/>
      <c r="K190" s="438"/>
      <c r="L190" s="438"/>
      <c r="M190" s="438"/>
      <c r="N190" s="438"/>
      <c r="O190" s="438"/>
      <c r="P190" s="438"/>
      <c r="Q190" s="438"/>
      <c r="R190" s="438"/>
      <c r="S190" s="438"/>
      <c r="T190" s="438"/>
      <c r="U190" s="438"/>
      <c r="V190" s="438"/>
      <c r="W190" s="438"/>
      <c r="X190" s="438"/>
      <c r="Y190" s="438"/>
      <c r="Z190" s="438"/>
      <c r="AA190" s="438"/>
      <c r="AB190" s="438"/>
      <c r="AC190" s="438"/>
      <c r="AD190" s="438"/>
      <c r="AE190" s="438"/>
      <c r="AF190" s="438"/>
      <c r="AG190" s="438"/>
      <c r="AH190" s="438"/>
    </row>
    <row r="191">
      <c r="A191" s="438"/>
      <c r="B191" s="438"/>
      <c r="C191" s="438"/>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c r="AA191" s="438"/>
      <c r="AB191" s="438"/>
      <c r="AC191" s="438"/>
      <c r="AD191" s="438"/>
      <c r="AE191" s="438"/>
      <c r="AF191" s="438"/>
      <c r="AG191" s="438"/>
      <c r="AH191" s="438"/>
    </row>
    <row r="192">
      <c r="A192" s="438"/>
      <c r="B192" s="438"/>
      <c r="C192" s="438"/>
      <c r="D192" s="438"/>
      <c r="E192" s="438"/>
      <c r="F192" s="438"/>
      <c r="G192" s="438"/>
      <c r="H192" s="438"/>
      <c r="I192" s="438"/>
      <c r="J192" s="438"/>
      <c r="K192" s="438"/>
      <c r="L192" s="438"/>
      <c r="M192" s="438"/>
      <c r="N192" s="438"/>
      <c r="O192" s="438"/>
      <c r="P192" s="438"/>
      <c r="Q192" s="438"/>
      <c r="R192" s="438"/>
      <c r="S192" s="438"/>
      <c r="T192" s="438"/>
      <c r="U192" s="438"/>
      <c r="V192" s="438"/>
      <c r="W192" s="438"/>
      <c r="X192" s="438"/>
      <c r="Y192" s="438"/>
      <c r="Z192" s="438"/>
      <c r="AA192" s="438"/>
      <c r="AB192" s="438"/>
      <c r="AC192" s="438"/>
      <c r="AD192" s="438"/>
      <c r="AE192" s="438"/>
      <c r="AF192" s="438"/>
      <c r="AG192" s="438"/>
      <c r="AH192" s="438"/>
    </row>
    <row r="193">
      <c r="A193" s="438"/>
      <c r="B193" s="438"/>
      <c r="C193" s="438"/>
      <c r="D193" s="438"/>
      <c r="E193" s="438"/>
      <c r="F193" s="438"/>
      <c r="G193" s="438"/>
      <c r="H193" s="438"/>
      <c r="I193" s="438"/>
      <c r="J193" s="438"/>
      <c r="K193" s="438"/>
      <c r="L193" s="438"/>
      <c r="M193" s="438"/>
      <c r="N193" s="438"/>
      <c r="O193" s="438"/>
      <c r="P193" s="438"/>
      <c r="Q193" s="438"/>
      <c r="R193" s="438"/>
      <c r="S193" s="438"/>
      <c r="T193" s="438"/>
      <c r="U193" s="438"/>
      <c r="V193" s="438"/>
      <c r="W193" s="438"/>
      <c r="X193" s="438"/>
      <c r="Y193" s="438"/>
      <c r="Z193" s="438"/>
      <c r="AA193" s="438"/>
      <c r="AB193" s="438"/>
      <c r="AC193" s="438"/>
      <c r="AD193" s="438"/>
      <c r="AE193" s="438"/>
      <c r="AF193" s="438"/>
      <c r="AG193" s="438"/>
      <c r="AH193" s="438"/>
    </row>
    <row r="194">
      <c r="A194" s="438"/>
      <c r="B194" s="438"/>
      <c r="C194" s="438"/>
      <c r="D194" s="438"/>
      <c r="E194" s="438"/>
      <c r="F194" s="438"/>
      <c r="G194" s="438"/>
      <c r="H194" s="438"/>
      <c r="I194" s="438"/>
      <c r="J194" s="438"/>
      <c r="K194" s="438"/>
      <c r="L194" s="438"/>
      <c r="M194" s="438"/>
      <c r="N194" s="438"/>
      <c r="O194" s="438"/>
      <c r="P194" s="438"/>
      <c r="Q194" s="438"/>
      <c r="R194" s="438"/>
      <c r="S194" s="438"/>
      <c r="T194" s="438"/>
      <c r="U194" s="438"/>
      <c r="V194" s="438"/>
      <c r="W194" s="438"/>
      <c r="X194" s="438"/>
      <c r="Y194" s="438"/>
      <c r="Z194" s="438"/>
      <c r="AA194" s="438"/>
      <c r="AB194" s="438"/>
      <c r="AC194" s="438"/>
      <c r="AD194" s="438"/>
      <c r="AE194" s="438"/>
      <c r="AF194" s="438"/>
      <c r="AG194" s="438"/>
      <c r="AH194" s="438"/>
    </row>
    <row r="195">
      <c r="A195" s="438"/>
      <c r="B195" s="438"/>
      <c r="C195" s="438"/>
      <c r="D195" s="438"/>
      <c r="E195" s="438"/>
      <c r="F195" s="438"/>
      <c r="G195" s="438"/>
      <c r="H195" s="438"/>
      <c r="I195" s="438"/>
      <c r="J195" s="438"/>
      <c r="K195" s="438"/>
      <c r="L195" s="438"/>
      <c r="M195" s="438"/>
      <c r="N195" s="438"/>
      <c r="O195" s="438"/>
      <c r="P195" s="438"/>
      <c r="Q195" s="438"/>
      <c r="R195" s="438"/>
      <c r="S195" s="438"/>
      <c r="T195" s="438"/>
      <c r="U195" s="438"/>
      <c r="V195" s="438"/>
      <c r="W195" s="438"/>
      <c r="X195" s="438"/>
      <c r="Y195" s="438"/>
      <c r="Z195" s="438"/>
      <c r="AA195" s="438"/>
      <c r="AB195" s="438"/>
      <c r="AC195" s="438"/>
      <c r="AD195" s="438"/>
      <c r="AE195" s="438"/>
      <c r="AF195" s="438"/>
      <c r="AG195" s="438"/>
      <c r="AH195" s="438"/>
    </row>
    <row r="196">
      <c r="A196" s="438"/>
      <c r="B196" s="438"/>
      <c r="C196" s="438"/>
      <c r="D196" s="438"/>
      <c r="E196" s="438"/>
      <c r="F196" s="438"/>
      <c r="G196" s="438"/>
      <c r="H196" s="438"/>
      <c r="I196" s="438"/>
      <c r="J196" s="438"/>
      <c r="K196" s="438"/>
      <c r="L196" s="438"/>
      <c r="M196" s="438"/>
      <c r="N196" s="438"/>
      <c r="O196" s="438"/>
      <c r="P196" s="438"/>
      <c r="Q196" s="438"/>
      <c r="R196" s="438"/>
      <c r="S196" s="438"/>
      <c r="T196" s="438"/>
      <c r="U196" s="438"/>
      <c r="V196" s="438"/>
      <c r="W196" s="438"/>
      <c r="X196" s="438"/>
      <c r="Y196" s="438"/>
      <c r="Z196" s="438"/>
      <c r="AA196" s="438"/>
      <c r="AB196" s="438"/>
      <c r="AC196" s="438"/>
      <c r="AD196" s="438"/>
      <c r="AE196" s="438"/>
      <c r="AF196" s="438"/>
      <c r="AG196" s="438"/>
      <c r="AH196" s="438"/>
    </row>
    <row r="197">
      <c r="A197" s="438"/>
      <c r="B197" s="438"/>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c r="AA197" s="438"/>
      <c r="AB197" s="438"/>
      <c r="AC197" s="438"/>
      <c r="AD197" s="438"/>
      <c r="AE197" s="438"/>
      <c r="AF197" s="438"/>
      <c r="AG197" s="438"/>
      <c r="AH197" s="438"/>
    </row>
    <row r="198">
      <c r="A198" s="438"/>
      <c r="B198" s="438"/>
      <c r="C198" s="438"/>
      <c r="D198" s="438"/>
      <c r="E198" s="438"/>
      <c r="F198" s="438"/>
      <c r="G198" s="438"/>
      <c r="H198" s="438"/>
      <c r="I198" s="438"/>
      <c r="J198" s="438"/>
      <c r="K198" s="438"/>
      <c r="L198" s="438"/>
      <c r="M198" s="438"/>
      <c r="N198" s="438"/>
      <c r="O198" s="438"/>
      <c r="P198" s="438"/>
      <c r="Q198" s="438"/>
      <c r="R198" s="438"/>
      <c r="S198" s="438"/>
      <c r="T198" s="438"/>
      <c r="U198" s="438"/>
      <c r="V198" s="438"/>
      <c r="W198" s="438"/>
      <c r="X198" s="438"/>
      <c r="Y198" s="438"/>
      <c r="Z198" s="438"/>
      <c r="AA198" s="438"/>
      <c r="AB198" s="438"/>
      <c r="AC198" s="438"/>
      <c r="AD198" s="438"/>
      <c r="AE198" s="438"/>
      <c r="AF198" s="438"/>
      <c r="AG198" s="438"/>
      <c r="AH198" s="438"/>
    </row>
    <row r="199">
      <c r="A199" s="438"/>
      <c r="B199" s="438"/>
      <c r="C199" s="438"/>
      <c r="D199" s="438"/>
      <c r="E199" s="438"/>
      <c r="F199" s="438"/>
      <c r="G199" s="438"/>
      <c r="H199" s="438"/>
      <c r="I199" s="438"/>
      <c r="J199" s="438"/>
      <c r="K199" s="438"/>
      <c r="L199" s="438"/>
      <c r="M199" s="438"/>
      <c r="N199" s="438"/>
      <c r="O199" s="438"/>
      <c r="P199" s="438"/>
      <c r="Q199" s="438"/>
      <c r="R199" s="438"/>
      <c r="S199" s="438"/>
      <c r="T199" s="438"/>
      <c r="U199" s="438"/>
      <c r="V199" s="438"/>
      <c r="W199" s="438"/>
      <c r="X199" s="438"/>
      <c r="Y199" s="438"/>
      <c r="Z199" s="438"/>
      <c r="AA199" s="438"/>
      <c r="AB199" s="438"/>
      <c r="AC199" s="438"/>
      <c r="AD199" s="438"/>
      <c r="AE199" s="438"/>
      <c r="AF199" s="438"/>
      <c r="AG199" s="438"/>
      <c r="AH199" s="438"/>
    </row>
    <row r="200">
      <c r="A200" s="438"/>
      <c r="B200" s="438"/>
      <c r="C200" s="438"/>
      <c r="D200" s="438"/>
      <c r="E200" s="438"/>
      <c r="F200" s="438"/>
      <c r="G200" s="438"/>
      <c r="H200" s="438"/>
      <c r="I200" s="438"/>
      <c r="J200" s="438"/>
      <c r="K200" s="438"/>
      <c r="L200" s="438"/>
      <c r="M200" s="438"/>
      <c r="N200" s="438"/>
      <c r="O200" s="438"/>
      <c r="P200" s="438"/>
      <c r="Q200" s="438"/>
      <c r="R200" s="438"/>
      <c r="S200" s="438"/>
      <c r="T200" s="438"/>
      <c r="U200" s="438"/>
      <c r="V200" s="438"/>
      <c r="W200" s="438"/>
      <c r="X200" s="438"/>
      <c r="Y200" s="438"/>
      <c r="Z200" s="438"/>
      <c r="AA200" s="438"/>
      <c r="AB200" s="438"/>
      <c r="AC200" s="438"/>
      <c r="AD200" s="438"/>
      <c r="AE200" s="438"/>
      <c r="AF200" s="438"/>
      <c r="AG200" s="438"/>
      <c r="AH200" s="438"/>
    </row>
    <row r="201">
      <c r="A201" s="438"/>
      <c r="B201" s="438"/>
      <c r="C201" s="438"/>
      <c r="D201" s="438"/>
      <c r="E201" s="438"/>
      <c r="F201" s="438"/>
      <c r="G201" s="438"/>
      <c r="H201" s="438"/>
      <c r="I201" s="438"/>
      <c r="J201" s="438"/>
      <c r="K201" s="438"/>
      <c r="L201" s="438"/>
      <c r="M201" s="438"/>
      <c r="N201" s="438"/>
      <c r="O201" s="438"/>
      <c r="P201" s="438"/>
      <c r="Q201" s="438"/>
      <c r="R201" s="438"/>
      <c r="S201" s="438"/>
      <c r="T201" s="438"/>
      <c r="U201" s="438"/>
      <c r="V201" s="438"/>
      <c r="W201" s="438"/>
      <c r="X201" s="438"/>
      <c r="Y201" s="438"/>
      <c r="Z201" s="438"/>
      <c r="AA201" s="438"/>
      <c r="AB201" s="438"/>
      <c r="AC201" s="438"/>
      <c r="AD201" s="438"/>
      <c r="AE201" s="438"/>
      <c r="AF201" s="438"/>
      <c r="AG201" s="438"/>
      <c r="AH201" s="438"/>
    </row>
    <row r="202">
      <c r="A202" s="438"/>
      <c r="B202" s="438"/>
      <c r="C202" s="438"/>
      <c r="D202" s="438"/>
      <c r="E202" s="438"/>
      <c r="F202" s="438"/>
      <c r="G202" s="438"/>
      <c r="H202" s="438"/>
      <c r="I202" s="438"/>
      <c r="J202" s="438"/>
      <c r="K202" s="438"/>
      <c r="L202" s="438"/>
      <c r="M202" s="438"/>
      <c r="N202" s="438"/>
      <c r="O202" s="438"/>
      <c r="P202" s="438"/>
      <c r="Q202" s="438"/>
      <c r="R202" s="438"/>
      <c r="S202" s="438"/>
      <c r="T202" s="438"/>
      <c r="U202" s="438"/>
      <c r="V202" s="438"/>
      <c r="W202" s="438"/>
      <c r="X202" s="438"/>
      <c r="Y202" s="438"/>
      <c r="Z202" s="438"/>
      <c r="AA202" s="438"/>
      <c r="AB202" s="438"/>
      <c r="AC202" s="438"/>
      <c r="AD202" s="438"/>
      <c r="AE202" s="438"/>
      <c r="AF202" s="438"/>
      <c r="AG202" s="438"/>
      <c r="AH202" s="438"/>
    </row>
    <row r="203">
      <c r="A203" s="438"/>
      <c r="B203" s="438"/>
      <c r="C203" s="438"/>
      <c r="D203" s="438"/>
      <c r="E203" s="438"/>
      <c r="F203" s="438"/>
      <c r="G203" s="438"/>
      <c r="H203" s="438"/>
      <c r="I203" s="438"/>
      <c r="J203" s="438"/>
      <c r="K203" s="438"/>
      <c r="L203" s="438"/>
      <c r="M203" s="438"/>
      <c r="N203" s="438"/>
      <c r="O203" s="438"/>
      <c r="P203" s="438"/>
      <c r="Q203" s="438"/>
      <c r="R203" s="438"/>
      <c r="S203" s="438"/>
      <c r="T203" s="438"/>
      <c r="U203" s="438"/>
      <c r="V203" s="438"/>
      <c r="W203" s="438"/>
      <c r="X203" s="438"/>
      <c r="Y203" s="438"/>
      <c r="Z203" s="438"/>
      <c r="AA203" s="438"/>
      <c r="AB203" s="438"/>
      <c r="AC203" s="438"/>
      <c r="AD203" s="438"/>
      <c r="AE203" s="438"/>
      <c r="AF203" s="438"/>
      <c r="AG203" s="438"/>
      <c r="AH203" s="438"/>
    </row>
    <row r="204">
      <c r="A204" s="438"/>
      <c r="B204" s="438"/>
      <c r="C204" s="438"/>
      <c r="D204" s="438"/>
      <c r="E204" s="438"/>
      <c r="F204" s="438"/>
      <c r="G204" s="438"/>
      <c r="H204" s="438"/>
      <c r="I204" s="438"/>
      <c r="J204" s="438"/>
      <c r="K204" s="438"/>
      <c r="L204" s="438"/>
      <c r="M204" s="438"/>
      <c r="N204" s="438"/>
      <c r="O204" s="438"/>
      <c r="P204" s="438"/>
      <c r="Q204" s="438"/>
      <c r="R204" s="438"/>
      <c r="S204" s="438"/>
      <c r="T204" s="438"/>
      <c r="U204" s="438"/>
      <c r="V204" s="438"/>
      <c r="W204" s="438"/>
      <c r="X204" s="438"/>
      <c r="Y204" s="438"/>
      <c r="Z204" s="438"/>
      <c r="AA204" s="438"/>
      <c r="AB204" s="438"/>
      <c r="AC204" s="438"/>
      <c r="AD204" s="438"/>
      <c r="AE204" s="438"/>
      <c r="AF204" s="438"/>
      <c r="AG204" s="438"/>
      <c r="AH204" s="438"/>
    </row>
    <row r="205">
      <c r="A205" s="438"/>
      <c r="B205" s="438"/>
      <c r="C205" s="438"/>
      <c r="D205" s="438"/>
      <c r="E205" s="438"/>
      <c r="F205" s="438"/>
      <c r="G205" s="438"/>
      <c r="H205" s="438"/>
      <c r="I205" s="438"/>
      <c r="J205" s="438"/>
      <c r="K205" s="438"/>
      <c r="L205" s="438"/>
      <c r="M205" s="438"/>
      <c r="N205" s="438"/>
      <c r="O205" s="438"/>
      <c r="P205" s="438"/>
      <c r="Q205" s="438"/>
      <c r="R205" s="438"/>
      <c r="S205" s="438"/>
      <c r="T205" s="438"/>
      <c r="U205" s="438"/>
      <c r="V205" s="438"/>
      <c r="W205" s="438"/>
      <c r="X205" s="438"/>
      <c r="Y205" s="438"/>
      <c r="Z205" s="438"/>
      <c r="AA205" s="438"/>
      <c r="AB205" s="438"/>
      <c r="AC205" s="438"/>
      <c r="AD205" s="438"/>
      <c r="AE205" s="438"/>
      <c r="AF205" s="438"/>
      <c r="AG205" s="438"/>
      <c r="AH205" s="438"/>
    </row>
    <row r="206">
      <c r="A206" s="438"/>
      <c r="B206" s="438"/>
      <c r="C206" s="438"/>
      <c r="D206" s="438"/>
      <c r="E206" s="438"/>
      <c r="F206" s="438"/>
      <c r="G206" s="438"/>
      <c r="H206" s="438"/>
      <c r="I206" s="438"/>
      <c r="J206" s="438"/>
      <c r="K206" s="438"/>
      <c r="L206" s="438"/>
      <c r="M206" s="438"/>
      <c r="N206" s="438"/>
      <c r="O206" s="438"/>
      <c r="P206" s="438"/>
      <c r="Q206" s="438"/>
      <c r="R206" s="438"/>
      <c r="S206" s="438"/>
      <c r="T206" s="438"/>
      <c r="U206" s="438"/>
      <c r="V206" s="438"/>
      <c r="W206" s="438"/>
      <c r="X206" s="438"/>
      <c r="Y206" s="438"/>
      <c r="Z206" s="438"/>
      <c r="AA206" s="438"/>
      <c r="AB206" s="438"/>
      <c r="AC206" s="438"/>
      <c r="AD206" s="438"/>
      <c r="AE206" s="438"/>
      <c r="AF206" s="438"/>
      <c r="AG206" s="438"/>
      <c r="AH206" s="438"/>
    </row>
    <row r="207">
      <c r="A207" s="438"/>
      <c r="B207" s="438"/>
      <c r="C207" s="438"/>
      <c r="D207" s="438"/>
      <c r="E207" s="438"/>
      <c r="F207" s="438"/>
      <c r="G207" s="438"/>
      <c r="H207" s="438"/>
      <c r="I207" s="438"/>
      <c r="J207" s="438"/>
      <c r="K207" s="438"/>
      <c r="L207" s="438"/>
      <c r="M207" s="438"/>
      <c r="N207" s="438"/>
      <c r="O207" s="438"/>
      <c r="P207" s="438"/>
      <c r="Q207" s="438"/>
      <c r="R207" s="438"/>
      <c r="S207" s="438"/>
      <c r="T207" s="438"/>
      <c r="U207" s="438"/>
      <c r="V207" s="438"/>
      <c r="W207" s="438"/>
      <c r="X207" s="438"/>
      <c r="Y207" s="438"/>
      <c r="Z207" s="438"/>
      <c r="AA207" s="438"/>
      <c r="AB207" s="438"/>
      <c r="AC207" s="438"/>
      <c r="AD207" s="438"/>
      <c r="AE207" s="438"/>
      <c r="AF207" s="438"/>
      <c r="AG207" s="438"/>
      <c r="AH207" s="438"/>
    </row>
    <row r="208">
      <c r="A208" s="438"/>
      <c r="B208" s="438"/>
      <c r="C208" s="438"/>
      <c r="D208" s="438"/>
      <c r="E208" s="438"/>
      <c r="F208" s="438"/>
      <c r="G208" s="438"/>
      <c r="H208" s="438"/>
      <c r="I208" s="438"/>
      <c r="J208" s="438"/>
      <c r="K208" s="438"/>
      <c r="L208" s="438"/>
      <c r="M208" s="438"/>
      <c r="N208" s="438"/>
      <c r="O208" s="438"/>
      <c r="P208" s="438"/>
      <c r="Q208" s="438"/>
      <c r="R208" s="438"/>
      <c r="S208" s="438"/>
      <c r="T208" s="438"/>
      <c r="U208" s="438"/>
      <c r="V208" s="438"/>
      <c r="W208" s="438"/>
      <c r="X208" s="438"/>
      <c r="Y208" s="438"/>
      <c r="Z208" s="438"/>
      <c r="AA208" s="438"/>
      <c r="AB208" s="438"/>
      <c r="AC208" s="438"/>
      <c r="AD208" s="438"/>
      <c r="AE208" s="438"/>
      <c r="AF208" s="438"/>
      <c r="AG208" s="438"/>
      <c r="AH208" s="438"/>
    </row>
    <row r="209">
      <c r="A209" s="438"/>
      <c r="B209" s="438"/>
      <c r="C209" s="438"/>
      <c r="D209" s="438"/>
      <c r="E209" s="438"/>
      <c r="F209" s="438"/>
      <c r="G209" s="438"/>
      <c r="H209" s="438"/>
      <c r="I209" s="438"/>
      <c r="J209" s="438"/>
      <c r="K209" s="438"/>
      <c r="L209" s="438"/>
      <c r="M209" s="438"/>
      <c r="N209" s="438"/>
      <c r="O209" s="438"/>
      <c r="P209" s="438"/>
      <c r="Q209" s="438"/>
      <c r="R209" s="438"/>
      <c r="S209" s="438"/>
      <c r="T209" s="438"/>
      <c r="U209" s="438"/>
      <c r="V209" s="438"/>
      <c r="W209" s="438"/>
      <c r="X209" s="438"/>
      <c r="Y209" s="438"/>
      <c r="Z209" s="438"/>
      <c r="AA209" s="438"/>
      <c r="AB209" s="438"/>
      <c r="AC209" s="438"/>
      <c r="AD209" s="438"/>
      <c r="AE209" s="438"/>
      <c r="AF209" s="438"/>
      <c r="AG209" s="438"/>
      <c r="AH209" s="438"/>
    </row>
    <row r="210">
      <c r="A210" s="438"/>
      <c r="B210" s="438"/>
      <c r="C210" s="438"/>
      <c r="D210" s="438"/>
      <c r="E210" s="438"/>
      <c r="F210" s="438"/>
      <c r="G210" s="438"/>
      <c r="H210" s="438"/>
      <c r="I210" s="438"/>
      <c r="J210" s="438"/>
      <c r="K210" s="438"/>
      <c r="L210" s="438"/>
      <c r="M210" s="438"/>
      <c r="N210" s="438"/>
      <c r="O210" s="438"/>
      <c r="P210" s="438"/>
      <c r="Q210" s="438"/>
      <c r="R210" s="438"/>
      <c r="S210" s="438"/>
      <c r="T210" s="438"/>
      <c r="U210" s="438"/>
      <c r="V210" s="438"/>
      <c r="W210" s="438"/>
      <c r="X210" s="438"/>
      <c r="Y210" s="438"/>
      <c r="Z210" s="438"/>
      <c r="AA210" s="438"/>
      <c r="AB210" s="438"/>
      <c r="AC210" s="438"/>
      <c r="AD210" s="438"/>
      <c r="AE210" s="438"/>
      <c r="AF210" s="438"/>
      <c r="AG210" s="438"/>
      <c r="AH210" s="438"/>
    </row>
    <row r="211">
      <c r="A211" s="438"/>
      <c r="B211" s="438"/>
      <c r="C211" s="438"/>
      <c r="D211" s="438"/>
      <c r="E211" s="438"/>
      <c r="F211" s="438"/>
      <c r="G211" s="438"/>
      <c r="H211" s="438"/>
      <c r="I211" s="438"/>
      <c r="J211" s="438"/>
      <c r="K211" s="438"/>
      <c r="L211" s="438"/>
      <c r="M211" s="438"/>
      <c r="N211" s="438"/>
      <c r="O211" s="438"/>
      <c r="P211" s="438"/>
      <c r="Q211" s="438"/>
      <c r="R211" s="438"/>
      <c r="S211" s="438"/>
      <c r="T211" s="438"/>
      <c r="U211" s="438"/>
      <c r="V211" s="438"/>
      <c r="W211" s="438"/>
      <c r="X211" s="438"/>
      <c r="Y211" s="438"/>
      <c r="Z211" s="438"/>
      <c r="AA211" s="438"/>
      <c r="AB211" s="438"/>
      <c r="AC211" s="438"/>
      <c r="AD211" s="438"/>
      <c r="AE211" s="438"/>
      <c r="AF211" s="438"/>
      <c r="AG211" s="438"/>
      <c r="AH211" s="438"/>
    </row>
    <row r="212">
      <c r="A212" s="438"/>
      <c r="B212" s="438"/>
      <c r="C212" s="438"/>
      <c r="D212" s="438"/>
      <c r="E212" s="438"/>
      <c r="F212" s="438"/>
      <c r="G212" s="438"/>
      <c r="H212" s="438"/>
      <c r="I212" s="438"/>
      <c r="J212" s="438"/>
      <c r="K212" s="438"/>
      <c r="L212" s="438"/>
      <c r="M212" s="438"/>
      <c r="N212" s="438"/>
      <c r="O212" s="438"/>
      <c r="P212" s="438"/>
      <c r="Q212" s="438"/>
      <c r="R212" s="438"/>
      <c r="S212" s="438"/>
      <c r="T212" s="438"/>
      <c r="U212" s="438"/>
      <c r="V212" s="438"/>
      <c r="W212" s="438"/>
      <c r="X212" s="438"/>
      <c r="Y212" s="438"/>
      <c r="Z212" s="438"/>
      <c r="AA212" s="438"/>
      <c r="AB212" s="438"/>
      <c r="AC212" s="438"/>
      <c r="AD212" s="438"/>
      <c r="AE212" s="438"/>
      <c r="AF212" s="438"/>
      <c r="AG212" s="438"/>
      <c r="AH212" s="438"/>
    </row>
    <row r="213">
      <c r="A213" s="438"/>
      <c r="B213" s="438"/>
      <c r="C213" s="438"/>
      <c r="D213" s="438"/>
      <c r="E213" s="438"/>
      <c r="F213" s="438"/>
      <c r="G213" s="438"/>
      <c r="H213" s="438"/>
      <c r="I213" s="438"/>
      <c r="J213" s="438"/>
      <c r="K213" s="438"/>
      <c r="L213" s="438"/>
      <c r="M213" s="438"/>
      <c r="N213" s="438"/>
      <c r="O213" s="438"/>
      <c r="P213" s="438"/>
      <c r="Q213" s="438"/>
      <c r="R213" s="438"/>
      <c r="S213" s="438"/>
      <c r="T213" s="438"/>
      <c r="U213" s="438"/>
      <c r="V213" s="438"/>
      <c r="W213" s="438"/>
      <c r="X213" s="438"/>
      <c r="Y213" s="438"/>
      <c r="Z213" s="438"/>
      <c r="AA213" s="438"/>
      <c r="AB213" s="438"/>
      <c r="AC213" s="438"/>
      <c r="AD213" s="438"/>
      <c r="AE213" s="438"/>
      <c r="AF213" s="438"/>
      <c r="AG213" s="438"/>
      <c r="AH213" s="438"/>
    </row>
    <row r="214">
      <c r="A214" s="438"/>
      <c r="B214" s="438"/>
      <c r="C214" s="438"/>
      <c r="D214" s="438"/>
      <c r="E214" s="438"/>
      <c r="F214" s="438"/>
      <c r="G214" s="438"/>
      <c r="H214" s="438"/>
      <c r="I214" s="438"/>
      <c r="J214" s="438"/>
      <c r="K214" s="438"/>
      <c r="L214" s="438"/>
      <c r="M214" s="438"/>
      <c r="N214" s="438"/>
      <c r="O214" s="438"/>
      <c r="P214" s="438"/>
      <c r="Q214" s="438"/>
      <c r="R214" s="438"/>
      <c r="S214" s="438"/>
      <c r="T214" s="438"/>
      <c r="U214" s="438"/>
      <c r="V214" s="438"/>
      <c r="W214" s="438"/>
      <c r="X214" s="438"/>
      <c r="Y214" s="438"/>
      <c r="Z214" s="438"/>
      <c r="AA214" s="438"/>
      <c r="AB214" s="438"/>
      <c r="AC214" s="438"/>
      <c r="AD214" s="438"/>
      <c r="AE214" s="438"/>
      <c r="AF214" s="438"/>
      <c r="AG214" s="438"/>
      <c r="AH214" s="438"/>
    </row>
    <row r="215">
      <c r="A215" s="438"/>
      <c r="B215" s="438"/>
      <c r="C215" s="438"/>
      <c r="D215" s="438"/>
      <c r="E215" s="438"/>
      <c r="F215" s="438"/>
      <c r="G215" s="438"/>
      <c r="H215" s="438"/>
      <c r="I215" s="438"/>
      <c r="J215" s="438"/>
      <c r="K215" s="438"/>
      <c r="L215" s="438"/>
      <c r="M215" s="438"/>
      <c r="N215" s="438"/>
      <c r="O215" s="438"/>
      <c r="P215" s="438"/>
      <c r="Q215" s="438"/>
      <c r="R215" s="438"/>
      <c r="S215" s="438"/>
      <c r="T215" s="438"/>
      <c r="U215" s="438"/>
      <c r="V215" s="438"/>
      <c r="W215" s="438"/>
      <c r="X215" s="438"/>
      <c r="Y215" s="438"/>
      <c r="Z215" s="438"/>
      <c r="AA215" s="438"/>
      <c r="AB215" s="438"/>
      <c r="AC215" s="438"/>
      <c r="AD215" s="438"/>
      <c r="AE215" s="438"/>
      <c r="AF215" s="438"/>
      <c r="AG215" s="438"/>
      <c r="AH215" s="438"/>
    </row>
    <row r="216">
      <c r="A216" s="438"/>
      <c r="B216" s="438"/>
      <c r="C216" s="438"/>
      <c r="D216" s="438"/>
      <c r="E216" s="438"/>
      <c r="F216" s="438"/>
      <c r="G216" s="438"/>
      <c r="H216" s="438"/>
      <c r="I216" s="438"/>
      <c r="J216" s="438"/>
      <c r="K216" s="438"/>
      <c r="L216" s="438"/>
      <c r="M216" s="438"/>
      <c r="N216" s="438"/>
      <c r="O216" s="438"/>
      <c r="P216" s="438"/>
      <c r="Q216" s="438"/>
      <c r="R216" s="438"/>
      <c r="S216" s="438"/>
      <c r="T216" s="438"/>
      <c r="U216" s="438"/>
      <c r="V216" s="438"/>
      <c r="W216" s="438"/>
      <c r="X216" s="438"/>
      <c r="Y216" s="438"/>
      <c r="Z216" s="438"/>
      <c r="AA216" s="438"/>
      <c r="AB216" s="438"/>
      <c r="AC216" s="438"/>
      <c r="AD216" s="438"/>
      <c r="AE216" s="438"/>
      <c r="AF216" s="438"/>
      <c r="AG216" s="438"/>
      <c r="AH216" s="438"/>
    </row>
    <row r="217">
      <c r="A217" s="438"/>
      <c r="B217" s="438"/>
      <c r="C217" s="438"/>
      <c r="D217" s="438"/>
      <c r="E217" s="438"/>
      <c r="F217" s="438"/>
      <c r="G217" s="438"/>
      <c r="H217" s="438"/>
      <c r="I217" s="438"/>
      <c r="J217" s="438"/>
      <c r="K217" s="438"/>
      <c r="L217" s="438"/>
      <c r="M217" s="438"/>
      <c r="N217" s="438"/>
      <c r="O217" s="438"/>
      <c r="P217" s="438"/>
      <c r="Q217" s="438"/>
      <c r="R217" s="438"/>
      <c r="S217" s="438"/>
      <c r="T217" s="438"/>
      <c r="U217" s="438"/>
      <c r="V217" s="438"/>
      <c r="W217" s="438"/>
      <c r="X217" s="438"/>
      <c r="Y217" s="438"/>
      <c r="Z217" s="438"/>
      <c r="AA217" s="438"/>
      <c r="AB217" s="438"/>
      <c r="AC217" s="438"/>
      <c r="AD217" s="438"/>
      <c r="AE217" s="438"/>
      <c r="AF217" s="438"/>
      <c r="AG217" s="438"/>
      <c r="AH217" s="438"/>
    </row>
    <row r="218">
      <c r="A218" s="438"/>
      <c r="B218" s="438"/>
      <c r="C218" s="438"/>
      <c r="D218" s="438"/>
      <c r="E218" s="438"/>
      <c r="F218" s="438"/>
      <c r="G218" s="438"/>
      <c r="H218" s="438"/>
      <c r="I218" s="438"/>
      <c r="J218" s="438"/>
      <c r="K218" s="438"/>
      <c r="L218" s="438"/>
      <c r="M218" s="438"/>
      <c r="N218" s="438"/>
      <c r="O218" s="438"/>
      <c r="P218" s="438"/>
      <c r="Q218" s="438"/>
      <c r="R218" s="438"/>
      <c r="S218" s="438"/>
      <c r="T218" s="438"/>
      <c r="U218" s="438"/>
      <c r="V218" s="438"/>
      <c r="W218" s="438"/>
      <c r="X218" s="438"/>
      <c r="Y218" s="438"/>
      <c r="Z218" s="438"/>
      <c r="AA218" s="438"/>
      <c r="AB218" s="438"/>
      <c r="AC218" s="438"/>
      <c r="AD218" s="438"/>
      <c r="AE218" s="438"/>
      <c r="AF218" s="438"/>
      <c r="AG218" s="438"/>
      <c r="AH218" s="438"/>
    </row>
    <row r="219">
      <c r="A219" s="438"/>
      <c r="B219" s="438"/>
      <c r="C219" s="438"/>
      <c r="D219" s="438"/>
      <c r="E219" s="438"/>
      <c r="F219" s="438"/>
      <c r="G219" s="438"/>
      <c r="H219" s="438"/>
      <c r="I219" s="438"/>
      <c r="J219" s="438"/>
      <c r="K219" s="438"/>
      <c r="L219" s="438"/>
      <c r="M219" s="438"/>
      <c r="N219" s="438"/>
      <c r="O219" s="438"/>
      <c r="P219" s="438"/>
      <c r="Q219" s="438"/>
      <c r="R219" s="438"/>
      <c r="S219" s="438"/>
      <c r="T219" s="438"/>
      <c r="U219" s="438"/>
      <c r="V219" s="438"/>
      <c r="W219" s="438"/>
      <c r="X219" s="438"/>
      <c r="Y219" s="438"/>
      <c r="Z219" s="438"/>
      <c r="AA219" s="438"/>
      <c r="AB219" s="438"/>
      <c r="AC219" s="438"/>
      <c r="AD219" s="438"/>
      <c r="AE219" s="438"/>
      <c r="AF219" s="438"/>
      <c r="AG219" s="438"/>
      <c r="AH219" s="438"/>
    </row>
    <row r="220">
      <c r="A220" s="438"/>
      <c r="B220" s="438"/>
      <c r="C220" s="438"/>
      <c r="D220" s="438"/>
      <c r="E220" s="438"/>
      <c r="F220" s="438"/>
      <c r="G220" s="438"/>
      <c r="H220" s="438"/>
      <c r="I220" s="438"/>
      <c r="J220" s="438"/>
      <c r="K220" s="438"/>
      <c r="L220" s="438"/>
      <c r="M220" s="438"/>
      <c r="N220" s="438"/>
      <c r="O220" s="438"/>
      <c r="P220" s="438"/>
      <c r="Q220" s="438"/>
      <c r="R220" s="438"/>
      <c r="S220" s="438"/>
      <c r="T220" s="438"/>
      <c r="U220" s="438"/>
      <c r="V220" s="438"/>
      <c r="W220" s="438"/>
      <c r="X220" s="438"/>
      <c r="Y220" s="438"/>
      <c r="Z220" s="438"/>
      <c r="AA220" s="438"/>
      <c r="AB220" s="438"/>
      <c r="AC220" s="438"/>
      <c r="AD220" s="438"/>
      <c r="AE220" s="438"/>
      <c r="AF220" s="438"/>
      <c r="AG220" s="438"/>
      <c r="AH220" s="438"/>
    </row>
    <row r="221">
      <c r="A221" s="438"/>
      <c r="B221" s="438"/>
      <c r="C221" s="438"/>
      <c r="D221" s="438"/>
      <c r="E221" s="438"/>
      <c r="F221" s="438"/>
      <c r="G221" s="438"/>
      <c r="H221" s="438"/>
      <c r="I221" s="438"/>
      <c r="J221" s="438"/>
      <c r="K221" s="438"/>
      <c r="L221" s="438"/>
      <c r="M221" s="438"/>
      <c r="N221" s="438"/>
      <c r="O221" s="438"/>
      <c r="P221" s="438"/>
      <c r="Q221" s="438"/>
      <c r="R221" s="438"/>
      <c r="S221" s="438"/>
      <c r="T221" s="438"/>
      <c r="U221" s="438"/>
      <c r="V221" s="438"/>
      <c r="W221" s="438"/>
      <c r="X221" s="438"/>
      <c r="Y221" s="438"/>
      <c r="Z221" s="438"/>
      <c r="AA221" s="438"/>
      <c r="AB221" s="438"/>
      <c r="AC221" s="438"/>
      <c r="AD221" s="438"/>
      <c r="AE221" s="438"/>
      <c r="AF221" s="438"/>
      <c r="AG221" s="438"/>
      <c r="AH221" s="438"/>
    </row>
    <row r="222">
      <c r="A222" s="438"/>
      <c r="B222" s="438"/>
      <c r="C222" s="438"/>
      <c r="D222" s="438"/>
      <c r="E222" s="438"/>
      <c r="F222" s="438"/>
      <c r="G222" s="438"/>
      <c r="H222" s="438"/>
      <c r="I222" s="438"/>
      <c r="J222" s="438"/>
      <c r="K222" s="438"/>
      <c r="L222" s="438"/>
      <c r="M222" s="438"/>
      <c r="N222" s="438"/>
      <c r="O222" s="438"/>
      <c r="P222" s="438"/>
      <c r="Q222" s="438"/>
      <c r="R222" s="438"/>
      <c r="S222" s="438"/>
      <c r="T222" s="438"/>
      <c r="U222" s="438"/>
      <c r="V222" s="438"/>
      <c r="W222" s="438"/>
      <c r="X222" s="438"/>
      <c r="Y222" s="438"/>
      <c r="Z222" s="438"/>
      <c r="AA222" s="438"/>
      <c r="AB222" s="438"/>
      <c r="AC222" s="438"/>
      <c r="AD222" s="438"/>
      <c r="AE222" s="438"/>
      <c r="AF222" s="438"/>
      <c r="AG222" s="438"/>
      <c r="AH222" s="438"/>
    </row>
    <row r="223">
      <c r="A223" s="438"/>
      <c r="B223" s="438"/>
      <c r="C223" s="438"/>
      <c r="D223" s="438"/>
      <c r="E223" s="438"/>
      <c r="F223" s="438"/>
      <c r="G223" s="438"/>
      <c r="H223" s="438"/>
      <c r="I223" s="438"/>
      <c r="J223" s="438"/>
      <c r="K223" s="438"/>
      <c r="L223" s="438"/>
      <c r="M223" s="438"/>
      <c r="N223" s="438"/>
      <c r="O223" s="438"/>
      <c r="P223" s="438"/>
      <c r="Q223" s="438"/>
      <c r="R223" s="438"/>
      <c r="S223" s="438"/>
      <c r="T223" s="438"/>
      <c r="U223" s="438"/>
      <c r="V223" s="438"/>
      <c r="W223" s="438"/>
      <c r="X223" s="438"/>
      <c r="Y223" s="438"/>
      <c r="Z223" s="438"/>
      <c r="AA223" s="438"/>
      <c r="AB223" s="438"/>
      <c r="AC223" s="438"/>
      <c r="AD223" s="438"/>
      <c r="AE223" s="438"/>
      <c r="AF223" s="438"/>
      <c r="AG223" s="438"/>
      <c r="AH223" s="438"/>
    </row>
    <row r="224">
      <c r="A224" s="438"/>
      <c r="B224" s="438"/>
      <c r="C224" s="438"/>
      <c r="D224" s="438"/>
      <c r="E224" s="438"/>
      <c r="F224" s="438"/>
      <c r="G224" s="438"/>
      <c r="H224" s="438"/>
      <c r="I224" s="438"/>
      <c r="J224" s="438"/>
      <c r="K224" s="438"/>
      <c r="L224" s="438"/>
      <c r="M224" s="438"/>
      <c r="N224" s="438"/>
      <c r="O224" s="438"/>
      <c r="P224" s="438"/>
      <c r="Q224" s="438"/>
      <c r="R224" s="438"/>
      <c r="S224" s="438"/>
      <c r="T224" s="438"/>
      <c r="U224" s="438"/>
      <c r="V224" s="438"/>
      <c r="W224" s="438"/>
      <c r="X224" s="438"/>
      <c r="Y224" s="438"/>
      <c r="Z224" s="438"/>
      <c r="AA224" s="438"/>
      <c r="AB224" s="438"/>
      <c r="AC224" s="438"/>
      <c r="AD224" s="438"/>
      <c r="AE224" s="438"/>
      <c r="AF224" s="438"/>
      <c r="AG224" s="438"/>
      <c r="AH224" s="438"/>
    </row>
    <row r="225">
      <c r="A225" s="438"/>
      <c r="B225" s="438"/>
      <c r="C225" s="438"/>
      <c r="D225" s="438"/>
      <c r="E225" s="438"/>
      <c r="F225" s="438"/>
      <c r="G225" s="438"/>
      <c r="H225" s="438"/>
      <c r="I225" s="438"/>
      <c r="J225" s="438"/>
      <c r="K225" s="438"/>
      <c r="L225" s="438"/>
      <c r="M225" s="438"/>
      <c r="N225" s="438"/>
      <c r="O225" s="438"/>
      <c r="P225" s="438"/>
      <c r="Q225" s="438"/>
      <c r="R225" s="438"/>
      <c r="S225" s="438"/>
      <c r="T225" s="438"/>
      <c r="U225" s="438"/>
      <c r="V225" s="438"/>
      <c r="W225" s="438"/>
      <c r="X225" s="438"/>
      <c r="Y225" s="438"/>
      <c r="Z225" s="438"/>
      <c r="AA225" s="438"/>
      <c r="AB225" s="438"/>
      <c r="AC225" s="438"/>
      <c r="AD225" s="438"/>
      <c r="AE225" s="438"/>
      <c r="AF225" s="438"/>
      <c r="AG225" s="438"/>
      <c r="AH225" s="438"/>
    </row>
    <row r="226">
      <c r="A226" s="438"/>
      <c r="B226" s="438"/>
      <c r="C226" s="438"/>
      <c r="D226" s="438"/>
      <c r="E226" s="438"/>
      <c r="F226" s="438"/>
      <c r="G226" s="438"/>
      <c r="H226" s="438"/>
      <c r="I226" s="438"/>
      <c r="J226" s="438"/>
      <c r="K226" s="438"/>
      <c r="L226" s="438"/>
      <c r="M226" s="438"/>
      <c r="N226" s="438"/>
      <c r="O226" s="438"/>
      <c r="P226" s="438"/>
      <c r="Q226" s="438"/>
      <c r="R226" s="438"/>
      <c r="S226" s="438"/>
      <c r="T226" s="438"/>
      <c r="U226" s="438"/>
      <c r="V226" s="438"/>
      <c r="W226" s="438"/>
      <c r="X226" s="438"/>
      <c r="Y226" s="438"/>
      <c r="Z226" s="438"/>
      <c r="AA226" s="438"/>
      <c r="AB226" s="438"/>
      <c r="AC226" s="438"/>
      <c r="AD226" s="438"/>
      <c r="AE226" s="438"/>
      <c r="AF226" s="438"/>
      <c r="AG226" s="438"/>
      <c r="AH226" s="438"/>
    </row>
    <row r="227">
      <c r="A227" s="438"/>
      <c r="B227" s="438"/>
      <c r="C227" s="438"/>
      <c r="D227" s="438"/>
      <c r="E227" s="438"/>
      <c r="F227" s="438"/>
      <c r="G227" s="438"/>
      <c r="H227" s="438"/>
      <c r="I227" s="438"/>
      <c r="J227" s="438"/>
      <c r="K227" s="438"/>
      <c r="L227" s="438"/>
      <c r="M227" s="438"/>
      <c r="N227" s="438"/>
      <c r="O227" s="438"/>
      <c r="P227" s="438"/>
      <c r="Q227" s="438"/>
      <c r="R227" s="438"/>
      <c r="S227" s="438"/>
      <c r="T227" s="438"/>
      <c r="U227" s="438"/>
      <c r="V227" s="438"/>
      <c r="W227" s="438"/>
      <c r="X227" s="438"/>
      <c r="Y227" s="438"/>
      <c r="Z227" s="438"/>
      <c r="AA227" s="438"/>
      <c r="AB227" s="438"/>
      <c r="AC227" s="438"/>
      <c r="AD227" s="438"/>
      <c r="AE227" s="438"/>
      <c r="AF227" s="438"/>
      <c r="AG227" s="438"/>
      <c r="AH227" s="438"/>
    </row>
    <row r="228">
      <c r="A228" s="438"/>
      <c r="B228" s="438"/>
      <c r="C228" s="438"/>
      <c r="D228" s="438"/>
      <c r="E228" s="438"/>
      <c r="F228" s="438"/>
      <c r="G228" s="438"/>
      <c r="H228" s="438"/>
      <c r="I228" s="438"/>
      <c r="J228" s="438"/>
      <c r="K228" s="438"/>
      <c r="L228" s="438"/>
      <c r="M228" s="438"/>
      <c r="N228" s="438"/>
      <c r="O228" s="438"/>
      <c r="P228" s="438"/>
      <c r="Q228" s="438"/>
      <c r="R228" s="438"/>
      <c r="S228" s="438"/>
      <c r="T228" s="438"/>
      <c r="U228" s="438"/>
      <c r="V228" s="438"/>
      <c r="W228" s="438"/>
      <c r="X228" s="438"/>
      <c r="Y228" s="438"/>
      <c r="Z228" s="438"/>
      <c r="AA228" s="438"/>
      <c r="AB228" s="438"/>
      <c r="AC228" s="438"/>
      <c r="AD228" s="438"/>
      <c r="AE228" s="438"/>
      <c r="AF228" s="438"/>
      <c r="AG228" s="438"/>
      <c r="AH228" s="438"/>
    </row>
    <row r="229">
      <c r="A229" s="438"/>
      <c r="B229" s="438"/>
      <c r="C229" s="438"/>
      <c r="D229" s="438"/>
      <c r="E229" s="438"/>
      <c r="F229" s="438"/>
      <c r="G229" s="438"/>
      <c r="H229" s="438"/>
      <c r="I229" s="438"/>
      <c r="J229" s="438"/>
      <c r="K229" s="438"/>
      <c r="L229" s="438"/>
      <c r="M229" s="438"/>
      <c r="N229" s="438"/>
      <c r="O229" s="438"/>
      <c r="P229" s="438"/>
      <c r="Q229" s="438"/>
      <c r="R229" s="438"/>
      <c r="S229" s="438"/>
      <c r="T229" s="438"/>
      <c r="U229" s="438"/>
      <c r="V229" s="438"/>
      <c r="W229" s="438"/>
      <c r="X229" s="438"/>
      <c r="Y229" s="438"/>
      <c r="Z229" s="438"/>
      <c r="AA229" s="438"/>
      <c r="AB229" s="438"/>
      <c r="AC229" s="438"/>
      <c r="AD229" s="438"/>
      <c r="AE229" s="438"/>
      <c r="AF229" s="438"/>
      <c r="AG229" s="438"/>
      <c r="AH229" s="438"/>
    </row>
    <row r="230">
      <c r="A230" s="438"/>
      <c r="B230" s="438"/>
      <c r="C230" s="438"/>
      <c r="D230" s="438"/>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c r="AA230" s="438"/>
      <c r="AB230" s="438"/>
      <c r="AC230" s="438"/>
      <c r="AD230" s="438"/>
      <c r="AE230" s="438"/>
      <c r="AF230" s="438"/>
      <c r="AG230" s="438"/>
      <c r="AH230" s="438"/>
    </row>
    <row r="231">
      <c r="A231" s="438"/>
      <c r="B231" s="438"/>
      <c r="C231" s="438"/>
      <c r="D231" s="438"/>
      <c r="E231" s="438"/>
      <c r="F231" s="438"/>
      <c r="G231" s="438"/>
      <c r="H231" s="438"/>
      <c r="I231" s="438"/>
      <c r="J231" s="438"/>
      <c r="K231" s="438"/>
      <c r="L231" s="438"/>
      <c r="M231" s="438"/>
      <c r="N231" s="438"/>
      <c r="O231" s="438"/>
      <c r="P231" s="438"/>
      <c r="Q231" s="438"/>
      <c r="R231" s="438"/>
      <c r="S231" s="438"/>
      <c r="T231" s="438"/>
      <c r="U231" s="438"/>
      <c r="V231" s="438"/>
      <c r="W231" s="438"/>
      <c r="X231" s="438"/>
      <c r="Y231" s="438"/>
      <c r="Z231" s="438"/>
      <c r="AA231" s="438"/>
      <c r="AB231" s="438"/>
      <c r="AC231" s="438"/>
      <c r="AD231" s="438"/>
      <c r="AE231" s="438"/>
      <c r="AF231" s="438"/>
      <c r="AG231" s="438"/>
      <c r="AH231" s="438"/>
    </row>
    <row r="232">
      <c r="A232" s="438"/>
      <c r="B232" s="438"/>
      <c r="C232" s="438"/>
      <c r="D232" s="438"/>
      <c r="E232" s="438"/>
      <c r="F232" s="438"/>
      <c r="G232" s="438"/>
      <c r="H232" s="438"/>
      <c r="I232" s="438"/>
      <c r="J232" s="438"/>
      <c r="K232" s="438"/>
      <c r="L232" s="438"/>
      <c r="M232" s="438"/>
      <c r="N232" s="438"/>
      <c r="O232" s="438"/>
      <c r="P232" s="438"/>
      <c r="Q232" s="438"/>
      <c r="R232" s="438"/>
      <c r="S232" s="438"/>
      <c r="T232" s="438"/>
      <c r="U232" s="438"/>
      <c r="V232" s="438"/>
      <c r="W232" s="438"/>
      <c r="X232" s="438"/>
      <c r="Y232" s="438"/>
      <c r="Z232" s="438"/>
      <c r="AA232" s="438"/>
      <c r="AB232" s="438"/>
      <c r="AC232" s="438"/>
      <c r="AD232" s="438"/>
      <c r="AE232" s="438"/>
      <c r="AF232" s="438"/>
      <c r="AG232" s="438"/>
      <c r="AH232" s="438"/>
    </row>
    <row r="233">
      <c r="A233" s="438"/>
      <c r="B233" s="438"/>
      <c r="C233" s="438"/>
      <c r="D233" s="438"/>
      <c r="E233" s="438"/>
      <c r="F233" s="438"/>
      <c r="G233" s="438"/>
      <c r="H233" s="438"/>
      <c r="I233" s="438"/>
      <c r="J233" s="438"/>
      <c r="K233" s="438"/>
      <c r="L233" s="438"/>
      <c r="M233" s="438"/>
      <c r="N233" s="438"/>
      <c r="O233" s="438"/>
      <c r="P233" s="438"/>
      <c r="Q233" s="438"/>
      <c r="R233" s="438"/>
      <c r="S233" s="438"/>
      <c r="T233" s="438"/>
      <c r="U233" s="438"/>
      <c r="V233" s="438"/>
      <c r="W233" s="438"/>
      <c r="X233" s="438"/>
      <c r="Y233" s="438"/>
      <c r="Z233" s="438"/>
      <c r="AA233" s="438"/>
      <c r="AB233" s="438"/>
      <c r="AC233" s="438"/>
      <c r="AD233" s="438"/>
      <c r="AE233" s="438"/>
      <c r="AF233" s="438"/>
      <c r="AG233" s="438"/>
      <c r="AH233" s="438"/>
    </row>
    <row r="234">
      <c r="A234" s="438"/>
      <c r="B234" s="438"/>
      <c r="C234" s="438"/>
      <c r="D234" s="438"/>
      <c r="E234" s="438"/>
      <c r="F234" s="438"/>
      <c r="G234" s="438"/>
      <c r="H234" s="438"/>
      <c r="I234" s="438"/>
      <c r="J234" s="438"/>
      <c r="K234" s="438"/>
      <c r="L234" s="438"/>
      <c r="M234" s="438"/>
      <c r="N234" s="438"/>
      <c r="O234" s="438"/>
      <c r="P234" s="438"/>
      <c r="Q234" s="438"/>
      <c r="R234" s="438"/>
      <c r="S234" s="438"/>
      <c r="T234" s="438"/>
      <c r="U234" s="438"/>
      <c r="V234" s="438"/>
      <c r="W234" s="438"/>
      <c r="X234" s="438"/>
      <c r="Y234" s="438"/>
      <c r="Z234" s="438"/>
      <c r="AA234" s="438"/>
      <c r="AB234" s="438"/>
      <c r="AC234" s="438"/>
      <c r="AD234" s="438"/>
      <c r="AE234" s="438"/>
      <c r="AF234" s="438"/>
      <c r="AG234" s="438"/>
      <c r="AH234" s="438"/>
    </row>
    <row r="235">
      <c r="A235" s="438"/>
      <c r="B235" s="438"/>
      <c r="C235" s="438"/>
      <c r="D235" s="438"/>
      <c r="E235" s="438"/>
      <c r="F235" s="438"/>
      <c r="G235" s="438"/>
      <c r="H235" s="438"/>
      <c r="I235" s="438"/>
      <c r="J235" s="438"/>
      <c r="K235" s="438"/>
      <c r="L235" s="438"/>
      <c r="M235" s="438"/>
      <c r="N235" s="438"/>
      <c r="O235" s="438"/>
      <c r="P235" s="438"/>
      <c r="Q235" s="438"/>
      <c r="R235" s="438"/>
      <c r="S235" s="438"/>
      <c r="T235" s="438"/>
      <c r="U235" s="438"/>
      <c r="V235" s="438"/>
      <c r="W235" s="438"/>
      <c r="X235" s="438"/>
      <c r="Y235" s="438"/>
      <c r="Z235" s="438"/>
      <c r="AA235" s="438"/>
      <c r="AB235" s="438"/>
      <c r="AC235" s="438"/>
      <c r="AD235" s="438"/>
      <c r="AE235" s="438"/>
      <c r="AF235" s="438"/>
      <c r="AG235" s="438"/>
      <c r="AH235" s="438"/>
    </row>
    <row r="236">
      <c r="A236" s="438"/>
      <c r="B236" s="438"/>
      <c r="C236" s="438"/>
      <c r="D236" s="438"/>
      <c r="E236" s="438"/>
      <c r="F236" s="438"/>
      <c r="G236" s="438"/>
      <c r="H236" s="438"/>
      <c r="I236" s="438"/>
      <c r="J236" s="438"/>
      <c r="K236" s="438"/>
      <c r="L236" s="438"/>
      <c r="M236" s="438"/>
      <c r="N236" s="438"/>
      <c r="O236" s="438"/>
      <c r="P236" s="438"/>
      <c r="Q236" s="438"/>
      <c r="R236" s="438"/>
      <c r="S236" s="438"/>
      <c r="T236" s="438"/>
      <c r="U236" s="438"/>
      <c r="V236" s="438"/>
      <c r="W236" s="438"/>
      <c r="X236" s="438"/>
      <c r="Y236" s="438"/>
      <c r="Z236" s="438"/>
      <c r="AA236" s="438"/>
      <c r="AB236" s="438"/>
      <c r="AC236" s="438"/>
      <c r="AD236" s="438"/>
      <c r="AE236" s="438"/>
      <c r="AF236" s="438"/>
      <c r="AG236" s="438"/>
      <c r="AH236" s="438"/>
    </row>
    <row r="237">
      <c r="A237" s="438"/>
      <c r="B237" s="438"/>
      <c r="C237" s="438"/>
      <c r="D237" s="438"/>
      <c r="E237" s="438"/>
      <c r="F237" s="438"/>
      <c r="G237" s="438"/>
      <c r="H237" s="438"/>
      <c r="I237" s="438"/>
      <c r="J237" s="438"/>
      <c r="K237" s="438"/>
      <c r="L237" s="438"/>
      <c r="M237" s="438"/>
      <c r="N237" s="438"/>
      <c r="O237" s="438"/>
      <c r="P237" s="438"/>
      <c r="Q237" s="438"/>
      <c r="R237" s="438"/>
      <c r="S237" s="438"/>
      <c r="T237" s="438"/>
      <c r="U237" s="438"/>
      <c r="V237" s="438"/>
      <c r="W237" s="438"/>
      <c r="X237" s="438"/>
      <c r="Y237" s="438"/>
      <c r="Z237" s="438"/>
      <c r="AA237" s="438"/>
      <c r="AB237" s="438"/>
      <c r="AC237" s="438"/>
      <c r="AD237" s="438"/>
      <c r="AE237" s="438"/>
      <c r="AF237" s="438"/>
      <c r="AG237" s="438"/>
      <c r="AH237" s="438"/>
    </row>
    <row r="238">
      <c r="A238" s="438"/>
      <c r="B238" s="438"/>
      <c r="C238" s="438"/>
      <c r="D238" s="438"/>
      <c r="E238" s="438"/>
      <c r="F238" s="438"/>
      <c r="G238" s="438"/>
      <c r="H238" s="438"/>
      <c r="I238" s="438"/>
      <c r="J238" s="438"/>
      <c r="K238" s="438"/>
      <c r="L238" s="438"/>
      <c r="M238" s="438"/>
      <c r="N238" s="438"/>
      <c r="O238" s="438"/>
      <c r="P238" s="438"/>
      <c r="Q238" s="438"/>
      <c r="R238" s="438"/>
      <c r="S238" s="438"/>
      <c r="T238" s="438"/>
      <c r="U238" s="438"/>
      <c r="V238" s="438"/>
      <c r="W238" s="438"/>
      <c r="X238" s="438"/>
      <c r="Y238" s="438"/>
      <c r="Z238" s="438"/>
      <c r="AA238" s="438"/>
      <c r="AB238" s="438"/>
      <c r="AC238" s="438"/>
      <c r="AD238" s="438"/>
      <c r="AE238" s="438"/>
      <c r="AF238" s="438"/>
      <c r="AG238" s="438"/>
      <c r="AH238" s="438"/>
    </row>
    <row r="239">
      <c r="A239" s="438"/>
      <c r="B239" s="438"/>
      <c r="C239" s="438"/>
      <c r="D239" s="438"/>
      <c r="E239" s="438"/>
      <c r="F239" s="438"/>
      <c r="G239" s="438"/>
      <c r="H239" s="438"/>
      <c r="I239" s="438"/>
      <c r="J239" s="438"/>
      <c r="K239" s="438"/>
      <c r="L239" s="438"/>
      <c r="M239" s="438"/>
      <c r="N239" s="438"/>
      <c r="O239" s="438"/>
      <c r="P239" s="438"/>
      <c r="Q239" s="438"/>
      <c r="R239" s="438"/>
      <c r="S239" s="438"/>
      <c r="T239" s="438"/>
      <c r="U239" s="438"/>
      <c r="V239" s="438"/>
      <c r="W239" s="438"/>
      <c r="X239" s="438"/>
      <c r="Y239" s="438"/>
      <c r="Z239" s="438"/>
      <c r="AA239" s="438"/>
      <c r="AB239" s="438"/>
      <c r="AC239" s="438"/>
      <c r="AD239" s="438"/>
      <c r="AE239" s="438"/>
      <c r="AF239" s="438"/>
      <c r="AG239" s="438"/>
      <c r="AH239" s="438"/>
    </row>
    <row r="240">
      <c r="A240" s="438"/>
      <c r="B240" s="438"/>
      <c r="C240" s="438"/>
      <c r="D240" s="438"/>
      <c r="E240" s="438"/>
      <c r="F240" s="438"/>
      <c r="G240" s="438"/>
      <c r="H240" s="438"/>
      <c r="I240" s="438"/>
      <c r="J240" s="438"/>
      <c r="K240" s="438"/>
      <c r="L240" s="438"/>
      <c r="M240" s="438"/>
      <c r="N240" s="438"/>
      <c r="O240" s="438"/>
      <c r="P240" s="438"/>
      <c r="Q240" s="438"/>
      <c r="R240" s="438"/>
      <c r="S240" s="438"/>
      <c r="T240" s="438"/>
      <c r="U240" s="438"/>
      <c r="V240" s="438"/>
      <c r="W240" s="438"/>
      <c r="X240" s="438"/>
      <c r="Y240" s="438"/>
      <c r="Z240" s="438"/>
      <c r="AA240" s="438"/>
      <c r="AB240" s="438"/>
      <c r="AC240" s="438"/>
      <c r="AD240" s="438"/>
      <c r="AE240" s="438"/>
      <c r="AF240" s="438"/>
      <c r="AG240" s="438"/>
      <c r="AH240" s="438"/>
    </row>
    <row r="241">
      <c r="A241" s="438"/>
      <c r="B241" s="438"/>
      <c r="C241" s="438"/>
      <c r="D241" s="438"/>
      <c r="E241" s="438"/>
      <c r="F241" s="438"/>
      <c r="G241" s="438"/>
      <c r="H241" s="438"/>
      <c r="I241" s="438"/>
      <c r="J241" s="438"/>
      <c r="K241" s="438"/>
      <c r="L241" s="438"/>
      <c r="M241" s="438"/>
      <c r="N241" s="438"/>
      <c r="O241" s="438"/>
      <c r="P241" s="438"/>
      <c r="Q241" s="438"/>
      <c r="R241" s="438"/>
      <c r="S241" s="438"/>
      <c r="T241" s="438"/>
      <c r="U241" s="438"/>
      <c r="V241" s="438"/>
      <c r="W241" s="438"/>
      <c r="X241" s="438"/>
      <c r="Y241" s="438"/>
      <c r="Z241" s="438"/>
      <c r="AA241" s="438"/>
      <c r="AB241" s="438"/>
      <c r="AC241" s="438"/>
      <c r="AD241" s="438"/>
      <c r="AE241" s="438"/>
      <c r="AF241" s="438"/>
      <c r="AG241" s="438"/>
      <c r="AH241" s="438"/>
    </row>
    <row r="242">
      <c r="A242" s="438"/>
      <c r="B242" s="438"/>
      <c r="C242" s="438"/>
      <c r="D242" s="438"/>
      <c r="E242" s="438"/>
      <c r="F242" s="438"/>
      <c r="G242" s="438"/>
      <c r="H242" s="438"/>
      <c r="I242" s="438"/>
      <c r="J242" s="438"/>
      <c r="K242" s="438"/>
      <c r="L242" s="438"/>
      <c r="M242" s="438"/>
      <c r="N242" s="438"/>
      <c r="O242" s="438"/>
      <c r="P242" s="438"/>
      <c r="Q242" s="438"/>
      <c r="R242" s="438"/>
      <c r="S242" s="438"/>
      <c r="T242" s="438"/>
      <c r="U242" s="438"/>
      <c r="V242" s="438"/>
      <c r="W242" s="438"/>
      <c r="X242" s="438"/>
      <c r="Y242" s="438"/>
      <c r="Z242" s="438"/>
      <c r="AA242" s="438"/>
      <c r="AB242" s="438"/>
      <c r="AC242" s="438"/>
      <c r="AD242" s="438"/>
      <c r="AE242" s="438"/>
      <c r="AF242" s="438"/>
      <c r="AG242" s="438"/>
      <c r="AH242" s="438"/>
    </row>
    <row r="243">
      <c r="A243" s="438"/>
      <c r="B243" s="438"/>
      <c r="C243" s="438"/>
      <c r="D243" s="438"/>
      <c r="E243" s="438"/>
      <c r="F243" s="438"/>
      <c r="G243" s="438"/>
      <c r="H243" s="438"/>
      <c r="I243" s="438"/>
      <c r="J243" s="438"/>
      <c r="K243" s="438"/>
      <c r="L243" s="438"/>
      <c r="M243" s="438"/>
      <c r="N243" s="438"/>
      <c r="O243" s="438"/>
      <c r="P243" s="438"/>
      <c r="Q243" s="438"/>
      <c r="R243" s="438"/>
      <c r="S243" s="438"/>
      <c r="T243" s="438"/>
      <c r="U243" s="438"/>
      <c r="V243" s="438"/>
      <c r="W243" s="438"/>
      <c r="X243" s="438"/>
      <c r="Y243" s="438"/>
      <c r="Z243" s="438"/>
      <c r="AA243" s="438"/>
      <c r="AB243" s="438"/>
      <c r="AC243" s="438"/>
      <c r="AD243" s="438"/>
      <c r="AE243" s="438"/>
      <c r="AF243" s="438"/>
      <c r="AG243" s="438"/>
      <c r="AH243" s="438"/>
    </row>
    <row r="244">
      <c r="A244" s="438"/>
      <c r="B244" s="438"/>
      <c r="C244" s="438"/>
      <c r="D244" s="438"/>
      <c r="E244" s="438"/>
      <c r="F244" s="438"/>
      <c r="G244" s="438"/>
      <c r="H244" s="438"/>
      <c r="I244" s="438"/>
      <c r="J244" s="438"/>
      <c r="K244" s="438"/>
      <c r="L244" s="438"/>
      <c r="M244" s="438"/>
      <c r="N244" s="438"/>
      <c r="O244" s="438"/>
      <c r="P244" s="438"/>
      <c r="Q244" s="438"/>
      <c r="R244" s="438"/>
      <c r="S244" s="438"/>
      <c r="T244" s="438"/>
      <c r="U244" s="438"/>
      <c r="V244" s="438"/>
      <c r="W244" s="438"/>
      <c r="X244" s="438"/>
      <c r="Y244" s="438"/>
      <c r="Z244" s="438"/>
      <c r="AA244" s="438"/>
      <c r="AB244" s="438"/>
      <c r="AC244" s="438"/>
      <c r="AD244" s="438"/>
      <c r="AE244" s="438"/>
      <c r="AF244" s="438"/>
      <c r="AG244" s="438"/>
      <c r="AH244" s="438"/>
    </row>
    <row r="245">
      <c r="A245" s="438"/>
      <c r="B245" s="438"/>
      <c r="C245" s="438"/>
      <c r="D245" s="438"/>
      <c r="E245" s="438"/>
      <c r="F245" s="438"/>
      <c r="G245" s="438"/>
      <c r="H245" s="438"/>
      <c r="I245" s="438"/>
      <c r="J245" s="438"/>
      <c r="K245" s="438"/>
      <c r="L245" s="438"/>
      <c r="M245" s="438"/>
      <c r="N245" s="438"/>
      <c r="O245" s="438"/>
      <c r="P245" s="438"/>
      <c r="Q245" s="438"/>
      <c r="R245" s="438"/>
      <c r="S245" s="438"/>
      <c r="T245" s="438"/>
      <c r="U245" s="438"/>
      <c r="V245" s="438"/>
      <c r="W245" s="438"/>
      <c r="X245" s="438"/>
      <c r="Y245" s="438"/>
      <c r="Z245" s="438"/>
      <c r="AA245" s="438"/>
      <c r="AB245" s="438"/>
      <c r="AC245" s="438"/>
      <c r="AD245" s="438"/>
      <c r="AE245" s="438"/>
      <c r="AF245" s="438"/>
      <c r="AG245" s="438"/>
      <c r="AH245" s="438"/>
    </row>
    <row r="246">
      <c r="A246" s="438"/>
      <c r="B246" s="438"/>
      <c r="C246" s="438"/>
      <c r="D246" s="438"/>
      <c r="E246" s="438"/>
      <c r="F246" s="438"/>
      <c r="G246" s="438"/>
      <c r="H246" s="438"/>
      <c r="I246" s="438"/>
      <c r="J246" s="438"/>
      <c r="K246" s="438"/>
      <c r="L246" s="438"/>
      <c r="M246" s="438"/>
      <c r="N246" s="438"/>
      <c r="O246" s="438"/>
      <c r="P246" s="438"/>
      <c r="Q246" s="438"/>
      <c r="R246" s="438"/>
      <c r="S246" s="438"/>
      <c r="T246" s="438"/>
      <c r="U246" s="438"/>
      <c r="V246" s="438"/>
      <c r="W246" s="438"/>
      <c r="X246" s="438"/>
      <c r="Y246" s="438"/>
      <c r="Z246" s="438"/>
      <c r="AA246" s="438"/>
      <c r="AB246" s="438"/>
      <c r="AC246" s="438"/>
      <c r="AD246" s="438"/>
      <c r="AE246" s="438"/>
      <c r="AF246" s="438"/>
      <c r="AG246" s="438"/>
      <c r="AH246" s="438"/>
    </row>
    <row r="247">
      <c r="A247" s="438"/>
      <c r="B247" s="438"/>
      <c r="C247" s="438"/>
      <c r="D247" s="438"/>
      <c r="E247" s="438"/>
      <c r="F247" s="438"/>
      <c r="G247" s="438"/>
      <c r="H247" s="438"/>
      <c r="I247" s="438"/>
      <c r="J247" s="438"/>
      <c r="K247" s="438"/>
      <c r="L247" s="438"/>
      <c r="M247" s="438"/>
      <c r="N247" s="438"/>
      <c r="O247" s="438"/>
      <c r="P247" s="438"/>
      <c r="Q247" s="438"/>
      <c r="R247" s="438"/>
      <c r="S247" s="438"/>
      <c r="T247" s="438"/>
      <c r="U247" s="438"/>
      <c r="V247" s="438"/>
      <c r="W247" s="438"/>
      <c r="X247" s="438"/>
      <c r="Y247" s="438"/>
      <c r="Z247" s="438"/>
      <c r="AA247" s="438"/>
      <c r="AB247" s="438"/>
      <c r="AC247" s="438"/>
      <c r="AD247" s="438"/>
      <c r="AE247" s="438"/>
      <c r="AF247" s="438"/>
      <c r="AG247" s="438"/>
      <c r="AH247" s="438"/>
    </row>
    <row r="248">
      <c r="A248" s="438"/>
      <c r="B248" s="438"/>
      <c r="C248" s="438"/>
      <c r="D248" s="438"/>
      <c r="E248" s="438"/>
      <c r="F248" s="438"/>
      <c r="G248" s="438"/>
      <c r="H248" s="438"/>
      <c r="I248" s="438"/>
      <c r="J248" s="438"/>
      <c r="K248" s="438"/>
      <c r="L248" s="438"/>
      <c r="M248" s="438"/>
      <c r="N248" s="438"/>
      <c r="O248" s="438"/>
      <c r="P248" s="438"/>
      <c r="Q248" s="438"/>
      <c r="R248" s="438"/>
      <c r="S248" s="438"/>
      <c r="T248" s="438"/>
      <c r="U248" s="438"/>
      <c r="V248" s="438"/>
      <c r="W248" s="438"/>
      <c r="X248" s="438"/>
      <c r="Y248" s="438"/>
      <c r="Z248" s="438"/>
      <c r="AA248" s="438"/>
      <c r="AB248" s="438"/>
      <c r="AC248" s="438"/>
      <c r="AD248" s="438"/>
      <c r="AE248" s="438"/>
      <c r="AF248" s="438"/>
      <c r="AG248" s="438"/>
      <c r="AH248" s="438"/>
    </row>
    <row r="249">
      <c r="A249" s="438"/>
      <c r="B249" s="438"/>
      <c r="C249" s="438"/>
      <c r="D249" s="438"/>
      <c r="E249" s="438"/>
      <c r="F249" s="438"/>
      <c r="G249" s="438"/>
      <c r="H249" s="438"/>
      <c r="I249" s="438"/>
      <c r="J249" s="438"/>
      <c r="K249" s="438"/>
      <c r="L249" s="438"/>
      <c r="M249" s="438"/>
      <c r="N249" s="438"/>
      <c r="O249" s="438"/>
      <c r="P249" s="438"/>
      <c r="Q249" s="438"/>
      <c r="R249" s="438"/>
      <c r="S249" s="438"/>
      <c r="T249" s="438"/>
      <c r="U249" s="438"/>
      <c r="V249" s="438"/>
      <c r="W249" s="438"/>
      <c r="X249" s="438"/>
      <c r="Y249" s="438"/>
      <c r="Z249" s="438"/>
      <c r="AA249" s="438"/>
      <c r="AB249" s="438"/>
      <c r="AC249" s="438"/>
      <c r="AD249" s="438"/>
      <c r="AE249" s="438"/>
      <c r="AF249" s="438"/>
      <c r="AG249" s="438"/>
      <c r="AH249" s="438"/>
    </row>
    <row r="250">
      <c r="A250" s="438"/>
      <c r="B250" s="438"/>
      <c r="C250" s="438"/>
      <c r="D250" s="438"/>
      <c r="E250" s="438"/>
      <c r="F250" s="438"/>
      <c r="G250" s="438"/>
      <c r="H250" s="438"/>
      <c r="I250" s="438"/>
      <c r="J250" s="438"/>
      <c r="K250" s="438"/>
      <c r="L250" s="438"/>
      <c r="M250" s="438"/>
      <c r="N250" s="438"/>
      <c r="O250" s="438"/>
      <c r="P250" s="438"/>
      <c r="Q250" s="438"/>
      <c r="R250" s="438"/>
      <c r="S250" s="438"/>
      <c r="T250" s="438"/>
      <c r="U250" s="438"/>
      <c r="V250" s="438"/>
      <c r="W250" s="438"/>
      <c r="X250" s="438"/>
      <c r="Y250" s="438"/>
      <c r="Z250" s="438"/>
      <c r="AA250" s="438"/>
      <c r="AB250" s="438"/>
      <c r="AC250" s="438"/>
      <c r="AD250" s="438"/>
      <c r="AE250" s="438"/>
      <c r="AF250" s="438"/>
      <c r="AG250" s="438"/>
      <c r="AH250" s="438"/>
    </row>
    <row r="251">
      <c r="A251" s="438"/>
      <c r="B251" s="438"/>
      <c r="C251" s="438"/>
      <c r="D251" s="438"/>
      <c r="E251" s="438"/>
      <c r="F251" s="438"/>
      <c r="G251" s="438"/>
      <c r="H251" s="438"/>
      <c r="I251" s="438"/>
      <c r="J251" s="438"/>
      <c r="K251" s="438"/>
      <c r="L251" s="438"/>
      <c r="M251" s="438"/>
      <c r="N251" s="438"/>
      <c r="O251" s="438"/>
      <c r="P251" s="438"/>
      <c r="Q251" s="438"/>
      <c r="R251" s="438"/>
      <c r="S251" s="438"/>
      <c r="T251" s="438"/>
      <c r="U251" s="438"/>
      <c r="V251" s="438"/>
      <c r="W251" s="438"/>
      <c r="X251" s="438"/>
      <c r="Y251" s="438"/>
      <c r="Z251" s="438"/>
      <c r="AA251" s="438"/>
      <c r="AB251" s="438"/>
      <c r="AC251" s="438"/>
      <c r="AD251" s="438"/>
      <c r="AE251" s="438"/>
      <c r="AF251" s="438"/>
      <c r="AG251" s="438"/>
      <c r="AH251" s="438"/>
    </row>
    <row r="252">
      <c r="A252" s="438"/>
      <c r="B252" s="438"/>
      <c r="C252" s="438"/>
      <c r="D252" s="438"/>
      <c r="E252" s="438"/>
      <c r="F252" s="438"/>
      <c r="G252" s="438"/>
      <c r="H252" s="438"/>
      <c r="I252" s="438"/>
      <c r="J252" s="438"/>
      <c r="K252" s="438"/>
      <c r="L252" s="438"/>
      <c r="M252" s="438"/>
      <c r="N252" s="438"/>
      <c r="O252" s="438"/>
      <c r="P252" s="438"/>
      <c r="Q252" s="438"/>
      <c r="R252" s="438"/>
      <c r="S252" s="438"/>
      <c r="T252" s="438"/>
      <c r="U252" s="438"/>
      <c r="V252" s="438"/>
      <c r="W252" s="438"/>
      <c r="X252" s="438"/>
      <c r="Y252" s="438"/>
      <c r="Z252" s="438"/>
      <c r="AA252" s="438"/>
      <c r="AB252" s="438"/>
      <c r="AC252" s="438"/>
      <c r="AD252" s="438"/>
      <c r="AE252" s="438"/>
      <c r="AF252" s="438"/>
      <c r="AG252" s="438"/>
      <c r="AH252" s="438"/>
    </row>
    <row r="253">
      <c r="A253" s="438"/>
      <c r="B253" s="438"/>
      <c r="C253" s="438"/>
      <c r="D253" s="438"/>
      <c r="E253" s="438"/>
      <c r="F253" s="438"/>
      <c r="G253" s="438"/>
      <c r="H253" s="438"/>
      <c r="I253" s="438"/>
      <c r="J253" s="438"/>
      <c r="K253" s="438"/>
      <c r="L253" s="438"/>
      <c r="M253" s="438"/>
      <c r="N253" s="438"/>
      <c r="O253" s="438"/>
      <c r="P253" s="438"/>
      <c r="Q253" s="438"/>
      <c r="R253" s="438"/>
      <c r="S253" s="438"/>
      <c r="T253" s="438"/>
      <c r="U253" s="438"/>
      <c r="V253" s="438"/>
      <c r="W253" s="438"/>
      <c r="X253" s="438"/>
      <c r="Y253" s="438"/>
      <c r="Z253" s="438"/>
      <c r="AA253" s="438"/>
      <c r="AB253" s="438"/>
      <c r="AC253" s="438"/>
      <c r="AD253" s="438"/>
      <c r="AE253" s="438"/>
      <c r="AF253" s="438"/>
      <c r="AG253" s="438"/>
      <c r="AH253" s="438"/>
    </row>
    <row r="254">
      <c r="A254" s="438"/>
      <c r="B254" s="438"/>
      <c r="C254" s="438"/>
      <c r="D254" s="438"/>
      <c r="E254" s="438"/>
      <c r="F254" s="438"/>
      <c r="G254" s="438"/>
      <c r="H254" s="438"/>
      <c r="I254" s="438"/>
      <c r="J254" s="438"/>
      <c r="K254" s="438"/>
      <c r="L254" s="438"/>
      <c r="M254" s="438"/>
      <c r="N254" s="438"/>
      <c r="O254" s="438"/>
      <c r="P254" s="438"/>
      <c r="Q254" s="438"/>
      <c r="R254" s="438"/>
      <c r="S254" s="438"/>
      <c r="T254" s="438"/>
      <c r="U254" s="438"/>
      <c r="V254" s="438"/>
      <c r="W254" s="438"/>
      <c r="X254" s="438"/>
      <c r="Y254" s="438"/>
      <c r="Z254" s="438"/>
      <c r="AA254" s="438"/>
      <c r="AB254" s="438"/>
      <c r="AC254" s="438"/>
      <c r="AD254" s="438"/>
      <c r="AE254" s="438"/>
      <c r="AF254" s="438"/>
      <c r="AG254" s="438"/>
      <c r="AH254" s="438"/>
    </row>
    <row r="255">
      <c r="A255" s="438"/>
      <c r="B255" s="438"/>
      <c r="C255" s="438"/>
      <c r="D255" s="438"/>
      <c r="E255" s="438"/>
      <c r="F255" s="438"/>
      <c r="G255" s="438"/>
      <c r="H255" s="438"/>
      <c r="I255" s="438"/>
      <c r="J255" s="438"/>
      <c r="K255" s="438"/>
      <c r="L255" s="438"/>
      <c r="M255" s="438"/>
      <c r="N255" s="438"/>
      <c r="O255" s="438"/>
      <c r="P255" s="438"/>
      <c r="Q255" s="438"/>
      <c r="R255" s="438"/>
      <c r="S255" s="438"/>
      <c r="T255" s="438"/>
      <c r="U255" s="438"/>
      <c r="V255" s="438"/>
      <c r="W255" s="438"/>
      <c r="X255" s="438"/>
      <c r="Y255" s="438"/>
      <c r="Z255" s="438"/>
      <c r="AA255" s="438"/>
      <c r="AB255" s="438"/>
      <c r="AC255" s="438"/>
      <c r="AD255" s="438"/>
      <c r="AE255" s="438"/>
      <c r="AF255" s="438"/>
      <c r="AG255" s="438"/>
      <c r="AH255" s="438"/>
    </row>
    <row r="256">
      <c r="A256" s="438"/>
      <c r="B256" s="438"/>
      <c r="C256" s="438"/>
      <c r="D256" s="438"/>
      <c r="E256" s="438"/>
      <c r="F256" s="438"/>
      <c r="G256" s="438"/>
      <c r="H256" s="438"/>
      <c r="I256" s="438"/>
      <c r="J256" s="438"/>
      <c r="K256" s="438"/>
      <c r="L256" s="438"/>
      <c r="M256" s="438"/>
      <c r="N256" s="438"/>
      <c r="O256" s="438"/>
      <c r="P256" s="438"/>
      <c r="Q256" s="438"/>
      <c r="R256" s="438"/>
      <c r="S256" s="438"/>
      <c r="T256" s="438"/>
      <c r="U256" s="438"/>
      <c r="V256" s="438"/>
      <c r="W256" s="438"/>
      <c r="X256" s="438"/>
      <c r="Y256" s="438"/>
      <c r="Z256" s="438"/>
      <c r="AA256" s="438"/>
      <c r="AB256" s="438"/>
      <c r="AC256" s="438"/>
      <c r="AD256" s="438"/>
      <c r="AE256" s="438"/>
      <c r="AF256" s="438"/>
      <c r="AG256" s="438"/>
      <c r="AH256" s="438"/>
    </row>
    <row r="257">
      <c r="A257" s="438"/>
      <c r="B257" s="438"/>
      <c r="C257" s="438"/>
      <c r="D257" s="438"/>
      <c r="E257" s="438"/>
      <c r="F257" s="438"/>
      <c r="G257" s="438"/>
      <c r="H257" s="438"/>
      <c r="I257" s="438"/>
      <c r="J257" s="438"/>
      <c r="K257" s="438"/>
      <c r="L257" s="438"/>
      <c r="M257" s="438"/>
      <c r="N257" s="438"/>
      <c r="O257" s="438"/>
      <c r="P257" s="438"/>
      <c r="Q257" s="438"/>
      <c r="R257" s="438"/>
      <c r="S257" s="438"/>
      <c r="T257" s="438"/>
      <c r="U257" s="438"/>
      <c r="V257" s="438"/>
      <c r="W257" s="438"/>
      <c r="X257" s="438"/>
      <c r="Y257" s="438"/>
      <c r="Z257" s="438"/>
      <c r="AA257" s="438"/>
      <c r="AB257" s="438"/>
      <c r="AC257" s="438"/>
      <c r="AD257" s="438"/>
      <c r="AE257" s="438"/>
      <c r="AF257" s="438"/>
      <c r="AG257" s="438"/>
      <c r="AH257" s="438"/>
    </row>
    <row r="258">
      <c r="A258" s="438"/>
      <c r="B258" s="438"/>
      <c r="C258" s="438"/>
      <c r="D258" s="438"/>
      <c r="E258" s="438"/>
      <c r="F258" s="438"/>
      <c r="G258" s="438"/>
      <c r="H258" s="438"/>
      <c r="I258" s="438"/>
      <c r="J258" s="438"/>
      <c r="K258" s="438"/>
      <c r="L258" s="438"/>
      <c r="M258" s="438"/>
      <c r="N258" s="438"/>
      <c r="O258" s="438"/>
      <c r="P258" s="438"/>
      <c r="Q258" s="438"/>
      <c r="R258" s="438"/>
      <c r="S258" s="438"/>
      <c r="T258" s="438"/>
      <c r="U258" s="438"/>
      <c r="V258" s="438"/>
      <c r="W258" s="438"/>
      <c r="X258" s="438"/>
      <c r="Y258" s="438"/>
      <c r="Z258" s="438"/>
      <c r="AA258" s="438"/>
      <c r="AB258" s="438"/>
      <c r="AC258" s="438"/>
      <c r="AD258" s="438"/>
      <c r="AE258" s="438"/>
      <c r="AF258" s="438"/>
      <c r="AG258" s="438"/>
      <c r="AH258" s="438"/>
    </row>
    <row r="259">
      <c r="A259" s="438"/>
      <c r="B259" s="438"/>
      <c r="C259" s="438"/>
      <c r="D259" s="438"/>
      <c r="E259" s="438"/>
      <c r="F259" s="438"/>
      <c r="G259" s="438"/>
      <c r="H259" s="438"/>
      <c r="I259" s="438"/>
      <c r="J259" s="438"/>
      <c r="K259" s="438"/>
      <c r="L259" s="438"/>
      <c r="M259" s="438"/>
      <c r="N259" s="438"/>
      <c r="O259" s="438"/>
      <c r="P259" s="438"/>
      <c r="Q259" s="438"/>
      <c r="R259" s="438"/>
      <c r="S259" s="438"/>
      <c r="T259" s="438"/>
      <c r="U259" s="438"/>
      <c r="V259" s="438"/>
      <c r="W259" s="438"/>
      <c r="X259" s="438"/>
      <c r="Y259" s="438"/>
      <c r="Z259" s="438"/>
      <c r="AA259" s="438"/>
      <c r="AB259" s="438"/>
      <c r="AC259" s="438"/>
      <c r="AD259" s="438"/>
      <c r="AE259" s="438"/>
      <c r="AF259" s="438"/>
      <c r="AG259" s="438"/>
      <c r="AH259" s="438"/>
    </row>
    <row r="260">
      <c r="A260" s="438"/>
      <c r="B260" s="438"/>
      <c r="C260" s="438"/>
      <c r="D260" s="438"/>
      <c r="E260" s="438"/>
      <c r="F260" s="438"/>
      <c r="G260" s="438"/>
      <c r="H260" s="438"/>
      <c r="I260" s="438"/>
      <c r="J260" s="438"/>
      <c r="K260" s="438"/>
      <c r="L260" s="438"/>
      <c r="M260" s="438"/>
      <c r="N260" s="438"/>
      <c r="O260" s="438"/>
      <c r="P260" s="438"/>
      <c r="Q260" s="438"/>
      <c r="R260" s="438"/>
      <c r="S260" s="438"/>
      <c r="T260" s="438"/>
      <c r="U260" s="438"/>
      <c r="V260" s="438"/>
      <c r="W260" s="438"/>
      <c r="X260" s="438"/>
      <c r="Y260" s="438"/>
      <c r="Z260" s="438"/>
      <c r="AA260" s="438"/>
      <c r="AB260" s="438"/>
      <c r="AC260" s="438"/>
      <c r="AD260" s="438"/>
      <c r="AE260" s="438"/>
      <c r="AF260" s="438"/>
      <c r="AG260" s="438"/>
      <c r="AH260" s="438"/>
    </row>
    <row r="261">
      <c r="A261" s="438"/>
      <c r="B261" s="438"/>
      <c r="C261" s="438"/>
      <c r="D261" s="438"/>
      <c r="E261" s="438"/>
      <c r="F261" s="438"/>
      <c r="G261" s="438"/>
      <c r="H261" s="438"/>
      <c r="I261" s="438"/>
      <c r="J261" s="438"/>
      <c r="K261" s="438"/>
      <c r="L261" s="438"/>
      <c r="M261" s="438"/>
      <c r="N261" s="438"/>
      <c r="O261" s="438"/>
      <c r="P261" s="438"/>
      <c r="Q261" s="438"/>
      <c r="R261" s="438"/>
      <c r="S261" s="438"/>
      <c r="T261" s="438"/>
      <c r="U261" s="438"/>
      <c r="V261" s="438"/>
      <c r="W261" s="438"/>
      <c r="X261" s="438"/>
      <c r="Y261" s="438"/>
      <c r="Z261" s="438"/>
      <c r="AA261" s="438"/>
      <c r="AB261" s="438"/>
      <c r="AC261" s="438"/>
      <c r="AD261" s="438"/>
      <c r="AE261" s="438"/>
      <c r="AF261" s="438"/>
      <c r="AG261" s="438"/>
      <c r="AH261" s="438"/>
    </row>
    <row r="262">
      <c r="A262" s="438"/>
      <c r="B262" s="438"/>
      <c r="C262" s="438"/>
      <c r="D262" s="438"/>
      <c r="E262" s="438"/>
      <c r="F262" s="438"/>
      <c r="G262" s="438"/>
      <c r="H262" s="438"/>
      <c r="I262" s="438"/>
      <c r="J262" s="438"/>
      <c r="K262" s="438"/>
      <c r="L262" s="438"/>
      <c r="M262" s="438"/>
      <c r="N262" s="438"/>
      <c r="O262" s="438"/>
      <c r="P262" s="438"/>
      <c r="Q262" s="438"/>
      <c r="R262" s="438"/>
      <c r="S262" s="438"/>
      <c r="T262" s="438"/>
      <c r="U262" s="438"/>
      <c r="V262" s="438"/>
      <c r="W262" s="438"/>
      <c r="X262" s="438"/>
      <c r="Y262" s="438"/>
      <c r="Z262" s="438"/>
      <c r="AA262" s="438"/>
      <c r="AB262" s="438"/>
      <c r="AC262" s="438"/>
      <c r="AD262" s="438"/>
      <c r="AE262" s="438"/>
      <c r="AF262" s="438"/>
      <c r="AG262" s="438"/>
      <c r="AH262" s="438"/>
    </row>
    <row r="263">
      <c r="A263" s="438"/>
      <c r="B263" s="438"/>
      <c r="C263" s="438"/>
      <c r="D263" s="438"/>
      <c r="E263" s="438"/>
      <c r="F263" s="438"/>
      <c r="G263" s="438"/>
      <c r="H263" s="438"/>
      <c r="I263" s="438"/>
      <c r="J263" s="438"/>
      <c r="K263" s="438"/>
      <c r="L263" s="438"/>
      <c r="M263" s="438"/>
      <c r="N263" s="438"/>
      <c r="O263" s="438"/>
      <c r="P263" s="438"/>
      <c r="Q263" s="438"/>
      <c r="R263" s="438"/>
      <c r="S263" s="438"/>
      <c r="T263" s="438"/>
      <c r="U263" s="438"/>
      <c r="V263" s="438"/>
      <c r="W263" s="438"/>
      <c r="X263" s="438"/>
      <c r="Y263" s="438"/>
      <c r="Z263" s="438"/>
      <c r="AA263" s="438"/>
      <c r="AB263" s="438"/>
      <c r="AC263" s="438"/>
      <c r="AD263" s="438"/>
      <c r="AE263" s="438"/>
      <c r="AF263" s="438"/>
      <c r="AG263" s="438"/>
      <c r="AH263" s="438"/>
    </row>
    <row r="264">
      <c r="A264" s="438"/>
      <c r="B264" s="438"/>
      <c r="C264" s="438"/>
      <c r="D264" s="438"/>
      <c r="E264" s="438"/>
      <c r="F264" s="438"/>
      <c r="G264" s="438"/>
      <c r="H264" s="438"/>
      <c r="I264" s="438"/>
      <c r="J264" s="438"/>
      <c r="K264" s="438"/>
      <c r="L264" s="438"/>
      <c r="M264" s="438"/>
      <c r="N264" s="438"/>
      <c r="O264" s="438"/>
      <c r="P264" s="438"/>
      <c r="Q264" s="438"/>
      <c r="R264" s="438"/>
      <c r="S264" s="438"/>
      <c r="T264" s="438"/>
      <c r="U264" s="438"/>
      <c r="V264" s="438"/>
      <c r="W264" s="438"/>
      <c r="X264" s="438"/>
      <c r="Y264" s="438"/>
      <c r="Z264" s="438"/>
      <c r="AA264" s="438"/>
      <c r="AB264" s="438"/>
      <c r="AC264" s="438"/>
      <c r="AD264" s="438"/>
      <c r="AE264" s="438"/>
      <c r="AF264" s="438"/>
      <c r="AG264" s="438"/>
      <c r="AH264" s="438"/>
    </row>
    <row r="265">
      <c r="A265" s="438"/>
      <c r="B265" s="438"/>
      <c r="C265" s="438"/>
      <c r="D265" s="438"/>
      <c r="E265" s="438"/>
      <c r="F265" s="438"/>
      <c r="G265" s="438"/>
      <c r="H265" s="438"/>
      <c r="I265" s="438"/>
      <c r="J265" s="438"/>
      <c r="K265" s="438"/>
      <c r="L265" s="438"/>
      <c r="M265" s="438"/>
      <c r="N265" s="438"/>
      <c r="O265" s="438"/>
      <c r="P265" s="438"/>
      <c r="Q265" s="438"/>
      <c r="R265" s="438"/>
      <c r="S265" s="438"/>
      <c r="T265" s="438"/>
      <c r="U265" s="438"/>
      <c r="V265" s="438"/>
      <c r="W265" s="438"/>
      <c r="X265" s="438"/>
      <c r="Y265" s="438"/>
      <c r="Z265" s="438"/>
      <c r="AA265" s="438"/>
      <c r="AB265" s="438"/>
      <c r="AC265" s="438"/>
      <c r="AD265" s="438"/>
      <c r="AE265" s="438"/>
      <c r="AF265" s="438"/>
      <c r="AG265" s="438"/>
      <c r="AH265" s="438"/>
    </row>
    <row r="266">
      <c r="A266" s="438"/>
      <c r="B266" s="438"/>
      <c r="C266" s="438"/>
      <c r="D266" s="438"/>
      <c r="E266" s="438"/>
      <c r="F266" s="438"/>
      <c r="G266" s="438"/>
      <c r="H266" s="438"/>
      <c r="I266" s="438"/>
      <c r="J266" s="438"/>
      <c r="K266" s="438"/>
      <c r="L266" s="438"/>
      <c r="M266" s="438"/>
      <c r="N266" s="438"/>
      <c r="O266" s="438"/>
      <c r="P266" s="438"/>
      <c r="Q266" s="438"/>
      <c r="R266" s="438"/>
      <c r="S266" s="438"/>
      <c r="T266" s="438"/>
      <c r="U266" s="438"/>
      <c r="V266" s="438"/>
      <c r="W266" s="438"/>
      <c r="X266" s="438"/>
      <c r="Y266" s="438"/>
      <c r="Z266" s="438"/>
      <c r="AA266" s="438"/>
      <c r="AB266" s="438"/>
      <c r="AC266" s="438"/>
      <c r="AD266" s="438"/>
      <c r="AE266" s="438"/>
      <c r="AF266" s="438"/>
      <c r="AG266" s="438"/>
      <c r="AH266" s="438"/>
    </row>
    <row r="267">
      <c r="A267" s="438"/>
      <c r="B267" s="438"/>
      <c r="C267" s="438"/>
      <c r="D267" s="438"/>
      <c r="E267" s="438"/>
      <c r="F267" s="438"/>
      <c r="G267" s="438"/>
      <c r="H267" s="438"/>
      <c r="I267" s="438"/>
      <c r="J267" s="438"/>
      <c r="K267" s="438"/>
      <c r="L267" s="438"/>
      <c r="M267" s="438"/>
      <c r="N267" s="438"/>
      <c r="O267" s="438"/>
      <c r="P267" s="438"/>
      <c r="Q267" s="438"/>
      <c r="R267" s="438"/>
      <c r="S267" s="438"/>
      <c r="T267" s="438"/>
      <c r="U267" s="438"/>
      <c r="V267" s="438"/>
      <c r="W267" s="438"/>
      <c r="X267" s="438"/>
      <c r="Y267" s="438"/>
      <c r="Z267" s="438"/>
      <c r="AA267" s="438"/>
      <c r="AB267" s="438"/>
      <c r="AC267" s="438"/>
      <c r="AD267" s="438"/>
      <c r="AE267" s="438"/>
      <c r="AF267" s="438"/>
      <c r="AG267" s="438"/>
      <c r="AH267" s="438"/>
    </row>
    <row r="268">
      <c r="A268" s="438"/>
      <c r="B268" s="438"/>
      <c r="C268" s="438"/>
      <c r="D268" s="438"/>
      <c r="E268" s="438"/>
      <c r="F268" s="438"/>
      <c r="G268" s="438"/>
      <c r="H268" s="438"/>
      <c r="I268" s="438"/>
      <c r="J268" s="438"/>
      <c r="K268" s="438"/>
      <c r="L268" s="438"/>
      <c r="M268" s="438"/>
      <c r="N268" s="438"/>
      <c r="O268" s="438"/>
      <c r="P268" s="438"/>
      <c r="Q268" s="438"/>
      <c r="R268" s="438"/>
      <c r="S268" s="438"/>
      <c r="T268" s="438"/>
      <c r="U268" s="438"/>
      <c r="V268" s="438"/>
      <c r="W268" s="438"/>
      <c r="X268" s="438"/>
      <c r="Y268" s="438"/>
      <c r="Z268" s="438"/>
      <c r="AA268" s="438"/>
      <c r="AB268" s="438"/>
      <c r="AC268" s="438"/>
      <c r="AD268" s="438"/>
      <c r="AE268" s="438"/>
      <c r="AF268" s="438"/>
      <c r="AG268" s="438"/>
      <c r="AH268" s="438"/>
    </row>
    <row r="269">
      <c r="A269" s="438"/>
      <c r="B269" s="438"/>
      <c r="C269" s="438"/>
      <c r="D269" s="438"/>
      <c r="E269" s="438"/>
      <c r="F269" s="438"/>
      <c r="G269" s="438"/>
      <c r="H269" s="438"/>
      <c r="I269" s="438"/>
      <c r="J269" s="438"/>
      <c r="K269" s="438"/>
      <c r="L269" s="438"/>
      <c r="M269" s="438"/>
      <c r="N269" s="438"/>
      <c r="O269" s="438"/>
      <c r="P269" s="438"/>
      <c r="Q269" s="438"/>
      <c r="R269" s="438"/>
      <c r="S269" s="438"/>
      <c r="T269" s="438"/>
      <c r="U269" s="438"/>
      <c r="V269" s="438"/>
      <c r="W269" s="438"/>
      <c r="X269" s="438"/>
      <c r="Y269" s="438"/>
      <c r="Z269" s="438"/>
      <c r="AA269" s="438"/>
      <c r="AB269" s="438"/>
      <c r="AC269" s="438"/>
      <c r="AD269" s="438"/>
      <c r="AE269" s="438"/>
      <c r="AF269" s="438"/>
      <c r="AG269" s="438"/>
      <c r="AH269" s="438"/>
    </row>
    <row r="270">
      <c r="A270" s="438"/>
      <c r="B270" s="438"/>
      <c r="C270" s="438"/>
      <c r="D270" s="438"/>
      <c r="E270" s="438"/>
      <c r="F270" s="438"/>
      <c r="G270" s="438"/>
      <c r="H270" s="438"/>
      <c r="I270" s="438"/>
      <c r="J270" s="438"/>
      <c r="K270" s="438"/>
      <c r="L270" s="438"/>
      <c r="M270" s="438"/>
      <c r="N270" s="438"/>
      <c r="O270" s="438"/>
      <c r="P270" s="438"/>
      <c r="Q270" s="438"/>
      <c r="R270" s="438"/>
      <c r="S270" s="438"/>
      <c r="T270" s="438"/>
      <c r="U270" s="438"/>
      <c r="V270" s="438"/>
      <c r="W270" s="438"/>
      <c r="X270" s="438"/>
      <c r="Y270" s="438"/>
      <c r="Z270" s="438"/>
      <c r="AA270" s="438"/>
      <c r="AB270" s="438"/>
      <c r="AC270" s="438"/>
      <c r="AD270" s="438"/>
      <c r="AE270" s="438"/>
      <c r="AF270" s="438"/>
      <c r="AG270" s="438"/>
      <c r="AH270" s="438"/>
    </row>
    <row r="271">
      <c r="A271" s="438"/>
      <c r="B271" s="438"/>
      <c r="C271" s="438"/>
      <c r="D271" s="438"/>
      <c r="E271" s="438"/>
      <c r="F271" s="438"/>
      <c r="G271" s="438"/>
      <c r="H271" s="438"/>
      <c r="I271" s="438"/>
      <c r="J271" s="438"/>
      <c r="K271" s="438"/>
      <c r="L271" s="438"/>
      <c r="M271" s="438"/>
      <c r="N271" s="438"/>
      <c r="O271" s="438"/>
      <c r="P271" s="438"/>
      <c r="Q271" s="438"/>
      <c r="R271" s="438"/>
      <c r="S271" s="438"/>
      <c r="T271" s="438"/>
      <c r="U271" s="438"/>
      <c r="V271" s="438"/>
      <c r="W271" s="438"/>
      <c r="X271" s="438"/>
      <c r="Y271" s="438"/>
      <c r="Z271" s="438"/>
      <c r="AA271" s="438"/>
      <c r="AB271" s="438"/>
      <c r="AC271" s="438"/>
      <c r="AD271" s="438"/>
      <c r="AE271" s="438"/>
      <c r="AF271" s="438"/>
      <c r="AG271" s="438"/>
      <c r="AH271" s="438"/>
    </row>
    <row r="272">
      <c r="A272" s="438"/>
      <c r="B272" s="438"/>
      <c r="C272" s="438"/>
      <c r="D272" s="438"/>
      <c r="E272" s="438"/>
      <c r="F272" s="438"/>
      <c r="G272" s="438"/>
      <c r="H272" s="438"/>
      <c r="I272" s="438"/>
      <c r="J272" s="438"/>
      <c r="K272" s="438"/>
      <c r="L272" s="438"/>
      <c r="M272" s="438"/>
      <c r="N272" s="438"/>
      <c r="O272" s="438"/>
      <c r="P272" s="438"/>
      <c r="Q272" s="438"/>
      <c r="R272" s="438"/>
      <c r="S272" s="438"/>
      <c r="T272" s="438"/>
      <c r="U272" s="438"/>
      <c r="V272" s="438"/>
      <c r="W272" s="438"/>
      <c r="X272" s="438"/>
      <c r="Y272" s="438"/>
      <c r="Z272" s="438"/>
      <c r="AA272" s="438"/>
      <c r="AB272" s="438"/>
      <c r="AC272" s="438"/>
      <c r="AD272" s="438"/>
      <c r="AE272" s="438"/>
      <c r="AF272" s="438"/>
      <c r="AG272" s="438"/>
      <c r="AH272" s="438"/>
    </row>
    <row r="273">
      <c r="A273" s="438"/>
      <c r="B273" s="438"/>
      <c r="C273" s="438"/>
      <c r="D273" s="438"/>
      <c r="E273" s="438"/>
      <c r="F273" s="438"/>
      <c r="G273" s="438"/>
      <c r="H273" s="438"/>
      <c r="I273" s="438"/>
      <c r="J273" s="438"/>
      <c r="K273" s="438"/>
      <c r="L273" s="438"/>
      <c r="M273" s="438"/>
      <c r="N273" s="438"/>
      <c r="O273" s="438"/>
      <c r="P273" s="438"/>
      <c r="Q273" s="438"/>
      <c r="R273" s="438"/>
      <c r="S273" s="438"/>
      <c r="T273" s="438"/>
      <c r="U273" s="438"/>
      <c r="V273" s="438"/>
      <c r="W273" s="438"/>
      <c r="X273" s="438"/>
      <c r="Y273" s="438"/>
      <c r="Z273" s="438"/>
      <c r="AA273" s="438"/>
      <c r="AB273" s="438"/>
      <c r="AC273" s="438"/>
      <c r="AD273" s="438"/>
      <c r="AE273" s="438"/>
      <c r="AF273" s="438"/>
      <c r="AG273" s="438"/>
      <c r="AH273" s="438"/>
    </row>
    <row r="274">
      <c r="A274" s="438"/>
      <c r="B274" s="438"/>
      <c r="C274" s="438"/>
      <c r="D274" s="438"/>
      <c r="E274" s="438"/>
      <c r="F274" s="438"/>
      <c r="G274" s="438"/>
      <c r="H274" s="438"/>
      <c r="I274" s="438"/>
      <c r="J274" s="438"/>
      <c r="K274" s="438"/>
      <c r="L274" s="438"/>
      <c r="M274" s="438"/>
      <c r="N274" s="438"/>
      <c r="O274" s="438"/>
      <c r="P274" s="438"/>
      <c r="Q274" s="438"/>
      <c r="R274" s="438"/>
      <c r="S274" s="438"/>
      <c r="T274" s="438"/>
      <c r="U274" s="438"/>
      <c r="V274" s="438"/>
      <c r="W274" s="438"/>
      <c r="X274" s="438"/>
      <c r="Y274" s="438"/>
      <c r="Z274" s="438"/>
      <c r="AA274" s="438"/>
      <c r="AB274" s="438"/>
      <c r="AC274" s="438"/>
      <c r="AD274" s="438"/>
      <c r="AE274" s="438"/>
      <c r="AF274" s="438"/>
      <c r="AG274" s="438"/>
      <c r="AH274" s="438"/>
    </row>
    <row r="275">
      <c r="A275" s="438"/>
      <c r="B275" s="438"/>
      <c r="C275" s="438"/>
      <c r="D275" s="438"/>
      <c r="E275" s="438"/>
      <c r="F275" s="438"/>
      <c r="G275" s="438"/>
      <c r="H275" s="438"/>
      <c r="I275" s="438"/>
      <c r="J275" s="438"/>
      <c r="K275" s="438"/>
      <c r="L275" s="438"/>
      <c r="M275" s="438"/>
      <c r="N275" s="438"/>
      <c r="O275" s="438"/>
      <c r="P275" s="438"/>
      <c r="Q275" s="438"/>
      <c r="R275" s="438"/>
      <c r="S275" s="438"/>
      <c r="T275" s="438"/>
      <c r="U275" s="438"/>
      <c r="V275" s="438"/>
      <c r="W275" s="438"/>
      <c r="X275" s="438"/>
      <c r="Y275" s="438"/>
      <c r="Z275" s="438"/>
      <c r="AA275" s="438"/>
      <c r="AB275" s="438"/>
      <c r="AC275" s="438"/>
      <c r="AD275" s="438"/>
      <c r="AE275" s="438"/>
      <c r="AF275" s="438"/>
      <c r="AG275" s="438"/>
      <c r="AH275" s="438"/>
    </row>
    <row r="276">
      <c r="A276" s="438"/>
      <c r="B276" s="438"/>
      <c r="C276" s="438"/>
      <c r="D276" s="438"/>
      <c r="E276" s="438"/>
      <c r="F276" s="438"/>
      <c r="G276" s="438"/>
      <c r="H276" s="438"/>
      <c r="I276" s="438"/>
      <c r="J276" s="438"/>
      <c r="K276" s="438"/>
      <c r="L276" s="438"/>
      <c r="M276" s="438"/>
      <c r="N276" s="438"/>
      <c r="O276" s="438"/>
      <c r="P276" s="438"/>
      <c r="Q276" s="438"/>
      <c r="R276" s="438"/>
      <c r="S276" s="438"/>
      <c r="T276" s="438"/>
      <c r="U276" s="438"/>
      <c r="V276" s="438"/>
      <c r="W276" s="438"/>
      <c r="X276" s="438"/>
      <c r="Y276" s="438"/>
      <c r="Z276" s="438"/>
      <c r="AA276" s="438"/>
      <c r="AB276" s="438"/>
      <c r="AC276" s="438"/>
      <c r="AD276" s="438"/>
      <c r="AE276" s="438"/>
      <c r="AF276" s="438"/>
      <c r="AG276" s="438"/>
      <c r="AH276" s="438"/>
    </row>
    <row r="277">
      <c r="A277" s="438"/>
      <c r="B277" s="438"/>
      <c r="C277" s="438"/>
      <c r="D277" s="438"/>
      <c r="E277" s="438"/>
      <c r="F277" s="438"/>
      <c r="G277" s="438"/>
      <c r="H277" s="438"/>
      <c r="I277" s="438"/>
      <c r="J277" s="438"/>
      <c r="K277" s="438"/>
      <c r="L277" s="438"/>
      <c r="M277" s="438"/>
      <c r="N277" s="438"/>
      <c r="O277" s="438"/>
      <c r="P277" s="438"/>
      <c r="Q277" s="438"/>
      <c r="R277" s="438"/>
      <c r="S277" s="438"/>
      <c r="T277" s="438"/>
      <c r="U277" s="438"/>
      <c r="V277" s="438"/>
      <c r="W277" s="438"/>
      <c r="X277" s="438"/>
      <c r="Y277" s="438"/>
      <c r="Z277" s="438"/>
      <c r="AA277" s="438"/>
      <c r="AB277" s="438"/>
      <c r="AC277" s="438"/>
      <c r="AD277" s="438"/>
      <c r="AE277" s="438"/>
      <c r="AF277" s="438"/>
      <c r="AG277" s="438"/>
      <c r="AH277" s="438"/>
    </row>
    <row r="278">
      <c r="A278" s="438"/>
      <c r="B278" s="438"/>
      <c r="C278" s="438"/>
      <c r="D278" s="438"/>
      <c r="E278" s="438"/>
      <c r="F278" s="438"/>
      <c r="G278" s="438"/>
      <c r="H278" s="438"/>
      <c r="I278" s="438"/>
      <c r="J278" s="438"/>
      <c r="K278" s="438"/>
      <c r="L278" s="438"/>
      <c r="M278" s="438"/>
      <c r="N278" s="438"/>
      <c r="O278" s="438"/>
      <c r="P278" s="438"/>
      <c r="Q278" s="438"/>
      <c r="R278" s="438"/>
      <c r="S278" s="438"/>
      <c r="T278" s="438"/>
      <c r="U278" s="438"/>
      <c r="V278" s="438"/>
      <c r="W278" s="438"/>
      <c r="X278" s="438"/>
      <c r="Y278" s="438"/>
      <c r="Z278" s="438"/>
      <c r="AA278" s="438"/>
      <c r="AB278" s="438"/>
      <c r="AC278" s="438"/>
      <c r="AD278" s="438"/>
      <c r="AE278" s="438"/>
      <c r="AF278" s="438"/>
      <c r="AG278" s="438"/>
      <c r="AH278" s="438"/>
    </row>
    <row r="279">
      <c r="A279" s="438"/>
      <c r="B279" s="438"/>
      <c r="C279" s="438"/>
      <c r="D279" s="438"/>
      <c r="E279" s="438"/>
      <c r="F279" s="438"/>
      <c r="G279" s="438"/>
      <c r="H279" s="438"/>
      <c r="I279" s="438"/>
      <c r="J279" s="438"/>
      <c r="K279" s="438"/>
      <c r="L279" s="438"/>
      <c r="M279" s="438"/>
      <c r="N279" s="438"/>
      <c r="O279" s="438"/>
      <c r="P279" s="438"/>
      <c r="Q279" s="438"/>
      <c r="R279" s="438"/>
      <c r="S279" s="438"/>
      <c r="T279" s="438"/>
      <c r="U279" s="438"/>
      <c r="V279" s="438"/>
      <c r="W279" s="438"/>
      <c r="X279" s="438"/>
      <c r="Y279" s="438"/>
      <c r="Z279" s="438"/>
      <c r="AA279" s="438"/>
      <c r="AB279" s="438"/>
      <c r="AC279" s="438"/>
      <c r="AD279" s="438"/>
      <c r="AE279" s="438"/>
      <c r="AF279" s="438"/>
      <c r="AG279" s="438"/>
      <c r="AH279" s="438"/>
    </row>
    <row r="280">
      <c r="A280" s="438"/>
      <c r="B280" s="438"/>
      <c r="C280" s="438"/>
      <c r="D280" s="438"/>
      <c r="E280" s="438"/>
      <c r="F280" s="438"/>
      <c r="G280" s="438"/>
      <c r="H280" s="438"/>
      <c r="I280" s="438"/>
      <c r="J280" s="438"/>
      <c r="K280" s="438"/>
      <c r="L280" s="438"/>
      <c r="M280" s="438"/>
      <c r="N280" s="438"/>
      <c r="O280" s="438"/>
      <c r="P280" s="438"/>
      <c r="Q280" s="438"/>
      <c r="R280" s="438"/>
      <c r="S280" s="438"/>
      <c r="T280" s="438"/>
      <c r="U280" s="438"/>
      <c r="V280" s="438"/>
      <c r="W280" s="438"/>
      <c r="X280" s="438"/>
      <c r="Y280" s="438"/>
      <c r="Z280" s="438"/>
      <c r="AA280" s="438"/>
      <c r="AB280" s="438"/>
      <c r="AC280" s="438"/>
      <c r="AD280" s="438"/>
      <c r="AE280" s="438"/>
      <c r="AF280" s="438"/>
      <c r="AG280" s="438"/>
      <c r="AH280" s="438"/>
    </row>
    <row r="281">
      <c r="A281" s="438"/>
      <c r="B281" s="438"/>
      <c r="C281" s="438"/>
      <c r="D281" s="438"/>
      <c r="E281" s="438"/>
      <c r="F281" s="438"/>
      <c r="G281" s="438"/>
      <c r="H281" s="438"/>
      <c r="I281" s="438"/>
      <c r="J281" s="438"/>
      <c r="K281" s="438"/>
      <c r="L281" s="438"/>
      <c r="M281" s="438"/>
      <c r="N281" s="438"/>
      <c r="O281" s="438"/>
      <c r="P281" s="438"/>
      <c r="Q281" s="438"/>
      <c r="R281" s="438"/>
      <c r="S281" s="438"/>
      <c r="T281" s="438"/>
      <c r="U281" s="438"/>
      <c r="V281" s="438"/>
      <c r="W281" s="438"/>
      <c r="X281" s="438"/>
      <c r="Y281" s="438"/>
      <c r="Z281" s="438"/>
      <c r="AA281" s="438"/>
      <c r="AB281" s="438"/>
      <c r="AC281" s="438"/>
      <c r="AD281" s="438"/>
      <c r="AE281" s="438"/>
      <c r="AF281" s="438"/>
      <c r="AG281" s="438"/>
      <c r="AH281" s="438"/>
    </row>
    <row r="282">
      <c r="A282" s="438"/>
      <c r="B282" s="438"/>
      <c r="C282" s="438"/>
      <c r="D282" s="438"/>
      <c r="E282" s="438"/>
      <c r="F282" s="438"/>
      <c r="G282" s="438"/>
      <c r="H282" s="438"/>
      <c r="I282" s="438"/>
      <c r="J282" s="438"/>
      <c r="K282" s="438"/>
      <c r="L282" s="438"/>
      <c r="M282" s="438"/>
      <c r="N282" s="438"/>
      <c r="O282" s="438"/>
      <c r="P282" s="438"/>
      <c r="Q282" s="438"/>
      <c r="R282" s="438"/>
      <c r="S282" s="438"/>
      <c r="T282" s="438"/>
      <c r="U282" s="438"/>
      <c r="V282" s="438"/>
      <c r="W282" s="438"/>
      <c r="X282" s="438"/>
      <c r="Y282" s="438"/>
      <c r="Z282" s="438"/>
      <c r="AA282" s="438"/>
      <c r="AB282" s="438"/>
      <c r="AC282" s="438"/>
      <c r="AD282" s="438"/>
      <c r="AE282" s="438"/>
      <c r="AF282" s="438"/>
      <c r="AG282" s="438"/>
      <c r="AH282" s="438"/>
    </row>
    <row r="283">
      <c r="A283" s="438"/>
      <c r="B283" s="438"/>
      <c r="C283" s="438"/>
      <c r="D283" s="438"/>
      <c r="E283" s="438"/>
      <c r="F283" s="438"/>
      <c r="G283" s="438"/>
      <c r="H283" s="438"/>
      <c r="I283" s="438"/>
      <c r="J283" s="438"/>
      <c r="K283" s="438"/>
      <c r="L283" s="438"/>
      <c r="M283" s="438"/>
      <c r="N283" s="438"/>
      <c r="O283" s="438"/>
      <c r="P283" s="438"/>
      <c r="Q283" s="438"/>
      <c r="R283" s="438"/>
      <c r="S283" s="438"/>
      <c r="T283" s="438"/>
      <c r="U283" s="438"/>
      <c r="V283" s="438"/>
      <c r="W283" s="438"/>
      <c r="X283" s="438"/>
      <c r="Y283" s="438"/>
      <c r="Z283" s="438"/>
      <c r="AA283" s="438"/>
      <c r="AB283" s="438"/>
      <c r="AC283" s="438"/>
      <c r="AD283" s="438"/>
      <c r="AE283" s="438"/>
      <c r="AF283" s="438"/>
      <c r="AG283" s="438"/>
      <c r="AH283" s="438"/>
    </row>
    <row r="284">
      <c r="A284" s="438"/>
      <c r="B284" s="438"/>
      <c r="C284" s="438"/>
      <c r="D284" s="438"/>
      <c r="E284" s="438"/>
      <c r="F284" s="438"/>
      <c r="G284" s="438"/>
      <c r="H284" s="438"/>
      <c r="I284" s="438"/>
      <c r="J284" s="438"/>
      <c r="K284" s="438"/>
      <c r="L284" s="438"/>
      <c r="M284" s="438"/>
      <c r="N284" s="438"/>
      <c r="O284" s="438"/>
      <c r="P284" s="438"/>
      <c r="Q284" s="438"/>
      <c r="R284" s="438"/>
      <c r="S284" s="438"/>
      <c r="T284" s="438"/>
      <c r="U284" s="438"/>
      <c r="V284" s="438"/>
      <c r="W284" s="438"/>
      <c r="X284" s="438"/>
      <c r="Y284" s="438"/>
      <c r="Z284" s="438"/>
      <c r="AA284" s="438"/>
      <c r="AB284" s="438"/>
      <c r="AC284" s="438"/>
      <c r="AD284" s="438"/>
      <c r="AE284" s="438"/>
      <c r="AF284" s="438"/>
      <c r="AG284" s="438"/>
      <c r="AH284" s="438"/>
    </row>
    <row r="285">
      <c r="A285" s="438"/>
      <c r="B285" s="438"/>
      <c r="C285" s="438"/>
      <c r="D285" s="438"/>
      <c r="E285" s="438"/>
      <c r="F285" s="438"/>
      <c r="G285" s="438"/>
      <c r="H285" s="438"/>
      <c r="I285" s="438"/>
      <c r="J285" s="438"/>
      <c r="K285" s="438"/>
      <c r="L285" s="438"/>
      <c r="M285" s="438"/>
      <c r="N285" s="438"/>
      <c r="O285" s="438"/>
      <c r="P285" s="438"/>
      <c r="Q285" s="438"/>
      <c r="R285" s="438"/>
      <c r="S285" s="438"/>
      <c r="T285" s="438"/>
      <c r="U285" s="438"/>
      <c r="V285" s="438"/>
      <c r="W285" s="438"/>
      <c r="X285" s="438"/>
      <c r="Y285" s="438"/>
      <c r="Z285" s="438"/>
      <c r="AA285" s="438"/>
      <c r="AB285" s="438"/>
      <c r="AC285" s="438"/>
      <c r="AD285" s="438"/>
      <c r="AE285" s="438"/>
      <c r="AF285" s="438"/>
      <c r="AG285" s="438"/>
      <c r="AH285" s="438"/>
    </row>
    <row r="286">
      <c r="A286" s="438"/>
      <c r="B286" s="438"/>
      <c r="C286" s="438"/>
      <c r="D286" s="438"/>
      <c r="E286" s="438"/>
      <c r="F286" s="438"/>
      <c r="G286" s="438"/>
      <c r="H286" s="438"/>
      <c r="I286" s="438"/>
      <c r="J286" s="438"/>
      <c r="K286" s="438"/>
      <c r="L286" s="438"/>
      <c r="M286" s="438"/>
      <c r="N286" s="438"/>
      <c r="O286" s="438"/>
      <c r="P286" s="438"/>
      <c r="Q286" s="438"/>
      <c r="R286" s="438"/>
      <c r="S286" s="438"/>
      <c r="T286" s="438"/>
      <c r="U286" s="438"/>
      <c r="V286" s="438"/>
      <c r="W286" s="438"/>
      <c r="X286" s="438"/>
      <c r="Y286" s="438"/>
      <c r="Z286" s="438"/>
      <c r="AA286" s="438"/>
      <c r="AB286" s="438"/>
      <c r="AC286" s="438"/>
      <c r="AD286" s="438"/>
      <c r="AE286" s="438"/>
      <c r="AF286" s="438"/>
      <c r="AG286" s="438"/>
      <c r="AH286" s="438"/>
    </row>
    <row r="287">
      <c r="A287" s="438"/>
      <c r="B287" s="438"/>
      <c r="C287" s="438"/>
      <c r="D287" s="438"/>
      <c r="E287" s="438"/>
      <c r="F287" s="438"/>
      <c r="G287" s="438"/>
      <c r="H287" s="438"/>
      <c r="I287" s="438"/>
      <c r="J287" s="438"/>
      <c r="K287" s="438"/>
      <c r="L287" s="438"/>
      <c r="M287" s="438"/>
      <c r="N287" s="438"/>
      <c r="O287" s="438"/>
      <c r="P287" s="438"/>
      <c r="Q287" s="438"/>
      <c r="R287" s="438"/>
      <c r="S287" s="438"/>
      <c r="T287" s="438"/>
      <c r="U287" s="438"/>
      <c r="V287" s="438"/>
      <c r="W287" s="438"/>
      <c r="X287" s="438"/>
      <c r="Y287" s="438"/>
      <c r="Z287" s="438"/>
      <c r="AA287" s="438"/>
      <c r="AB287" s="438"/>
      <c r="AC287" s="438"/>
      <c r="AD287" s="438"/>
      <c r="AE287" s="438"/>
      <c r="AF287" s="438"/>
      <c r="AG287" s="438"/>
      <c r="AH287" s="438"/>
    </row>
    <row r="288">
      <c r="A288" s="438"/>
      <c r="B288" s="438"/>
      <c r="C288" s="438"/>
      <c r="D288" s="438"/>
      <c r="E288" s="438"/>
      <c r="F288" s="438"/>
      <c r="G288" s="438"/>
      <c r="H288" s="438"/>
      <c r="I288" s="438"/>
      <c r="J288" s="438"/>
      <c r="K288" s="438"/>
      <c r="L288" s="438"/>
      <c r="M288" s="438"/>
      <c r="N288" s="438"/>
      <c r="O288" s="438"/>
      <c r="P288" s="438"/>
      <c r="Q288" s="438"/>
      <c r="R288" s="438"/>
      <c r="S288" s="438"/>
      <c r="T288" s="438"/>
      <c r="U288" s="438"/>
      <c r="V288" s="438"/>
      <c r="W288" s="438"/>
      <c r="X288" s="438"/>
      <c r="Y288" s="438"/>
      <c r="Z288" s="438"/>
      <c r="AA288" s="438"/>
      <c r="AB288" s="438"/>
      <c r="AC288" s="438"/>
      <c r="AD288" s="438"/>
      <c r="AE288" s="438"/>
      <c r="AF288" s="438"/>
      <c r="AG288" s="438"/>
      <c r="AH288" s="438"/>
    </row>
    <row r="289">
      <c r="A289" s="438"/>
      <c r="B289" s="438"/>
      <c r="C289" s="438"/>
      <c r="D289" s="438"/>
      <c r="E289" s="438"/>
      <c r="F289" s="438"/>
      <c r="G289" s="438"/>
      <c r="H289" s="438"/>
      <c r="I289" s="438"/>
      <c r="J289" s="438"/>
      <c r="K289" s="438"/>
      <c r="L289" s="438"/>
      <c r="M289" s="438"/>
      <c r="N289" s="438"/>
      <c r="O289" s="438"/>
      <c r="P289" s="438"/>
      <c r="Q289" s="438"/>
      <c r="R289" s="438"/>
      <c r="S289" s="438"/>
      <c r="T289" s="438"/>
      <c r="U289" s="438"/>
      <c r="V289" s="438"/>
      <c r="W289" s="438"/>
      <c r="X289" s="438"/>
      <c r="Y289" s="438"/>
      <c r="Z289" s="438"/>
      <c r="AA289" s="438"/>
      <c r="AB289" s="438"/>
      <c r="AC289" s="438"/>
      <c r="AD289" s="438"/>
      <c r="AE289" s="438"/>
      <c r="AF289" s="438"/>
      <c r="AG289" s="438"/>
      <c r="AH289" s="438"/>
    </row>
    <row r="290">
      <c r="A290" s="438"/>
      <c r="B290" s="438"/>
      <c r="C290" s="438"/>
      <c r="D290" s="438"/>
      <c r="E290" s="438"/>
      <c r="F290" s="438"/>
      <c r="G290" s="438"/>
      <c r="H290" s="438"/>
      <c r="I290" s="438"/>
      <c r="J290" s="438"/>
      <c r="K290" s="438"/>
      <c r="L290" s="438"/>
      <c r="M290" s="438"/>
      <c r="N290" s="438"/>
      <c r="O290" s="438"/>
      <c r="P290" s="438"/>
      <c r="Q290" s="438"/>
      <c r="R290" s="438"/>
      <c r="S290" s="438"/>
      <c r="T290" s="438"/>
      <c r="U290" s="438"/>
      <c r="V290" s="438"/>
      <c r="W290" s="438"/>
      <c r="X290" s="438"/>
      <c r="Y290" s="438"/>
      <c r="Z290" s="438"/>
      <c r="AA290" s="438"/>
      <c r="AB290" s="438"/>
      <c r="AC290" s="438"/>
      <c r="AD290" s="438"/>
      <c r="AE290" s="438"/>
      <c r="AF290" s="438"/>
      <c r="AG290" s="438"/>
      <c r="AH290" s="438"/>
    </row>
    <row r="291">
      <c r="A291" s="438"/>
      <c r="B291" s="438"/>
      <c r="C291" s="438"/>
      <c r="D291" s="438"/>
      <c r="E291" s="438"/>
      <c r="F291" s="438"/>
      <c r="G291" s="438"/>
      <c r="H291" s="438"/>
      <c r="I291" s="438"/>
      <c r="J291" s="438"/>
      <c r="K291" s="438"/>
      <c r="L291" s="438"/>
      <c r="M291" s="438"/>
      <c r="N291" s="438"/>
      <c r="O291" s="438"/>
      <c r="P291" s="438"/>
      <c r="Q291" s="438"/>
      <c r="R291" s="438"/>
      <c r="S291" s="438"/>
      <c r="T291" s="438"/>
      <c r="U291" s="438"/>
      <c r="V291" s="438"/>
      <c r="W291" s="438"/>
      <c r="X291" s="438"/>
      <c r="Y291" s="438"/>
      <c r="Z291" s="438"/>
      <c r="AA291" s="438"/>
      <c r="AB291" s="438"/>
      <c r="AC291" s="438"/>
      <c r="AD291" s="438"/>
      <c r="AE291" s="438"/>
      <c r="AF291" s="438"/>
      <c r="AG291" s="438"/>
      <c r="AH291" s="438"/>
    </row>
    <row r="292">
      <c r="A292" s="438"/>
      <c r="B292" s="438"/>
      <c r="C292" s="438"/>
      <c r="D292" s="438"/>
      <c r="E292" s="438"/>
      <c r="F292" s="438"/>
      <c r="G292" s="438"/>
      <c r="H292" s="438"/>
      <c r="I292" s="438"/>
      <c r="J292" s="438"/>
      <c r="K292" s="438"/>
      <c r="L292" s="438"/>
      <c r="M292" s="438"/>
      <c r="N292" s="438"/>
      <c r="O292" s="438"/>
      <c r="P292" s="438"/>
      <c r="Q292" s="438"/>
      <c r="R292" s="438"/>
      <c r="S292" s="438"/>
      <c r="T292" s="438"/>
      <c r="U292" s="438"/>
      <c r="V292" s="438"/>
      <c r="W292" s="438"/>
      <c r="X292" s="438"/>
      <c r="Y292" s="438"/>
      <c r="Z292" s="438"/>
      <c r="AA292" s="438"/>
      <c r="AB292" s="438"/>
      <c r="AC292" s="438"/>
      <c r="AD292" s="438"/>
      <c r="AE292" s="438"/>
      <c r="AF292" s="438"/>
      <c r="AG292" s="438"/>
      <c r="AH292" s="438"/>
    </row>
    <row r="293">
      <c r="A293" s="438"/>
      <c r="B293" s="438"/>
      <c r="C293" s="438"/>
      <c r="D293" s="438"/>
      <c r="E293" s="438"/>
      <c r="F293" s="438"/>
      <c r="G293" s="438"/>
      <c r="H293" s="438"/>
      <c r="I293" s="438"/>
      <c r="J293" s="438"/>
      <c r="K293" s="438"/>
      <c r="L293" s="438"/>
      <c r="M293" s="438"/>
      <c r="N293" s="438"/>
      <c r="O293" s="438"/>
      <c r="P293" s="438"/>
      <c r="Q293" s="438"/>
      <c r="R293" s="438"/>
      <c r="S293" s="438"/>
      <c r="T293" s="438"/>
      <c r="U293" s="438"/>
      <c r="V293" s="438"/>
      <c r="W293" s="438"/>
      <c r="X293" s="438"/>
      <c r="Y293" s="438"/>
      <c r="Z293" s="438"/>
      <c r="AA293" s="438"/>
      <c r="AB293" s="438"/>
      <c r="AC293" s="438"/>
      <c r="AD293" s="438"/>
      <c r="AE293" s="438"/>
      <c r="AF293" s="438"/>
      <c r="AG293" s="438"/>
      <c r="AH293" s="438"/>
    </row>
    <row r="294">
      <c r="A294" s="438"/>
      <c r="B294" s="438"/>
      <c r="C294" s="438"/>
      <c r="D294" s="438"/>
      <c r="E294" s="438"/>
      <c r="F294" s="438"/>
      <c r="G294" s="438"/>
      <c r="H294" s="438"/>
      <c r="I294" s="438"/>
      <c r="J294" s="438"/>
      <c r="K294" s="438"/>
      <c r="L294" s="438"/>
      <c r="M294" s="438"/>
      <c r="N294" s="438"/>
      <c r="O294" s="438"/>
      <c r="P294" s="438"/>
      <c r="Q294" s="438"/>
      <c r="R294" s="438"/>
      <c r="S294" s="438"/>
      <c r="T294" s="438"/>
      <c r="U294" s="438"/>
      <c r="V294" s="438"/>
      <c r="W294" s="438"/>
      <c r="X294" s="438"/>
      <c r="Y294" s="438"/>
      <c r="Z294" s="438"/>
      <c r="AA294" s="438"/>
      <c r="AB294" s="438"/>
      <c r="AC294" s="438"/>
      <c r="AD294" s="438"/>
      <c r="AE294" s="438"/>
      <c r="AF294" s="438"/>
      <c r="AG294" s="438"/>
      <c r="AH294" s="438"/>
    </row>
    <row r="295">
      <c r="A295" s="438"/>
      <c r="B295" s="438"/>
      <c r="C295" s="438"/>
      <c r="D295" s="438"/>
      <c r="E295" s="438"/>
      <c r="F295" s="438"/>
      <c r="G295" s="438"/>
      <c r="H295" s="438"/>
      <c r="I295" s="438"/>
      <c r="J295" s="438"/>
      <c r="K295" s="438"/>
      <c r="L295" s="438"/>
      <c r="M295" s="438"/>
      <c r="N295" s="438"/>
      <c r="O295" s="438"/>
      <c r="P295" s="438"/>
      <c r="Q295" s="438"/>
      <c r="R295" s="438"/>
      <c r="S295" s="438"/>
      <c r="T295" s="438"/>
      <c r="U295" s="438"/>
      <c r="V295" s="438"/>
      <c r="W295" s="438"/>
      <c r="X295" s="438"/>
      <c r="Y295" s="438"/>
      <c r="Z295" s="438"/>
      <c r="AA295" s="438"/>
      <c r="AB295" s="438"/>
      <c r="AC295" s="438"/>
      <c r="AD295" s="438"/>
      <c r="AE295" s="438"/>
      <c r="AF295" s="438"/>
      <c r="AG295" s="438"/>
      <c r="AH295" s="438"/>
    </row>
    <row r="296">
      <c r="A296" s="438"/>
      <c r="B296" s="438"/>
      <c r="C296" s="438"/>
      <c r="D296" s="438"/>
      <c r="E296" s="438"/>
      <c r="F296" s="438"/>
      <c r="G296" s="438"/>
      <c r="H296" s="438"/>
      <c r="I296" s="438"/>
      <c r="J296" s="438"/>
      <c r="K296" s="438"/>
      <c r="L296" s="438"/>
      <c r="M296" s="438"/>
      <c r="N296" s="438"/>
      <c r="O296" s="438"/>
      <c r="P296" s="438"/>
      <c r="Q296" s="438"/>
      <c r="R296" s="438"/>
      <c r="S296" s="438"/>
      <c r="T296" s="438"/>
      <c r="U296" s="438"/>
      <c r="V296" s="438"/>
      <c r="W296" s="438"/>
      <c r="X296" s="438"/>
      <c r="Y296" s="438"/>
      <c r="Z296" s="438"/>
      <c r="AA296" s="438"/>
      <c r="AB296" s="438"/>
      <c r="AC296" s="438"/>
      <c r="AD296" s="438"/>
      <c r="AE296" s="438"/>
      <c r="AF296" s="438"/>
      <c r="AG296" s="438"/>
      <c r="AH296" s="438"/>
    </row>
    <row r="297">
      <c r="A297" s="438"/>
      <c r="B297" s="438"/>
      <c r="C297" s="438"/>
      <c r="D297" s="438"/>
      <c r="E297" s="438"/>
      <c r="F297" s="438"/>
      <c r="G297" s="438"/>
      <c r="H297" s="438"/>
      <c r="I297" s="438"/>
      <c r="J297" s="438"/>
      <c r="K297" s="438"/>
      <c r="L297" s="438"/>
      <c r="M297" s="438"/>
      <c r="N297" s="438"/>
      <c r="O297" s="438"/>
      <c r="P297" s="438"/>
      <c r="Q297" s="438"/>
      <c r="R297" s="438"/>
      <c r="S297" s="438"/>
      <c r="T297" s="438"/>
      <c r="U297" s="438"/>
      <c r="V297" s="438"/>
      <c r="W297" s="438"/>
      <c r="X297" s="438"/>
      <c r="Y297" s="438"/>
      <c r="Z297" s="438"/>
      <c r="AA297" s="438"/>
      <c r="AB297" s="438"/>
      <c r="AC297" s="438"/>
      <c r="AD297" s="438"/>
      <c r="AE297" s="438"/>
      <c r="AF297" s="438"/>
      <c r="AG297" s="438"/>
      <c r="AH297" s="438"/>
    </row>
    <row r="298">
      <c r="A298" s="438"/>
      <c r="B298" s="438"/>
      <c r="C298" s="438"/>
      <c r="D298" s="438"/>
      <c r="E298" s="438"/>
      <c r="F298" s="438"/>
      <c r="G298" s="438"/>
      <c r="H298" s="438"/>
      <c r="I298" s="438"/>
      <c r="J298" s="438"/>
      <c r="K298" s="438"/>
      <c r="L298" s="438"/>
      <c r="M298" s="438"/>
      <c r="N298" s="438"/>
      <c r="O298" s="438"/>
      <c r="P298" s="438"/>
      <c r="Q298" s="438"/>
      <c r="R298" s="438"/>
      <c r="S298" s="438"/>
      <c r="T298" s="438"/>
      <c r="U298" s="438"/>
      <c r="V298" s="438"/>
      <c r="W298" s="438"/>
      <c r="X298" s="438"/>
      <c r="Y298" s="438"/>
      <c r="Z298" s="438"/>
      <c r="AA298" s="438"/>
      <c r="AB298" s="438"/>
      <c r="AC298" s="438"/>
      <c r="AD298" s="438"/>
      <c r="AE298" s="438"/>
      <c r="AF298" s="438"/>
      <c r="AG298" s="438"/>
      <c r="AH298" s="438"/>
    </row>
    <row r="299">
      <c r="A299" s="438"/>
      <c r="B299" s="438"/>
      <c r="C299" s="438"/>
      <c r="D299" s="438"/>
      <c r="E299" s="438"/>
      <c r="F299" s="438"/>
      <c r="G299" s="438"/>
      <c r="H299" s="438"/>
      <c r="I299" s="438"/>
      <c r="J299" s="438"/>
      <c r="K299" s="438"/>
      <c r="L299" s="438"/>
      <c r="M299" s="438"/>
      <c r="N299" s="438"/>
      <c r="O299" s="438"/>
      <c r="P299" s="438"/>
      <c r="Q299" s="438"/>
      <c r="R299" s="438"/>
      <c r="S299" s="438"/>
      <c r="T299" s="438"/>
      <c r="U299" s="438"/>
      <c r="V299" s="438"/>
      <c r="W299" s="438"/>
      <c r="X299" s="438"/>
      <c r="Y299" s="438"/>
      <c r="Z299" s="438"/>
      <c r="AA299" s="438"/>
      <c r="AB299" s="438"/>
      <c r="AC299" s="438"/>
      <c r="AD299" s="438"/>
      <c r="AE299" s="438"/>
      <c r="AF299" s="438"/>
      <c r="AG299" s="438"/>
      <c r="AH299" s="438"/>
    </row>
    <row r="300">
      <c r="A300" s="438"/>
      <c r="B300" s="438"/>
      <c r="C300" s="438"/>
      <c r="D300" s="438"/>
      <c r="E300" s="438"/>
      <c r="F300" s="438"/>
      <c r="G300" s="438"/>
      <c r="H300" s="438"/>
      <c r="I300" s="438"/>
      <c r="J300" s="438"/>
      <c r="K300" s="438"/>
      <c r="L300" s="438"/>
      <c r="M300" s="438"/>
      <c r="N300" s="438"/>
      <c r="O300" s="438"/>
      <c r="P300" s="438"/>
      <c r="Q300" s="438"/>
      <c r="R300" s="438"/>
      <c r="S300" s="438"/>
      <c r="T300" s="438"/>
      <c r="U300" s="438"/>
      <c r="V300" s="438"/>
      <c r="W300" s="438"/>
      <c r="X300" s="438"/>
      <c r="Y300" s="438"/>
      <c r="Z300" s="438"/>
      <c r="AA300" s="438"/>
      <c r="AB300" s="438"/>
      <c r="AC300" s="438"/>
      <c r="AD300" s="438"/>
      <c r="AE300" s="438"/>
      <c r="AF300" s="438"/>
      <c r="AG300" s="438"/>
      <c r="AH300" s="438"/>
    </row>
    <row r="301">
      <c r="A301" s="438"/>
      <c r="B301" s="438"/>
      <c r="C301" s="438"/>
      <c r="D301" s="438"/>
      <c r="E301" s="438"/>
      <c r="F301" s="438"/>
      <c r="G301" s="438"/>
      <c r="H301" s="438"/>
      <c r="I301" s="438"/>
      <c r="J301" s="438"/>
      <c r="K301" s="438"/>
      <c r="L301" s="438"/>
      <c r="M301" s="438"/>
      <c r="N301" s="438"/>
      <c r="O301" s="438"/>
      <c r="P301" s="438"/>
      <c r="Q301" s="438"/>
      <c r="R301" s="438"/>
      <c r="S301" s="438"/>
      <c r="T301" s="438"/>
      <c r="U301" s="438"/>
      <c r="V301" s="438"/>
      <c r="W301" s="438"/>
      <c r="X301" s="438"/>
      <c r="Y301" s="438"/>
      <c r="Z301" s="438"/>
      <c r="AA301" s="438"/>
      <c r="AB301" s="438"/>
      <c r="AC301" s="438"/>
      <c r="AD301" s="438"/>
      <c r="AE301" s="438"/>
      <c r="AF301" s="438"/>
      <c r="AG301" s="438"/>
      <c r="AH301" s="438"/>
    </row>
    <row r="302">
      <c r="A302" s="438"/>
      <c r="B302" s="438"/>
      <c r="C302" s="438"/>
      <c r="D302" s="438"/>
      <c r="E302" s="438"/>
      <c r="F302" s="438"/>
      <c r="G302" s="438"/>
      <c r="H302" s="438"/>
      <c r="I302" s="438"/>
      <c r="J302" s="438"/>
      <c r="K302" s="438"/>
      <c r="L302" s="438"/>
      <c r="M302" s="438"/>
      <c r="N302" s="438"/>
      <c r="O302" s="438"/>
      <c r="P302" s="438"/>
      <c r="Q302" s="438"/>
      <c r="R302" s="438"/>
      <c r="S302" s="438"/>
      <c r="T302" s="438"/>
      <c r="U302" s="438"/>
      <c r="V302" s="438"/>
      <c r="W302" s="438"/>
      <c r="X302" s="438"/>
      <c r="Y302" s="438"/>
      <c r="Z302" s="438"/>
      <c r="AA302" s="438"/>
      <c r="AB302" s="438"/>
      <c r="AC302" s="438"/>
      <c r="AD302" s="438"/>
      <c r="AE302" s="438"/>
      <c r="AF302" s="438"/>
      <c r="AG302" s="438"/>
      <c r="AH302" s="438"/>
    </row>
    <row r="303">
      <c r="A303" s="438"/>
      <c r="B303" s="438"/>
      <c r="C303" s="438"/>
      <c r="D303" s="438"/>
      <c r="E303" s="438"/>
      <c r="F303" s="438"/>
      <c r="G303" s="438"/>
      <c r="H303" s="438"/>
      <c r="I303" s="438"/>
      <c r="J303" s="438"/>
      <c r="K303" s="438"/>
      <c r="L303" s="438"/>
      <c r="M303" s="438"/>
      <c r="N303" s="438"/>
      <c r="O303" s="438"/>
      <c r="P303" s="438"/>
      <c r="Q303" s="438"/>
      <c r="R303" s="438"/>
      <c r="S303" s="438"/>
      <c r="T303" s="438"/>
      <c r="U303" s="438"/>
      <c r="V303" s="438"/>
      <c r="W303" s="438"/>
      <c r="X303" s="438"/>
      <c r="Y303" s="438"/>
      <c r="Z303" s="438"/>
      <c r="AA303" s="438"/>
      <c r="AB303" s="438"/>
      <c r="AC303" s="438"/>
      <c r="AD303" s="438"/>
      <c r="AE303" s="438"/>
      <c r="AF303" s="438"/>
      <c r="AG303" s="438"/>
      <c r="AH303" s="438"/>
    </row>
    <row r="304">
      <c r="A304" s="438"/>
      <c r="B304" s="438"/>
      <c r="C304" s="438"/>
      <c r="D304" s="438"/>
      <c r="E304" s="438"/>
      <c r="F304" s="438"/>
      <c r="G304" s="438"/>
      <c r="H304" s="438"/>
      <c r="I304" s="438"/>
      <c r="J304" s="438"/>
      <c r="K304" s="438"/>
      <c r="L304" s="438"/>
      <c r="M304" s="438"/>
      <c r="N304" s="438"/>
      <c r="O304" s="438"/>
      <c r="P304" s="438"/>
      <c r="Q304" s="438"/>
      <c r="R304" s="438"/>
      <c r="S304" s="438"/>
      <c r="T304" s="438"/>
      <c r="U304" s="438"/>
      <c r="V304" s="438"/>
      <c r="W304" s="438"/>
      <c r="X304" s="438"/>
      <c r="Y304" s="438"/>
      <c r="Z304" s="438"/>
      <c r="AA304" s="438"/>
      <c r="AB304" s="438"/>
      <c r="AC304" s="438"/>
      <c r="AD304" s="438"/>
      <c r="AE304" s="438"/>
      <c r="AF304" s="438"/>
      <c r="AG304" s="438"/>
      <c r="AH304" s="438"/>
    </row>
    <row r="305">
      <c r="A305" s="438"/>
      <c r="B305" s="438"/>
      <c r="C305" s="438"/>
      <c r="D305" s="438"/>
      <c r="E305" s="438"/>
      <c r="F305" s="438"/>
      <c r="G305" s="438"/>
      <c r="H305" s="438"/>
      <c r="I305" s="438"/>
      <c r="J305" s="438"/>
      <c r="K305" s="438"/>
      <c r="L305" s="438"/>
      <c r="M305" s="438"/>
      <c r="N305" s="438"/>
      <c r="O305" s="438"/>
      <c r="P305" s="438"/>
      <c r="Q305" s="438"/>
      <c r="R305" s="438"/>
      <c r="S305" s="438"/>
      <c r="T305" s="438"/>
      <c r="U305" s="438"/>
      <c r="V305" s="438"/>
      <c r="W305" s="438"/>
      <c r="X305" s="438"/>
      <c r="Y305" s="438"/>
      <c r="Z305" s="438"/>
      <c r="AA305" s="438"/>
      <c r="AB305" s="438"/>
      <c r="AC305" s="438"/>
      <c r="AD305" s="438"/>
      <c r="AE305" s="438"/>
      <c r="AF305" s="438"/>
      <c r="AG305" s="438"/>
      <c r="AH305" s="438"/>
    </row>
    <row r="306">
      <c r="A306" s="438"/>
      <c r="B306" s="438"/>
      <c r="C306" s="438"/>
      <c r="D306" s="438"/>
      <c r="E306" s="438"/>
      <c r="F306" s="438"/>
      <c r="G306" s="438"/>
      <c r="H306" s="438"/>
      <c r="I306" s="438"/>
      <c r="J306" s="438"/>
      <c r="K306" s="438"/>
      <c r="L306" s="438"/>
      <c r="M306" s="438"/>
      <c r="N306" s="438"/>
      <c r="O306" s="438"/>
      <c r="P306" s="438"/>
      <c r="Q306" s="438"/>
      <c r="R306" s="438"/>
      <c r="S306" s="438"/>
      <c r="T306" s="438"/>
      <c r="U306" s="438"/>
      <c r="V306" s="438"/>
      <c r="W306" s="438"/>
      <c r="X306" s="438"/>
      <c r="Y306" s="438"/>
      <c r="Z306" s="438"/>
      <c r="AA306" s="438"/>
      <c r="AB306" s="438"/>
      <c r="AC306" s="438"/>
      <c r="AD306" s="438"/>
      <c r="AE306" s="438"/>
      <c r="AF306" s="438"/>
      <c r="AG306" s="438"/>
      <c r="AH306" s="438"/>
    </row>
    <row r="307">
      <c r="A307" s="438"/>
      <c r="B307" s="438"/>
      <c r="C307" s="438"/>
      <c r="D307" s="438"/>
      <c r="E307" s="438"/>
      <c r="F307" s="438"/>
      <c r="G307" s="438"/>
      <c r="H307" s="438"/>
      <c r="I307" s="438"/>
      <c r="J307" s="438"/>
      <c r="K307" s="438"/>
      <c r="L307" s="438"/>
      <c r="M307" s="438"/>
      <c r="N307" s="438"/>
      <c r="O307" s="438"/>
      <c r="P307" s="438"/>
      <c r="Q307" s="438"/>
      <c r="R307" s="438"/>
      <c r="S307" s="438"/>
      <c r="T307" s="438"/>
      <c r="U307" s="438"/>
      <c r="V307" s="438"/>
      <c r="W307" s="438"/>
      <c r="X307" s="438"/>
      <c r="Y307" s="438"/>
      <c r="Z307" s="438"/>
      <c r="AA307" s="438"/>
      <c r="AB307" s="438"/>
      <c r="AC307" s="438"/>
      <c r="AD307" s="438"/>
      <c r="AE307" s="438"/>
      <c r="AF307" s="438"/>
      <c r="AG307" s="438"/>
      <c r="AH307" s="438"/>
    </row>
    <row r="308">
      <c r="A308" s="438"/>
      <c r="B308" s="438"/>
      <c r="C308" s="438"/>
      <c r="D308" s="438"/>
      <c r="E308" s="438"/>
      <c r="F308" s="438"/>
      <c r="G308" s="438"/>
      <c r="H308" s="438"/>
      <c r="I308" s="438"/>
      <c r="J308" s="438"/>
      <c r="K308" s="438"/>
      <c r="L308" s="438"/>
      <c r="M308" s="438"/>
      <c r="N308" s="438"/>
      <c r="O308" s="438"/>
      <c r="P308" s="438"/>
      <c r="Q308" s="438"/>
      <c r="R308" s="438"/>
      <c r="S308" s="438"/>
      <c r="T308" s="438"/>
      <c r="U308" s="438"/>
      <c r="V308" s="438"/>
      <c r="W308" s="438"/>
      <c r="X308" s="438"/>
      <c r="Y308" s="438"/>
      <c r="Z308" s="438"/>
      <c r="AA308" s="438"/>
      <c r="AB308" s="438"/>
      <c r="AC308" s="438"/>
      <c r="AD308" s="438"/>
      <c r="AE308" s="438"/>
      <c r="AF308" s="438"/>
      <c r="AG308" s="438"/>
      <c r="AH308" s="438"/>
    </row>
    <row r="309">
      <c r="A309" s="438"/>
      <c r="B309" s="438"/>
      <c r="C309" s="438"/>
      <c r="D309" s="438"/>
      <c r="E309" s="438"/>
      <c r="F309" s="438"/>
      <c r="G309" s="438"/>
      <c r="H309" s="438"/>
      <c r="I309" s="438"/>
      <c r="J309" s="438"/>
      <c r="K309" s="438"/>
      <c r="L309" s="438"/>
      <c r="M309" s="438"/>
      <c r="N309" s="438"/>
      <c r="O309" s="438"/>
      <c r="P309" s="438"/>
      <c r="Q309" s="438"/>
      <c r="R309" s="438"/>
      <c r="S309" s="438"/>
      <c r="T309" s="438"/>
      <c r="U309" s="438"/>
      <c r="V309" s="438"/>
      <c r="W309" s="438"/>
      <c r="X309" s="438"/>
      <c r="Y309" s="438"/>
      <c r="Z309" s="438"/>
      <c r="AA309" s="438"/>
      <c r="AB309" s="438"/>
      <c r="AC309" s="438"/>
      <c r="AD309" s="438"/>
      <c r="AE309" s="438"/>
      <c r="AF309" s="438"/>
      <c r="AG309" s="438"/>
      <c r="AH309" s="438"/>
    </row>
    <row r="310">
      <c r="A310" s="438"/>
      <c r="B310" s="438"/>
      <c r="C310" s="438"/>
      <c r="D310" s="438"/>
      <c r="E310" s="438"/>
      <c r="F310" s="438"/>
      <c r="G310" s="438"/>
      <c r="H310" s="438"/>
      <c r="I310" s="438"/>
      <c r="J310" s="438"/>
      <c r="K310" s="438"/>
      <c r="L310" s="438"/>
      <c r="M310" s="438"/>
      <c r="N310" s="438"/>
      <c r="O310" s="438"/>
      <c r="P310" s="438"/>
      <c r="Q310" s="438"/>
      <c r="R310" s="438"/>
      <c r="S310" s="438"/>
      <c r="T310" s="438"/>
      <c r="U310" s="438"/>
      <c r="V310" s="438"/>
      <c r="W310" s="438"/>
      <c r="X310" s="438"/>
      <c r="Y310" s="438"/>
      <c r="Z310" s="438"/>
      <c r="AA310" s="438"/>
      <c r="AB310" s="438"/>
      <c r="AC310" s="438"/>
      <c r="AD310" s="438"/>
      <c r="AE310" s="438"/>
      <c r="AF310" s="438"/>
      <c r="AG310" s="438"/>
      <c r="AH310" s="438"/>
    </row>
    <row r="311">
      <c r="A311" s="438"/>
      <c r="B311" s="438"/>
      <c r="C311" s="438"/>
      <c r="D311" s="438"/>
      <c r="E311" s="438"/>
      <c r="F311" s="438"/>
      <c r="G311" s="438"/>
      <c r="H311" s="438"/>
      <c r="I311" s="438"/>
      <c r="J311" s="438"/>
      <c r="K311" s="438"/>
      <c r="L311" s="438"/>
      <c r="M311" s="438"/>
      <c r="N311" s="438"/>
      <c r="O311" s="438"/>
      <c r="P311" s="438"/>
      <c r="Q311" s="438"/>
      <c r="R311" s="438"/>
      <c r="S311" s="438"/>
      <c r="T311" s="438"/>
      <c r="U311" s="438"/>
      <c r="V311" s="438"/>
      <c r="W311" s="438"/>
      <c r="X311" s="438"/>
      <c r="Y311" s="438"/>
      <c r="Z311" s="438"/>
      <c r="AA311" s="438"/>
      <c r="AB311" s="438"/>
      <c r="AC311" s="438"/>
      <c r="AD311" s="438"/>
      <c r="AE311" s="438"/>
      <c r="AF311" s="438"/>
      <c r="AG311" s="438"/>
      <c r="AH311" s="438"/>
    </row>
    <row r="312">
      <c r="A312" s="438"/>
      <c r="B312" s="438"/>
      <c r="C312" s="438"/>
      <c r="D312" s="438"/>
      <c r="E312" s="438"/>
      <c r="F312" s="438"/>
      <c r="G312" s="438"/>
      <c r="H312" s="438"/>
      <c r="I312" s="438"/>
      <c r="J312" s="438"/>
      <c r="K312" s="438"/>
      <c r="L312" s="438"/>
      <c r="M312" s="438"/>
      <c r="N312" s="438"/>
      <c r="O312" s="438"/>
      <c r="P312" s="438"/>
      <c r="Q312" s="438"/>
      <c r="R312" s="438"/>
      <c r="S312" s="438"/>
      <c r="T312" s="438"/>
      <c r="U312" s="438"/>
      <c r="V312" s="438"/>
      <c r="W312" s="438"/>
      <c r="X312" s="438"/>
      <c r="Y312" s="438"/>
      <c r="Z312" s="438"/>
      <c r="AA312" s="438"/>
      <c r="AB312" s="438"/>
      <c r="AC312" s="438"/>
      <c r="AD312" s="438"/>
      <c r="AE312" s="438"/>
      <c r="AF312" s="438"/>
      <c r="AG312" s="438"/>
      <c r="AH312" s="438"/>
    </row>
    <row r="313">
      <c r="A313" s="438"/>
      <c r="B313" s="438"/>
      <c r="C313" s="438"/>
      <c r="D313" s="438"/>
      <c r="E313" s="438"/>
      <c r="F313" s="438"/>
      <c r="G313" s="438"/>
      <c r="H313" s="438"/>
      <c r="I313" s="438"/>
      <c r="J313" s="438"/>
      <c r="K313" s="438"/>
      <c r="L313" s="438"/>
      <c r="M313" s="438"/>
      <c r="N313" s="438"/>
      <c r="O313" s="438"/>
      <c r="P313" s="438"/>
      <c r="Q313" s="438"/>
      <c r="R313" s="438"/>
      <c r="S313" s="438"/>
      <c r="T313" s="438"/>
      <c r="U313" s="438"/>
      <c r="V313" s="438"/>
      <c r="W313" s="438"/>
      <c r="X313" s="438"/>
      <c r="Y313" s="438"/>
      <c r="Z313" s="438"/>
      <c r="AA313" s="438"/>
      <c r="AB313" s="438"/>
      <c r="AC313" s="438"/>
      <c r="AD313" s="438"/>
      <c r="AE313" s="438"/>
      <c r="AF313" s="438"/>
      <c r="AG313" s="438"/>
      <c r="AH313" s="438"/>
    </row>
    <row r="314">
      <c r="A314" s="438"/>
      <c r="B314" s="438"/>
      <c r="C314" s="438"/>
      <c r="D314" s="438"/>
      <c r="E314" s="438"/>
      <c r="F314" s="438"/>
      <c r="G314" s="438"/>
      <c r="H314" s="438"/>
      <c r="I314" s="438"/>
      <c r="J314" s="438"/>
      <c r="K314" s="438"/>
      <c r="L314" s="438"/>
      <c r="M314" s="438"/>
      <c r="N314" s="438"/>
      <c r="O314" s="438"/>
      <c r="P314" s="438"/>
      <c r="Q314" s="438"/>
      <c r="R314" s="438"/>
      <c r="S314" s="438"/>
      <c r="T314" s="438"/>
      <c r="U314" s="438"/>
      <c r="V314" s="438"/>
      <c r="W314" s="438"/>
      <c r="X314" s="438"/>
      <c r="Y314" s="438"/>
      <c r="Z314" s="438"/>
      <c r="AA314" s="438"/>
      <c r="AB314" s="438"/>
      <c r="AC314" s="438"/>
      <c r="AD314" s="438"/>
      <c r="AE314" s="438"/>
      <c r="AF314" s="438"/>
      <c r="AG314" s="438"/>
      <c r="AH314" s="438"/>
    </row>
    <row r="315">
      <c r="A315" s="438"/>
      <c r="B315" s="438"/>
      <c r="C315" s="438"/>
      <c r="D315" s="438"/>
      <c r="E315" s="438"/>
      <c r="F315" s="438"/>
      <c r="G315" s="438"/>
      <c r="H315" s="438"/>
      <c r="I315" s="438"/>
      <c r="J315" s="438"/>
      <c r="K315" s="438"/>
      <c r="L315" s="438"/>
      <c r="M315" s="438"/>
      <c r="N315" s="438"/>
      <c r="O315" s="438"/>
      <c r="P315" s="438"/>
      <c r="Q315" s="438"/>
      <c r="R315" s="438"/>
      <c r="S315" s="438"/>
      <c r="T315" s="438"/>
      <c r="U315" s="438"/>
      <c r="V315" s="438"/>
      <c r="W315" s="438"/>
      <c r="X315" s="438"/>
      <c r="Y315" s="438"/>
      <c r="Z315" s="438"/>
      <c r="AA315" s="438"/>
      <c r="AB315" s="438"/>
      <c r="AC315" s="438"/>
      <c r="AD315" s="438"/>
      <c r="AE315" s="438"/>
      <c r="AF315" s="438"/>
      <c r="AG315" s="438"/>
      <c r="AH315" s="438"/>
    </row>
    <row r="316">
      <c r="A316" s="438"/>
      <c r="B316" s="438"/>
      <c r="C316" s="438"/>
      <c r="D316" s="438"/>
      <c r="E316" s="438"/>
      <c r="F316" s="438"/>
      <c r="G316" s="438"/>
      <c r="H316" s="438"/>
      <c r="I316" s="438"/>
      <c r="J316" s="438"/>
      <c r="K316" s="438"/>
      <c r="L316" s="438"/>
      <c r="M316" s="438"/>
      <c r="N316" s="438"/>
      <c r="O316" s="438"/>
      <c r="P316" s="438"/>
      <c r="Q316" s="438"/>
      <c r="R316" s="438"/>
      <c r="S316" s="438"/>
      <c r="T316" s="438"/>
      <c r="U316" s="438"/>
      <c r="V316" s="438"/>
      <c r="W316" s="438"/>
      <c r="X316" s="438"/>
      <c r="Y316" s="438"/>
      <c r="Z316" s="438"/>
      <c r="AA316" s="438"/>
      <c r="AB316" s="438"/>
      <c r="AC316" s="438"/>
      <c r="AD316" s="438"/>
      <c r="AE316" s="438"/>
      <c r="AF316" s="438"/>
      <c r="AG316" s="438"/>
      <c r="AH316" s="438"/>
    </row>
    <row r="317">
      <c r="A317" s="438"/>
      <c r="B317" s="438"/>
      <c r="C317" s="438"/>
      <c r="D317" s="438"/>
      <c r="E317" s="438"/>
      <c r="F317" s="438"/>
      <c r="G317" s="438"/>
      <c r="H317" s="438"/>
      <c r="I317" s="438"/>
      <c r="J317" s="438"/>
      <c r="K317" s="438"/>
      <c r="L317" s="438"/>
      <c r="M317" s="438"/>
      <c r="N317" s="438"/>
      <c r="O317" s="438"/>
      <c r="P317" s="438"/>
      <c r="Q317" s="438"/>
      <c r="R317" s="438"/>
      <c r="S317" s="438"/>
      <c r="T317" s="438"/>
      <c r="U317" s="438"/>
      <c r="V317" s="438"/>
      <c r="W317" s="438"/>
      <c r="X317" s="438"/>
      <c r="Y317" s="438"/>
      <c r="Z317" s="438"/>
      <c r="AA317" s="438"/>
      <c r="AB317" s="438"/>
      <c r="AC317" s="438"/>
      <c r="AD317" s="438"/>
      <c r="AE317" s="438"/>
      <c r="AF317" s="438"/>
      <c r="AG317" s="438"/>
      <c r="AH317" s="438"/>
    </row>
    <row r="318">
      <c r="A318" s="438"/>
      <c r="B318" s="438"/>
      <c r="C318" s="438"/>
      <c r="D318" s="438"/>
      <c r="E318" s="438"/>
      <c r="F318" s="438"/>
      <c r="G318" s="438"/>
      <c r="H318" s="438"/>
      <c r="I318" s="438"/>
      <c r="J318" s="438"/>
      <c r="K318" s="438"/>
      <c r="L318" s="438"/>
      <c r="M318" s="438"/>
      <c r="N318" s="438"/>
      <c r="O318" s="438"/>
      <c r="P318" s="438"/>
      <c r="Q318" s="438"/>
      <c r="R318" s="438"/>
      <c r="S318" s="438"/>
      <c r="T318" s="438"/>
      <c r="U318" s="438"/>
      <c r="V318" s="438"/>
      <c r="W318" s="438"/>
      <c r="X318" s="438"/>
      <c r="Y318" s="438"/>
      <c r="Z318" s="438"/>
      <c r="AA318" s="438"/>
      <c r="AB318" s="438"/>
      <c r="AC318" s="438"/>
      <c r="AD318" s="438"/>
      <c r="AE318" s="438"/>
      <c r="AF318" s="438"/>
      <c r="AG318" s="438"/>
      <c r="AH318" s="438"/>
    </row>
    <row r="319">
      <c r="A319" s="438"/>
      <c r="B319" s="438"/>
      <c r="C319" s="438"/>
      <c r="D319" s="438"/>
      <c r="E319" s="438"/>
      <c r="F319" s="438"/>
      <c r="G319" s="438"/>
      <c r="H319" s="438"/>
      <c r="I319" s="438"/>
      <c r="J319" s="438"/>
      <c r="K319" s="438"/>
      <c r="L319" s="438"/>
      <c r="M319" s="438"/>
      <c r="N319" s="438"/>
      <c r="O319" s="438"/>
      <c r="P319" s="438"/>
      <c r="Q319" s="438"/>
      <c r="R319" s="438"/>
      <c r="S319" s="438"/>
      <c r="T319" s="438"/>
      <c r="U319" s="438"/>
      <c r="V319" s="438"/>
      <c r="W319" s="438"/>
      <c r="X319" s="438"/>
      <c r="Y319" s="438"/>
      <c r="Z319" s="438"/>
      <c r="AA319" s="438"/>
      <c r="AB319" s="438"/>
      <c r="AC319" s="438"/>
      <c r="AD319" s="438"/>
      <c r="AE319" s="438"/>
      <c r="AF319" s="438"/>
      <c r="AG319" s="438"/>
      <c r="AH319" s="438"/>
    </row>
    <row r="320">
      <c r="A320" s="438"/>
      <c r="B320" s="438"/>
      <c r="C320" s="438"/>
      <c r="D320" s="438"/>
      <c r="E320" s="438"/>
      <c r="F320" s="438"/>
      <c r="G320" s="438"/>
      <c r="H320" s="438"/>
      <c r="I320" s="438"/>
      <c r="J320" s="438"/>
      <c r="K320" s="438"/>
      <c r="L320" s="438"/>
      <c r="M320" s="438"/>
      <c r="N320" s="438"/>
      <c r="O320" s="438"/>
      <c r="P320" s="438"/>
      <c r="Q320" s="438"/>
      <c r="R320" s="438"/>
      <c r="S320" s="438"/>
      <c r="T320" s="438"/>
      <c r="U320" s="438"/>
      <c r="V320" s="438"/>
      <c r="W320" s="438"/>
      <c r="X320" s="438"/>
      <c r="Y320" s="438"/>
      <c r="Z320" s="438"/>
      <c r="AA320" s="438"/>
      <c r="AB320" s="438"/>
      <c r="AC320" s="438"/>
      <c r="AD320" s="438"/>
      <c r="AE320" s="438"/>
      <c r="AF320" s="438"/>
      <c r="AG320" s="438"/>
      <c r="AH320" s="438"/>
    </row>
    <row r="321">
      <c r="A321" s="438"/>
      <c r="B321" s="438"/>
      <c r="C321" s="438"/>
      <c r="D321" s="438"/>
      <c r="E321" s="438"/>
      <c r="F321" s="438"/>
      <c r="G321" s="438"/>
      <c r="H321" s="438"/>
      <c r="I321" s="438"/>
      <c r="J321" s="438"/>
      <c r="K321" s="438"/>
      <c r="L321" s="438"/>
      <c r="M321" s="438"/>
      <c r="N321" s="438"/>
      <c r="O321" s="438"/>
      <c r="P321" s="438"/>
      <c r="Q321" s="438"/>
      <c r="R321" s="438"/>
      <c r="S321" s="438"/>
      <c r="T321" s="438"/>
      <c r="U321" s="438"/>
      <c r="V321" s="438"/>
      <c r="W321" s="438"/>
      <c r="X321" s="438"/>
      <c r="Y321" s="438"/>
      <c r="Z321" s="438"/>
      <c r="AA321" s="438"/>
      <c r="AB321" s="438"/>
      <c r="AC321" s="438"/>
      <c r="AD321" s="438"/>
      <c r="AE321" s="438"/>
      <c r="AF321" s="438"/>
      <c r="AG321" s="438"/>
      <c r="AH321" s="438"/>
    </row>
    <row r="322">
      <c r="A322" s="438"/>
      <c r="B322" s="438"/>
      <c r="C322" s="438"/>
      <c r="D322" s="438"/>
      <c r="E322" s="438"/>
      <c r="F322" s="438"/>
      <c r="G322" s="438"/>
      <c r="H322" s="438"/>
      <c r="I322" s="438"/>
      <c r="J322" s="438"/>
      <c r="K322" s="438"/>
      <c r="L322" s="438"/>
      <c r="M322" s="438"/>
      <c r="N322" s="438"/>
      <c r="O322" s="438"/>
      <c r="P322" s="438"/>
      <c r="Q322" s="438"/>
      <c r="R322" s="438"/>
      <c r="S322" s="438"/>
      <c r="T322" s="438"/>
      <c r="U322" s="438"/>
      <c r="V322" s="438"/>
      <c r="W322" s="438"/>
      <c r="X322" s="438"/>
      <c r="Y322" s="438"/>
      <c r="Z322" s="438"/>
      <c r="AA322" s="438"/>
      <c r="AB322" s="438"/>
      <c r="AC322" s="438"/>
      <c r="AD322" s="438"/>
      <c r="AE322" s="438"/>
      <c r="AF322" s="438"/>
      <c r="AG322" s="438"/>
      <c r="AH322" s="438"/>
    </row>
    <row r="323">
      <c r="A323" s="438"/>
      <c r="B323" s="438"/>
      <c r="C323" s="438"/>
      <c r="D323" s="438"/>
      <c r="E323" s="438"/>
      <c r="F323" s="438"/>
      <c r="G323" s="438"/>
      <c r="H323" s="438"/>
      <c r="I323" s="438"/>
      <c r="J323" s="438"/>
      <c r="K323" s="438"/>
      <c r="L323" s="438"/>
      <c r="M323" s="438"/>
      <c r="N323" s="438"/>
      <c r="O323" s="438"/>
      <c r="P323" s="438"/>
      <c r="Q323" s="438"/>
      <c r="R323" s="438"/>
      <c r="S323" s="438"/>
      <c r="T323" s="438"/>
      <c r="U323" s="438"/>
      <c r="V323" s="438"/>
      <c r="W323" s="438"/>
      <c r="X323" s="438"/>
      <c r="Y323" s="438"/>
      <c r="Z323" s="438"/>
      <c r="AA323" s="438"/>
      <c r="AB323" s="438"/>
      <c r="AC323" s="438"/>
      <c r="AD323" s="438"/>
      <c r="AE323" s="438"/>
      <c r="AF323" s="438"/>
      <c r="AG323" s="438"/>
      <c r="AH323" s="438"/>
    </row>
    <row r="324">
      <c r="A324" s="438"/>
      <c r="B324" s="438"/>
      <c r="C324" s="438"/>
      <c r="D324" s="438"/>
      <c r="E324" s="438"/>
      <c r="F324" s="438"/>
      <c r="G324" s="438"/>
      <c r="H324" s="438"/>
      <c r="I324" s="438"/>
      <c r="J324" s="438"/>
      <c r="K324" s="438"/>
      <c r="L324" s="438"/>
      <c r="M324" s="438"/>
      <c r="N324" s="438"/>
      <c r="O324" s="438"/>
      <c r="P324" s="438"/>
      <c r="Q324" s="438"/>
      <c r="R324" s="438"/>
      <c r="S324" s="438"/>
      <c r="T324" s="438"/>
      <c r="U324" s="438"/>
      <c r="V324" s="438"/>
      <c r="W324" s="438"/>
      <c r="X324" s="438"/>
      <c r="Y324" s="438"/>
      <c r="Z324" s="438"/>
      <c r="AA324" s="438"/>
      <c r="AB324" s="438"/>
      <c r="AC324" s="438"/>
      <c r="AD324" s="438"/>
      <c r="AE324" s="438"/>
      <c r="AF324" s="438"/>
      <c r="AG324" s="438"/>
      <c r="AH324" s="438"/>
    </row>
    <row r="325">
      <c r="A325" s="438"/>
      <c r="B325" s="438"/>
      <c r="C325" s="438"/>
      <c r="D325" s="438"/>
      <c r="E325" s="438"/>
      <c r="F325" s="438"/>
      <c r="G325" s="438"/>
      <c r="H325" s="438"/>
      <c r="I325" s="438"/>
      <c r="J325" s="438"/>
      <c r="K325" s="438"/>
      <c r="L325" s="438"/>
      <c r="M325" s="438"/>
      <c r="N325" s="438"/>
      <c r="O325" s="438"/>
      <c r="P325" s="438"/>
      <c r="Q325" s="438"/>
      <c r="R325" s="438"/>
      <c r="S325" s="438"/>
      <c r="T325" s="438"/>
      <c r="U325" s="438"/>
      <c r="V325" s="438"/>
      <c r="W325" s="438"/>
      <c r="X325" s="438"/>
      <c r="Y325" s="438"/>
      <c r="Z325" s="438"/>
      <c r="AA325" s="438"/>
      <c r="AB325" s="438"/>
      <c r="AC325" s="438"/>
      <c r="AD325" s="438"/>
      <c r="AE325" s="438"/>
      <c r="AF325" s="438"/>
      <c r="AG325" s="438"/>
      <c r="AH325" s="438"/>
    </row>
    <row r="326">
      <c r="A326" s="438"/>
      <c r="B326" s="438"/>
      <c r="C326" s="438"/>
      <c r="D326" s="438"/>
      <c r="E326" s="438"/>
      <c r="F326" s="438"/>
      <c r="G326" s="438"/>
      <c r="H326" s="438"/>
      <c r="I326" s="438"/>
      <c r="J326" s="438"/>
      <c r="K326" s="438"/>
      <c r="L326" s="438"/>
      <c r="M326" s="438"/>
      <c r="N326" s="438"/>
      <c r="O326" s="438"/>
      <c r="P326" s="438"/>
      <c r="Q326" s="438"/>
      <c r="R326" s="438"/>
      <c r="S326" s="438"/>
      <c r="T326" s="438"/>
      <c r="U326" s="438"/>
      <c r="V326" s="438"/>
      <c r="W326" s="438"/>
      <c r="X326" s="438"/>
      <c r="Y326" s="438"/>
      <c r="Z326" s="438"/>
      <c r="AA326" s="438"/>
      <c r="AB326" s="438"/>
      <c r="AC326" s="438"/>
      <c r="AD326" s="438"/>
      <c r="AE326" s="438"/>
      <c r="AF326" s="438"/>
      <c r="AG326" s="438"/>
      <c r="AH326" s="438"/>
    </row>
    <row r="327">
      <c r="A327" s="438"/>
      <c r="B327" s="438"/>
      <c r="C327" s="438"/>
      <c r="D327" s="438"/>
      <c r="E327" s="438"/>
      <c r="F327" s="438"/>
      <c r="G327" s="438"/>
      <c r="H327" s="438"/>
      <c r="I327" s="438"/>
      <c r="J327" s="438"/>
      <c r="K327" s="438"/>
      <c r="L327" s="438"/>
      <c r="M327" s="438"/>
      <c r="N327" s="438"/>
      <c r="O327" s="438"/>
      <c r="P327" s="438"/>
      <c r="Q327" s="438"/>
      <c r="R327" s="438"/>
      <c r="S327" s="438"/>
      <c r="T327" s="438"/>
      <c r="U327" s="438"/>
      <c r="V327" s="438"/>
      <c r="W327" s="438"/>
      <c r="X327" s="438"/>
      <c r="Y327" s="438"/>
      <c r="Z327" s="438"/>
      <c r="AA327" s="438"/>
      <c r="AB327" s="438"/>
      <c r="AC327" s="438"/>
      <c r="AD327" s="438"/>
      <c r="AE327" s="438"/>
      <c r="AF327" s="438"/>
      <c r="AG327" s="438"/>
      <c r="AH327" s="438"/>
    </row>
    <row r="328">
      <c r="A328" s="438"/>
      <c r="B328" s="438"/>
      <c r="C328" s="438"/>
      <c r="D328" s="438"/>
      <c r="E328" s="438"/>
      <c r="F328" s="438"/>
      <c r="G328" s="438"/>
      <c r="H328" s="438"/>
      <c r="I328" s="438"/>
      <c r="J328" s="438"/>
      <c r="K328" s="438"/>
      <c r="L328" s="438"/>
      <c r="M328" s="438"/>
      <c r="N328" s="438"/>
      <c r="O328" s="438"/>
      <c r="P328" s="438"/>
      <c r="Q328" s="438"/>
      <c r="R328" s="438"/>
      <c r="S328" s="438"/>
      <c r="T328" s="438"/>
      <c r="U328" s="438"/>
      <c r="V328" s="438"/>
      <c r="W328" s="438"/>
      <c r="X328" s="438"/>
      <c r="Y328" s="438"/>
      <c r="Z328" s="438"/>
      <c r="AA328" s="438"/>
      <c r="AB328" s="438"/>
      <c r="AC328" s="438"/>
      <c r="AD328" s="438"/>
      <c r="AE328" s="438"/>
      <c r="AF328" s="438"/>
      <c r="AG328" s="438"/>
      <c r="AH328" s="438"/>
    </row>
    <row r="329">
      <c r="A329" s="438"/>
      <c r="B329" s="438"/>
      <c r="C329" s="438"/>
      <c r="D329" s="438"/>
      <c r="E329" s="438"/>
      <c r="F329" s="438"/>
      <c r="G329" s="438"/>
      <c r="H329" s="438"/>
      <c r="I329" s="438"/>
      <c r="J329" s="438"/>
      <c r="K329" s="438"/>
      <c r="L329" s="438"/>
      <c r="M329" s="438"/>
      <c r="N329" s="438"/>
      <c r="O329" s="438"/>
      <c r="P329" s="438"/>
      <c r="Q329" s="438"/>
      <c r="R329" s="438"/>
      <c r="S329" s="438"/>
      <c r="T329" s="438"/>
      <c r="U329" s="438"/>
      <c r="V329" s="438"/>
      <c r="W329" s="438"/>
      <c r="X329" s="438"/>
      <c r="Y329" s="438"/>
      <c r="Z329" s="438"/>
      <c r="AA329" s="438"/>
      <c r="AB329" s="438"/>
      <c r="AC329" s="438"/>
      <c r="AD329" s="438"/>
      <c r="AE329" s="438"/>
      <c r="AF329" s="438"/>
      <c r="AG329" s="438"/>
      <c r="AH329" s="438"/>
    </row>
    <row r="330">
      <c r="A330" s="438"/>
      <c r="B330" s="438"/>
      <c r="C330" s="438"/>
      <c r="D330" s="438"/>
      <c r="E330" s="438"/>
      <c r="F330" s="438"/>
      <c r="G330" s="438"/>
      <c r="H330" s="438"/>
      <c r="I330" s="438"/>
      <c r="J330" s="438"/>
      <c r="K330" s="438"/>
      <c r="L330" s="438"/>
      <c r="M330" s="438"/>
      <c r="N330" s="438"/>
      <c r="O330" s="438"/>
      <c r="P330" s="438"/>
      <c r="Q330" s="438"/>
      <c r="R330" s="438"/>
      <c r="S330" s="438"/>
      <c r="T330" s="438"/>
      <c r="U330" s="438"/>
      <c r="V330" s="438"/>
      <c r="W330" s="438"/>
      <c r="X330" s="438"/>
      <c r="Y330" s="438"/>
      <c r="Z330" s="438"/>
      <c r="AA330" s="438"/>
      <c r="AB330" s="438"/>
      <c r="AC330" s="438"/>
      <c r="AD330" s="438"/>
      <c r="AE330" s="438"/>
      <c r="AF330" s="438"/>
      <c r="AG330" s="438"/>
      <c r="AH330" s="438"/>
    </row>
    <row r="331">
      <c r="A331" s="438"/>
      <c r="B331" s="438"/>
      <c r="C331" s="438"/>
      <c r="D331" s="438"/>
      <c r="E331" s="438"/>
      <c r="F331" s="438"/>
      <c r="G331" s="438"/>
      <c r="H331" s="438"/>
      <c r="I331" s="438"/>
      <c r="J331" s="438"/>
      <c r="K331" s="438"/>
      <c r="L331" s="438"/>
      <c r="M331" s="438"/>
      <c r="N331" s="438"/>
      <c r="O331" s="438"/>
      <c r="P331" s="438"/>
      <c r="Q331" s="438"/>
      <c r="R331" s="438"/>
      <c r="S331" s="438"/>
      <c r="T331" s="438"/>
      <c r="U331" s="438"/>
      <c r="V331" s="438"/>
      <c r="W331" s="438"/>
      <c r="X331" s="438"/>
      <c r="Y331" s="438"/>
      <c r="Z331" s="438"/>
      <c r="AA331" s="438"/>
      <c r="AB331" s="438"/>
      <c r="AC331" s="438"/>
      <c r="AD331" s="438"/>
      <c r="AE331" s="438"/>
      <c r="AF331" s="438"/>
      <c r="AG331" s="438"/>
      <c r="AH331" s="438"/>
    </row>
    <row r="332">
      <c r="A332" s="438"/>
      <c r="B332" s="438"/>
      <c r="C332" s="438"/>
      <c r="D332" s="438"/>
      <c r="E332" s="438"/>
      <c r="F332" s="438"/>
      <c r="G332" s="438"/>
      <c r="H332" s="438"/>
      <c r="I332" s="438"/>
      <c r="J332" s="438"/>
      <c r="K332" s="438"/>
      <c r="L332" s="438"/>
      <c r="M332" s="438"/>
      <c r="N332" s="438"/>
      <c r="O332" s="438"/>
      <c r="P332" s="438"/>
      <c r="Q332" s="438"/>
      <c r="R332" s="438"/>
      <c r="S332" s="438"/>
      <c r="T332" s="438"/>
      <c r="U332" s="438"/>
      <c r="V332" s="438"/>
      <c r="W332" s="438"/>
      <c r="X332" s="438"/>
      <c r="Y332" s="438"/>
      <c r="Z332" s="438"/>
      <c r="AA332" s="438"/>
      <c r="AB332" s="438"/>
      <c r="AC332" s="438"/>
      <c r="AD332" s="438"/>
      <c r="AE332" s="438"/>
      <c r="AF332" s="438"/>
      <c r="AG332" s="438"/>
      <c r="AH332" s="438"/>
    </row>
    <row r="333">
      <c r="A333" s="438"/>
      <c r="B333" s="438"/>
      <c r="C333" s="438"/>
      <c r="D333" s="438"/>
      <c r="E333" s="438"/>
      <c r="F333" s="438"/>
      <c r="G333" s="438"/>
      <c r="H333" s="438"/>
      <c r="I333" s="438"/>
      <c r="J333" s="438"/>
      <c r="K333" s="438"/>
      <c r="L333" s="438"/>
      <c r="M333" s="438"/>
      <c r="N333" s="438"/>
      <c r="O333" s="438"/>
      <c r="P333" s="438"/>
      <c r="Q333" s="438"/>
      <c r="R333" s="438"/>
      <c r="S333" s="438"/>
      <c r="T333" s="438"/>
      <c r="U333" s="438"/>
      <c r="V333" s="438"/>
      <c r="W333" s="438"/>
      <c r="X333" s="438"/>
      <c r="Y333" s="438"/>
      <c r="Z333" s="438"/>
      <c r="AA333" s="438"/>
      <c r="AB333" s="438"/>
      <c r="AC333" s="438"/>
      <c r="AD333" s="438"/>
      <c r="AE333" s="438"/>
      <c r="AF333" s="438"/>
      <c r="AG333" s="438"/>
      <c r="AH333" s="438"/>
    </row>
    <row r="334">
      <c r="A334" s="438"/>
      <c r="B334" s="438"/>
      <c r="C334" s="438"/>
      <c r="D334" s="438"/>
      <c r="E334" s="438"/>
      <c r="F334" s="438"/>
      <c r="G334" s="438"/>
      <c r="H334" s="438"/>
      <c r="I334" s="438"/>
      <c r="J334" s="438"/>
      <c r="K334" s="438"/>
      <c r="L334" s="438"/>
      <c r="M334" s="438"/>
      <c r="N334" s="438"/>
      <c r="O334" s="438"/>
      <c r="P334" s="438"/>
      <c r="Q334" s="438"/>
      <c r="R334" s="438"/>
      <c r="S334" s="438"/>
      <c r="T334" s="438"/>
      <c r="U334" s="438"/>
      <c r="V334" s="438"/>
      <c r="W334" s="438"/>
      <c r="X334" s="438"/>
      <c r="Y334" s="438"/>
      <c r="Z334" s="438"/>
      <c r="AA334" s="438"/>
      <c r="AB334" s="438"/>
      <c r="AC334" s="438"/>
      <c r="AD334" s="438"/>
      <c r="AE334" s="438"/>
      <c r="AF334" s="438"/>
      <c r="AG334" s="438"/>
      <c r="AH334" s="438"/>
    </row>
    <row r="335">
      <c r="A335" s="438"/>
      <c r="B335" s="438"/>
      <c r="C335" s="438"/>
      <c r="D335" s="438"/>
      <c r="E335" s="438"/>
      <c r="F335" s="438"/>
      <c r="G335" s="438"/>
      <c r="H335" s="438"/>
      <c r="I335" s="438"/>
      <c r="J335" s="438"/>
      <c r="K335" s="438"/>
      <c r="L335" s="438"/>
      <c r="M335" s="438"/>
      <c r="N335" s="438"/>
      <c r="O335" s="438"/>
      <c r="P335" s="438"/>
      <c r="Q335" s="438"/>
      <c r="R335" s="438"/>
      <c r="S335" s="438"/>
      <c r="T335" s="438"/>
      <c r="U335" s="438"/>
      <c r="V335" s="438"/>
      <c r="W335" s="438"/>
      <c r="X335" s="438"/>
      <c r="Y335" s="438"/>
      <c r="Z335" s="438"/>
      <c r="AA335" s="438"/>
      <c r="AB335" s="438"/>
      <c r="AC335" s="438"/>
      <c r="AD335" s="438"/>
      <c r="AE335" s="438"/>
      <c r="AF335" s="438"/>
      <c r="AG335" s="438"/>
      <c r="AH335" s="438"/>
    </row>
    <row r="336">
      <c r="A336" s="438"/>
      <c r="B336" s="438"/>
      <c r="C336" s="438"/>
      <c r="D336" s="438"/>
      <c r="E336" s="438"/>
      <c r="F336" s="438"/>
      <c r="G336" s="438"/>
      <c r="H336" s="438"/>
      <c r="I336" s="438"/>
      <c r="J336" s="438"/>
      <c r="K336" s="438"/>
      <c r="L336" s="438"/>
      <c r="M336" s="438"/>
      <c r="N336" s="438"/>
      <c r="O336" s="438"/>
      <c r="P336" s="438"/>
      <c r="Q336" s="438"/>
      <c r="R336" s="438"/>
      <c r="S336" s="438"/>
      <c r="T336" s="438"/>
      <c r="U336" s="438"/>
      <c r="V336" s="438"/>
      <c r="W336" s="438"/>
      <c r="X336" s="438"/>
      <c r="Y336" s="438"/>
      <c r="Z336" s="438"/>
      <c r="AA336" s="438"/>
      <c r="AB336" s="438"/>
      <c r="AC336" s="438"/>
      <c r="AD336" s="438"/>
      <c r="AE336" s="438"/>
      <c r="AF336" s="438"/>
      <c r="AG336" s="438"/>
      <c r="AH336" s="438"/>
    </row>
    <row r="337">
      <c r="A337" s="438"/>
      <c r="B337" s="438"/>
      <c r="C337" s="438"/>
      <c r="D337" s="438"/>
      <c r="E337" s="438"/>
      <c r="F337" s="438"/>
      <c r="G337" s="438"/>
      <c r="H337" s="438"/>
      <c r="I337" s="438"/>
      <c r="J337" s="438"/>
      <c r="K337" s="438"/>
      <c r="L337" s="438"/>
      <c r="M337" s="438"/>
      <c r="N337" s="438"/>
      <c r="O337" s="438"/>
      <c r="P337" s="438"/>
      <c r="Q337" s="438"/>
      <c r="R337" s="438"/>
      <c r="S337" s="438"/>
      <c r="T337" s="438"/>
      <c r="U337" s="438"/>
      <c r="V337" s="438"/>
      <c r="W337" s="438"/>
      <c r="X337" s="438"/>
      <c r="Y337" s="438"/>
      <c r="Z337" s="438"/>
      <c r="AA337" s="438"/>
      <c r="AB337" s="438"/>
      <c r="AC337" s="438"/>
      <c r="AD337" s="438"/>
      <c r="AE337" s="438"/>
      <c r="AF337" s="438"/>
      <c r="AG337" s="438"/>
      <c r="AH337" s="438"/>
    </row>
    <row r="338">
      <c r="A338" s="438"/>
      <c r="B338" s="438"/>
      <c r="C338" s="438"/>
      <c r="D338" s="438"/>
      <c r="E338" s="438"/>
      <c r="F338" s="438"/>
      <c r="G338" s="438"/>
      <c r="H338" s="438"/>
      <c r="I338" s="438"/>
      <c r="J338" s="438"/>
      <c r="K338" s="438"/>
      <c r="L338" s="438"/>
      <c r="M338" s="438"/>
      <c r="N338" s="438"/>
      <c r="O338" s="438"/>
      <c r="P338" s="438"/>
      <c r="Q338" s="438"/>
      <c r="R338" s="438"/>
      <c r="S338" s="438"/>
      <c r="T338" s="438"/>
      <c r="U338" s="438"/>
      <c r="V338" s="438"/>
      <c r="W338" s="438"/>
      <c r="X338" s="438"/>
      <c r="Y338" s="438"/>
      <c r="Z338" s="438"/>
      <c r="AA338" s="438"/>
      <c r="AB338" s="438"/>
      <c r="AC338" s="438"/>
      <c r="AD338" s="438"/>
      <c r="AE338" s="438"/>
      <c r="AF338" s="438"/>
      <c r="AG338" s="438"/>
      <c r="AH338" s="438"/>
    </row>
    <row r="339">
      <c r="A339" s="438"/>
      <c r="B339" s="438"/>
      <c r="C339" s="438"/>
      <c r="D339" s="438"/>
      <c r="E339" s="438"/>
      <c r="F339" s="438"/>
      <c r="G339" s="438"/>
      <c r="H339" s="438"/>
      <c r="I339" s="438"/>
      <c r="J339" s="438"/>
      <c r="K339" s="438"/>
      <c r="L339" s="438"/>
      <c r="M339" s="438"/>
      <c r="N339" s="438"/>
      <c r="O339" s="438"/>
      <c r="P339" s="438"/>
      <c r="Q339" s="438"/>
      <c r="R339" s="438"/>
      <c r="S339" s="438"/>
      <c r="T339" s="438"/>
      <c r="U339" s="438"/>
      <c r="V339" s="438"/>
      <c r="W339" s="438"/>
      <c r="X339" s="438"/>
      <c r="Y339" s="438"/>
      <c r="Z339" s="438"/>
      <c r="AA339" s="438"/>
      <c r="AB339" s="438"/>
      <c r="AC339" s="438"/>
      <c r="AD339" s="438"/>
      <c r="AE339" s="438"/>
      <c r="AF339" s="438"/>
      <c r="AG339" s="438"/>
      <c r="AH339" s="438"/>
    </row>
    <row r="340">
      <c r="A340" s="438"/>
      <c r="B340" s="438"/>
      <c r="C340" s="438"/>
      <c r="D340" s="438"/>
      <c r="E340" s="438"/>
      <c r="F340" s="438"/>
      <c r="G340" s="438"/>
      <c r="H340" s="438"/>
      <c r="I340" s="438"/>
      <c r="J340" s="438"/>
      <c r="K340" s="438"/>
      <c r="L340" s="438"/>
      <c r="M340" s="438"/>
      <c r="N340" s="438"/>
      <c r="O340" s="438"/>
      <c r="P340" s="438"/>
      <c r="Q340" s="438"/>
      <c r="R340" s="438"/>
      <c r="S340" s="438"/>
      <c r="T340" s="438"/>
      <c r="U340" s="438"/>
      <c r="V340" s="438"/>
      <c r="W340" s="438"/>
      <c r="X340" s="438"/>
      <c r="Y340" s="438"/>
      <c r="Z340" s="438"/>
      <c r="AA340" s="438"/>
      <c r="AB340" s="438"/>
      <c r="AC340" s="438"/>
      <c r="AD340" s="438"/>
      <c r="AE340" s="438"/>
      <c r="AF340" s="438"/>
      <c r="AG340" s="438"/>
      <c r="AH340" s="438"/>
    </row>
    <row r="341">
      <c r="A341" s="438"/>
      <c r="B341" s="438"/>
      <c r="C341" s="438"/>
      <c r="D341" s="438"/>
      <c r="E341" s="438"/>
      <c r="F341" s="438"/>
      <c r="G341" s="438"/>
      <c r="H341" s="438"/>
      <c r="I341" s="438"/>
      <c r="J341" s="438"/>
      <c r="K341" s="438"/>
      <c r="L341" s="438"/>
      <c r="M341" s="438"/>
      <c r="N341" s="438"/>
      <c r="O341" s="438"/>
      <c r="P341" s="438"/>
      <c r="Q341" s="438"/>
      <c r="R341" s="438"/>
      <c r="S341" s="438"/>
      <c r="T341" s="438"/>
      <c r="U341" s="438"/>
      <c r="V341" s="438"/>
      <c r="W341" s="438"/>
      <c r="X341" s="438"/>
      <c r="Y341" s="438"/>
      <c r="Z341" s="438"/>
      <c r="AA341" s="438"/>
      <c r="AB341" s="438"/>
      <c r="AC341" s="438"/>
      <c r="AD341" s="438"/>
      <c r="AE341" s="438"/>
      <c r="AF341" s="438"/>
      <c r="AG341" s="438"/>
      <c r="AH341" s="438"/>
    </row>
    <row r="342">
      <c r="A342" s="438"/>
      <c r="B342" s="438"/>
      <c r="C342" s="438"/>
      <c r="D342" s="438"/>
      <c r="E342" s="438"/>
      <c r="F342" s="438"/>
      <c r="G342" s="438"/>
      <c r="H342" s="438"/>
      <c r="I342" s="438"/>
      <c r="J342" s="438"/>
      <c r="K342" s="438"/>
      <c r="L342" s="438"/>
      <c r="M342" s="438"/>
      <c r="N342" s="438"/>
      <c r="O342" s="438"/>
      <c r="P342" s="438"/>
      <c r="Q342" s="438"/>
      <c r="R342" s="438"/>
      <c r="S342" s="438"/>
      <c r="T342" s="438"/>
      <c r="U342" s="438"/>
      <c r="V342" s="438"/>
      <c r="W342" s="438"/>
      <c r="X342" s="438"/>
      <c r="Y342" s="438"/>
      <c r="Z342" s="438"/>
      <c r="AA342" s="438"/>
      <c r="AB342" s="438"/>
      <c r="AC342" s="438"/>
      <c r="AD342" s="438"/>
      <c r="AE342" s="438"/>
      <c r="AF342" s="438"/>
      <c r="AG342" s="438"/>
      <c r="AH342" s="438"/>
    </row>
    <row r="343">
      <c r="A343" s="438"/>
      <c r="B343" s="438"/>
      <c r="C343" s="438"/>
      <c r="D343" s="438"/>
      <c r="E343" s="438"/>
      <c r="F343" s="438"/>
      <c r="G343" s="438"/>
      <c r="H343" s="438"/>
      <c r="I343" s="438"/>
      <c r="J343" s="438"/>
      <c r="K343" s="438"/>
      <c r="L343" s="438"/>
      <c r="M343" s="438"/>
      <c r="N343" s="438"/>
      <c r="O343" s="438"/>
      <c r="P343" s="438"/>
      <c r="Q343" s="438"/>
      <c r="R343" s="438"/>
      <c r="S343" s="438"/>
      <c r="T343" s="438"/>
      <c r="U343" s="438"/>
      <c r="V343" s="438"/>
      <c r="W343" s="438"/>
      <c r="X343" s="438"/>
      <c r="Y343" s="438"/>
      <c r="Z343" s="438"/>
      <c r="AA343" s="438"/>
      <c r="AB343" s="438"/>
      <c r="AC343" s="438"/>
      <c r="AD343" s="438"/>
      <c r="AE343" s="438"/>
      <c r="AF343" s="438"/>
      <c r="AG343" s="438"/>
      <c r="AH343" s="438"/>
    </row>
    <row r="344">
      <c r="A344" s="438"/>
      <c r="B344" s="438"/>
      <c r="C344" s="438"/>
      <c r="D344" s="438"/>
      <c r="E344" s="438"/>
      <c r="F344" s="438"/>
      <c r="G344" s="438"/>
      <c r="H344" s="438"/>
      <c r="I344" s="438"/>
      <c r="J344" s="438"/>
      <c r="K344" s="438"/>
      <c r="L344" s="438"/>
      <c r="M344" s="438"/>
      <c r="N344" s="438"/>
      <c r="O344" s="438"/>
      <c r="P344" s="438"/>
      <c r="Q344" s="438"/>
      <c r="R344" s="438"/>
      <c r="S344" s="438"/>
      <c r="T344" s="438"/>
      <c r="U344" s="438"/>
      <c r="V344" s="438"/>
      <c r="W344" s="438"/>
      <c r="X344" s="438"/>
      <c r="Y344" s="438"/>
      <c r="Z344" s="438"/>
      <c r="AA344" s="438"/>
      <c r="AB344" s="438"/>
      <c r="AC344" s="438"/>
      <c r="AD344" s="438"/>
      <c r="AE344" s="438"/>
      <c r="AF344" s="438"/>
      <c r="AG344" s="438"/>
      <c r="AH344" s="438"/>
    </row>
    <row r="345">
      <c r="A345" s="438"/>
      <c r="B345" s="438"/>
      <c r="C345" s="438"/>
      <c r="D345" s="438"/>
      <c r="E345" s="438"/>
      <c r="F345" s="438"/>
      <c r="G345" s="438"/>
      <c r="H345" s="438"/>
      <c r="I345" s="438"/>
      <c r="J345" s="438"/>
      <c r="K345" s="438"/>
      <c r="L345" s="438"/>
      <c r="M345" s="438"/>
      <c r="N345" s="438"/>
      <c r="O345" s="438"/>
      <c r="P345" s="438"/>
      <c r="Q345" s="438"/>
      <c r="R345" s="438"/>
      <c r="S345" s="438"/>
      <c r="T345" s="438"/>
      <c r="U345" s="438"/>
      <c r="V345" s="438"/>
      <c r="W345" s="438"/>
      <c r="X345" s="438"/>
      <c r="Y345" s="438"/>
      <c r="Z345" s="438"/>
      <c r="AA345" s="438"/>
      <c r="AB345" s="438"/>
      <c r="AC345" s="438"/>
      <c r="AD345" s="438"/>
      <c r="AE345" s="438"/>
      <c r="AF345" s="438"/>
      <c r="AG345" s="438"/>
      <c r="AH345" s="438"/>
    </row>
    <row r="346">
      <c r="A346" s="438"/>
      <c r="B346" s="438"/>
      <c r="C346" s="438"/>
      <c r="D346" s="438"/>
      <c r="E346" s="438"/>
      <c r="F346" s="438"/>
      <c r="G346" s="438"/>
      <c r="H346" s="438"/>
      <c r="I346" s="438"/>
      <c r="J346" s="438"/>
      <c r="K346" s="438"/>
      <c r="L346" s="438"/>
      <c r="M346" s="438"/>
      <c r="N346" s="438"/>
      <c r="O346" s="438"/>
      <c r="P346" s="438"/>
      <c r="Q346" s="438"/>
      <c r="R346" s="438"/>
      <c r="S346" s="438"/>
      <c r="T346" s="438"/>
      <c r="U346" s="438"/>
      <c r="V346" s="438"/>
      <c r="W346" s="438"/>
      <c r="X346" s="438"/>
      <c r="Y346" s="438"/>
      <c r="Z346" s="438"/>
      <c r="AA346" s="438"/>
      <c r="AB346" s="438"/>
      <c r="AC346" s="438"/>
      <c r="AD346" s="438"/>
      <c r="AE346" s="438"/>
      <c r="AF346" s="438"/>
      <c r="AG346" s="438"/>
      <c r="AH346" s="438"/>
    </row>
    <row r="347">
      <c r="A347" s="438"/>
      <c r="B347" s="438"/>
      <c r="C347" s="438"/>
      <c r="D347" s="438"/>
      <c r="E347" s="438"/>
      <c r="F347" s="438"/>
      <c r="G347" s="438"/>
      <c r="H347" s="438"/>
      <c r="I347" s="438"/>
      <c r="J347" s="438"/>
      <c r="K347" s="438"/>
      <c r="L347" s="438"/>
      <c r="M347" s="438"/>
      <c r="N347" s="438"/>
      <c r="O347" s="438"/>
      <c r="P347" s="438"/>
      <c r="Q347" s="438"/>
      <c r="R347" s="438"/>
      <c r="S347" s="438"/>
      <c r="T347" s="438"/>
      <c r="U347" s="438"/>
      <c r="V347" s="438"/>
      <c r="W347" s="438"/>
      <c r="X347" s="438"/>
      <c r="Y347" s="438"/>
      <c r="Z347" s="438"/>
      <c r="AA347" s="438"/>
      <c r="AB347" s="438"/>
      <c r="AC347" s="438"/>
      <c r="AD347" s="438"/>
      <c r="AE347" s="438"/>
      <c r="AF347" s="438"/>
      <c r="AG347" s="438"/>
      <c r="AH347" s="438"/>
    </row>
    <row r="348">
      <c r="A348" s="438"/>
      <c r="B348" s="438"/>
      <c r="C348" s="438"/>
      <c r="D348" s="438"/>
      <c r="E348" s="438"/>
      <c r="F348" s="438"/>
      <c r="G348" s="438"/>
      <c r="H348" s="438"/>
      <c r="I348" s="438"/>
      <c r="J348" s="438"/>
      <c r="K348" s="438"/>
      <c r="L348" s="438"/>
      <c r="M348" s="438"/>
      <c r="N348" s="438"/>
      <c r="O348" s="438"/>
      <c r="P348" s="438"/>
      <c r="Q348" s="438"/>
      <c r="R348" s="438"/>
      <c r="S348" s="438"/>
      <c r="T348" s="438"/>
      <c r="U348" s="438"/>
      <c r="V348" s="438"/>
      <c r="W348" s="438"/>
      <c r="X348" s="438"/>
      <c r="Y348" s="438"/>
      <c r="Z348" s="438"/>
      <c r="AA348" s="438"/>
      <c r="AB348" s="438"/>
      <c r="AC348" s="438"/>
      <c r="AD348" s="438"/>
      <c r="AE348" s="438"/>
      <c r="AF348" s="438"/>
      <c r="AG348" s="438"/>
      <c r="AH348" s="438"/>
    </row>
    <row r="349">
      <c r="A349" s="438"/>
      <c r="B349" s="438"/>
      <c r="C349" s="438"/>
      <c r="D349" s="438"/>
      <c r="E349" s="438"/>
      <c r="F349" s="438"/>
      <c r="G349" s="438"/>
      <c r="H349" s="438"/>
      <c r="I349" s="438"/>
      <c r="J349" s="438"/>
      <c r="K349" s="438"/>
      <c r="L349" s="438"/>
      <c r="M349" s="438"/>
      <c r="N349" s="438"/>
      <c r="O349" s="438"/>
      <c r="P349" s="438"/>
      <c r="Q349" s="438"/>
      <c r="R349" s="438"/>
      <c r="S349" s="438"/>
      <c r="T349" s="438"/>
      <c r="U349" s="438"/>
      <c r="V349" s="438"/>
      <c r="W349" s="438"/>
      <c r="X349" s="438"/>
      <c r="Y349" s="438"/>
      <c r="Z349" s="438"/>
      <c r="AA349" s="438"/>
      <c r="AB349" s="438"/>
      <c r="AC349" s="438"/>
      <c r="AD349" s="438"/>
      <c r="AE349" s="438"/>
      <c r="AF349" s="438"/>
      <c r="AG349" s="438"/>
      <c r="AH349" s="438"/>
    </row>
    <row r="350">
      <c r="A350" s="438"/>
      <c r="B350" s="438"/>
      <c r="C350" s="438"/>
      <c r="D350" s="438"/>
      <c r="E350" s="438"/>
      <c r="F350" s="438"/>
      <c r="G350" s="438"/>
      <c r="H350" s="438"/>
      <c r="I350" s="438"/>
      <c r="J350" s="438"/>
      <c r="K350" s="438"/>
      <c r="L350" s="438"/>
      <c r="M350" s="438"/>
      <c r="N350" s="438"/>
      <c r="O350" s="438"/>
      <c r="P350" s="438"/>
      <c r="Q350" s="438"/>
      <c r="R350" s="438"/>
      <c r="S350" s="438"/>
      <c r="T350" s="438"/>
      <c r="U350" s="438"/>
      <c r="V350" s="438"/>
      <c r="W350" s="438"/>
      <c r="X350" s="438"/>
      <c r="Y350" s="438"/>
      <c r="Z350" s="438"/>
      <c r="AA350" s="438"/>
      <c r="AB350" s="438"/>
      <c r="AC350" s="438"/>
      <c r="AD350" s="438"/>
      <c r="AE350" s="438"/>
      <c r="AF350" s="438"/>
      <c r="AG350" s="438"/>
      <c r="AH350" s="438"/>
    </row>
    <row r="351">
      <c r="A351" s="438"/>
      <c r="B351" s="438"/>
      <c r="C351" s="438"/>
      <c r="D351" s="438"/>
      <c r="E351" s="438"/>
      <c r="F351" s="438"/>
      <c r="G351" s="438"/>
      <c r="H351" s="438"/>
      <c r="I351" s="438"/>
      <c r="J351" s="438"/>
      <c r="K351" s="438"/>
      <c r="L351" s="438"/>
      <c r="M351" s="438"/>
      <c r="N351" s="438"/>
      <c r="O351" s="438"/>
      <c r="P351" s="438"/>
      <c r="Q351" s="438"/>
      <c r="R351" s="438"/>
      <c r="S351" s="438"/>
      <c r="T351" s="438"/>
      <c r="U351" s="438"/>
      <c r="V351" s="438"/>
      <c r="W351" s="438"/>
      <c r="X351" s="438"/>
      <c r="Y351" s="438"/>
      <c r="Z351" s="438"/>
      <c r="AA351" s="438"/>
      <c r="AB351" s="438"/>
      <c r="AC351" s="438"/>
      <c r="AD351" s="438"/>
      <c r="AE351" s="438"/>
      <c r="AF351" s="438"/>
      <c r="AG351" s="438"/>
      <c r="AH351" s="438"/>
    </row>
    <row r="352">
      <c r="A352" s="438"/>
      <c r="B352" s="438"/>
      <c r="C352" s="438"/>
      <c r="D352" s="438"/>
      <c r="E352" s="438"/>
      <c r="F352" s="438"/>
      <c r="G352" s="438"/>
      <c r="H352" s="438"/>
      <c r="I352" s="438"/>
      <c r="J352" s="438"/>
      <c r="K352" s="438"/>
      <c r="L352" s="438"/>
      <c r="M352" s="438"/>
      <c r="N352" s="438"/>
      <c r="O352" s="438"/>
      <c r="P352" s="438"/>
      <c r="Q352" s="438"/>
      <c r="R352" s="438"/>
      <c r="S352" s="438"/>
      <c r="T352" s="438"/>
      <c r="U352" s="438"/>
      <c r="V352" s="438"/>
      <c r="W352" s="438"/>
      <c r="X352" s="438"/>
      <c r="Y352" s="438"/>
      <c r="Z352" s="438"/>
      <c r="AA352" s="438"/>
      <c r="AB352" s="438"/>
      <c r="AC352" s="438"/>
      <c r="AD352" s="438"/>
      <c r="AE352" s="438"/>
      <c r="AF352" s="438"/>
      <c r="AG352" s="438"/>
      <c r="AH352" s="438"/>
    </row>
    <row r="353">
      <c r="A353" s="438"/>
      <c r="B353" s="438"/>
      <c r="C353" s="438"/>
      <c r="D353" s="438"/>
      <c r="E353" s="438"/>
      <c r="F353" s="438"/>
      <c r="G353" s="438"/>
      <c r="H353" s="438"/>
      <c r="I353" s="438"/>
      <c r="J353" s="438"/>
      <c r="K353" s="438"/>
      <c r="L353" s="438"/>
      <c r="M353" s="438"/>
      <c r="N353" s="438"/>
      <c r="O353" s="438"/>
      <c r="P353" s="438"/>
      <c r="Q353" s="438"/>
      <c r="R353" s="438"/>
      <c r="S353" s="438"/>
      <c r="T353" s="438"/>
      <c r="U353" s="438"/>
      <c r="V353" s="438"/>
      <c r="W353" s="438"/>
      <c r="X353" s="438"/>
      <c r="Y353" s="438"/>
      <c r="Z353" s="438"/>
      <c r="AA353" s="438"/>
      <c r="AB353" s="438"/>
      <c r="AC353" s="438"/>
      <c r="AD353" s="438"/>
      <c r="AE353" s="438"/>
      <c r="AF353" s="438"/>
      <c r="AG353" s="438"/>
      <c r="AH353" s="438"/>
    </row>
    <row r="354">
      <c r="A354" s="438"/>
      <c r="B354" s="438"/>
      <c r="C354" s="438"/>
      <c r="D354" s="438"/>
      <c r="E354" s="438"/>
      <c r="F354" s="438"/>
      <c r="G354" s="438"/>
      <c r="H354" s="438"/>
      <c r="I354" s="438"/>
      <c r="J354" s="438"/>
      <c r="K354" s="438"/>
      <c r="L354" s="438"/>
      <c r="M354" s="438"/>
      <c r="N354" s="438"/>
      <c r="O354" s="438"/>
      <c r="P354" s="438"/>
      <c r="Q354" s="438"/>
      <c r="R354" s="438"/>
      <c r="S354" s="438"/>
      <c r="T354" s="438"/>
      <c r="U354" s="438"/>
      <c r="V354" s="438"/>
      <c r="W354" s="438"/>
      <c r="X354" s="438"/>
      <c r="Y354" s="438"/>
      <c r="Z354" s="438"/>
      <c r="AA354" s="438"/>
      <c r="AB354" s="438"/>
      <c r="AC354" s="438"/>
      <c r="AD354" s="438"/>
      <c r="AE354" s="438"/>
      <c r="AF354" s="438"/>
      <c r="AG354" s="438"/>
      <c r="AH354" s="438"/>
    </row>
    <row r="355">
      <c r="A355" s="438"/>
      <c r="B355" s="438"/>
      <c r="C355" s="438"/>
      <c r="D355" s="438"/>
      <c r="E355" s="438"/>
      <c r="F355" s="438"/>
      <c r="G355" s="438"/>
      <c r="H355" s="438"/>
      <c r="I355" s="438"/>
      <c r="J355" s="438"/>
      <c r="K355" s="438"/>
      <c r="L355" s="438"/>
      <c r="M355" s="438"/>
      <c r="N355" s="438"/>
      <c r="O355" s="438"/>
      <c r="P355" s="438"/>
      <c r="Q355" s="438"/>
      <c r="R355" s="438"/>
      <c r="S355" s="438"/>
      <c r="T355" s="438"/>
      <c r="U355" s="438"/>
      <c r="V355" s="438"/>
      <c r="W355" s="438"/>
      <c r="X355" s="438"/>
      <c r="Y355" s="438"/>
      <c r="Z355" s="438"/>
      <c r="AA355" s="438"/>
      <c r="AB355" s="438"/>
      <c r="AC355" s="438"/>
      <c r="AD355" s="438"/>
      <c r="AE355" s="438"/>
      <c r="AF355" s="438"/>
      <c r="AG355" s="438"/>
      <c r="AH355" s="438"/>
    </row>
    <row r="356">
      <c r="A356" s="438"/>
      <c r="B356" s="438"/>
      <c r="C356" s="438"/>
      <c r="D356" s="438"/>
      <c r="E356" s="438"/>
      <c r="F356" s="438"/>
      <c r="G356" s="438"/>
      <c r="H356" s="438"/>
      <c r="I356" s="438"/>
      <c r="J356" s="438"/>
      <c r="K356" s="438"/>
      <c r="L356" s="438"/>
      <c r="M356" s="438"/>
      <c r="N356" s="438"/>
      <c r="O356" s="438"/>
      <c r="P356" s="438"/>
      <c r="Q356" s="438"/>
      <c r="R356" s="438"/>
      <c r="S356" s="438"/>
      <c r="T356" s="438"/>
      <c r="U356" s="438"/>
      <c r="V356" s="438"/>
      <c r="W356" s="438"/>
      <c r="X356" s="438"/>
      <c r="Y356" s="438"/>
      <c r="Z356" s="438"/>
      <c r="AA356" s="438"/>
      <c r="AB356" s="438"/>
      <c r="AC356" s="438"/>
      <c r="AD356" s="438"/>
      <c r="AE356" s="438"/>
      <c r="AF356" s="438"/>
      <c r="AG356" s="438"/>
      <c r="AH356" s="438"/>
    </row>
    <row r="357">
      <c r="A357" s="438"/>
      <c r="B357" s="438"/>
      <c r="C357" s="438"/>
      <c r="D357" s="438"/>
      <c r="E357" s="438"/>
      <c r="F357" s="438"/>
      <c r="G357" s="438"/>
      <c r="H357" s="438"/>
      <c r="I357" s="438"/>
      <c r="J357" s="438"/>
      <c r="K357" s="438"/>
      <c r="L357" s="438"/>
      <c r="M357" s="438"/>
      <c r="N357" s="438"/>
      <c r="O357" s="438"/>
      <c r="P357" s="438"/>
      <c r="Q357" s="438"/>
      <c r="R357" s="438"/>
      <c r="S357" s="438"/>
      <c r="T357" s="438"/>
      <c r="U357" s="438"/>
      <c r="V357" s="438"/>
      <c r="W357" s="438"/>
      <c r="X357" s="438"/>
      <c r="Y357" s="438"/>
      <c r="Z357" s="438"/>
      <c r="AA357" s="438"/>
      <c r="AB357" s="438"/>
      <c r="AC357" s="438"/>
      <c r="AD357" s="438"/>
      <c r="AE357" s="438"/>
      <c r="AF357" s="438"/>
      <c r="AG357" s="438"/>
      <c r="AH357" s="438"/>
    </row>
    <row r="358">
      <c r="A358" s="438"/>
      <c r="B358" s="438"/>
      <c r="C358" s="438"/>
      <c r="D358" s="438"/>
      <c r="E358" s="438"/>
      <c r="F358" s="438"/>
      <c r="G358" s="438"/>
      <c r="H358" s="438"/>
      <c r="I358" s="438"/>
      <c r="J358" s="438"/>
      <c r="K358" s="438"/>
      <c r="L358" s="438"/>
      <c r="M358" s="438"/>
      <c r="N358" s="438"/>
      <c r="O358" s="438"/>
      <c r="P358" s="438"/>
      <c r="Q358" s="438"/>
      <c r="R358" s="438"/>
      <c r="S358" s="438"/>
      <c r="T358" s="438"/>
      <c r="U358" s="438"/>
      <c r="V358" s="438"/>
      <c r="W358" s="438"/>
      <c r="X358" s="438"/>
      <c r="Y358" s="438"/>
      <c r="Z358" s="438"/>
      <c r="AA358" s="438"/>
      <c r="AB358" s="438"/>
      <c r="AC358" s="438"/>
      <c r="AD358" s="438"/>
      <c r="AE358" s="438"/>
      <c r="AF358" s="438"/>
      <c r="AG358" s="438"/>
      <c r="AH358" s="438"/>
    </row>
    <row r="359">
      <c r="A359" s="438"/>
      <c r="B359" s="438"/>
      <c r="C359" s="438"/>
      <c r="D359" s="438"/>
      <c r="E359" s="438"/>
      <c r="F359" s="438"/>
      <c r="G359" s="438"/>
      <c r="H359" s="438"/>
      <c r="I359" s="438"/>
      <c r="J359" s="438"/>
      <c r="K359" s="438"/>
      <c r="L359" s="438"/>
      <c r="M359" s="438"/>
      <c r="N359" s="438"/>
      <c r="O359" s="438"/>
      <c r="P359" s="438"/>
      <c r="Q359" s="438"/>
      <c r="R359" s="438"/>
      <c r="S359" s="438"/>
      <c r="T359" s="438"/>
      <c r="U359" s="438"/>
      <c r="V359" s="438"/>
      <c r="W359" s="438"/>
      <c r="X359" s="438"/>
      <c r="Y359" s="438"/>
      <c r="Z359" s="438"/>
      <c r="AA359" s="438"/>
      <c r="AB359" s="438"/>
      <c r="AC359" s="438"/>
      <c r="AD359" s="438"/>
      <c r="AE359" s="438"/>
      <c r="AF359" s="438"/>
      <c r="AG359" s="438"/>
      <c r="AH359" s="438"/>
    </row>
    <row r="360">
      <c r="A360" s="438"/>
      <c r="B360" s="438"/>
      <c r="C360" s="438"/>
      <c r="D360" s="438"/>
      <c r="E360" s="438"/>
      <c r="F360" s="438"/>
      <c r="G360" s="438"/>
      <c r="H360" s="438"/>
      <c r="I360" s="438"/>
      <c r="J360" s="438"/>
      <c r="K360" s="438"/>
      <c r="L360" s="438"/>
      <c r="M360" s="438"/>
      <c r="N360" s="438"/>
      <c r="O360" s="438"/>
      <c r="P360" s="438"/>
      <c r="Q360" s="438"/>
      <c r="R360" s="438"/>
      <c r="S360" s="438"/>
      <c r="T360" s="438"/>
      <c r="U360" s="438"/>
      <c r="V360" s="438"/>
      <c r="W360" s="438"/>
      <c r="X360" s="438"/>
      <c r="Y360" s="438"/>
      <c r="Z360" s="438"/>
      <c r="AA360" s="438"/>
      <c r="AB360" s="438"/>
      <c r="AC360" s="438"/>
      <c r="AD360" s="438"/>
      <c r="AE360" s="438"/>
      <c r="AF360" s="438"/>
      <c r="AG360" s="438"/>
      <c r="AH360" s="438"/>
    </row>
    <row r="361">
      <c r="A361" s="438"/>
      <c r="B361" s="438"/>
      <c r="C361" s="438"/>
      <c r="D361" s="438"/>
      <c r="E361" s="438"/>
      <c r="F361" s="438"/>
      <c r="G361" s="438"/>
      <c r="H361" s="438"/>
      <c r="I361" s="438"/>
      <c r="J361" s="438"/>
      <c r="K361" s="438"/>
      <c r="L361" s="438"/>
      <c r="M361" s="438"/>
      <c r="N361" s="438"/>
      <c r="O361" s="438"/>
      <c r="P361" s="438"/>
      <c r="Q361" s="438"/>
      <c r="R361" s="438"/>
      <c r="S361" s="438"/>
      <c r="T361" s="438"/>
      <c r="U361" s="438"/>
      <c r="V361" s="438"/>
      <c r="W361" s="438"/>
      <c r="X361" s="438"/>
      <c r="Y361" s="438"/>
      <c r="Z361" s="438"/>
      <c r="AA361" s="438"/>
      <c r="AB361" s="438"/>
      <c r="AC361" s="438"/>
      <c r="AD361" s="438"/>
      <c r="AE361" s="438"/>
      <c r="AF361" s="438"/>
      <c r="AG361" s="438"/>
      <c r="AH361" s="438"/>
    </row>
    <row r="362">
      <c r="A362" s="438"/>
      <c r="B362" s="438"/>
      <c r="C362" s="438"/>
      <c r="D362" s="438"/>
      <c r="E362" s="438"/>
      <c r="F362" s="438"/>
      <c r="G362" s="438"/>
      <c r="H362" s="438"/>
      <c r="I362" s="438"/>
      <c r="J362" s="438"/>
      <c r="K362" s="438"/>
      <c r="L362" s="438"/>
      <c r="M362" s="438"/>
      <c r="N362" s="438"/>
      <c r="O362" s="438"/>
      <c r="P362" s="438"/>
      <c r="Q362" s="438"/>
      <c r="R362" s="438"/>
      <c r="S362" s="438"/>
      <c r="T362" s="438"/>
      <c r="U362" s="438"/>
      <c r="V362" s="438"/>
      <c r="W362" s="438"/>
      <c r="X362" s="438"/>
      <c r="Y362" s="438"/>
      <c r="Z362" s="438"/>
      <c r="AA362" s="438"/>
      <c r="AB362" s="438"/>
      <c r="AC362" s="438"/>
      <c r="AD362" s="438"/>
      <c r="AE362" s="438"/>
      <c r="AF362" s="438"/>
      <c r="AG362" s="438"/>
      <c r="AH362" s="438"/>
    </row>
    <row r="363">
      <c r="A363" s="438"/>
      <c r="B363" s="438"/>
      <c r="C363" s="438"/>
      <c r="D363" s="438"/>
      <c r="E363" s="438"/>
      <c r="F363" s="438"/>
      <c r="G363" s="438"/>
      <c r="H363" s="438"/>
      <c r="I363" s="438"/>
      <c r="J363" s="438"/>
      <c r="K363" s="438"/>
      <c r="L363" s="438"/>
      <c r="M363" s="438"/>
      <c r="N363" s="438"/>
      <c r="O363" s="438"/>
      <c r="P363" s="438"/>
      <c r="Q363" s="438"/>
      <c r="R363" s="438"/>
      <c r="S363" s="438"/>
      <c r="T363" s="438"/>
      <c r="U363" s="438"/>
      <c r="V363" s="438"/>
      <c r="W363" s="438"/>
      <c r="X363" s="438"/>
      <c r="Y363" s="438"/>
      <c r="Z363" s="438"/>
      <c r="AA363" s="438"/>
      <c r="AB363" s="438"/>
      <c r="AC363" s="438"/>
      <c r="AD363" s="438"/>
      <c r="AE363" s="438"/>
      <c r="AF363" s="438"/>
      <c r="AG363" s="438"/>
      <c r="AH363" s="438"/>
    </row>
    <row r="364">
      <c r="A364" s="438"/>
      <c r="B364" s="438"/>
      <c r="C364" s="438"/>
      <c r="D364" s="438"/>
      <c r="E364" s="438"/>
      <c r="F364" s="438"/>
      <c r="G364" s="438"/>
      <c r="H364" s="438"/>
      <c r="I364" s="438"/>
      <c r="J364" s="438"/>
      <c r="K364" s="438"/>
      <c r="L364" s="438"/>
      <c r="M364" s="438"/>
      <c r="N364" s="438"/>
      <c r="O364" s="438"/>
      <c r="P364" s="438"/>
      <c r="Q364" s="438"/>
      <c r="R364" s="438"/>
      <c r="S364" s="438"/>
      <c r="T364" s="438"/>
      <c r="U364" s="438"/>
      <c r="V364" s="438"/>
      <c r="W364" s="438"/>
      <c r="X364" s="438"/>
      <c r="Y364" s="438"/>
      <c r="Z364" s="438"/>
      <c r="AA364" s="438"/>
      <c r="AB364" s="438"/>
      <c r="AC364" s="438"/>
      <c r="AD364" s="438"/>
      <c r="AE364" s="438"/>
      <c r="AF364" s="438"/>
      <c r="AG364" s="438"/>
      <c r="AH364" s="438"/>
    </row>
    <row r="365">
      <c r="A365" s="438"/>
      <c r="B365" s="438"/>
      <c r="C365" s="438"/>
      <c r="D365" s="438"/>
      <c r="E365" s="438"/>
      <c r="F365" s="438"/>
      <c r="G365" s="438"/>
      <c r="H365" s="438"/>
      <c r="I365" s="438"/>
      <c r="J365" s="438"/>
      <c r="K365" s="438"/>
      <c r="L365" s="438"/>
      <c r="M365" s="438"/>
      <c r="N365" s="438"/>
      <c r="O365" s="438"/>
      <c r="P365" s="438"/>
      <c r="Q365" s="438"/>
      <c r="R365" s="438"/>
      <c r="S365" s="438"/>
      <c r="T365" s="438"/>
      <c r="U365" s="438"/>
      <c r="V365" s="438"/>
      <c r="W365" s="438"/>
      <c r="X365" s="438"/>
      <c r="Y365" s="438"/>
      <c r="Z365" s="438"/>
      <c r="AA365" s="438"/>
      <c r="AB365" s="438"/>
      <c r="AC365" s="438"/>
      <c r="AD365" s="438"/>
      <c r="AE365" s="438"/>
      <c r="AF365" s="438"/>
      <c r="AG365" s="438"/>
      <c r="AH365" s="438"/>
    </row>
    <row r="366">
      <c r="A366" s="438"/>
      <c r="B366" s="438"/>
      <c r="C366" s="438"/>
      <c r="D366" s="438"/>
      <c r="E366" s="438"/>
      <c r="F366" s="438"/>
      <c r="G366" s="438"/>
      <c r="H366" s="438"/>
      <c r="I366" s="438"/>
      <c r="J366" s="438"/>
      <c r="K366" s="438"/>
      <c r="L366" s="438"/>
      <c r="M366" s="438"/>
      <c r="N366" s="438"/>
      <c r="O366" s="438"/>
      <c r="P366" s="438"/>
      <c r="Q366" s="438"/>
      <c r="R366" s="438"/>
      <c r="S366" s="438"/>
      <c r="T366" s="438"/>
      <c r="U366" s="438"/>
      <c r="V366" s="438"/>
      <c r="W366" s="438"/>
      <c r="X366" s="438"/>
      <c r="Y366" s="438"/>
      <c r="Z366" s="438"/>
      <c r="AA366" s="438"/>
      <c r="AB366" s="438"/>
      <c r="AC366" s="438"/>
      <c r="AD366" s="438"/>
      <c r="AE366" s="438"/>
      <c r="AF366" s="438"/>
      <c r="AG366" s="438"/>
      <c r="AH366" s="438"/>
    </row>
    <row r="367">
      <c r="A367" s="438"/>
      <c r="B367" s="438"/>
      <c r="C367" s="438"/>
      <c r="D367" s="438"/>
      <c r="E367" s="438"/>
      <c r="F367" s="438"/>
      <c r="G367" s="438"/>
      <c r="H367" s="438"/>
      <c r="I367" s="438"/>
      <c r="J367" s="438"/>
      <c r="K367" s="438"/>
      <c r="L367" s="438"/>
      <c r="M367" s="438"/>
      <c r="N367" s="438"/>
      <c r="O367" s="438"/>
      <c r="P367" s="438"/>
      <c r="Q367" s="438"/>
      <c r="R367" s="438"/>
      <c r="S367" s="438"/>
      <c r="T367" s="438"/>
      <c r="U367" s="438"/>
      <c r="V367" s="438"/>
      <c r="W367" s="438"/>
      <c r="X367" s="438"/>
      <c r="Y367" s="438"/>
      <c r="Z367" s="438"/>
      <c r="AA367" s="438"/>
      <c r="AB367" s="438"/>
      <c r="AC367" s="438"/>
      <c r="AD367" s="438"/>
      <c r="AE367" s="438"/>
      <c r="AF367" s="438"/>
      <c r="AG367" s="438"/>
      <c r="AH367" s="438"/>
    </row>
    <row r="368">
      <c r="A368" s="438"/>
      <c r="B368" s="438"/>
      <c r="C368" s="438"/>
      <c r="D368" s="438"/>
      <c r="E368" s="438"/>
      <c r="F368" s="438"/>
      <c r="G368" s="438"/>
      <c r="H368" s="438"/>
      <c r="I368" s="438"/>
      <c r="J368" s="438"/>
      <c r="K368" s="438"/>
      <c r="L368" s="438"/>
      <c r="M368" s="438"/>
      <c r="N368" s="438"/>
      <c r="O368" s="438"/>
      <c r="P368" s="438"/>
      <c r="Q368" s="438"/>
      <c r="R368" s="438"/>
      <c r="S368" s="438"/>
      <c r="T368" s="438"/>
      <c r="U368" s="438"/>
      <c r="V368" s="438"/>
      <c r="W368" s="438"/>
      <c r="X368" s="438"/>
      <c r="Y368" s="438"/>
      <c r="Z368" s="438"/>
      <c r="AA368" s="438"/>
      <c r="AB368" s="438"/>
      <c r="AC368" s="438"/>
      <c r="AD368" s="438"/>
      <c r="AE368" s="438"/>
      <c r="AF368" s="438"/>
      <c r="AG368" s="438"/>
      <c r="AH368" s="438"/>
    </row>
    <row r="369">
      <c r="A369" s="438"/>
      <c r="B369" s="438"/>
      <c r="C369" s="438"/>
      <c r="D369" s="438"/>
      <c r="E369" s="438"/>
      <c r="F369" s="438"/>
      <c r="G369" s="438"/>
      <c r="H369" s="438"/>
      <c r="I369" s="438"/>
      <c r="J369" s="438"/>
      <c r="K369" s="438"/>
      <c r="L369" s="438"/>
      <c r="M369" s="438"/>
      <c r="N369" s="438"/>
      <c r="O369" s="438"/>
      <c r="P369" s="438"/>
      <c r="Q369" s="438"/>
      <c r="R369" s="438"/>
      <c r="S369" s="438"/>
      <c r="T369" s="438"/>
      <c r="U369" s="438"/>
      <c r="V369" s="438"/>
      <c r="W369" s="438"/>
      <c r="X369" s="438"/>
      <c r="Y369" s="438"/>
      <c r="Z369" s="438"/>
      <c r="AA369" s="438"/>
      <c r="AB369" s="438"/>
      <c r="AC369" s="438"/>
      <c r="AD369" s="438"/>
      <c r="AE369" s="438"/>
      <c r="AF369" s="438"/>
      <c r="AG369" s="438"/>
      <c r="AH369" s="438"/>
    </row>
    <row r="370">
      <c r="A370" s="438"/>
      <c r="B370" s="438"/>
      <c r="C370" s="438"/>
      <c r="D370" s="438"/>
      <c r="E370" s="438"/>
      <c r="F370" s="438"/>
      <c r="G370" s="438"/>
      <c r="H370" s="438"/>
      <c r="I370" s="438"/>
      <c r="J370" s="438"/>
      <c r="K370" s="438"/>
      <c r="L370" s="438"/>
      <c r="M370" s="438"/>
      <c r="N370" s="438"/>
      <c r="O370" s="438"/>
      <c r="P370" s="438"/>
      <c r="Q370" s="438"/>
      <c r="R370" s="438"/>
      <c r="S370" s="438"/>
      <c r="T370" s="438"/>
      <c r="U370" s="438"/>
      <c r="V370" s="438"/>
      <c r="W370" s="438"/>
      <c r="X370" s="438"/>
      <c r="Y370" s="438"/>
      <c r="Z370" s="438"/>
      <c r="AA370" s="438"/>
      <c r="AB370" s="438"/>
      <c r="AC370" s="438"/>
      <c r="AD370" s="438"/>
      <c r="AE370" s="438"/>
      <c r="AF370" s="438"/>
      <c r="AG370" s="438"/>
      <c r="AH370" s="438"/>
    </row>
    <row r="371">
      <c r="A371" s="438"/>
      <c r="B371" s="438"/>
      <c r="C371" s="438"/>
      <c r="D371" s="438"/>
      <c r="E371" s="438"/>
      <c r="F371" s="438"/>
      <c r="G371" s="438"/>
      <c r="H371" s="438"/>
      <c r="I371" s="438"/>
      <c r="J371" s="438"/>
      <c r="K371" s="438"/>
      <c r="L371" s="438"/>
      <c r="M371" s="438"/>
      <c r="N371" s="438"/>
      <c r="O371" s="438"/>
      <c r="P371" s="438"/>
      <c r="Q371" s="438"/>
      <c r="R371" s="438"/>
      <c r="S371" s="438"/>
      <c r="T371" s="438"/>
      <c r="U371" s="438"/>
      <c r="V371" s="438"/>
      <c r="W371" s="438"/>
      <c r="X371" s="438"/>
      <c r="Y371" s="438"/>
      <c r="Z371" s="438"/>
      <c r="AA371" s="438"/>
      <c r="AB371" s="438"/>
      <c r="AC371" s="438"/>
      <c r="AD371" s="438"/>
      <c r="AE371" s="438"/>
      <c r="AF371" s="438"/>
      <c r="AG371" s="438"/>
      <c r="AH371" s="438"/>
    </row>
    <row r="372">
      <c r="A372" s="438"/>
      <c r="B372" s="438"/>
      <c r="C372" s="438"/>
      <c r="D372" s="438"/>
      <c r="E372" s="438"/>
      <c r="F372" s="438"/>
      <c r="G372" s="438"/>
      <c r="H372" s="438"/>
      <c r="I372" s="438"/>
      <c r="J372" s="438"/>
      <c r="K372" s="438"/>
      <c r="L372" s="438"/>
      <c r="M372" s="438"/>
      <c r="N372" s="438"/>
      <c r="O372" s="438"/>
      <c r="P372" s="438"/>
      <c r="Q372" s="438"/>
      <c r="R372" s="438"/>
      <c r="S372" s="438"/>
      <c r="T372" s="438"/>
      <c r="U372" s="438"/>
      <c r="V372" s="438"/>
      <c r="W372" s="438"/>
      <c r="X372" s="438"/>
      <c r="Y372" s="438"/>
      <c r="Z372" s="438"/>
      <c r="AA372" s="438"/>
      <c r="AB372" s="438"/>
      <c r="AC372" s="438"/>
      <c r="AD372" s="438"/>
      <c r="AE372" s="438"/>
      <c r="AF372" s="438"/>
      <c r="AG372" s="438"/>
      <c r="AH372" s="438"/>
    </row>
    <row r="373">
      <c r="A373" s="438"/>
      <c r="B373" s="438"/>
      <c r="C373" s="438"/>
      <c r="D373" s="438"/>
      <c r="E373" s="438"/>
      <c r="F373" s="438"/>
      <c r="G373" s="438"/>
      <c r="H373" s="438"/>
      <c r="I373" s="438"/>
      <c r="J373" s="438"/>
      <c r="K373" s="438"/>
      <c r="L373" s="438"/>
      <c r="M373" s="438"/>
      <c r="N373" s="438"/>
      <c r="O373" s="438"/>
      <c r="P373" s="438"/>
      <c r="Q373" s="438"/>
      <c r="R373" s="438"/>
      <c r="S373" s="438"/>
      <c r="T373" s="438"/>
      <c r="U373" s="438"/>
      <c r="V373" s="438"/>
      <c r="W373" s="438"/>
      <c r="X373" s="438"/>
      <c r="Y373" s="438"/>
      <c r="Z373" s="438"/>
      <c r="AA373" s="438"/>
      <c r="AB373" s="438"/>
      <c r="AC373" s="438"/>
      <c r="AD373" s="438"/>
      <c r="AE373" s="438"/>
      <c r="AF373" s="438"/>
      <c r="AG373" s="438"/>
      <c r="AH373" s="438"/>
    </row>
    <row r="374">
      <c r="A374" s="438"/>
      <c r="B374" s="438"/>
      <c r="C374" s="438"/>
      <c r="D374" s="438"/>
      <c r="E374" s="438"/>
      <c r="F374" s="438"/>
      <c r="G374" s="438"/>
      <c r="H374" s="438"/>
      <c r="I374" s="438"/>
      <c r="J374" s="438"/>
      <c r="K374" s="438"/>
      <c r="L374" s="438"/>
      <c r="M374" s="438"/>
      <c r="N374" s="438"/>
      <c r="O374" s="438"/>
      <c r="P374" s="438"/>
      <c r="Q374" s="438"/>
      <c r="R374" s="438"/>
      <c r="S374" s="438"/>
      <c r="T374" s="438"/>
      <c r="U374" s="438"/>
      <c r="V374" s="438"/>
      <c r="W374" s="438"/>
      <c r="X374" s="438"/>
      <c r="Y374" s="438"/>
      <c r="Z374" s="438"/>
      <c r="AA374" s="438"/>
      <c r="AB374" s="438"/>
      <c r="AC374" s="438"/>
      <c r="AD374" s="438"/>
      <c r="AE374" s="438"/>
      <c r="AF374" s="438"/>
      <c r="AG374" s="438"/>
      <c r="AH374" s="438"/>
    </row>
    <row r="375">
      <c r="A375" s="438"/>
      <c r="B375" s="438"/>
      <c r="C375" s="438"/>
      <c r="D375" s="438"/>
      <c r="E375" s="438"/>
      <c r="F375" s="438"/>
      <c r="G375" s="438"/>
      <c r="H375" s="438"/>
      <c r="I375" s="438"/>
      <c r="J375" s="438"/>
      <c r="K375" s="438"/>
      <c r="L375" s="438"/>
      <c r="M375" s="438"/>
      <c r="N375" s="438"/>
      <c r="O375" s="438"/>
      <c r="P375" s="438"/>
      <c r="Q375" s="438"/>
      <c r="R375" s="438"/>
      <c r="S375" s="438"/>
      <c r="T375" s="438"/>
      <c r="U375" s="438"/>
      <c r="V375" s="438"/>
      <c r="W375" s="438"/>
      <c r="X375" s="438"/>
      <c r="Y375" s="438"/>
      <c r="Z375" s="438"/>
      <c r="AA375" s="438"/>
      <c r="AB375" s="438"/>
      <c r="AC375" s="438"/>
      <c r="AD375" s="438"/>
      <c r="AE375" s="438"/>
      <c r="AF375" s="438"/>
      <c r="AG375" s="438"/>
      <c r="AH375" s="438"/>
    </row>
    <row r="376">
      <c r="A376" s="438"/>
      <c r="B376" s="438"/>
      <c r="C376" s="438"/>
      <c r="D376" s="438"/>
      <c r="E376" s="438"/>
      <c r="F376" s="438"/>
      <c r="G376" s="438"/>
      <c r="H376" s="438"/>
      <c r="I376" s="438"/>
      <c r="J376" s="438"/>
      <c r="K376" s="438"/>
      <c r="L376" s="438"/>
      <c r="M376" s="438"/>
      <c r="N376" s="438"/>
      <c r="O376" s="438"/>
      <c r="P376" s="438"/>
      <c r="Q376" s="438"/>
      <c r="R376" s="438"/>
      <c r="S376" s="438"/>
      <c r="T376" s="438"/>
      <c r="U376" s="438"/>
      <c r="V376" s="438"/>
      <c r="W376" s="438"/>
      <c r="X376" s="438"/>
      <c r="Y376" s="438"/>
      <c r="Z376" s="438"/>
      <c r="AA376" s="438"/>
      <c r="AB376" s="438"/>
      <c r="AC376" s="438"/>
      <c r="AD376" s="438"/>
      <c r="AE376" s="438"/>
      <c r="AF376" s="438"/>
      <c r="AG376" s="438"/>
      <c r="AH376" s="438"/>
    </row>
    <row r="377">
      <c r="A377" s="438"/>
      <c r="B377" s="438"/>
      <c r="C377" s="438"/>
      <c r="D377" s="438"/>
      <c r="E377" s="438"/>
      <c r="F377" s="438"/>
      <c r="G377" s="438"/>
      <c r="H377" s="438"/>
      <c r="I377" s="438"/>
      <c r="J377" s="438"/>
      <c r="K377" s="438"/>
      <c r="L377" s="438"/>
      <c r="M377" s="438"/>
      <c r="N377" s="438"/>
      <c r="O377" s="438"/>
      <c r="P377" s="438"/>
      <c r="Q377" s="438"/>
      <c r="R377" s="438"/>
      <c r="S377" s="438"/>
      <c r="T377" s="438"/>
      <c r="U377" s="438"/>
      <c r="V377" s="438"/>
      <c r="W377" s="438"/>
      <c r="X377" s="438"/>
      <c r="Y377" s="438"/>
      <c r="Z377" s="438"/>
      <c r="AA377" s="438"/>
      <c r="AB377" s="438"/>
      <c r="AC377" s="438"/>
      <c r="AD377" s="438"/>
      <c r="AE377" s="438"/>
      <c r="AF377" s="438"/>
      <c r="AG377" s="438"/>
      <c r="AH377" s="438"/>
    </row>
    <row r="378">
      <c r="A378" s="438"/>
      <c r="B378" s="438"/>
      <c r="C378" s="438"/>
      <c r="D378" s="438"/>
      <c r="E378" s="438"/>
      <c r="F378" s="438"/>
      <c r="G378" s="438"/>
      <c r="H378" s="438"/>
      <c r="I378" s="438"/>
      <c r="J378" s="438"/>
      <c r="K378" s="438"/>
      <c r="L378" s="438"/>
      <c r="M378" s="438"/>
      <c r="N378" s="438"/>
      <c r="O378" s="438"/>
      <c r="P378" s="438"/>
      <c r="Q378" s="438"/>
      <c r="R378" s="438"/>
      <c r="S378" s="438"/>
      <c r="T378" s="438"/>
      <c r="U378" s="438"/>
      <c r="V378" s="438"/>
      <c r="W378" s="438"/>
      <c r="X378" s="438"/>
      <c r="Y378" s="438"/>
      <c r="Z378" s="438"/>
      <c r="AA378" s="438"/>
      <c r="AB378" s="438"/>
      <c r="AC378" s="438"/>
      <c r="AD378" s="438"/>
      <c r="AE378" s="438"/>
      <c r="AF378" s="438"/>
      <c r="AG378" s="438"/>
      <c r="AH378" s="438"/>
    </row>
    <row r="379">
      <c r="A379" s="438"/>
      <c r="B379" s="438"/>
      <c r="C379" s="438"/>
      <c r="D379" s="438"/>
      <c r="E379" s="438"/>
      <c r="F379" s="438"/>
      <c r="G379" s="438"/>
      <c r="H379" s="438"/>
      <c r="I379" s="438"/>
      <c r="J379" s="438"/>
      <c r="K379" s="438"/>
      <c r="L379" s="438"/>
      <c r="M379" s="438"/>
      <c r="N379" s="438"/>
      <c r="O379" s="438"/>
      <c r="P379" s="438"/>
      <c r="Q379" s="438"/>
      <c r="R379" s="438"/>
      <c r="S379" s="438"/>
      <c r="T379" s="438"/>
      <c r="U379" s="438"/>
      <c r="V379" s="438"/>
      <c r="W379" s="438"/>
      <c r="X379" s="438"/>
      <c r="Y379" s="438"/>
      <c r="Z379" s="438"/>
      <c r="AA379" s="438"/>
      <c r="AB379" s="438"/>
      <c r="AC379" s="438"/>
      <c r="AD379" s="438"/>
      <c r="AE379" s="438"/>
      <c r="AF379" s="438"/>
      <c r="AG379" s="438"/>
      <c r="AH379" s="438"/>
    </row>
    <row r="380">
      <c r="A380" s="438"/>
      <c r="B380" s="438"/>
      <c r="C380" s="438"/>
      <c r="D380" s="438"/>
      <c r="E380" s="438"/>
      <c r="F380" s="438"/>
      <c r="G380" s="438"/>
      <c r="H380" s="438"/>
      <c r="I380" s="438"/>
      <c r="J380" s="438"/>
      <c r="K380" s="438"/>
      <c r="L380" s="438"/>
      <c r="M380" s="438"/>
      <c r="N380" s="438"/>
      <c r="O380" s="438"/>
      <c r="P380" s="438"/>
      <c r="Q380" s="438"/>
      <c r="R380" s="438"/>
      <c r="S380" s="438"/>
      <c r="T380" s="438"/>
      <c r="U380" s="438"/>
      <c r="V380" s="438"/>
      <c r="W380" s="438"/>
      <c r="X380" s="438"/>
      <c r="Y380" s="438"/>
      <c r="Z380" s="438"/>
      <c r="AA380" s="438"/>
      <c r="AB380" s="438"/>
      <c r="AC380" s="438"/>
      <c r="AD380" s="438"/>
      <c r="AE380" s="438"/>
      <c r="AF380" s="438"/>
      <c r="AG380" s="438"/>
      <c r="AH380" s="438"/>
    </row>
    <row r="381">
      <c r="A381" s="438"/>
      <c r="B381" s="438"/>
      <c r="C381" s="438"/>
      <c r="D381" s="438"/>
      <c r="E381" s="438"/>
      <c r="F381" s="438"/>
      <c r="G381" s="438"/>
      <c r="H381" s="438"/>
      <c r="I381" s="438"/>
      <c r="J381" s="438"/>
      <c r="K381" s="438"/>
      <c r="L381" s="438"/>
      <c r="M381" s="438"/>
      <c r="N381" s="438"/>
      <c r="O381" s="438"/>
      <c r="P381" s="438"/>
      <c r="Q381" s="438"/>
      <c r="R381" s="438"/>
      <c r="S381" s="438"/>
      <c r="T381" s="438"/>
      <c r="U381" s="438"/>
      <c r="V381" s="438"/>
      <c r="W381" s="438"/>
      <c r="X381" s="438"/>
      <c r="Y381" s="438"/>
      <c r="Z381" s="438"/>
      <c r="AA381" s="438"/>
      <c r="AB381" s="438"/>
      <c r="AC381" s="438"/>
      <c r="AD381" s="438"/>
      <c r="AE381" s="438"/>
      <c r="AF381" s="438"/>
      <c r="AG381" s="438"/>
      <c r="AH381" s="438"/>
    </row>
    <row r="382">
      <c r="A382" s="438"/>
      <c r="B382" s="438"/>
      <c r="C382" s="438"/>
      <c r="D382" s="438"/>
      <c r="E382" s="438"/>
      <c r="F382" s="438"/>
      <c r="G382" s="438"/>
      <c r="H382" s="438"/>
      <c r="I382" s="438"/>
      <c r="J382" s="438"/>
      <c r="K382" s="438"/>
      <c r="L382" s="438"/>
      <c r="M382" s="438"/>
      <c r="N382" s="438"/>
      <c r="O382" s="438"/>
      <c r="P382" s="438"/>
      <c r="Q382" s="438"/>
      <c r="R382" s="438"/>
      <c r="S382" s="438"/>
      <c r="T382" s="438"/>
      <c r="U382" s="438"/>
      <c r="V382" s="438"/>
      <c r="W382" s="438"/>
      <c r="X382" s="438"/>
      <c r="Y382" s="438"/>
      <c r="Z382" s="438"/>
      <c r="AA382" s="438"/>
      <c r="AB382" s="438"/>
      <c r="AC382" s="438"/>
      <c r="AD382" s="438"/>
      <c r="AE382" s="438"/>
      <c r="AF382" s="438"/>
      <c r="AG382" s="438"/>
      <c r="AH382" s="438"/>
    </row>
    <row r="383">
      <c r="A383" s="438"/>
      <c r="B383" s="438"/>
      <c r="C383" s="438"/>
      <c r="D383" s="438"/>
      <c r="E383" s="438"/>
      <c r="F383" s="438"/>
      <c r="G383" s="438"/>
      <c r="H383" s="438"/>
      <c r="I383" s="438"/>
      <c r="J383" s="438"/>
      <c r="K383" s="438"/>
      <c r="L383" s="438"/>
      <c r="M383" s="438"/>
      <c r="N383" s="438"/>
      <c r="O383" s="438"/>
      <c r="P383" s="438"/>
      <c r="Q383" s="438"/>
      <c r="R383" s="438"/>
      <c r="S383" s="438"/>
      <c r="T383" s="438"/>
      <c r="U383" s="438"/>
      <c r="V383" s="438"/>
      <c r="W383" s="438"/>
      <c r="X383" s="438"/>
      <c r="Y383" s="438"/>
      <c r="Z383" s="438"/>
      <c r="AA383" s="438"/>
      <c r="AB383" s="438"/>
      <c r="AC383" s="438"/>
      <c r="AD383" s="438"/>
      <c r="AE383" s="438"/>
      <c r="AF383" s="438"/>
      <c r="AG383" s="438"/>
      <c r="AH383" s="438"/>
    </row>
    <row r="384">
      <c r="A384" s="438"/>
      <c r="B384" s="438"/>
      <c r="C384" s="438"/>
      <c r="D384" s="438"/>
      <c r="E384" s="438"/>
      <c r="F384" s="438"/>
      <c r="G384" s="438"/>
      <c r="H384" s="438"/>
      <c r="I384" s="438"/>
      <c r="J384" s="438"/>
      <c r="K384" s="438"/>
      <c r="L384" s="438"/>
      <c r="M384" s="438"/>
      <c r="N384" s="438"/>
      <c r="O384" s="438"/>
      <c r="P384" s="438"/>
      <c r="Q384" s="438"/>
      <c r="R384" s="438"/>
      <c r="S384" s="438"/>
      <c r="T384" s="438"/>
      <c r="U384" s="438"/>
      <c r="V384" s="438"/>
      <c r="W384" s="438"/>
      <c r="X384" s="438"/>
      <c r="Y384" s="438"/>
      <c r="Z384" s="438"/>
      <c r="AA384" s="438"/>
      <c r="AB384" s="438"/>
      <c r="AC384" s="438"/>
      <c r="AD384" s="438"/>
      <c r="AE384" s="438"/>
      <c r="AF384" s="438"/>
      <c r="AG384" s="438"/>
      <c r="AH384" s="438"/>
    </row>
    <row r="385">
      <c r="A385" s="438"/>
      <c r="B385" s="438"/>
      <c r="C385" s="438"/>
      <c r="D385" s="438"/>
      <c r="E385" s="438"/>
      <c r="F385" s="438"/>
      <c r="G385" s="438"/>
      <c r="H385" s="438"/>
      <c r="I385" s="438"/>
      <c r="J385" s="438"/>
      <c r="K385" s="438"/>
      <c r="L385" s="438"/>
      <c r="M385" s="438"/>
      <c r="N385" s="438"/>
      <c r="O385" s="438"/>
      <c r="P385" s="438"/>
      <c r="Q385" s="438"/>
      <c r="R385" s="438"/>
      <c r="S385" s="438"/>
      <c r="T385" s="438"/>
      <c r="U385" s="438"/>
      <c r="V385" s="438"/>
      <c r="W385" s="438"/>
      <c r="X385" s="438"/>
      <c r="Y385" s="438"/>
      <c r="Z385" s="438"/>
      <c r="AA385" s="438"/>
      <c r="AB385" s="438"/>
      <c r="AC385" s="438"/>
      <c r="AD385" s="438"/>
      <c r="AE385" s="438"/>
      <c r="AF385" s="438"/>
      <c r="AG385" s="438"/>
      <c r="AH385" s="438"/>
    </row>
    <row r="386">
      <c r="A386" s="438"/>
      <c r="B386" s="438"/>
      <c r="C386" s="438"/>
      <c r="D386" s="438"/>
      <c r="E386" s="438"/>
      <c r="F386" s="438"/>
      <c r="G386" s="438"/>
      <c r="H386" s="438"/>
      <c r="I386" s="438"/>
      <c r="J386" s="438"/>
      <c r="K386" s="438"/>
      <c r="L386" s="438"/>
      <c r="M386" s="438"/>
      <c r="N386" s="438"/>
      <c r="O386" s="438"/>
      <c r="P386" s="438"/>
      <c r="Q386" s="438"/>
      <c r="R386" s="438"/>
      <c r="S386" s="438"/>
      <c r="T386" s="438"/>
      <c r="U386" s="438"/>
      <c r="V386" s="438"/>
      <c r="W386" s="438"/>
      <c r="X386" s="438"/>
      <c r="Y386" s="438"/>
      <c r="Z386" s="438"/>
      <c r="AA386" s="438"/>
      <c r="AB386" s="438"/>
      <c r="AC386" s="438"/>
      <c r="AD386" s="438"/>
      <c r="AE386" s="438"/>
      <c r="AF386" s="438"/>
      <c r="AG386" s="438"/>
      <c r="AH386" s="438"/>
    </row>
    <row r="387">
      <c r="A387" s="438"/>
      <c r="B387" s="438"/>
      <c r="C387" s="438"/>
      <c r="D387" s="438"/>
      <c r="E387" s="438"/>
      <c r="F387" s="438"/>
      <c r="G387" s="438"/>
      <c r="H387" s="438"/>
      <c r="I387" s="438"/>
      <c r="J387" s="438"/>
      <c r="K387" s="438"/>
      <c r="L387" s="438"/>
      <c r="M387" s="438"/>
      <c r="N387" s="438"/>
      <c r="O387" s="438"/>
      <c r="P387" s="438"/>
      <c r="Q387" s="438"/>
      <c r="R387" s="438"/>
      <c r="S387" s="438"/>
      <c r="T387" s="438"/>
      <c r="U387" s="438"/>
      <c r="V387" s="438"/>
      <c r="W387" s="438"/>
      <c r="X387" s="438"/>
      <c r="Y387" s="438"/>
      <c r="Z387" s="438"/>
      <c r="AA387" s="438"/>
      <c r="AB387" s="438"/>
      <c r="AC387" s="438"/>
      <c r="AD387" s="438"/>
      <c r="AE387" s="438"/>
      <c r="AF387" s="438"/>
      <c r="AG387" s="438"/>
      <c r="AH387" s="438"/>
    </row>
    <row r="388">
      <c r="A388" s="438"/>
      <c r="B388" s="438"/>
      <c r="C388" s="438"/>
      <c r="D388" s="438"/>
      <c r="E388" s="438"/>
      <c r="F388" s="438"/>
      <c r="G388" s="438"/>
      <c r="H388" s="438"/>
      <c r="I388" s="438"/>
      <c r="J388" s="438"/>
      <c r="K388" s="438"/>
      <c r="L388" s="438"/>
      <c r="M388" s="438"/>
      <c r="N388" s="438"/>
      <c r="O388" s="438"/>
      <c r="P388" s="438"/>
      <c r="Q388" s="438"/>
      <c r="R388" s="438"/>
      <c r="S388" s="438"/>
      <c r="T388" s="438"/>
      <c r="U388" s="438"/>
      <c r="V388" s="438"/>
      <c r="W388" s="438"/>
      <c r="X388" s="438"/>
      <c r="Y388" s="438"/>
      <c r="Z388" s="438"/>
      <c r="AA388" s="438"/>
      <c r="AB388" s="438"/>
      <c r="AC388" s="438"/>
      <c r="AD388" s="438"/>
      <c r="AE388" s="438"/>
      <c r="AF388" s="438"/>
      <c r="AG388" s="438"/>
      <c r="AH388" s="438"/>
    </row>
    <row r="389">
      <c r="A389" s="438"/>
      <c r="B389" s="438"/>
      <c r="C389" s="438"/>
      <c r="D389" s="438"/>
      <c r="E389" s="438"/>
      <c r="F389" s="438"/>
      <c r="G389" s="438"/>
      <c r="H389" s="438"/>
      <c r="I389" s="438"/>
      <c r="J389" s="438"/>
      <c r="K389" s="438"/>
      <c r="L389" s="438"/>
      <c r="M389" s="438"/>
      <c r="N389" s="438"/>
      <c r="O389" s="438"/>
      <c r="P389" s="438"/>
      <c r="Q389" s="438"/>
      <c r="R389" s="438"/>
      <c r="S389" s="438"/>
      <c r="T389" s="438"/>
      <c r="U389" s="438"/>
      <c r="V389" s="438"/>
      <c r="W389" s="438"/>
      <c r="X389" s="438"/>
      <c r="Y389" s="438"/>
      <c r="Z389" s="438"/>
      <c r="AA389" s="438"/>
      <c r="AB389" s="438"/>
      <c r="AC389" s="438"/>
      <c r="AD389" s="438"/>
      <c r="AE389" s="438"/>
      <c r="AF389" s="438"/>
      <c r="AG389" s="438"/>
      <c r="AH389" s="438"/>
    </row>
    <row r="390">
      <c r="A390" s="438"/>
      <c r="B390" s="438"/>
      <c r="C390" s="438"/>
      <c r="D390" s="438"/>
      <c r="E390" s="438"/>
      <c r="F390" s="438"/>
      <c r="G390" s="438"/>
      <c r="H390" s="438"/>
      <c r="I390" s="438"/>
      <c r="J390" s="438"/>
      <c r="K390" s="438"/>
      <c r="L390" s="438"/>
      <c r="M390" s="438"/>
      <c r="N390" s="438"/>
      <c r="O390" s="438"/>
      <c r="P390" s="438"/>
      <c r="Q390" s="438"/>
      <c r="R390" s="438"/>
      <c r="S390" s="438"/>
      <c r="T390" s="438"/>
      <c r="U390" s="438"/>
      <c r="V390" s="438"/>
      <c r="W390" s="438"/>
      <c r="X390" s="438"/>
      <c r="Y390" s="438"/>
      <c r="Z390" s="438"/>
      <c r="AA390" s="438"/>
      <c r="AB390" s="438"/>
      <c r="AC390" s="438"/>
      <c r="AD390" s="438"/>
      <c r="AE390" s="438"/>
      <c r="AF390" s="438"/>
      <c r="AG390" s="438"/>
      <c r="AH390" s="438"/>
    </row>
    <row r="391">
      <c r="A391" s="438"/>
      <c r="B391" s="438"/>
      <c r="C391" s="438"/>
      <c r="D391" s="438"/>
      <c r="E391" s="438"/>
      <c r="F391" s="438"/>
      <c r="G391" s="438"/>
      <c r="H391" s="438"/>
      <c r="I391" s="438"/>
      <c r="J391" s="438"/>
      <c r="K391" s="438"/>
      <c r="L391" s="438"/>
      <c r="M391" s="438"/>
      <c r="N391" s="438"/>
      <c r="O391" s="438"/>
      <c r="P391" s="438"/>
      <c r="Q391" s="438"/>
      <c r="R391" s="438"/>
      <c r="S391" s="438"/>
      <c r="T391" s="438"/>
      <c r="U391" s="438"/>
      <c r="V391" s="438"/>
      <c r="W391" s="438"/>
      <c r="X391" s="438"/>
      <c r="Y391" s="438"/>
      <c r="Z391" s="438"/>
      <c r="AA391" s="438"/>
      <c r="AB391" s="438"/>
      <c r="AC391" s="438"/>
      <c r="AD391" s="438"/>
      <c r="AE391" s="438"/>
      <c r="AF391" s="438"/>
      <c r="AG391" s="438"/>
      <c r="AH391" s="438"/>
    </row>
    <row r="392">
      <c r="A392" s="438"/>
      <c r="B392" s="438"/>
      <c r="C392" s="438"/>
      <c r="D392" s="438"/>
      <c r="E392" s="438"/>
      <c r="F392" s="438"/>
      <c r="G392" s="438"/>
      <c r="H392" s="438"/>
      <c r="I392" s="438"/>
      <c r="J392" s="438"/>
      <c r="K392" s="438"/>
      <c r="L392" s="438"/>
      <c r="M392" s="438"/>
      <c r="N392" s="438"/>
      <c r="O392" s="438"/>
      <c r="P392" s="438"/>
      <c r="Q392" s="438"/>
      <c r="R392" s="438"/>
      <c r="S392" s="438"/>
      <c r="T392" s="438"/>
      <c r="U392" s="438"/>
      <c r="V392" s="438"/>
      <c r="W392" s="438"/>
      <c r="X392" s="438"/>
      <c r="Y392" s="438"/>
      <c r="Z392" s="438"/>
      <c r="AA392" s="438"/>
      <c r="AB392" s="438"/>
      <c r="AC392" s="438"/>
      <c r="AD392" s="438"/>
      <c r="AE392" s="438"/>
      <c r="AF392" s="438"/>
      <c r="AG392" s="438"/>
      <c r="AH392" s="438"/>
    </row>
    <row r="393">
      <c r="A393" s="438"/>
      <c r="B393" s="438"/>
      <c r="C393" s="438"/>
      <c r="D393" s="438"/>
      <c r="E393" s="438"/>
      <c r="F393" s="438"/>
      <c r="G393" s="438"/>
      <c r="H393" s="438"/>
      <c r="I393" s="438"/>
      <c r="J393" s="438"/>
      <c r="K393" s="438"/>
      <c r="L393" s="438"/>
      <c r="M393" s="438"/>
      <c r="N393" s="438"/>
      <c r="O393" s="438"/>
      <c r="P393" s="438"/>
      <c r="Q393" s="438"/>
      <c r="R393" s="438"/>
      <c r="S393" s="438"/>
      <c r="T393" s="438"/>
      <c r="U393" s="438"/>
      <c r="V393" s="438"/>
      <c r="W393" s="438"/>
      <c r="X393" s="438"/>
      <c r="Y393" s="438"/>
      <c r="Z393" s="438"/>
      <c r="AA393" s="438"/>
      <c r="AB393" s="438"/>
      <c r="AC393" s="438"/>
      <c r="AD393" s="438"/>
      <c r="AE393" s="438"/>
      <c r="AF393" s="438"/>
      <c r="AG393" s="438"/>
      <c r="AH393" s="438"/>
    </row>
    <row r="394">
      <c r="A394" s="438"/>
      <c r="B394" s="438"/>
      <c r="C394" s="438"/>
      <c r="D394" s="438"/>
      <c r="E394" s="438"/>
      <c r="F394" s="438"/>
      <c r="G394" s="438"/>
      <c r="H394" s="438"/>
      <c r="I394" s="438"/>
      <c r="J394" s="438"/>
      <c r="K394" s="438"/>
      <c r="L394" s="438"/>
      <c r="M394" s="438"/>
      <c r="N394" s="438"/>
      <c r="O394" s="438"/>
      <c r="P394" s="438"/>
      <c r="Q394" s="438"/>
      <c r="R394" s="438"/>
      <c r="S394" s="438"/>
      <c r="T394" s="438"/>
      <c r="U394" s="438"/>
      <c r="V394" s="438"/>
      <c r="W394" s="438"/>
      <c r="X394" s="438"/>
      <c r="Y394" s="438"/>
      <c r="Z394" s="438"/>
      <c r="AA394" s="438"/>
      <c r="AB394" s="438"/>
      <c r="AC394" s="438"/>
      <c r="AD394" s="438"/>
      <c r="AE394" s="438"/>
      <c r="AF394" s="438"/>
      <c r="AG394" s="438"/>
      <c r="AH394" s="438"/>
    </row>
    <row r="395">
      <c r="A395" s="438"/>
      <c r="B395" s="438"/>
      <c r="C395" s="438"/>
      <c r="D395" s="438"/>
      <c r="E395" s="438"/>
      <c r="F395" s="438"/>
      <c r="G395" s="438"/>
      <c r="H395" s="438"/>
      <c r="I395" s="438"/>
      <c r="J395" s="438"/>
      <c r="K395" s="438"/>
      <c r="L395" s="438"/>
      <c r="M395" s="438"/>
      <c r="N395" s="438"/>
      <c r="O395" s="438"/>
      <c r="P395" s="438"/>
      <c r="Q395" s="438"/>
      <c r="R395" s="438"/>
      <c r="S395" s="438"/>
      <c r="T395" s="438"/>
      <c r="U395" s="438"/>
      <c r="V395" s="438"/>
      <c r="W395" s="438"/>
      <c r="X395" s="438"/>
      <c r="Y395" s="438"/>
      <c r="Z395" s="438"/>
      <c r="AA395" s="438"/>
      <c r="AB395" s="438"/>
      <c r="AC395" s="438"/>
      <c r="AD395" s="438"/>
      <c r="AE395" s="438"/>
      <c r="AF395" s="438"/>
      <c r="AG395" s="438"/>
      <c r="AH395" s="438"/>
    </row>
    <row r="396">
      <c r="A396" s="438"/>
      <c r="B396" s="438"/>
      <c r="C396" s="438"/>
      <c r="D396" s="438"/>
      <c r="E396" s="438"/>
      <c r="F396" s="438"/>
      <c r="G396" s="438"/>
      <c r="H396" s="438"/>
      <c r="I396" s="438"/>
      <c r="J396" s="438"/>
      <c r="K396" s="438"/>
      <c r="L396" s="438"/>
      <c r="M396" s="438"/>
      <c r="N396" s="438"/>
      <c r="O396" s="438"/>
      <c r="P396" s="438"/>
      <c r="Q396" s="438"/>
      <c r="R396" s="438"/>
      <c r="S396" s="438"/>
      <c r="T396" s="438"/>
      <c r="U396" s="438"/>
      <c r="V396" s="438"/>
      <c r="W396" s="438"/>
      <c r="X396" s="438"/>
      <c r="Y396" s="438"/>
      <c r="Z396" s="438"/>
      <c r="AA396" s="438"/>
      <c r="AB396" s="438"/>
      <c r="AC396" s="438"/>
      <c r="AD396" s="438"/>
      <c r="AE396" s="438"/>
      <c r="AF396" s="438"/>
      <c r="AG396" s="438"/>
      <c r="AH396" s="438"/>
    </row>
    <row r="397">
      <c r="A397" s="438"/>
      <c r="B397" s="438"/>
      <c r="C397" s="438"/>
      <c r="D397" s="438"/>
      <c r="E397" s="438"/>
      <c r="F397" s="438"/>
      <c r="G397" s="438"/>
      <c r="H397" s="438"/>
      <c r="I397" s="438"/>
      <c r="J397" s="438"/>
      <c r="K397" s="438"/>
      <c r="L397" s="438"/>
      <c r="M397" s="438"/>
      <c r="N397" s="438"/>
      <c r="O397" s="438"/>
      <c r="P397" s="438"/>
      <c r="Q397" s="438"/>
      <c r="R397" s="438"/>
      <c r="S397" s="438"/>
      <c r="T397" s="438"/>
      <c r="U397" s="438"/>
      <c r="V397" s="438"/>
      <c r="W397" s="438"/>
      <c r="X397" s="438"/>
      <c r="Y397" s="438"/>
      <c r="Z397" s="438"/>
      <c r="AA397" s="438"/>
      <c r="AB397" s="438"/>
      <c r="AC397" s="438"/>
      <c r="AD397" s="438"/>
      <c r="AE397" s="438"/>
      <c r="AF397" s="438"/>
      <c r="AG397" s="438"/>
      <c r="AH397" s="438"/>
    </row>
    <row r="398">
      <c r="A398" s="438"/>
      <c r="B398" s="438"/>
      <c r="C398" s="438"/>
      <c r="D398" s="438"/>
      <c r="E398" s="438"/>
      <c r="F398" s="438"/>
      <c r="G398" s="438"/>
      <c r="H398" s="438"/>
      <c r="I398" s="438"/>
      <c r="J398" s="438"/>
      <c r="K398" s="438"/>
      <c r="L398" s="438"/>
      <c r="M398" s="438"/>
      <c r="N398" s="438"/>
      <c r="O398" s="438"/>
      <c r="P398" s="438"/>
      <c r="Q398" s="438"/>
      <c r="R398" s="438"/>
      <c r="S398" s="438"/>
      <c r="T398" s="438"/>
      <c r="U398" s="438"/>
      <c r="V398" s="438"/>
      <c r="W398" s="438"/>
      <c r="X398" s="438"/>
      <c r="Y398" s="438"/>
      <c r="Z398" s="438"/>
      <c r="AA398" s="438"/>
      <c r="AB398" s="438"/>
      <c r="AC398" s="438"/>
      <c r="AD398" s="438"/>
      <c r="AE398" s="438"/>
      <c r="AF398" s="438"/>
      <c r="AG398" s="438"/>
      <c r="AH398" s="438"/>
    </row>
    <row r="399">
      <c r="A399" s="438"/>
      <c r="B399" s="438"/>
      <c r="C399" s="438"/>
      <c r="D399" s="438"/>
      <c r="E399" s="438"/>
      <c r="F399" s="438"/>
      <c r="G399" s="438"/>
      <c r="H399" s="438"/>
      <c r="I399" s="438"/>
      <c r="J399" s="438"/>
      <c r="K399" s="438"/>
      <c r="L399" s="438"/>
      <c r="M399" s="438"/>
      <c r="N399" s="438"/>
      <c r="O399" s="438"/>
      <c r="P399" s="438"/>
      <c r="Q399" s="438"/>
      <c r="R399" s="438"/>
      <c r="S399" s="438"/>
      <c r="T399" s="438"/>
      <c r="U399" s="438"/>
      <c r="V399" s="438"/>
      <c r="W399" s="438"/>
      <c r="X399" s="438"/>
      <c r="Y399" s="438"/>
      <c r="Z399" s="438"/>
      <c r="AA399" s="438"/>
      <c r="AB399" s="438"/>
      <c r="AC399" s="438"/>
      <c r="AD399" s="438"/>
      <c r="AE399" s="438"/>
      <c r="AF399" s="438"/>
      <c r="AG399" s="438"/>
      <c r="AH399" s="438"/>
    </row>
    <row r="400">
      <c r="A400" s="438"/>
      <c r="B400" s="438"/>
      <c r="C400" s="438"/>
      <c r="D400" s="438"/>
      <c r="E400" s="438"/>
      <c r="F400" s="438"/>
      <c r="G400" s="438"/>
      <c r="H400" s="438"/>
      <c r="I400" s="438"/>
      <c r="J400" s="438"/>
      <c r="K400" s="438"/>
      <c r="L400" s="438"/>
      <c r="M400" s="438"/>
      <c r="N400" s="438"/>
      <c r="O400" s="438"/>
      <c r="P400" s="438"/>
      <c r="Q400" s="438"/>
      <c r="R400" s="438"/>
      <c r="S400" s="438"/>
      <c r="T400" s="438"/>
      <c r="U400" s="438"/>
      <c r="V400" s="438"/>
      <c r="W400" s="438"/>
      <c r="X400" s="438"/>
      <c r="Y400" s="438"/>
      <c r="Z400" s="438"/>
      <c r="AA400" s="438"/>
      <c r="AB400" s="438"/>
      <c r="AC400" s="438"/>
      <c r="AD400" s="438"/>
      <c r="AE400" s="438"/>
      <c r="AF400" s="438"/>
      <c r="AG400" s="438"/>
      <c r="AH400" s="438"/>
    </row>
    <row r="401">
      <c r="A401" s="438"/>
      <c r="B401" s="438"/>
      <c r="C401" s="438"/>
      <c r="D401" s="438"/>
      <c r="E401" s="438"/>
      <c r="F401" s="438"/>
      <c r="G401" s="438"/>
      <c r="H401" s="438"/>
      <c r="I401" s="438"/>
      <c r="J401" s="438"/>
      <c r="K401" s="438"/>
      <c r="L401" s="438"/>
      <c r="M401" s="438"/>
      <c r="N401" s="438"/>
      <c r="O401" s="438"/>
      <c r="P401" s="438"/>
      <c r="Q401" s="438"/>
      <c r="R401" s="438"/>
      <c r="S401" s="438"/>
      <c r="T401" s="438"/>
      <c r="U401" s="438"/>
      <c r="V401" s="438"/>
      <c r="W401" s="438"/>
      <c r="X401" s="438"/>
      <c r="Y401" s="438"/>
      <c r="Z401" s="438"/>
      <c r="AA401" s="438"/>
      <c r="AB401" s="438"/>
      <c r="AC401" s="438"/>
      <c r="AD401" s="438"/>
      <c r="AE401" s="438"/>
      <c r="AF401" s="438"/>
      <c r="AG401" s="438"/>
      <c r="AH401" s="438"/>
    </row>
    <row r="402">
      <c r="A402" s="438"/>
      <c r="B402" s="438"/>
      <c r="C402" s="438"/>
      <c r="D402" s="438"/>
      <c r="E402" s="438"/>
      <c r="F402" s="438"/>
      <c r="G402" s="438"/>
      <c r="H402" s="438"/>
      <c r="I402" s="438"/>
      <c r="J402" s="438"/>
      <c r="K402" s="438"/>
      <c r="L402" s="438"/>
      <c r="M402" s="438"/>
      <c r="N402" s="438"/>
      <c r="O402" s="438"/>
      <c r="P402" s="438"/>
      <c r="Q402" s="438"/>
      <c r="R402" s="438"/>
      <c r="S402" s="438"/>
      <c r="T402" s="438"/>
      <c r="U402" s="438"/>
      <c r="V402" s="438"/>
      <c r="W402" s="438"/>
      <c r="X402" s="438"/>
      <c r="Y402" s="438"/>
      <c r="Z402" s="438"/>
      <c r="AA402" s="438"/>
      <c r="AB402" s="438"/>
      <c r="AC402" s="438"/>
      <c r="AD402" s="438"/>
      <c r="AE402" s="438"/>
      <c r="AF402" s="438"/>
      <c r="AG402" s="438"/>
      <c r="AH402" s="438"/>
    </row>
    <row r="403">
      <c r="A403" s="438"/>
      <c r="B403" s="438"/>
      <c r="C403" s="438"/>
      <c r="D403" s="438"/>
      <c r="E403" s="438"/>
      <c r="F403" s="438"/>
      <c r="G403" s="438"/>
      <c r="H403" s="438"/>
      <c r="I403" s="438"/>
      <c r="J403" s="438"/>
      <c r="K403" s="438"/>
      <c r="L403" s="438"/>
      <c r="M403" s="438"/>
      <c r="N403" s="438"/>
      <c r="O403" s="438"/>
      <c r="P403" s="438"/>
      <c r="Q403" s="438"/>
      <c r="R403" s="438"/>
      <c r="S403" s="438"/>
      <c r="T403" s="438"/>
      <c r="U403" s="438"/>
      <c r="V403" s="438"/>
      <c r="W403" s="438"/>
      <c r="X403" s="438"/>
      <c r="Y403" s="438"/>
      <c r="Z403" s="438"/>
      <c r="AA403" s="438"/>
      <c r="AB403" s="438"/>
      <c r="AC403" s="438"/>
      <c r="AD403" s="438"/>
      <c r="AE403" s="438"/>
      <c r="AF403" s="438"/>
      <c r="AG403" s="438"/>
      <c r="AH403" s="438"/>
    </row>
    <row r="404">
      <c r="A404" s="438"/>
      <c r="B404" s="438"/>
      <c r="C404" s="438"/>
      <c r="D404" s="438"/>
      <c r="E404" s="438"/>
      <c r="F404" s="438"/>
      <c r="G404" s="438"/>
      <c r="H404" s="438"/>
      <c r="I404" s="438"/>
      <c r="J404" s="438"/>
      <c r="K404" s="438"/>
      <c r="L404" s="438"/>
      <c r="M404" s="438"/>
      <c r="N404" s="438"/>
      <c r="O404" s="438"/>
      <c r="P404" s="438"/>
      <c r="Q404" s="438"/>
      <c r="R404" s="438"/>
      <c r="S404" s="438"/>
      <c r="T404" s="438"/>
      <c r="U404" s="438"/>
      <c r="V404" s="438"/>
      <c r="W404" s="438"/>
      <c r="X404" s="438"/>
      <c r="Y404" s="438"/>
      <c r="Z404" s="438"/>
      <c r="AA404" s="438"/>
      <c r="AB404" s="438"/>
      <c r="AC404" s="438"/>
      <c r="AD404" s="438"/>
      <c r="AE404" s="438"/>
      <c r="AF404" s="438"/>
      <c r="AG404" s="438"/>
      <c r="AH404" s="438"/>
    </row>
    <row r="405">
      <c r="A405" s="438"/>
      <c r="B405" s="438"/>
      <c r="C405" s="438"/>
      <c r="D405" s="438"/>
      <c r="E405" s="438"/>
      <c r="F405" s="438"/>
      <c r="G405" s="438"/>
      <c r="H405" s="438"/>
      <c r="I405" s="438"/>
      <c r="J405" s="438"/>
      <c r="K405" s="438"/>
      <c r="L405" s="438"/>
      <c r="M405" s="438"/>
      <c r="N405" s="438"/>
      <c r="O405" s="438"/>
      <c r="P405" s="438"/>
      <c r="Q405" s="438"/>
      <c r="R405" s="438"/>
      <c r="S405" s="438"/>
      <c r="T405" s="438"/>
      <c r="U405" s="438"/>
      <c r="V405" s="438"/>
      <c r="W405" s="438"/>
      <c r="X405" s="438"/>
      <c r="Y405" s="438"/>
      <c r="Z405" s="438"/>
      <c r="AA405" s="438"/>
      <c r="AB405" s="438"/>
      <c r="AC405" s="438"/>
      <c r="AD405" s="438"/>
      <c r="AE405" s="438"/>
      <c r="AF405" s="438"/>
      <c r="AG405" s="438"/>
      <c r="AH405" s="438"/>
    </row>
    <row r="406">
      <c r="A406" s="438"/>
      <c r="B406" s="438"/>
      <c r="C406" s="438"/>
      <c r="D406" s="438"/>
      <c r="E406" s="438"/>
      <c r="F406" s="438"/>
      <c r="G406" s="438"/>
      <c r="H406" s="438"/>
      <c r="I406" s="438"/>
      <c r="J406" s="438"/>
      <c r="K406" s="438"/>
      <c r="L406" s="438"/>
      <c r="M406" s="438"/>
      <c r="N406" s="438"/>
      <c r="O406" s="438"/>
      <c r="P406" s="438"/>
      <c r="Q406" s="438"/>
      <c r="R406" s="438"/>
      <c r="S406" s="438"/>
      <c r="T406" s="438"/>
      <c r="U406" s="438"/>
      <c r="V406" s="438"/>
      <c r="W406" s="438"/>
      <c r="X406" s="438"/>
      <c r="Y406" s="438"/>
      <c r="Z406" s="438"/>
      <c r="AA406" s="438"/>
      <c r="AB406" s="438"/>
      <c r="AC406" s="438"/>
      <c r="AD406" s="438"/>
      <c r="AE406" s="438"/>
      <c r="AF406" s="438"/>
      <c r="AG406" s="438"/>
      <c r="AH406" s="438"/>
    </row>
    <row r="407">
      <c r="A407" s="438"/>
      <c r="B407" s="438"/>
      <c r="C407" s="438"/>
      <c r="D407" s="438"/>
      <c r="E407" s="438"/>
      <c r="F407" s="438"/>
      <c r="G407" s="438"/>
      <c r="H407" s="438"/>
      <c r="I407" s="438"/>
      <c r="J407" s="438"/>
      <c r="K407" s="438"/>
      <c r="L407" s="438"/>
      <c r="M407" s="438"/>
      <c r="N407" s="438"/>
      <c r="O407" s="438"/>
      <c r="P407" s="438"/>
      <c r="Q407" s="438"/>
      <c r="R407" s="438"/>
      <c r="S407" s="438"/>
      <c r="T407" s="438"/>
      <c r="U407" s="438"/>
      <c r="V407" s="438"/>
      <c r="W407" s="438"/>
      <c r="X407" s="438"/>
      <c r="Y407" s="438"/>
      <c r="Z407" s="438"/>
      <c r="AA407" s="438"/>
      <c r="AB407" s="438"/>
      <c r="AC407" s="438"/>
      <c r="AD407" s="438"/>
      <c r="AE407" s="438"/>
      <c r="AF407" s="438"/>
      <c r="AG407" s="438"/>
      <c r="AH407" s="438"/>
    </row>
    <row r="408">
      <c r="A408" s="438"/>
      <c r="B408" s="438"/>
      <c r="C408" s="438"/>
      <c r="D408" s="438"/>
      <c r="E408" s="438"/>
      <c r="F408" s="438"/>
      <c r="G408" s="438"/>
      <c r="H408" s="438"/>
      <c r="I408" s="438"/>
      <c r="J408" s="438"/>
      <c r="K408" s="438"/>
      <c r="L408" s="438"/>
      <c r="M408" s="438"/>
      <c r="N408" s="438"/>
      <c r="O408" s="438"/>
      <c r="P408" s="438"/>
      <c r="Q408" s="438"/>
      <c r="R408" s="438"/>
      <c r="S408" s="438"/>
      <c r="T408" s="438"/>
      <c r="U408" s="438"/>
      <c r="V408" s="438"/>
      <c r="W408" s="438"/>
      <c r="X408" s="438"/>
      <c r="Y408" s="438"/>
      <c r="Z408" s="438"/>
      <c r="AA408" s="438"/>
      <c r="AB408" s="438"/>
      <c r="AC408" s="438"/>
      <c r="AD408" s="438"/>
      <c r="AE408" s="438"/>
      <c r="AF408" s="438"/>
      <c r="AG408" s="438"/>
      <c r="AH408" s="438"/>
    </row>
    <row r="409">
      <c r="A409" s="438"/>
      <c r="B409" s="438"/>
      <c r="C409" s="438"/>
      <c r="D409" s="438"/>
      <c r="E409" s="438"/>
      <c r="F409" s="438"/>
      <c r="G409" s="438"/>
      <c r="H409" s="438"/>
      <c r="I409" s="438"/>
      <c r="J409" s="438"/>
      <c r="K409" s="438"/>
      <c r="L409" s="438"/>
      <c r="M409" s="438"/>
      <c r="N409" s="438"/>
      <c r="O409" s="438"/>
      <c r="P409" s="438"/>
      <c r="Q409" s="438"/>
      <c r="R409" s="438"/>
      <c r="S409" s="438"/>
      <c r="T409" s="438"/>
      <c r="U409" s="438"/>
      <c r="V409" s="438"/>
      <c r="W409" s="438"/>
      <c r="X409" s="438"/>
      <c r="Y409" s="438"/>
      <c r="Z409" s="438"/>
      <c r="AA409" s="438"/>
      <c r="AB409" s="438"/>
      <c r="AC409" s="438"/>
      <c r="AD409" s="438"/>
      <c r="AE409" s="438"/>
      <c r="AF409" s="438"/>
      <c r="AG409" s="438"/>
      <c r="AH409" s="438"/>
    </row>
    <row r="410">
      <c r="A410" s="438"/>
      <c r="B410" s="438"/>
      <c r="C410" s="438"/>
      <c r="D410" s="438"/>
      <c r="E410" s="438"/>
      <c r="F410" s="438"/>
      <c r="G410" s="438"/>
      <c r="H410" s="438"/>
      <c r="I410" s="438"/>
      <c r="J410" s="438"/>
      <c r="K410" s="438"/>
      <c r="L410" s="438"/>
      <c r="M410" s="438"/>
      <c r="N410" s="438"/>
      <c r="O410" s="438"/>
      <c r="P410" s="438"/>
      <c r="Q410" s="438"/>
      <c r="R410" s="438"/>
      <c r="S410" s="438"/>
      <c r="T410" s="438"/>
      <c r="U410" s="438"/>
      <c r="V410" s="438"/>
      <c r="W410" s="438"/>
      <c r="X410" s="438"/>
      <c r="Y410" s="438"/>
      <c r="Z410" s="438"/>
      <c r="AA410" s="438"/>
      <c r="AB410" s="438"/>
      <c r="AC410" s="438"/>
      <c r="AD410" s="438"/>
      <c r="AE410" s="438"/>
      <c r="AF410" s="438"/>
      <c r="AG410" s="438"/>
      <c r="AH410" s="438"/>
    </row>
    <row r="411">
      <c r="A411" s="438"/>
      <c r="B411" s="438"/>
      <c r="C411" s="438"/>
      <c r="D411" s="438"/>
      <c r="E411" s="438"/>
      <c r="F411" s="438"/>
      <c r="G411" s="438"/>
      <c r="H411" s="438"/>
      <c r="I411" s="438"/>
      <c r="J411" s="438"/>
      <c r="K411" s="438"/>
      <c r="L411" s="438"/>
      <c r="M411" s="438"/>
      <c r="N411" s="438"/>
      <c r="O411" s="438"/>
      <c r="P411" s="438"/>
      <c r="Q411" s="438"/>
      <c r="R411" s="438"/>
      <c r="S411" s="438"/>
      <c r="T411" s="438"/>
      <c r="U411" s="438"/>
      <c r="V411" s="438"/>
      <c r="W411" s="438"/>
      <c r="X411" s="438"/>
      <c r="Y411" s="438"/>
      <c r="Z411" s="438"/>
      <c r="AA411" s="438"/>
      <c r="AB411" s="438"/>
      <c r="AC411" s="438"/>
      <c r="AD411" s="438"/>
      <c r="AE411" s="438"/>
      <c r="AF411" s="438"/>
      <c r="AG411" s="438"/>
      <c r="AH411" s="438"/>
    </row>
    <row r="412">
      <c r="A412" s="438"/>
      <c r="B412" s="438"/>
      <c r="C412" s="438"/>
      <c r="D412" s="438"/>
      <c r="E412" s="438"/>
      <c r="F412" s="438"/>
      <c r="G412" s="438"/>
      <c r="H412" s="438"/>
      <c r="I412" s="438"/>
      <c r="J412" s="438"/>
      <c r="K412" s="438"/>
      <c r="L412" s="438"/>
      <c r="M412" s="438"/>
      <c r="N412" s="438"/>
      <c r="O412" s="438"/>
      <c r="P412" s="438"/>
      <c r="Q412" s="438"/>
      <c r="R412" s="438"/>
      <c r="S412" s="438"/>
      <c r="T412" s="438"/>
      <c r="U412" s="438"/>
      <c r="V412" s="438"/>
      <c r="W412" s="438"/>
      <c r="X412" s="438"/>
      <c r="Y412" s="438"/>
      <c r="Z412" s="438"/>
      <c r="AA412" s="438"/>
      <c r="AB412" s="438"/>
      <c r="AC412" s="438"/>
      <c r="AD412" s="438"/>
      <c r="AE412" s="438"/>
      <c r="AF412" s="438"/>
      <c r="AG412" s="438"/>
      <c r="AH412" s="438"/>
    </row>
    <row r="413">
      <c r="A413" s="438"/>
      <c r="B413" s="438"/>
      <c r="C413" s="438"/>
      <c r="D413" s="438"/>
      <c r="E413" s="438"/>
      <c r="F413" s="438"/>
      <c r="G413" s="438"/>
      <c r="H413" s="438"/>
      <c r="I413" s="438"/>
      <c r="J413" s="438"/>
      <c r="K413" s="438"/>
      <c r="L413" s="438"/>
      <c r="M413" s="438"/>
      <c r="N413" s="438"/>
      <c r="O413" s="438"/>
      <c r="P413" s="438"/>
      <c r="Q413" s="438"/>
      <c r="R413" s="438"/>
      <c r="S413" s="438"/>
      <c r="T413" s="438"/>
      <c r="U413" s="438"/>
      <c r="V413" s="438"/>
      <c r="W413" s="438"/>
      <c r="X413" s="438"/>
      <c r="Y413" s="438"/>
      <c r="Z413" s="438"/>
      <c r="AA413" s="438"/>
      <c r="AB413" s="438"/>
      <c r="AC413" s="438"/>
      <c r="AD413" s="438"/>
      <c r="AE413" s="438"/>
      <c r="AF413" s="438"/>
      <c r="AG413" s="438"/>
      <c r="AH413" s="438"/>
    </row>
    <row r="414">
      <c r="A414" s="438"/>
      <c r="B414" s="438"/>
      <c r="C414" s="438"/>
      <c r="D414" s="438"/>
      <c r="E414" s="438"/>
      <c r="F414" s="438"/>
      <c r="G414" s="438"/>
      <c r="H414" s="438"/>
      <c r="I414" s="438"/>
      <c r="J414" s="438"/>
      <c r="K414" s="438"/>
      <c r="L414" s="438"/>
      <c r="M414" s="438"/>
      <c r="N414" s="438"/>
      <c r="O414" s="438"/>
      <c r="P414" s="438"/>
      <c r="Q414" s="438"/>
      <c r="R414" s="438"/>
      <c r="S414" s="438"/>
      <c r="T414" s="438"/>
      <c r="U414" s="438"/>
      <c r="V414" s="438"/>
      <c r="W414" s="438"/>
      <c r="X414" s="438"/>
      <c r="Y414" s="438"/>
      <c r="Z414" s="438"/>
      <c r="AA414" s="438"/>
      <c r="AB414" s="438"/>
      <c r="AC414" s="438"/>
      <c r="AD414" s="438"/>
      <c r="AE414" s="438"/>
      <c r="AF414" s="438"/>
      <c r="AG414" s="438"/>
      <c r="AH414" s="438"/>
    </row>
    <row r="415">
      <c r="A415" s="438"/>
      <c r="B415" s="438"/>
      <c r="C415" s="438"/>
      <c r="D415" s="438"/>
      <c r="E415" s="438"/>
      <c r="F415" s="438"/>
      <c r="G415" s="438"/>
      <c r="H415" s="438"/>
      <c r="I415" s="438"/>
      <c r="J415" s="438"/>
      <c r="K415" s="438"/>
      <c r="L415" s="438"/>
      <c r="M415" s="438"/>
      <c r="N415" s="438"/>
      <c r="O415" s="438"/>
      <c r="P415" s="438"/>
      <c r="Q415" s="438"/>
      <c r="R415" s="438"/>
      <c r="S415" s="438"/>
      <c r="T415" s="438"/>
      <c r="U415" s="438"/>
      <c r="V415" s="438"/>
      <c r="W415" s="438"/>
      <c r="X415" s="438"/>
      <c r="Y415" s="438"/>
      <c r="Z415" s="438"/>
      <c r="AA415" s="438"/>
      <c r="AB415" s="438"/>
      <c r="AC415" s="438"/>
      <c r="AD415" s="438"/>
      <c r="AE415" s="438"/>
      <c r="AF415" s="438"/>
      <c r="AG415" s="438"/>
      <c r="AH415" s="438"/>
    </row>
    <row r="416">
      <c r="A416" s="438"/>
      <c r="B416" s="438"/>
      <c r="C416" s="438"/>
      <c r="D416" s="438"/>
      <c r="E416" s="438"/>
      <c r="F416" s="438"/>
      <c r="G416" s="438"/>
      <c r="H416" s="438"/>
      <c r="I416" s="438"/>
      <c r="J416" s="438"/>
      <c r="K416" s="438"/>
      <c r="L416" s="438"/>
      <c r="M416" s="438"/>
      <c r="N416" s="438"/>
      <c r="O416" s="438"/>
      <c r="P416" s="438"/>
      <c r="Q416" s="438"/>
      <c r="R416" s="438"/>
      <c r="S416" s="438"/>
      <c r="T416" s="438"/>
      <c r="U416" s="438"/>
      <c r="V416" s="438"/>
      <c r="W416" s="438"/>
      <c r="X416" s="438"/>
      <c r="Y416" s="438"/>
      <c r="Z416" s="438"/>
      <c r="AA416" s="438"/>
      <c r="AB416" s="438"/>
      <c r="AC416" s="438"/>
      <c r="AD416" s="438"/>
      <c r="AE416" s="438"/>
      <c r="AF416" s="438"/>
      <c r="AG416" s="438"/>
      <c r="AH416" s="438"/>
    </row>
    <row r="417">
      <c r="A417" s="438"/>
      <c r="B417" s="438"/>
      <c r="C417" s="438"/>
      <c r="D417" s="438"/>
      <c r="E417" s="438"/>
      <c r="F417" s="438"/>
      <c r="G417" s="438"/>
      <c r="H417" s="438"/>
      <c r="I417" s="438"/>
      <c r="J417" s="438"/>
      <c r="K417" s="438"/>
      <c r="L417" s="438"/>
      <c r="M417" s="438"/>
      <c r="N417" s="438"/>
      <c r="O417" s="438"/>
      <c r="P417" s="438"/>
      <c r="Q417" s="438"/>
      <c r="R417" s="438"/>
      <c r="S417" s="438"/>
      <c r="T417" s="438"/>
      <c r="U417" s="438"/>
      <c r="V417" s="438"/>
      <c r="W417" s="438"/>
      <c r="X417" s="438"/>
      <c r="Y417" s="438"/>
      <c r="Z417" s="438"/>
      <c r="AA417" s="438"/>
      <c r="AB417" s="438"/>
      <c r="AC417" s="438"/>
      <c r="AD417" s="438"/>
      <c r="AE417" s="438"/>
      <c r="AF417" s="438"/>
      <c r="AG417" s="438"/>
      <c r="AH417" s="438"/>
    </row>
    <row r="418">
      <c r="A418" s="438"/>
      <c r="B418" s="438"/>
      <c r="C418" s="438"/>
      <c r="D418" s="438"/>
      <c r="E418" s="438"/>
      <c r="F418" s="438"/>
      <c r="G418" s="438"/>
      <c r="H418" s="438"/>
      <c r="I418" s="438"/>
      <c r="J418" s="438"/>
      <c r="K418" s="438"/>
      <c r="L418" s="438"/>
      <c r="M418" s="438"/>
      <c r="N418" s="438"/>
      <c r="O418" s="438"/>
      <c r="P418" s="438"/>
      <c r="Q418" s="438"/>
      <c r="R418" s="438"/>
      <c r="S418" s="438"/>
      <c r="T418" s="438"/>
      <c r="U418" s="438"/>
      <c r="V418" s="438"/>
      <c r="W418" s="438"/>
      <c r="X418" s="438"/>
      <c r="Y418" s="438"/>
      <c r="Z418" s="438"/>
      <c r="AA418" s="438"/>
      <c r="AB418" s="438"/>
      <c r="AC418" s="438"/>
      <c r="AD418" s="438"/>
      <c r="AE418" s="438"/>
      <c r="AF418" s="438"/>
      <c r="AG418" s="438"/>
      <c r="AH418" s="438"/>
    </row>
    <row r="419">
      <c r="A419" s="438"/>
      <c r="B419" s="438"/>
      <c r="C419" s="438"/>
      <c r="D419" s="438"/>
      <c r="E419" s="438"/>
      <c r="F419" s="438"/>
      <c r="G419" s="438"/>
      <c r="H419" s="438"/>
      <c r="I419" s="438"/>
      <c r="J419" s="438"/>
      <c r="K419" s="438"/>
      <c r="L419" s="438"/>
      <c r="M419" s="438"/>
      <c r="N419" s="438"/>
      <c r="O419" s="438"/>
      <c r="P419" s="438"/>
      <c r="Q419" s="438"/>
      <c r="R419" s="438"/>
      <c r="S419" s="438"/>
      <c r="T419" s="438"/>
      <c r="U419" s="438"/>
      <c r="V419" s="438"/>
      <c r="W419" s="438"/>
      <c r="X419" s="438"/>
      <c r="Y419" s="438"/>
      <c r="Z419" s="438"/>
      <c r="AA419" s="438"/>
      <c r="AB419" s="438"/>
      <c r="AC419" s="438"/>
      <c r="AD419" s="438"/>
      <c r="AE419" s="438"/>
      <c r="AF419" s="438"/>
      <c r="AG419" s="438"/>
      <c r="AH419" s="438"/>
    </row>
    <row r="420">
      <c r="A420" s="438"/>
      <c r="B420" s="438"/>
      <c r="C420" s="438"/>
      <c r="D420" s="438"/>
      <c r="E420" s="438"/>
      <c r="F420" s="438"/>
      <c r="G420" s="438"/>
      <c r="H420" s="438"/>
      <c r="I420" s="438"/>
      <c r="J420" s="438"/>
      <c r="K420" s="438"/>
      <c r="L420" s="438"/>
      <c r="M420" s="438"/>
      <c r="N420" s="438"/>
      <c r="O420" s="438"/>
      <c r="P420" s="438"/>
      <c r="Q420" s="438"/>
      <c r="R420" s="438"/>
      <c r="S420" s="438"/>
      <c r="T420" s="438"/>
      <c r="U420" s="438"/>
      <c r="V420" s="438"/>
      <c r="W420" s="438"/>
      <c r="X420" s="438"/>
      <c r="Y420" s="438"/>
      <c r="Z420" s="438"/>
      <c r="AA420" s="438"/>
      <c r="AB420" s="438"/>
      <c r="AC420" s="438"/>
      <c r="AD420" s="438"/>
      <c r="AE420" s="438"/>
      <c r="AF420" s="438"/>
      <c r="AG420" s="438"/>
      <c r="AH420" s="438"/>
    </row>
    <row r="421">
      <c r="A421" s="438"/>
      <c r="B421" s="438"/>
      <c r="C421" s="438"/>
      <c r="D421" s="438"/>
      <c r="E421" s="438"/>
      <c r="F421" s="438"/>
      <c r="G421" s="438"/>
      <c r="H421" s="438"/>
      <c r="I421" s="438"/>
      <c r="J421" s="438"/>
      <c r="K421" s="438"/>
      <c r="L421" s="438"/>
      <c r="M421" s="438"/>
      <c r="N421" s="438"/>
      <c r="O421" s="438"/>
      <c r="P421" s="438"/>
      <c r="Q421" s="438"/>
      <c r="R421" s="438"/>
      <c r="S421" s="438"/>
      <c r="T421" s="438"/>
      <c r="U421" s="438"/>
      <c r="V421" s="438"/>
      <c r="W421" s="438"/>
      <c r="X421" s="438"/>
      <c r="Y421" s="438"/>
      <c r="Z421" s="438"/>
      <c r="AA421" s="438"/>
      <c r="AB421" s="438"/>
      <c r="AC421" s="438"/>
      <c r="AD421" s="438"/>
      <c r="AE421" s="438"/>
      <c r="AF421" s="438"/>
      <c r="AG421" s="438"/>
      <c r="AH421" s="438"/>
    </row>
    <row r="422">
      <c r="A422" s="438"/>
      <c r="B422" s="438"/>
      <c r="C422" s="438"/>
      <c r="D422" s="438"/>
      <c r="E422" s="438"/>
      <c r="F422" s="438"/>
      <c r="G422" s="438"/>
      <c r="H422" s="438"/>
      <c r="I422" s="438"/>
      <c r="J422" s="438"/>
      <c r="K422" s="438"/>
      <c r="L422" s="438"/>
      <c r="M422" s="438"/>
      <c r="N422" s="438"/>
      <c r="O422" s="438"/>
      <c r="P422" s="438"/>
      <c r="Q422" s="438"/>
      <c r="R422" s="438"/>
      <c r="S422" s="438"/>
      <c r="T422" s="438"/>
      <c r="U422" s="438"/>
      <c r="V422" s="438"/>
      <c r="W422" s="438"/>
      <c r="X422" s="438"/>
      <c r="Y422" s="438"/>
      <c r="Z422" s="438"/>
      <c r="AA422" s="438"/>
      <c r="AB422" s="438"/>
      <c r="AC422" s="438"/>
      <c r="AD422" s="438"/>
      <c r="AE422" s="438"/>
      <c r="AF422" s="438"/>
      <c r="AG422" s="438"/>
      <c r="AH422" s="438"/>
    </row>
    <row r="423">
      <c r="A423" s="438"/>
      <c r="B423" s="438"/>
      <c r="C423" s="438"/>
      <c r="D423" s="438"/>
      <c r="E423" s="438"/>
      <c r="F423" s="438"/>
      <c r="G423" s="438"/>
      <c r="H423" s="438"/>
      <c r="I423" s="438"/>
      <c r="J423" s="438"/>
      <c r="K423" s="438"/>
      <c r="L423" s="438"/>
      <c r="M423" s="438"/>
      <c r="N423" s="438"/>
      <c r="O423" s="438"/>
      <c r="P423" s="438"/>
      <c r="Q423" s="438"/>
      <c r="R423" s="438"/>
      <c r="S423" s="438"/>
      <c r="T423" s="438"/>
      <c r="U423" s="438"/>
      <c r="V423" s="438"/>
      <c r="W423" s="438"/>
      <c r="X423" s="438"/>
      <c r="Y423" s="438"/>
      <c r="Z423" s="438"/>
      <c r="AA423" s="438"/>
      <c r="AB423" s="438"/>
      <c r="AC423" s="438"/>
      <c r="AD423" s="438"/>
      <c r="AE423" s="438"/>
      <c r="AF423" s="438"/>
      <c r="AG423" s="438"/>
      <c r="AH423" s="438"/>
    </row>
    <row r="424">
      <c r="A424" s="438"/>
      <c r="B424" s="438"/>
      <c r="C424" s="438"/>
      <c r="D424" s="438"/>
      <c r="E424" s="438"/>
      <c r="F424" s="438"/>
      <c r="G424" s="438"/>
      <c r="H424" s="438"/>
      <c r="I424" s="438"/>
      <c r="J424" s="438"/>
      <c r="K424" s="438"/>
      <c r="L424" s="438"/>
      <c r="M424" s="438"/>
      <c r="N424" s="438"/>
      <c r="O424" s="438"/>
      <c r="P424" s="438"/>
      <c r="Q424" s="438"/>
      <c r="R424" s="438"/>
      <c r="S424" s="438"/>
      <c r="T424" s="438"/>
      <c r="U424" s="438"/>
      <c r="V424" s="438"/>
      <c r="W424" s="438"/>
      <c r="X424" s="438"/>
      <c r="Y424" s="438"/>
      <c r="Z424" s="438"/>
      <c r="AA424" s="438"/>
      <c r="AB424" s="438"/>
      <c r="AC424" s="438"/>
      <c r="AD424" s="438"/>
      <c r="AE424" s="438"/>
      <c r="AF424" s="438"/>
      <c r="AG424" s="438"/>
      <c r="AH424" s="438"/>
    </row>
    <row r="425">
      <c r="A425" s="438"/>
      <c r="B425" s="438"/>
      <c r="C425" s="438"/>
      <c r="D425" s="438"/>
      <c r="E425" s="438"/>
      <c r="F425" s="438"/>
      <c r="G425" s="438"/>
      <c r="H425" s="438"/>
      <c r="I425" s="438"/>
      <c r="J425" s="438"/>
      <c r="K425" s="438"/>
      <c r="L425" s="438"/>
      <c r="M425" s="438"/>
      <c r="N425" s="438"/>
      <c r="O425" s="438"/>
      <c r="P425" s="438"/>
      <c r="Q425" s="438"/>
      <c r="R425" s="438"/>
      <c r="S425" s="438"/>
      <c r="T425" s="438"/>
      <c r="U425" s="438"/>
      <c r="V425" s="438"/>
      <c r="W425" s="438"/>
      <c r="X425" s="438"/>
      <c r="Y425" s="438"/>
      <c r="Z425" s="438"/>
      <c r="AA425" s="438"/>
      <c r="AB425" s="438"/>
      <c r="AC425" s="438"/>
      <c r="AD425" s="438"/>
      <c r="AE425" s="438"/>
      <c r="AF425" s="438"/>
      <c r="AG425" s="438"/>
      <c r="AH425" s="438"/>
    </row>
    <row r="426">
      <c r="A426" s="438"/>
      <c r="B426" s="438"/>
      <c r="C426" s="438"/>
      <c r="D426" s="438"/>
      <c r="E426" s="438"/>
      <c r="F426" s="438"/>
      <c r="G426" s="438"/>
      <c r="H426" s="438"/>
      <c r="I426" s="438"/>
      <c r="J426" s="438"/>
      <c r="K426" s="438"/>
      <c r="L426" s="438"/>
      <c r="M426" s="438"/>
      <c r="N426" s="438"/>
      <c r="O426" s="438"/>
      <c r="P426" s="438"/>
      <c r="Q426" s="438"/>
      <c r="R426" s="438"/>
      <c r="S426" s="438"/>
      <c r="T426" s="438"/>
      <c r="U426" s="438"/>
      <c r="V426" s="438"/>
      <c r="W426" s="438"/>
      <c r="X426" s="438"/>
      <c r="Y426" s="438"/>
      <c r="Z426" s="438"/>
      <c r="AA426" s="438"/>
      <c r="AB426" s="438"/>
      <c r="AC426" s="438"/>
      <c r="AD426" s="438"/>
      <c r="AE426" s="438"/>
      <c r="AF426" s="438"/>
      <c r="AG426" s="438"/>
      <c r="AH426" s="438"/>
    </row>
    <row r="427">
      <c r="A427" s="438"/>
      <c r="B427" s="438"/>
      <c r="C427" s="438"/>
      <c r="D427" s="438"/>
      <c r="E427" s="438"/>
      <c r="F427" s="438"/>
      <c r="G427" s="438"/>
      <c r="H427" s="438"/>
      <c r="I427" s="438"/>
      <c r="J427" s="438"/>
      <c r="K427" s="438"/>
      <c r="L427" s="438"/>
      <c r="M427" s="438"/>
      <c r="N427" s="438"/>
      <c r="O427" s="438"/>
      <c r="P427" s="438"/>
      <c r="Q427" s="438"/>
      <c r="R427" s="438"/>
      <c r="S427" s="438"/>
      <c r="T427" s="438"/>
      <c r="U427" s="438"/>
      <c r="V427" s="438"/>
      <c r="W427" s="438"/>
      <c r="X427" s="438"/>
      <c r="Y427" s="438"/>
      <c r="Z427" s="438"/>
      <c r="AA427" s="438"/>
      <c r="AB427" s="438"/>
      <c r="AC427" s="438"/>
      <c r="AD427" s="438"/>
      <c r="AE427" s="438"/>
      <c r="AF427" s="438"/>
      <c r="AG427" s="438"/>
      <c r="AH427" s="438"/>
    </row>
    <row r="428">
      <c r="A428" s="438"/>
      <c r="B428" s="438"/>
      <c r="C428" s="438"/>
      <c r="D428" s="438"/>
      <c r="E428" s="438"/>
      <c r="F428" s="438"/>
      <c r="G428" s="438"/>
      <c r="H428" s="438"/>
      <c r="I428" s="438"/>
      <c r="J428" s="438"/>
      <c r="K428" s="438"/>
      <c r="L428" s="438"/>
      <c r="M428" s="438"/>
      <c r="N428" s="438"/>
      <c r="O428" s="438"/>
      <c r="P428" s="438"/>
      <c r="Q428" s="438"/>
      <c r="R428" s="438"/>
      <c r="S428" s="438"/>
      <c r="T428" s="438"/>
      <c r="U428" s="438"/>
      <c r="V428" s="438"/>
      <c r="W428" s="438"/>
      <c r="X428" s="438"/>
      <c r="Y428" s="438"/>
      <c r="Z428" s="438"/>
      <c r="AA428" s="438"/>
      <c r="AB428" s="438"/>
      <c r="AC428" s="438"/>
      <c r="AD428" s="438"/>
      <c r="AE428" s="438"/>
      <c r="AF428" s="438"/>
      <c r="AG428" s="438"/>
      <c r="AH428" s="438"/>
    </row>
    <row r="429">
      <c r="A429" s="438"/>
      <c r="B429" s="438"/>
      <c r="C429" s="438"/>
      <c r="D429" s="438"/>
      <c r="E429" s="438"/>
      <c r="F429" s="438"/>
      <c r="G429" s="438"/>
      <c r="H429" s="438"/>
      <c r="I429" s="438"/>
      <c r="J429" s="438"/>
      <c r="K429" s="438"/>
      <c r="L429" s="438"/>
      <c r="M429" s="438"/>
      <c r="N429" s="438"/>
      <c r="O429" s="438"/>
      <c r="P429" s="438"/>
      <c r="Q429" s="438"/>
      <c r="R429" s="438"/>
      <c r="S429" s="438"/>
      <c r="T429" s="438"/>
      <c r="U429" s="438"/>
      <c r="V429" s="438"/>
      <c r="W429" s="438"/>
      <c r="X429" s="438"/>
      <c r="Y429" s="438"/>
      <c r="Z429" s="438"/>
      <c r="AA429" s="438"/>
      <c r="AB429" s="438"/>
      <c r="AC429" s="438"/>
      <c r="AD429" s="438"/>
      <c r="AE429" s="438"/>
      <c r="AF429" s="438"/>
      <c r="AG429" s="438"/>
      <c r="AH429" s="438"/>
    </row>
    <row r="430">
      <c r="A430" s="438"/>
      <c r="B430" s="438"/>
      <c r="C430" s="438"/>
      <c r="D430" s="438"/>
      <c r="E430" s="438"/>
      <c r="F430" s="438"/>
      <c r="G430" s="438"/>
      <c r="H430" s="438"/>
      <c r="I430" s="438"/>
      <c r="J430" s="438"/>
      <c r="K430" s="438"/>
      <c r="L430" s="438"/>
      <c r="M430" s="438"/>
      <c r="N430" s="438"/>
      <c r="O430" s="438"/>
      <c r="P430" s="438"/>
      <c r="Q430" s="438"/>
      <c r="R430" s="438"/>
      <c r="S430" s="438"/>
      <c r="T430" s="438"/>
      <c r="U430" s="438"/>
      <c r="V430" s="438"/>
      <c r="W430" s="438"/>
      <c r="X430" s="438"/>
      <c r="Y430" s="438"/>
      <c r="Z430" s="438"/>
      <c r="AA430" s="438"/>
      <c r="AB430" s="438"/>
      <c r="AC430" s="438"/>
      <c r="AD430" s="438"/>
      <c r="AE430" s="438"/>
      <c r="AF430" s="438"/>
      <c r="AG430" s="438"/>
      <c r="AH430" s="438"/>
    </row>
    <row r="431">
      <c r="A431" s="438"/>
      <c r="B431" s="438"/>
      <c r="C431" s="438"/>
      <c r="D431" s="438"/>
      <c r="E431" s="438"/>
      <c r="F431" s="438"/>
      <c r="G431" s="438"/>
      <c r="H431" s="438"/>
      <c r="I431" s="438"/>
      <c r="J431" s="438"/>
      <c r="K431" s="438"/>
      <c r="L431" s="438"/>
      <c r="M431" s="438"/>
      <c r="N431" s="438"/>
      <c r="O431" s="438"/>
      <c r="P431" s="438"/>
      <c r="Q431" s="438"/>
      <c r="R431" s="438"/>
      <c r="S431" s="438"/>
      <c r="T431" s="438"/>
      <c r="U431" s="438"/>
      <c r="V431" s="438"/>
      <c r="W431" s="438"/>
      <c r="X431" s="438"/>
      <c r="Y431" s="438"/>
      <c r="Z431" s="438"/>
      <c r="AA431" s="438"/>
      <c r="AB431" s="438"/>
      <c r="AC431" s="438"/>
      <c r="AD431" s="438"/>
      <c r="AE431" s="438"/>
      <c r="AF431" s="438"/>
      <c r="AG431" s="438"/>
      <c r="AH431" s="438"/>
    </row>
    <row r="432">
      <c r="A432" s="438"/>
      <c r="B432" s="438"/>
      <c r="C432" s="438"/>
      <c r="D432" s="438"/>
      <c r="E432" s="438"/>
      <c r="F432" s="438"/>
      <c r="G432" s="438"/>
      <c r="H432" s="438"/>
      <c r="I432" s="438"/>
      <c r="J432" s="438"/>
      <c r="K432" s="438"/>
      <c r="L432" s="438"/>
      <c r="M432" s="438"/>
      <c r="N432" s="438"/>
      <c r="O432" s="438"/>
      <c r="P432" s="438"/>
      <c r="Q432" s="438"/>
      <c r="R432" s="438"/>
      <c r="S432" s="438"/>
      <c r="T432" s="438"/>
      <c r="U432" s="438"/>
      <c r="V432" s="438"/>
      <c r="W432" s="438"/>
      <c r="X432" s="438"/>
      <c r="Y432" s="438"/>
      <c r="Z432" s="438"/>
      <c r="AA432" s="438"/>
      <c r="AB432" s="438"/>
      <c r="AC432" s="438"/>
      <c r="AD432" s="438"/>
      <c r="AE432" s="438"/>
      <c r="AF432" s="438"/>
      <c r="AG432" s="438"/>
      <c r="AH432" s="438"/>
    </row>
    <row r="433">
      <c r="A433" s="438"/>
      <c r="B433" s="438"/>
      <c r="C433" s="438"/>
      <c r="D433" s="438"/>
      <c r="E433" s="438"/>
      <c r="F433" s="438"/>
      <c r="G433" s="438"/>
      <c r="H433" s="438"/>
      <c r="I433" s="438"/>
      <c r="J433" s="438"/>
      <c r="K433" s="438"/>
      <c r="L433" s="438"/>
      <c r="M433" s="438"/>
      <c r="N433" s="438"/>
      <c r="O433" s="438"/>
      <c r="P433" s="438"/>
      <c r="Q433" s="438"/>
      <c r="R433" s="438"/>
      <c r="S433" s="438"/>
      <c r="T433" s="438"/>
      <c r="U433" s="438"/>
      <c r="V433" s="438"/>
      <c r="W433" s="438"/>
      <c r="X433" s="438"/>
      <c r="Y433" s="438"/>
      <c r="Z433" s="438"/>
      <c r="AA433" s="438"/>
      <c r="AB433" s="438"/>
      <c r="AC433" s="438"/>
      <c r="AD433" s="438"/>
      <c r="AE433" s="438"/>
      <c r="AF433" s="438"/>
      <c r="AG433" s="438"/>
      <c r="AH433" s="438"/>
    </row>
    <row r="434">
      <c r="A434" s="438"/>
      <c r="B434" s="438"/>
      <c r="C434" s="438"/>
      <c r="D434" s="438"/>
      <c r="E434" s="438"/>
      <c r="F434" s="438"/>
      <c r="G434" s="438"/>
      <c r="H434" s="438"/>
      <c r="I434" s="438"/>
      <c r="J434" s="438"/>
      <c r="K434" s="438"/>
      <c r="L434" s="438"/>
      <c r="M434" s="438"/>
      <c r="N434" s="438"/>
      <c r="O434" s="438"/>
      <c r="P434" s="438"/>
      <c r="Q434" s="438"/>
      <c r="R434" s="438"/>
      <c r="S434" s="438"/>
      <c r="T434" s="438"/>
      <c r="U434" s="438"/>
      <c r="V434" s="438"/>
      <c r="W434" s="438"/>
      <c r="X434" s="438"/>
      <c r="Y434" s="438"/>
      <c r="Z434" s="438"/>
      <c r="AA434" s="438"/>
      <c r="AB434" s="438"/>
      <c r="AC434" s="438"/>
      <c r="AD434" s="438"/>
      <c r="AE434" s="438"/>
      <c r="AF434" s="438"/>
      <c r="AG434" s="438"/>
      <c r="AH434" s="438"/>
    </row>
    <row r="435">
      <c r="A435" s="438"/>
      <c r="B435" s="438"/>
      <c r="C435" s="438"/>
      <c r="D435" s="438"/>
      <c r="E435" s="438"/>
      <c r="F435" s="438"/>
      <c r="G435" s="438"/>
      <c r="H435" s="438"/>
      <c r="I435" s="438"/>
      <c r="J435" s="438"/>
      <c r="K435" s="438"/>
      <c r="L435" s="438"/>
      <c r="M435" s="438"/>
      <c r="N435" s="438"/>
      <c r="O435" s="438"/>
      <c r="P435" s="438"/>
      <c r="Q435" s="438"/>
      <c r="R435" s="438"/>
      <c r="S435" s="438"/>
      <c r="T435" s="438"/>
      <c r="U435" s="438"/>
      <c r="V435" s="438"/>
      <c r="W435" s="438"/>
      <c r="X435" s="438"/>
      <c r="Y435" s="438"/>
      <c r="Z435" s="438"/>
      <c r="AA435" s="438"/>
      <c r="AB435" s="438"/>
      <c r="AC435" s="438"/>
      <c r="AD435" s="438"/>
      <c r="AE435" s="438"/>
      <c r="AF435" s="438"/>
      <c r="AG435" s="438"/>
      <c r="AH435" s="438"/>
    </row>
    <row r="436">
      <c r="A436" s="438"/>
      <c r="B436" s="438"/>
      <c r="C436" s="438"/>
      <c r="D436" s="438"/>
      <c r="E436" s="438"/>
      <c r="F436" s="438"/>
      <c r="G436" s="438"/>
      <c r="H436" s="438"/>
      <c r="I436" s="438"/>
      <c r="J436" s="438"/>
      <c r="K436" s="438"/>
      <c r="L436" s="438"/>
      <c r="M436" s="438"/>
      <c r="N436" s="438"/>
      <c r="O436" s="438"/>
      <c r="P436" s="438"/>
      <c r="Q436" s="438"/>
      <c r="R436" s="438"/>
      <c r="S436" s="438"/>
      <c r="T436" s="438"/>
      <c r="U436" s="438"/>
      <c r="V436" s="438"/>
      <c r="W436" s="438"/>
      <c r="X436" s="438"/>
      <c r="Y436" s="438"/>
      <c r="Z436" s="438"/>
      <c r="AA436" s="438"/>
      <c r="AB436" s="438"/>
      <c r="AC436" s="438"/>
      <c r="AD436" s="438"/>
      <c r="AE436" s="438"/>
      <c r="AF436" s="438"/>
      <c r="AG436" s="438"/>
      <c r="AH436" s="438"/>
    </row>
    <row r="437">
      <c r="A437" s="438"/>
      <c r="B437" s="438"/>
      <c r="C437" s="438"/>
      <c r="D437" s="438"/>
      <c r="E437" s="438"/>
      <c r="F437" s="438"/>
      <c r="G437" s="438"/>
      <c r="H437" s="438"/>
      <c r="I437" s="438"/>
      <c r="J437" s="438"/>
      <c r="K437" s="438"/>
      <c r="L437" s="438"/>
      <c r="M437" s="438"/>
      <c r="N437" s="438"/>
      <c r="O437" s="438"/>
      <c r="P437" s="438"/>
      <c r="Q437" s="438"/>
      <c r="R437" s="438"/>
      <c r="S437" s="438"/>
      <c r="T437" s="438"/>
      <c r="U437" s="438"/>
      <c r="V437" s="438"/>
      <c r="W437" s="438"/>
      <c r="X437" s="438"/>
      <c r="Y437" s="438"/>
      <c r="Z437" s="438"/>
      <c r="AA437" s="438"/>
      <c r="AB437" s="438"/>
      <c r="AC437" s="438"/>
      <c r="AD437" s="438"/>
      <c r="AE437" s="438"/>
      <c r="AF437" s="438"/>
      <c r="AG437" s="438"/>
      <c r="AH437" s="438"/>
    </row>
    <row r="438">
      <c r="A438" s="438"/>
      <c r="B438" s="438"/>
      <c r="C438" s="438"/>
      <c r="D438" s="438"/>
      <c r="E438" s="438"/>
      <c r="F438" s="438"/>
      <c r="G438" s="438"/>
      <c r="H438" s="438"/>
      <c r="I438" s="438"/>
      <c r="J438" s="438"/>
      <c r="K438" s="438"/>
      <c r="L438" s="438"/>
      <c r="M438" s="438"/>
      <c r="N438" s="438"/>
      <c r="O438" s="438"/>
      <c r="P438" s="438"/>
      <c r="Q438" s="438"/>
      <c r="R438" s="438"/>
      <c r="S438" s="438"/>
      <c r="T438" s="438"/>
      <c r="U438" s="438"/>
      <c r="V438" s="438"/>
      <c r="W438" s="438"/>
      <c r="X438" s="438"/>
      <c r="Y438" s="438"/>
      <c r="Z438" s="438"/>
      <c r="AA438" s="438"/>
      <c r="AB438" s="438"/>
      <c r="AC438" s="438"/>
      <c r="AD438" s="438"/>
      <c r="AE438" s="438"/>
      <c r="AF438" s="438"/>
      <c r="AG438" s="438"/>
      <c r="AH438" s="438"/>
    </row>
    <row r="439">
      <c r="A439" s="438"/>
      <c r="B439" s="438"/>
      <c r="C439" s="438"/>
      <c r="D439" s="438"/>
      <c r="E439" s="438"/>
      <c r="F439" s="438"/>
      <c r="G439" s="438"/>
      <c r="H439" s="438"/>
      <c r="I439" s="438"/>
      <c r="J439" s="438"/>
      <c r="K439" s="438"/>
      <c r="L439" s="438"/>
      <c r="M439" s="438"/>
      <c r="N439" s="438"/>
      <c r="O439" s="438"/>
      <c r="P439" s="438"/>
      <c r="Q439" s="438"/>
      <c r="R439" s="438"/>
      <c r="S439" s="438"/>
      <c r="T439" s="438"/>
      <c r="U439" s="438"/>
      <c r="V439" s="438"/>
      <c r="W439" s="438"/>
      <c r="X439" s="438"/>
      <c r="Y439" s="438"/>
      <c r="Z439" s="438"/>
      <c r="AA439" s="438"/>
      <c r="AB439" s="438"/>
      <c r="AC439" s="438"/>
      <c r="AD439" s="438"/>
      <c r="AE439" s="438"/>
      <c r="AF439" s="438"/>
      <c r="AG439" s="438"/>
      <c r="AH439" s="438"/>
    </row>
    <row r="440">
      <c r="A440" s="438"/>
      <c r="B440" s="438"/>
      <c r="C440" s="438"/>
      <c r="D440" s="438"/>
      <c r="E440" s="438"/>
      <c r="F440" s="438"/>
      <c r="G440" s="438"/>
      <c r="H440" s="438"/>
      <c r="I440" s="438"/>
      <c r="J440" s="438"/>
      <c r="K440" s="438"/>
      <c r="L440" s="438"/>
      <c r="M440" s="438"/>
      <c r="N440" s="438"/>
      <c r="O440" s="438"/>
      <c r="P440" s="438"/>
      <c r="Q440" s="438"/>
      <c r="R440" s="438"/>
      <c r="S440" s="438"/>
      <c r="T440" s="438"/>
      <c r="U440" s="438"/>
      <c r="V440" s="438"/>
      <c r="W440" s="438"/>
      <c r="X440" s="438"/>
      <c r="Y440" s="438"/>
      <c r="Z440" s="438"/>
      <c r="AA440" s="438"/>
      <c r="AB440" s="438"/>
      <c r="AC440" s="438"/>
      <c r="AD440" s="438"/>
      <c r="AE440" s="438"/>
      <c r="AF440" s="438"/>
      <c r="AG440" s="438"/>
      <c r="AH440" s="438"/>
    </row>
    <row r="441">
      <c r="A441" s="438"/>
      <c r="B441" s="438"/>
      <c r="C441" s="438"/>
      <c r="D441" s="438"/>
      <c r="E441" s="438"/>
      <c r="F441" s="438"/>
      <c r="G441" s="438"/>
      <c r="H441" s="438"/>
      <c r="I441" s="438"/>
      <c r="J441" s="438"/>
      <c r="K441" s="438"/>
      <c r="L441" s="438"/>
      <c r="M441" s="438"/>
      <c r="N441" s="438"/>
      <c r="O441" s="438"/>
      <c r="P441" s="438"/>
      <c r="Q441" s="438"/>
      <c r="R441" s="438"/>
      <c r="S441" s="438"/>
      <c r="T441" s="438"/>
      <c r="U441" s="438"/>
      <c r="V441" s="438"/>
      <c r="W441" s="438"/>
      <c r="X441" s="438"/>
      <c r="Y441" s="438"/>
      <c r="Z441" s="438"/>
      <c r="AA441" s="438"/>
      <c r="AB441" s="438"/>
      <c r="AC441" s="438"/>
      <c r="AD441" s="438"/>
      <c r="AE441" s="438"/>
      <c r="AF441" s="438"/>
      <c r="AG441" s="438"/>
      <c r="AH441" s="438"/>
    </row>
    <row r="442">
      <c r="A442" s="438"/>
      <c r="B442" s="438"/>
      <c r="C442" s="438"/>
      <c r="D442" s="438"/>
      <c r="E442" s="438"/>
      <c r="F442" s="438"/>
      <c r="G442" s="438"/>
      <c r="H442" s="438"/>
      <c r="I442" s="438"/>
      <c r="J442" s="438"/>
      <c r="K442" s="438"/>
      <c r="L442" s="438"/>
      <c r="M442" s="438"/>
      <c r="N442" s="438"/>
      <c r="O442" s="438"/>
      <c r="P442" s="438"/>
      <c r="Q442" s="438"/>
      <c r="R442" s="438"/>
      <c r="S442" s="438"/>
      <c r="T442" s="438"/>
      <c r="U442" s="438"/>
      <c r="V442" s="438"/>
      <c r="W442" s="438"/>
      <c r="X442" s="438"/>
      <c r="Y442" s="438"/>
      <c r="Z442" s="438"/>
      <c r="AA442" s="438"/>
      <c r="AB442" s="438"/>
      <c r="AC442" s="438"/>
      <c r="AD442" s="438"/>
      <c r="AE442" s="438"/>
      <c r="AF442" s="438"/>
      <c r="AG442" s="438"/>
      <c r="AH442" s="438"/>
    </row>
    <row r="443">
      <c r="A443" s="438"/>
      <c r="B443" s="438"/>
      <c r="C443" s="438"/>
      <c r="D443" s="438"/>
      <c r="E443" s="438"/>
      <c r="F443" s="438"/>
      <c r="G443" s="438"/>
      <c r="H443" s="438"/>
      <c r="I443" s="438"/>
      <c r="J443" s="438"/>
      <c r="K443" s="438"/>
      <c r="L443" s="438"/>
      <c r="M443" s="438"/>
      <c r="N443" s="438"/>
      <c r="O443" s="438"/>
      <c r="P443" s="438"/>
      <c r="Q443" s="438"/>
      <c r="R443" s="438"/>
      <c r="S443" s="438"/>
      <c r="T443" s="438"/>
      <c r="U443" s="438"/>
      <c r="V443" s="438"/>
      <c r="W443" s="438"/>
      <c r="X443" s="438"/>
      <c r="Y443" s="438"/>
      <c r="Z443" s="438"/>
      <c r="AA443" s="438"/>
      <c r="AB443" s="438"/>
      <c r="AC443" s="438"/>
      <c r="AD443" s="438"/>
      <c r="AE443" s="438"/>
      <c r="AF443" s="438"/>
      <c r="AG443" s="438"/>
      <c r="AH443" s="438"/>
    </row>
    <row r="444">
      <c r="A444" s="438"/>
      <c r="B444" s="438"/>
      <c r="C444" s="438"/>
      <c r="D444" s="438"/>
      <c r="E444" s="438"/>
      <c r="F444" s="438"/>
      <c r="G444" s="438"/>
      <c r="H444" s="438"/>
      <c r="I444" s="438"/>
      <c r="J444" s="438"/>
      <c r="K444" s="438"/>
      <c r="L444" s="438"/>
      <c r="M444" s="438"/>
      <c r="N444" s="438"/>
      <c r="O444" s="438"/>
      <c r="P444" s="438"/>
      <c r="Q444" s="438"/>
      <c r="R444" s="438"/>
      <c r="S444" s="438"/>
      <c r="T444" s="438"/>
      <c r="U444" s="438"/>
      <c r="V444" s="438"/>
      <c r="W444" s="438"/>
      <c r="X444" s="438"/>
      <c r="Y444" s="438"/>
      <c r="Z444" s="438"/>
      <c r="AA444" s="438"/>
      <c r="AB444" s="438"/>
      <c r="AC444" s="438"/>
      <c r="AD444" s="438"/>
      <c r="AE444" s="438"/>
      <c r="AF444" s="438"/>
      <c r="AG444" s="438"/>
      <c r="AH444" s="438"/>
    </row>
    <row r="445">
      <c r="A445" s="438"/>
      <c r="B445" s="438"/>
      <c r="C445" s="438"/>
      <c r="D445" s="438"/>
      <c r="E445" s="438"/>
      <c r="F445" s="438"/>
      <c r="G445" s="438"/>
      <c r="H445" s="438"/>
      <c r="I445" s="438"/>
      <c r="J445" s="438"/>
      <c r="K445" s="438"/>
      <c r="L445" s="438"/>
      <c r="M445" s="438"/>
      <c r="N445" s="438"/>
      <c r="O445" s="438"/>
      <c r="P445" s="438"/>
      <c r="Q445" s="438"/>
      <c r="R445" s="438"/>
      <c r="S445" s="438"/>
      <c r="T445" s="438"/>
      <c r="U445" s="438"/>
      <c r="V445" s="438"/>
      <c r="W445" s="438"/>
      <c r="X445" s="438"/>
      <c r="Y445" s="438"/>
      <c r="Z445" s="438"/>
      <c r="AA445" s="438"/>
      <c r="AB445" s="438"/>
      <c r="AC445" s="438"/>
      <c r="AD445" s="438"/>
      <c r="AE445" s="438"/>
      <c r="AF445" s="438"/>
      <c r="AG445" s="438"/>
      <c r="AH445" s="438"/>
    </row>
    <row r="446">
      <c r="A446" s="438"/>
      <c r="B446" s="438"/>
      <c r="C446" s="438"/>
      <c r="D446" s="438"/>
      <c r="E446" s="438"/>
      <c r="F446" s="438"/>
      <c r="G446" s="438"/>
      <c r="H446" s="438"/>
      <c r="I446" s="438"/>
      <c r="J446" s="438"/>
      <c r="K446" s="438"/>
      <c r="L446" s="438"/>
      <c r="M446" s="438"/>
      <c r="N446" s="438"/>
      <c r="O446" s="438"/>
      <c r="P446" s="438"/>
      <c r="Q446" s="438"/>
      <c r="R446" s="438"/>
      <c r="S446" s="438"/>
      <c r="T446" s="438"/>
      <c r="U446" s="438"/>
      <c r="V446" s="438"/>
      <c r="W446" s="438"/>
      <c r="X446" s="438"/>
      <c r="Y446" s="438"/>
      <c r="Z446" s="438"/>
      <c r="AA446" s="438"/>
      <c r="AB446" s="438"/>
      <c r="AC446" s="438"/>
      <c r="AD446" s="438"/>
      <c r="AE446" s="438"/>
      <c r="AF446" s="438"/>
      <c r="AG446" s="438"/>
      <c r="AH446" s="438"/>
    </row>
    <row r="447">
      <c r="A447" s="438"/>
      <c r="B447" s="438"/>
      <c r="C447" s="438"/>
      <c r="D447" s="438"/>
      <c r="E447" s="438"/>
      <c r="F447" s="438"/>
      <c r="G447" s="438"/>
      <c r="H447" s="438"/>
      <c r="I447" s="438"/>
      <c r="J447" s="438"/>
      <c r="K447" s="438"/>
      <c r="L447" s="438"/>
      <c r="M447" s="438"/>
      <c r="N447" s="438"/>
      <c r="O447" s="438"/>
      <c r="P447" s="438"/>
      <c r="Q447" s="438"/>
      <c r="R447" s="438"/>
      <c r="S447" s="438"/>
      <c r="T447" s="438"/>
      <c r="U447" s="438"/>
      <c r="V447" s="438"/>
      <c r="W447" s="438"/>
      <c r="X447" s="438"/>
      <c r="Y447" s="438"/>
      <c r="Z447" s="438"/>
      <c r="AA447" s="438"/>
      <c r="AB447" s="438"/>
      <c r="AC447" s="438"/>
      <c r="AD447" s="438"/>
      <c r="AE447" s="438"/>
      <c r="AF447" s="438"/>
      <c r="AG447" s="438"/>
      <c r="AH447" s="438"/>
    </row>
    <row r="448">
      <c r="A448" s="438"/>
      <c r="B448" s="438"/>
      <c r="C448" s="438"/>
      <c r="D448" s="438"/>
      <c r="E448" s="438"/>
      <c r="F448" s="438"/>
      <c r="G448" s="438"/>
      <c r="H448" s="438"/>
      <c r="I448" s="438"/>
      <c r="J448" s="438"/>
      <c r="K448" s="438"/>
      <c r="L448" s="438"/>
      <c r="M448" s="438"/>
      <c r="N448" s="438"/>
      <c r="O448" s="438"/>
      <c r="P448" s="438"/>
      <c r="Q448" s="438"/>
      <c r="R448" s="438"/>
      <c r="S448" s="438"/>
      <c r="T448" s="438"/>
      <c r="U448" s="438"/>
      <c r="V448" s="438"/>
      <c r="W448" s="438"/>
      <c r="X448" s="438"/>
      <c r="Y448" s="438"/>
      <c r="Z448" s="438"/>
      <c r="AA448" s="438"/>
      <c r="AB448" s="438"/>
      <c r="AC448" s="438"/>
      <c r="AD448" s="438"/>
      <c r="AE448" s="438"/>
      <c r="AF448" s="438"/>
      <c r="AG448" s="438"/>
      <c r="AH448" s="438"/>
    </row>
    <row r="449">
      <c r="A449" s="438"/>
      <c r="B449" s="438"/>
      <c r="C449" s="438"/>
      <c r="D449" s="438"/>
      <c r="E449" s="438"/>
      <c r="F449" s="438"/>
      <c r="G449" s="438"/>
      <c r="H449" s="438"/>
      <c r="I449" s="438"/>
      <c r="J449" s="438"/>
      <c r="K449" s="438"/>
      <c r="L449" s="438"/>
      <c r="M449" s="438"/>
      <c r="N449" s="438"/>
      <c r="O449" s="438"/>
      <c r="P449" s="438"/>
      <c r="Q449" s="438"/>
      <c r="R449" s="438"/>
      <c r="S449" s="438"/>
      <c r="T449" s="438"/>
      <c r="U449" s="438"/>
      <c r="V449" s="438"/>
      <c r="W449" s="438"/>
      <c r="X449" s="438"/>
      <c r="Y449" s="438"/>
      <c r="Z449" s="438"/>
      <c r="AA449" s="438"/>
      <c r="AB449" s="438"/>
      <c r="AC449" s="438"/>
      <c r="AD449" s="438"/>
      <c r="AE449" s="438"/>
      <c r="AF449" s="438"/>
      <c r="AG449" s="438"/>
      <c r="AH449" s="438"/>
    </row>
    <row r="450">
      <c r="A450" s="438"/>
      <c r="B450" s="438"/>
      <c r="C450" s="438"/>
      <c r="D450" s="438"/>
      <c r="E450" s="438"/>
      <c r="F450" s="438"/>
      <c r="G450" s="438"/>
      <c r="H450" s="438"/>
      <c r="I450" s="438"/>
      <c r="J450" s="438"/>
      <c r="K450" s="438"/>
      <c r="L450" s="438"/>
      <c r="M450" s="438"/>
      <c r="N450" s="438"/>
      <c r="O450" s="438"/>
      <c r="P450" s="438"/>
      <c r="Q450" s="438"/>
      <c r="R450" s="438"/>
      <c r="S450" s="438"/>
      <c r="T450" s="438"/>
      <c r="U450" s="438"/>
      <c r="V450" s="438"/>
      <c r="W450" s="438"/>
      <c r="X450" s="438"/>
      <c r="Y450" s="438"/>
      <c r="Z450" s="438"/>
      <c r="AA450" s="438"/>
      <c r="AB450" s="438"/>
      <c r="AC450" s="438"/>
      <c r="AD450" s="438"/>
      <c r="AE450" s="438"/>
      <c r="AF450" s="438"/>
      <c r="AG450" s="438"/>
      <c r="AH450" s="438"/>
    </row>
    <row r="451">
      <c r="A451" s="438"/>
      <c r="B451" s="438"/>
      <c r="C451" s="438"/>
      <c r="D451" s="438"/>
      <c r="E451" s="438"/>
      <c r="F451" s="438"/>
      <c r="G451" s="438"/>
      <c r="H451" s="438"/>
      <c r="I451" s="438"/>
      <c r="J451" s="438"/>
      <c r="K451" s="438"/>
      <c r="L451" s="438"/>
      <c r="M451" s="438"/>
      <c r="N451" s="438"/>
      <c r="O451" s="438"/>
      <c r="P451" s="438"/>
      <c r="Q451" s="438"/>
      <c r="R451" s="438"/>
      <c r="S451" s="438"/>
      <c r="T451" s="438"/>
      <c r="U451" s="438"/>
      <c r="V451" s="438"/>
      <c r="W451" s="438"/>
      <c r="X451" s="438"/>
      <c r="Y451" s="438"/>
      <c r="Z451" s="438"/>
      <c r="AA451" s="438"/>
      <c r="AB451" s="438"/>
      <c r="AC451" s="438"/>
      <c r="AD451" s="438"/>
      <c r="AE451" s="438"/>
      <c r="AF451" s="438"/>
      <c r="AG451" s="438"/>
      <c r="AH451" s="438"/>
    </row>
    <row r="452">
      <c r="A452" s="438"/>
      <c r="B452" s="438"/>
      <c r="C452" s="438"/>
      <c r="D452" s="438"/>
      <c r="E452" s="438"/>
      <c r="F452" s="438"/>
      <c r="G452" s="438"/>
      <c r="H452" s="438"/>
      <c r="I452" s="438"/>
      <c r="J452" s="438"/>
      <c r="K452" s="438"/>
      <c r="L452" s="438"/>
      <c r="M452" s="438"/>
      <c r="N452" s="438"/>
      <c r="O452" s="438"/>
      <c r="P452" s="438"/>
      <c r="Q452" s="438"/>
      <c r="R452" s="438"/>
      <c r="S452" s="438"/>
      <c r="T452" s="438"/>
      <c r="U452" s="438"/>
      <c r="V452" s="438"/>
      <c r="W452" s="438"/>
      <c r="X452" s="438"/>
      <c r="Y452" s="438"/>
      <c r="Z452" s="438"/>
      <c r="AA452" s="438"/>
      <c r="AB452" s="438"/>
      <c r="AC452" s="438"/>
      <c r="AD452" s="438"/>
      <c r="AE452" s="438"/>
      <c r="AF452" s="438"/>
      <c r="AG452" s="438"/>
      <c r="AH452" s="438"/>
    </row>
    <row r="453">
      <c r="A453" s="438"/>
      <c r="B453" s="438"/>
      <c r="C453" s="438"/>
      <c r="D453" s="438"/>
      <c r="E453" s="438"/>
      <c r="F453" s="438"/>
      <c r="G453" s="438"/>
      <c r="H453" s="438"/>
      <c r="I453" s="438"/>
      <c r="J453" s="438"/>
      <c r="K453" s="438"/>
      <c r="L453" s="438"/>
      <c r="M453" s="438"/>
      <c r="N453" s="438"/>
      <c r="O453" s="438"/>
      <c r="P453" s="438"/>
      <c r="Q453" s="438"/>
      <c r="R453" s="438"/>
      <c r="S453" s="438"/>
      <c r="T453" s="438"/>
      <c r="U453" s="438"/>
      <c r="V453" s="438"/>
      <c r="W453" s="438"/>
      <c r="X453" s="438"/>
      <c r="Y453" s="438"/>
      <c r="Z453" s="438"/>
      <c r="AA453" s="438"/>
      <c r="AB453" s="438"/>
      <c r="AC453" s="438"/>
      <c r="AD453" s="438"/>
      <c r="AE453" s="438"/>
      <c r="AF453" s="438"/>
      <c r="AG453" s="438"/>
      <c r="AH453" s="438"/>
    </row>
    <row r="454">
      <c r="A454" s="438"/>
      <c r="B454" s="438"/>
      <c r="C454" s="438"/>
      <c r="D454" s="438"/>
      <c r="E454" s="438"/>
      <c r="F454" s="438"/>
      <c r="G454" s="438"/>
      <c r="H454" s="438"/>
      <c r="I454" s="438"/>
      <c r="J454" s="438"/>
      <c r="K454" s="438"/>
      <c r="L454" s="438"/>
      <c r="M454" s="438"/>
      <c r="N454" s="438"/>
      <c r="O454" s="438"/>
      <c r="P454" s="438"/>
      <c r="Q454" s="438"/>
      <c r="R454" s="438"/>
      <c r="S454" s="438"/>
      <c r="T454" s="438"/>
      <c r="U454" s="438"/>
      <c r="V454" s="438"/>
      <c r="W454" s="438"/>
      <c r="X454" s="438"/>
      <c r="Y454" s="438"/>
      <c r="Z454" s="438"/>
      <c r="AA454" s="438"/>
      <c r="AB454" s="438"/>
      <c r="AC454" s="438"/>
      <c r="AD454" s="438"/>
      <c r="AE454" s="438"/>
      <c r="AF454" s="438"/>
      <c r="AG454" s="438"/>
      <c r="AH454" s="438"/>
    </row>
    <row r="455">
      <c r="A455" s="438"/>
      <c r="B455" s="438"/>
      <c r="C455" s="438"/>
      <c r="D455" s="438"/>
      <c r="E455" s="438"/>
      <c r="F455" s="438"/>
      <c r="G455" s="438"/>
      <c r="H455" s="438"/>
      <c r="I455" s="438"/>
      <c r="J455" s="438"/>
      <c r="K455" s="438"/>
      <c r="L455" s="438"/>
      <c r="M455" s="438"/>
      <c r="N455" s="438"/>
      <c r="O455" s="438"/>
      <c r="P455" s="438"/>
      <c r="Q455" s="438"/>
      <c r="R455" s="438"/>
      <c r="S455" s="438"/>
      <c r="T455" s="438"/>
      <c r="U455" s="438"/>
      <c r="V455" s="438"/>
      <c r="W455" s="438"/>
      <c r="X455" s="438"/>
      <c r="Y455" s="438"/>
      <c r="Z455" s="438"/>
      <c r="AA455" s="438"/>
      <c r="AB455" s="438"/>
      <c r="AC455" s="438"/>
      <c r="AD455" s="438"/>
      <c r="AE455" s="438"/>
      <c r="AF455" s="438"/>
      <c r="AG455" s="438"/>
      <c r="AH455" s="438"/>
    </row>
    <row r="456">
      <c r="A456" s="438"/>
      <c r="B456" s="438"/>
      <c r="C456" s="438"/>
      <c r="D456" s="438"/>
      <c r="E456" s="438"/>
      <c r="F456" s="438"/>
      <c r="G456" s="438"/>
      <c r="H456" s="438"/>
      <c r="I456" s="438"/>
      <c r="J456" s="438"/>
      <c r="K456" s="438"/>
      <c r="L456" s="438"/>
      <c r="M456" s="438"/>
      <c r="N456" s="438"/>
      <c r="O456" s="438"/>
      <c r="P456" s="438"/>
      <c r="Q456" s="438"/>
      <c r="R456" s="438"/>
      <c r="S456" s="438"/>
      <c r="T456" s="438"/>
      <c r="U456" s="438"/>
      <c r="V456" s="438"/>
      <c r="W456" s="438"/>
      <c r="X456" s="438"/>
      <c r="Y456" s="438"/>
      <c r="Z456" s="438"/>
      <c r="AA456" s="438"/>
      <c r="AB456" s="438"/>
      <c r="AC456" s="438"/>
      <c r="AD456" s="438"/>
      <c r="AE456" s="438"/>
      <c r="AF456" s="438"/>
      <c r="AG456" s="438"/>
      <c r="AH456" s="438"/>
    </row>
    <row r="457">
      <c r="A457" s="438"/>
      <c r="B457" s="438"/>
      <c r="C457" s="438"/>
      <c r="D457" s="438"/>
      <c r="E457" s="438"/>
      <c r="F457" s="438"/>
      <c r="G457" s="438"/>
      <c r="H457" s="438"/>
      <c r="I457" s="438"/>
      <c r="J457" s="438"/>
      <c r="K457" s="438"/>
      <c r="L457" s="438"/>
      <c r="M457" s="438"/>
      <c r="N457" s="438"/>
      <c r="O457" s="438"/>
      <c r="P457" s="438"/>
      <c r="Q457" s="438"/>
      <c r="R457" s="438"/>
      <c r="S457" s="438"/>
      <c r="T457" s="438"/>
      <c r="U457" s="438"/>
      <c r="V457" s="438"/>
      <c r="W457" s="438"/>
      <c r="X457" s="438"/>
      <c r="Y457" s="438"/>
      <c r="Z457" s="438"/>
      <c r="AA457" s="438"/>
      <c r="AB457" s="438"/>
      <c r="AC457" s="438"/>
      <c r="AD457" s="438"/>
      <c r="AE457" s="438"/>
      <c r="AF457" s="438"/>
      <c r="AG457" s="438"/>
      <c r="AH457" s="438"/>
    </row>
    <row r="458">
      <c r="A458" s="438"/>
      <c r="B458" s="438"/>
      <c r="C458" s="438"/>
      <c r="D458" s="438"/>
      <c r="E458" s="438"/>
      <c r="F458" s="438"/>
      <c r="G458" s="438"/>
      <c r="H458" s="438"/>
      <c r="I458" s="438"/>
      <c r="J458" s="438"/>
      <c r="K458" s="438"/>
      <c r="L458" s="438"/>
      <c r="M458" s="438"/>
      <c r="N458" s="438"/>
      <c r="O458" s="438"/>
      <c r="P458" s="438"/>
      <c r="Q458" s="438"/>
      <c r="R458" s="438"/>
      <c r="S458" s="438"/>
      <c r="T458" s="438"/>
      <c r="U458" s="438"/>
      <c r="V458" s="438"/>
      <c r="W458" s="438"/>
      <c r="X458" s="438"/>
      <c r="Y458" s="438"/>
      <c r="Z458" s="438"/>
      <c r="AA458" s="438"/>
      <c r="AB458" s="438"/>
      <c r="AC458" s="438"/>
      <c r="AD458" s="438"/>
      <c r="AE458" s="438"/>
      <c r="AF458" s="438"/>
      <c r="AG458" s="438"/>
      <c r="AH458" s="438"/>
    </row>
    <row r="459">
      <c r="A459" s="438"/>
      <c r="B459" s="438"/>
      <c r="C459" s="438"/>
      <c r="D459" s="438"/>
      <c r="E459" s="438"/>
      <c r="F459" s="438"/>
      <c r="G459" s="438"/>
      <c r="H459" s="438"/>
      <c r="I459" s="438"/>
      <c r="J459" s="438"/>
      <c r="K459" s="438"/>
      <c r="L459" s="438"/>
      <c r="M459" s="438"/>
      <c r="N459" s="438"/>
      <c r="O459" s="438"/>
      <c r="P459" s="438"/>
      <c r="Q459" s="438"/>
      <c r="R459" s="438"/>
      <c r="S459" s="438"/>
      <c r="T459" s="438"/>
      <c r="U459" s="438"/>
      <c r="V459" s="438"/>
      <c r="W459" s="438"/>
      <c r="X459" s="438"/>
      <c r="Y459" s="438"/>
      <c r="Z459" s="438"/>
      <c r="AA459" s="438"/>
      <c r="AB459" s="438"/>
      <c r="AC459" s="438"/>
      <c r="AD459" s="438"/>
      <c r="AE459" s="438"/>
      <c r="AF459" s="438"/>
      <c r="AG459" s="438"/>
      <c r="AH459" s="438"/>
    </row>
    <row r="460">
      <c r="A460" s="438"/>
      <c r="B460" s="438"/>
      <c r="C460" s="438"/>
      <c r="D460" s="438"/>
      <c r="E460" s="438"/>
      <c r="F460" s="438"/>
      <c r="G460" s="438"/>
      <c r="H460" s="438"/>
      <c r="I460" s="438"/>
      <c r="J460" s="438"/>
      <c r="K460" s="438"/>
      <c r="L460" s="438"/>
      <c r="M460" s="438"/>
      <c r="N460" s="438"/>
      <c r="O460" s="438"/>
      <c r="P460" s="438"/>
      <c r="Q460" s="438"/>
      <c r="R460" s="438"/>
      <c r="S460" s="438"/>
      <c r="T460" s="438"/>
      <c r="U460" s="438"/>
      <c r="V460" s="438"/>
      <c r="W460" s="438"/>
      <c r="X460" s="438"/>
      <c r="Y460" s="438"/>
      <c r="Z460" s="438"/>
      <c r="AA460" s="438"/>
      <c r="AB460" s="438"/>
      <c r="AC460" s="438"/>
      <c r="AD460" s="438"/>
      <c r="AE460" s="438"/>
      <c r="AF460" s="438"/>
      <c r="AG460" s="438"/>
      <c r="AH460" s="438"/>
    </row>
    <row r="461">
      <c r="A461" s="438"/>
      <c r="B461" s="438"/>
      <c r="C461" s="438"/>
      <c r="D461" s="438"/>
      <c r="E461" s="438"/>
      <c r="F461" s="438"/>
      <c r="G461" s="438"/>
      <c r="H461" s="438"/>
      <c r="I461" s="438"/>
      <c r="J461" s="438"/>
      <c r="K461" s="438"/>
      <c r="L461" s="438"/>
      <c r="M461" s="438"/>
      <c r="N461" s="438"/>
      <c r="O461" s="438"/>
      <c r="P461" s="438"/>
      <c r="Q461" s="438"/>
      <c r="R461" s="438"/>
      <c r="S461" s="438"/>
      <c r="T461" s="438"/>
      <c r="U461" s="438"/>
      <c r="V461" s="438"/>
      <c r="W461" s="438"/>
      <c r="X461" s="438"/>
      <c r="Y461" s="438"/>
      <c r="Z461" s="438"/>
      <c r="AA461" s="438"/>
      <c r="AB461" s="438"/>
      <c r="AC461" s="438"/>
      <c r="AD461" s="438"/>
      <c r="AE461" s="438"/>
      <c r="AF461" s="438"/>
      <c r="AG461" s="438"/>
      <c r="AH461" s="438"/>
    </row>
    <row r="462">
      <c r="A462" s="438"/>
      <c r="B462" s="438"/>
      <c r="C462" s="438"/>
      <c r="D462" s="438"/>
      <c r="E462" s="438"/>
      <c r="F462" s="438"/>
      <c r="G462" s="438"/>
      <c r="H462" s="438"/>
      <c r="I462" s="438"/>
      <c r="J462" s="438"/>
      <c r="K462" s="438"/>
      <c r="L462" s="438"/>
      <c r="M462" s="438"/>
      <c r="N462" s="438"/>
      <c r="O462" s="438"/>
      <c r="P462" s="438"/>
      <c r="Q462" s="438"/>
      <c r="R462" s="438"/>
      <c r="S462" s="438"/>
      <c r="T462" s="438"/>
      <c r="U462" s="438"/>
      <c r="V462" s="438"/>
      <c r="W462" s="438"/>
      <c r="X462" s="438"/>
      <c r="Y462" s="438"/>
      <c r="Z462" s="438"/>
      <c r="AA462" s="438"/>
      <c r="AB462" s="438"/>
      <c r="AC462" s="438"/>
      <c r="AD462" s="438"/>
      <c r="AE462" s="438"/>
      <c r="AF462" s="438"/>
      <c r="AG462" s="438"/>
      <c r="AH462" s="438"/>
    </row>
    <row r="463">
      <c r="A463" s="438"/>
      <c r="B463" s="438"/>
      <c r="C463" s="438"/>
      <c r="D463" s="438"/>
      <c r="E463" s="438"/>
      <c r="F463" s="438"/>
      <c r="G463" s="438"/>
      <c r="H463" s="438"/>
      <c r="I463" s="438"/>
      <c r="J463" s="438"/>
      <c r="K463" s="438"/>
      <c r="L463" s="438"/>
      <c r="M463" s="438"/>
      <c r="N463" s="438"/>
      <c r="O463" s="438"/>
      <c r="P463" s="438"/>
      <c r="Q463" s="438"/>
      <c r="R463" s="438"/>
      <c r="S463" s="438"/>
      <c r="T463" s="438"/>
      <c r="U463" s="438"/>
      <c r="V463" s="438"/>
      <c r="W463" s="438"/>
      <c r="X463" s="438"/>
      <c r="Y463" s="438"/>
      <c r="Z463" s="438"/>
      <c r="AA463" s="438"/>
      <c r="AB463" s="438"/>
      <c r="AC463" s="438"/>
      <c r="AD463" s="438"/>
      <c r="AE463" s="438"/>
      <c r="AF463" s="438"/>
      <c r="AG463" s="438"/>
      <c r="AH463" s="438"/>
    </row>
    <row r="464">
      <c r="A464" s="438"/>
      <c r="B464" s="438"/>
      <c r="C464" s="438"/>
      <c r="D464" s="438"/>
      <c r="E464" s="438"/>
      <c r="F464" s="438"/>
      <c r="G464" s="438"/>
      <c r="H464" s="438"/>
      <c r="I464" s="438"/>
      <c r="J464" s="438"/>
      <c r="K464" s="438"/>
      <c r="L464" s="438"/>
      <c r="M464" s="438"/>
      <c r="N464" s="438"/>
      <c r="O464" s="438"/>
      <c r="P464" s="438"/>
      <c r="Q464" s="438"/>
      <c r="R464" s="438"/>
      <c r="S464" s="438"/>
      <c r="T464" s="438"/>
      <c r="U464" s="438"/>
      <c r="V464" s="438"/>
      <c r="W464" s="438"/>
      <c r="X464" s="438"/>
      <c r="Y464" s="438"/>
      <c r="Z464" s="438"/>
      <c r="AA464" s="438"/>
      <c r="AB464" s="438"/>
      <c r="AC464" s="438"/>
      <c r="AD464" s="438"/>
      <c r="AE464" s="438"/>
      <c r="AF464" s="438"/>
      <c r="AG464" s="438"/>
      <c r="AH464" s="438"/>
    </row>
    <row r="465">
      <c r="A465" s="438"/>
      <c r="B465" s="438"/>
      <c r="C465" s="438"/>
      <c r="D465" s="438"/>
      <c r="E465" s="438"/>
      <c r="F465" s="438"/>
      <c r="G465" s="438"/>
      <c r="H465" s="438"/>
      <c r="I465" s="438"/>
      <c r="J465" s="438"/>
      <c r="K465" s="438"/>
      <c r="L465" s="438"/>
      <c r="M465" s="438"/>
      <c r="N465" s="438"/>
      <c r="O465" s="438"/>
      <c r="P465" s="438"/>
      <c r="Q465" s="438"/>
      <c r="R465" s="438"/>
      <c r="S465" s="438"/>
      <c r="T465" s="438"/>
      <c r="U465" s="438"/>
      <c r="V465" s="438"/>
      <c r="W465" s="438"/>
      <c r="X465" s="438"/>
      <c r="Y465" s="438"/>
      <c r="Z465" s="438"/>
      <c r="AA465" s="438"/>
      <c r="AB465" s="438"/>
      <c r="AC465" s="438"/>
      <c r="AD465" s="438"/>
      <c r="AE465" s="438"/>
      <c r="AF465" s="438"/>
      <c r="AG465" s="438"/>
      <c r="AH465" s="438"/>
    </row>
    <row r="466">
      <c r="A466" s="438"/>
      <c r="B466" s="438"/>
      <c r="C466" s="438"/>
      <c r="D466" s="438"/>
      <c r="E466" s="438"/>
      <c r="F466" s="438"/>
      <c r="G466" s="438"/>
      <c r="H466" s="438"/>
      <c r="I466" s="438"/>
      <c r="J466" s="438"/>
      <c r="K466" s="438"/>
      <c r="L466" s="438"/>
      <c r="M466" s="438"/>
      <c r="N466" s="438"/>
      <c r="O466" s="438"/>
      <c r="P466" s="438"/>
      <c r="Q466" s="438"/>
      <c r="R466" s="438"/>
      <c r="S466" s="438"/>
      <c r="T466" s="438"/>
      <c r="U466" s="438"/>
      <c r="V466" s="438"/>
      <c r="W466" s="438"/>
      <c r="X466" s="438"/>
      <c r="Y466" s="438"/>
      <c r="Z466" s="438"/>
      <c r="AA466" s="438"/>
      <c r="AB466" s="438"/>
      <c r="AC466" s="438"/>
      <c r="AD466" s="438"/>
      <c r="AE466" s="438"/>
      <c r="AF466" s="438"/>
      <c r="AG466" s="438"/>
      <c r="AH466" s="438"/>
    </row>
    <row r="467">
      <c r="A467" s="438"/>
      <c r="B467" s="438"/>
      <c r="C467" s="438"/>
      <c r="D467" s="438"/>
      <c r="E467" s="438"/>
      <c r="F467" s="438"/>
      <c r="G467" s="438"/>
      <c r="H467" s="438"/>
      <c r="I467" s="438"/>
      <c r="J467" s="438"/>
      <c r="K467" s="438"/>
      <c r="L467" s="438"/>
      <c r="M467" s="438"/>
      <c r="N467" s="438"/>
      <c r="O467" s="438"/>
      <c r="P467" s="438"/>
      <c r="Q467" s="438"/>
      <c r="R467" s="438"/>
      <c r="S467" s="438"/>
      <c r="T467" s="438"/>
      <c r="U467" s="438"/>
      <c r="V467" s="438"/>
      <c r="W467" s="438"/>
      <c r="X467" s="438"/>
      <c r="Y467" s="438"/>
      <c r="Z467" s="438"/>
      <c r="AA467" s="438"/>
      <c r="AB467" s="438"/>
      <c r="AC467" s="438"/>
      <c r="AD467" s="438"/>
      <c r="AE467" s="438"/>
      <c r="AF467" s="438"/>
      <c r="AG467" s="438"/>
      <c r="AH467" s="438"/>
    </row>
    <row r="468">
      <c r="A468" s="438"/>
      <c r="B468" s="438"/>
      <c r="C468" s="438"/>
      <c r="D468" s="438"/>
      <c r="E468" s="438"/>
      <c r="F468" s="438"/>
      <c r="G468" s="438"/>
      <c r="H468" s="438"/>
      <c r="I468" s="438"/>
      <c r="J468" s="438"/>
      <c r="K468" s="438"/>
      <c r="L468" s="438"/>
      <c r="M468" s="438"/>
      <c r="N468" s="438"/>
      <c r="O468" s="438"/>
      <c r="P468" s="438"/>
      <c r="Q468" s="438"/>
      <c r="R468" s="438"/>
      <c r="S468" s="438"/>
      <c r="T468" s="438"/>
      <c r="U468" s="438"/>
      <c r="V468" s="438"/>
      <c r="W468" s="438"/>
      <c r="X468" s="438"/>
      <c r="Y468" s="438"/>
      <c r="Z468" s="438"/>
      <c r="AA468" s="438"/>
      <c r="AB468" s="438"/>
      <c r="AC468" s="438"/>
      <c r="AD468" s="438"/>
      <c r="AE468" s="438"/>
      <c r="AF468" s="438"/>
      <c r="AG468" s="438"/>
      <c r="AH468" s="438"/>
    </row>
    <row r="469">
      <c r="A469" s="438"/>
      <c r="B469" s="438"/>
      <c r="C469" s="438"/>
      <c r="D469" s="438"/>
      <c r="E469" s="438"/>
      <c r="F469" s="438"/>
      <c r="G469" s="438"/>
      <c r="H469" s="438"/>
      <c r="I469" s="438"/>
      <c r="J469" s="438"/>
      <c r="K469" s="438"/>
      <c r="L469" s="438"/>
      <c r="M469" s="438"/>
      <c r="N469" s="438"/>
      <c r="O469" s="438"/>
      <c r="P469" s="438"/>
      <c r="Q469" s="438"/>
      <c r="R469" s="438"/>
      <c r="S469" s="438"/>
      <c r="T469" s="438"/>
      <c r="U469" s="438"/>
      <c r="V469" s="438"/>
      <c r="W469" s="438"/>
      <c r="X469" s="438"/>
      <c r="Y469" s="438"/>
      <c r="Z469" s="438"/>
      <c r="AA469" s="438"/>
      <c r="AB469" s="438"/>
      <c r="AC469" s="438"/>
      <c r="AD469" s="438"/>
      <c r="AE469" s="438"/>
      <c r="AF469" s="438"/>
      <c r="AG469" s="438"/>
      <c r="AH469" s="438"/>
    </row>
    <row r="470">
      <c r="A470" s="438"/>
      <c r="B470" s="438"/>
      <c r="C470" s="438"/>
      <c r="D470" s="438"/>
      <c r="E470" s="438"/>
      <c r="F470" s="438"/>
      <c r="G470" s="438"/>
      <c r="H470" s="438"/>
      <c r="I470" s="438"/>
      <c r="J470" s="438"/>
      <c r="K470" s="438"/>
      <c r="L470" s="438"/>
      <c r="M470" s="438"/>
      <c r="N470" s="438"/>
      <c r="O470" s="438"/>
      <c r="P470" s="438"/>
      <c r="Q470" s="438"/>
      <c r="R470" s="438"/>
      <c r="S470" s="438"/>
      <c r="T470" s="438"/>
      <c r="U470" s="438"/>
      <c r="V470" s="438"/>
      <c r="W470" s="438"/>
      <c r="X470" s="438"/>
      <c r="Y470" s="438"/>
      <c r="Z470" s="438"/>
      <c r="AA470" s="438"/>
      <c r="AB470" s="438"/>
      <c r="AC470" s="438"/>
      <c r="AD470" s="438"/>
      <c r="AE470" s="438"/>
      <c r="AF470" s="438"/>
      <c r="AG470" s="438"/>
      <c r="AH470" s="438"/>
    </row>
    <row r="471">
      <c r="A471" s="438"/>
      <c r="B471" s="438"/>
      <c r="C471" s="438"/>
      <c r="D471" s="438"/>
      <c r="E471" s="438"/>
      <c r="F471" s="438"/>
      <c r="G471" s="438"/>
      <c r="H471" s="438"/>
      <c r="I471" s="438"/>
      <c r="J471" s="438"/>
      <c r="K471" s="438"/>
      <c r="L471" s="438"/>
      <c r="M471" s="438"/>
      <c r="N471" s="438"/>
      <c r="O471" s="438"/>
      <c r="P471" s="438"/>
      <c r="Q471" s="438"/>
      <c r="R471" s="438"/>
      <c r="S471" s="438"/>
      <c r="T471" s="438"/>
      <c r="U471" s="438"/>
      <c r="V471" s="438"/>
      <c r="W471" s="438"/>
      <c r="X471" s="438"/>
      <c r="Y471" s="438"/>
      <c r="Z471" s="438"/>
      <c r="AA471" s="438"/>
      <c r="AB471" s="438"/>
      <c r="AC471" s="438"/>
      <c r="AD471" s="438"/>
      <c r="AE471" s="438"/>
      <c r="AF471" s="438"/>
      <c r="AG471" s="438"/>
      <c r="AH471" s="438"/>
    </row>
    <row r="472">
      <c r="A472" s="438"/>
      <c r="B472" s="438"/>
      <c r="C472" s="438"/>
      <c r="D472" s="438"/>
      <c r="E472" s="438"/>
      <c r="F472" s="438"/>
      <c r="G472" s="438"/>
      <c r="H472" s="438"/>
      <c r="I472" s="438"/>
      <c r="J472" s="438"/>
      <c r="K472" s="438"/>
      <c r="L472" s="438"/>
      <c r="M472" s="438"/>
      <c r="N472" s="438"/>
      <c r="O472" s="438"/>
      <c r="P472" s="438"/>
      <c r="Q472" s="438"/>
      <c r="R472" s="438"/>
      <c r="S472" s="438"/>
      <c r="T472" s="438"/>
      <c r="U472" s="438"/>
      <c r="V472" s="438"/>
      <c r="W472" s="438"/>
      <c r="X472" s="438"/>
      <c r="Y472" s="438"/>
      <c r="Z472" s="438"/>
      <c r="AA472" s="438"/>
      <c r="AB472" s="438"/>
      <c r="AC472" s="438"/>
      <c r="AD472" s="438"/>
      <c r="AE472" s="438"/>
      <c r="AF472" s="438"/>
      <c r="AG472" s="438"/>
      <c r="AH472" s="438"/>
    </row>
    <row r="473">
      <c r="A473" s="438"/>
      <c r="B473" s="438"/>
      <c r="C473" s="438"/>
      <c r="D473" s="438"/>
      <c r="E473" s="438"/>
      <c r="F473" s="438"/>
      <c r="G473" s="438"/>
      <c r="H473" s="438"/>
      <c r="I473" s="438"/>
      <c r="J473" s="438"/>
      <c r="K473" s="438"/>
      <c r="L473" s="438"/>
      <c r="M473" s="438"/>
      <c r="N473" s="438"/>
      <c r="O473" s="438"/>
      <c r="P473" s="438"/>
      <c r="Q473" s="438"/>
      <c r="R473" s="438"/>
      <c r="S473" s="438"/>
      <c r="T473" s="438"/>
      <c r="U473" s="438"/>
      <c r="V473" s="438"/>
      <c r="W473" s="438"/>
      <c r="X473" s="438"/>
      <c r="Y473" s="438"/>
      <c r="Z473" s="438"/>
      <c r="AA473" s="438"/>
      <c r="AB473" s="438"/>
      <c r="AC473" s="438"/>
      <c r="AD473" s="438"/>
      <c r="AE473" s="438"/>
      <c r="AF473" s="438"/>
      <c r="AG473" s="438"/>
      <c r="AH473" s="438"/>
    </row>
    <row r="474">
      <c r="A474" s="438"/>
      <c r="B474" s="438"/>
      <c r="C474" s="438"/>
      <c r="D474" s="438"/>
      <c r="E474" s="438"/>
      <c r="F474" s="438"/>
      <c r="G474" s="438"/>
      <c r="H474" s="438"/>
      <c r="I474" s="438"/>
      <c r="J474" s="438"/>
      <c r="K474" s="438"/>
      <c r="L474" s="438"/>
      <c r="M474" s="438"/>
      <c r="N474" s="438"/>
      <c r="O474" s="438"/>
      <c r="P474" s="438"/>
      <c r="Q474" s="438"/>
      <c r="R474" s="438"/>
      <c r="S474" s="438"/>
      <c r="T474" s="438"/>
      <c r="U474" s="438"/>
      <c r="V474" s="438"/>
      <c r="W474" s="438"/>
      <c r="X474" s="438"/>
      <c r="Y474" s="438"/>
      <c r="Z474" s="438"/>
      <c r="AA474" s="438"/>
      <c r="AB474" s="438"/>
      <c r="AC474" s="438"/>
      <c r="AD474" s="438"/>
      <c r="AE474" s="438"/>
      <c r="AF474" s="438"/>
      <c r="AG474" s="438"/>
      <c r="AH474" s="438"/>
    </row>
    <row r="475">
      <c r="A475" s="438"/>
      <c r="B475" s="438"/>
      <c r="C475" s="438"/>
      <c r="D475" s="438"/>
      <c r="E475" s="438"/>
      <c r="F475" s="438"/>
      <c r="G475" s="438"/>
      <c r="H475" s="438"/>
      <c r="I475" s="438"/>
      <c r="J475" s="438"/>
      <c r="K475" s="438"/>
      <c r="L475" s="438"/>
      <c r="M475" s="438"/>
      <c r="N475" s="438"/>
      <c r="O475" s="438"/>
      <c r="P475" s="438"/>
      <c r="Q475" s="438"/>
      <c r="R475" s="438"/>
      <c r="S475" s="438"/>
      <c r="T475" s="438"/>
      <c r="U475" s="438"/>
      <c r="V475" s="438"/>
      <c r="W475" s="438"/>
      <c r="X475" s="438"/>
      <c r="Y475" s="438"/>
      <c r="Z475" s="438"/>
      <c r="AA475" s="438"/>
      <c r="AB475" s="438"/>
      <c r="AC475" s="438"/>
      <c r="AD475" s="438"/>
      <c r="AE475" s="438"/>
      <c r="AF475" s="438"/>
      <c r="AG475" s="438"/>
      <c r="AH475" s="438"/>
    </row>
    <row r="476">
      <c r="A476" s="438"/>
      <c r="B476" s="438"/>
      <c r="C476" s="438"/>
      <c r="D476" s="438"/>
      <c r="E476" s="438"/>
      <c r="F476" s="438"/>
      <c r="G476" s="438"/>
      <c r="H476" s="438"/>
      <c r="I476" s="438"/>
      <c r="J476" s="438"/>
      <c r="K476" s="438"/>
      <c r="L476" s="438"/>
      <c r="M476" s="438"/>
      <c r="N476" s="438"/>
      <c r="O476" s="438"/>
      <c r="P476" s="438"/>
      <c r="Q476" s="438"/>
      <c r="R476" s="438"/>
      <c r="S476" s="438"/>
      <c r="T476" s="438"/>
      <c r="U476" s="438"/>
      <c r="V476" s="438"/>
      <c r="W476" s="438"/>
      <c r="X476" s="438"/>
      <c r="Y476" s="438"/>
      <c r="Z476" s="438"/>
      <c r="AA476" s="438"/>
      <c r="AB476" s="438"/>
      <c r="AC476" s="438"/>
      <c r="AD476" s="438"/>
      <c r="AE476" s="438"/>
      <c r="AF476" s="438"/>
      <c r="AG476" s="438"/>
      <c r="AH476" s="438"/>
    </row>
    <row r="477">
      <c r="A477" s="438"/>
      <c r="B477" s="438"/>
      <c r="C477" s="438"/>
      <c r="D477" s="438"/>
      <c r="E477" s="438"/>
      <c r="F477" s="438"/>
      <c r="G477" s="438"/>
      <c r="H477" s="438"/>
      <c r="I477" s="438"/>
      <c r="J477" s="438"/>
      <c r="K477" s="438"/>
      <c r="L477" s="438"/>
      <c r="M477" s="438"/>
      <c r="N477" s="438"/>
      <c r="O477" s="438"/>
      <c r="P477" s="438"/>
      <c r="Q477" s="438"/>
      <c r="R477" s="438"/>
      <c r="S477" s="438"/>
      <c r="T477" s="438"/>
      <c r="U477" s="438"/>
      <c r="V477" s="438"/>
      <c r="W477" s="438"/>
      <c r="X477" s="438"/>
      <c r="Y477" s="438"/>
      <c r="Z477" s="438"/>
      <c r="AA477" s="438"/>
      <c r="AB477" s="438"/>
      <c r="AC477" s="438"/>
      <c r="AD477" s="438"/>
      <c r="AE477" s="438"/>
      <c r="AF477" s="438"/>
      <c r="AG477" s="438"/>
      <c r="AH477" s="438"/>
    </row>
    <row r="478">
      <c r="A478" s="438"/>
      <c r="B478" s="438"/>
      <c r="C478" s="438"/>
      <c r="D478" s="438"/>
      <c r="E478" s="438"/>
      <c r="F478" s="438"/>
      <c r="G478" s="438"/>
      <c r="H478" s="438"/>
      <c r="I478" s="438"/>
      <c r="J478" s="438"/>
      <c r="K478" s="438"/>
      <c r="L478" s="438"/>
      <c r="M478" s="438"/>
      <c r="N478" s="438"/>
      <c r="O478" s="438"/>
      <c r="P478" s="438"/>
      <c r="Q478" s="438"/>
      <c r="R478" s="438"/>
      <c r="S478" s="438"/>
      <c r="T478" s="438"/>
      <c r="U478" s="438"/>
      <c r="V478" s="438"/>
      <c r="W478" s="438"/>
      <c r="X478" s="438"/>
      <c r="Y478" s="438"/>
      <c r="Z478" s="438"/>
      <c r="AA478" s="438"/>
      <c r="AB478" s="438"/>
      <c r="AC478" s="438"/>
      <c r="AD478" s="438"/>
      <c r="AE478" s="438"/>
      <c r="AF478" s="438"/>
      <c r="AG478" s="438"/>
      <c r="AH478" s="438"/>
    </row>
    <row r="479">
      <c r="A479" s="438"/>
      <c r="B479" s="438"/>
      <c r="C479" s="438"/>
      <c r="D479" s="438"/>
      <c r="E479" s="438"/>
      <c r="F479" s="438"/>
      <c r="G479" s="438"/>
      <c r="H479" s="438"/>
      <c r="I479" s="438"/>
      <c r="J479" s="438"/>
      <c r="K479" s="438"/>
      <c r="L479" s="438"/>
      <c r="M479" s="438"/>
      <c r="N479" s="438"/>
      <c r="O479" s="438"/>
      <c r="P479" s="438"/>
      <c r="Q479" s="438"/>
      <c r="R479" s="438"/>
      <c r="S479" s="438"/>
      <c r="T479" s="438"/>
      <c r="U479" s="438"/>
      <c r="V479" s="438"/>
      <c r="W479" s="438"/>
      <c r="X479" s="438"/>
      <c r="Y479" s="438"/>
      <c r="Z479" s="438"/>
      <c r="AA479" s="438"/>
      <c r="AB479" s="438"/>
      <c r="AC479" s="438"/>
      <c r="AD479" s="438"/>
      <c r="AE479" s="438"/>
      <c r="AF479" s="438"/>
      <c r="AG479" s="438"/>
      <c r="AH479" s="438"/>
    </row>
    <row r="480">
      <c r="A480" s="438"/>
      <c r="B480" s="438"/>
      <c r="C480" s="438"/>
      <c r="D480" s="438"/>
      <c r="E480" s="438"/>
      <c r="F480" s="438"/>
      <c r="G480" s="438"/>
      <c r="H480" s="438"/>
      <c r="I480" s="438"/>
      <c r="J480" s="438"/>
      <c r="K480" s="438"/>
      <c r="L480" s="438"/>
      <c r="M480" s="438"/>
      <c r="N480" s="438"/>
      <c r="O480" s="438"/>
      <c r="P480" s="438"/>
      <c r="Q480" s="438"/>
      <c r="R480" s="438"/>
      <c r="S480" s="438"/>
      <c r="T480" s="438"/>
      <c r="U480" s="438"/>
      <c r="V480" s="438"/>
      <c r="W480" s="438"/>
      <c r="X480" s="438"/>
      <c r="Y480" s="438"/>
      <c r="Z480" s="438"/>
      <c r="AA480" s="438"/>
      <c r="AB480" s="438"/>
      <c r="AC480" s="438"/>
      <c r="AD480" s="438"/>
      <c r="AE480" s="438"/>
      <c r="AF480" s="438"/>
      <c r="AG480" s="438"/>
      <c r="AH480" s="438"/>
    </row>
    <row r="481">
      <c r="A481" s="438"/>
      <c r="B481" s="438"/>
      <c r="C481" s="438"/>
      <c r="D481" s="438"/>
      <c r="E481" s="438"/>
      <c r="F481" s="438"/>
      <c r="G481" s="438"/>
      <c r="H481" s="438"/>
      <c r="I481" s="438"/>
      <c r="J481" s="438"/>
      <c r="K481" s="438"/>
      <c r="L481" s="438"/>
      <c r="M481" s="438"/>
      <c r="N481" s="438"/>
      <c r="O481" s="438"/>
      <c r="P481" s="438"/>
      <c r="Q481" s="438"/>
      <c r="R481" s="438"/>
      <c r="S481" s="438"/>
      <c r="T481" s="438"/>
      <c r="U481" s="438"/>
      <c r="V481" s="438"/>
      <c r="W481" s="438"/>
      <c r="X481" s="438"/>
      <c r="Y481" s="438"/>
      <c r="Z481" s="438"/>
      <c r="AA481" s="438"/>
      <c r="AB481" s="438"/>
      <c r="AC481" s="438"/>
      <c r="AD481" s="438"/>
      <c r="AE481" s="438"/>
      <c r="AF481" s="438"/>
      <c r="AG481" s="438"/>
      <c r="AH481" s="438"/>
    </row>
    <row r="482">
      <c r="A482" s="438"/>
      <c r="B482" s="438"/>
      <c r="C482" s="438"/>
      <c r="D482" s="438"/>
      <c r="E482" s="438"/>
      <c r="F482" s="438"/>
      <c r="G482" s="438"/>
      <c r="H482" s="438"/>
      <c r="I482" s="438"/>
      <c r="J482" s="438"/>
      <c r="K482" s="438"/>
      <c r="L482" s="438"/>
      <c r="M482" s="438"/>
      <c r="N482" s="438"/>
      <c r="O482" s="438"/>
      <c r="P482" s="438"/>
      <c r="Q482" s="438"/>
      <c r="R482" s="438"/>
      <c r="S482" s="438"/>
      <c r="T482" s="438"/>
      <c r="U482" s="438"/>
      <c r="V482" s="438"/>
      <c r="W482" s="438"/>
      <c r="X482" s="438"/>
      <c r="Y482" s="438"/>
      <c r="Z482" s="438"/>
      <c r="AA482" s="438"/>
      <c r="AB482" s="438"/>
      <c r="AC482" s="438"/>
      <c r="AD482" s="438"/>
      <c r="AE482" s="438"/>
      <c r="AF482" s="438"/>
      <c r="AG482" s="438"/>
      <c r="AH482" s="438"/>
    </row>
    <row r="483">
      <c r="A483" s="438"/>
      <c r="B483" s="438"/>
      <c r="C483" s="438"/>
      <c r="D483" s="438"/>
      <c r="E483" s="438"/>
      <c r="F483" s="438"/>
      <c r="G483" s="438"/>
      <c r="H483" s="438"/>
      <c r="I483" s="438"/>
      <c r="J483" s="438"/>
      <c r="K483" s="438"/>
      <c r="L483" s="438"/>
      <c r="M483" s="438"/>
      <c r="N483" s="438"/>
      <c r="O483" s="438"/>
      <c r="P483" s="438"/>
      <c r="Q483" s="438"/>
      <c r="R483" s="438"/>
      <c r="S483" s="438"/>
      <c r="T483" s="438"/>
      <c r="U483" s="438"/>
      <c r="V483" s="438"/>
      <c r="W483" s="438"/>
      <c r="X483" s="438"/>
      <c r="Y483" s="438"/>
      <c r="Z483" s="438"/>
      <c r="AA483" s="438"/>
      <c r="AB483" s="438"/>
      <c r="AC483" s="438"/>
      <c r="AD483" s="438"/>
      <c r="AE483" s="438"/>
      <c r="AF483" s="438"/>
      <c r="AG483" s="438"/>
      <c r="AH483" s="438"/>
    </row>
    <row r="484">
      <c r="A484" s="438"/>
      <c r="B484" s="438"/>
      <c r="C484" s="438"/>
      <c r="D484" s="438"/>
      <c r="E484" s="438"/>
      <c r="F484" s="438"/>
      <c r="G484" s="438"/>
      <c r="H484" s="438"/>
      <c r="I484" s="438"/>
      <c r="J484" s="438"/>
      <c r="K484" s="438"/>
      <c r="L484" s="438"/>
      <c r="M484" s="438"/>
      <c r="N484" s="438"/>
      <c r="O484" s="438"/>
      <c r="P484" s="438"/>
      <c r="Q484" s="438"/>
      <c r="R484" s="438"/>
      <c r="S484" s="438"/>
      <c r="T484" s="438"/>
      <c r="U484" s="438"/>
      <c r="V484" s="438"/>
      <c r="W484" s="438"/>
      <c r="X484" s="438"/>
      <c r="Y484" s="438"/>
      <c r="Z484" s="438"/>
      <c r="AA484" s="438"/>
      <c r="AB484" s="438"/>
      <c r="AC484" s="438"/>
      <c r="AD484" s="438"/>
      <c r="AE484" s="438"/>
      <c r="AF484" s="438"/>
      <c r="AG484" s="438"/>
      <c r="AH484" s="438"/>
    </row>
    <row r="485">
      <c r="A485" s="438"/>
      <c r="B485" s="438"/>
      <c r="C485" s="438"/>
      <c r="D485" s="438"/>
      <c r="E485" s="438"/>
      <c r="F485" s="438"/>
      <c r="G485" s="438"/>
      <c r="H485" s="438"/>
      <c r="I485" s="438"/>
      <c r="J485" s="438"/>
      <c r="K485" s="438"/>
      <c r="L485" s="438"/>
      <c r="M485" s="438"/>
      <c r="N485" s="438"/>
      <c r="O485" s="438"/>
      <c r="P485" s="438"/>
      <c r="Q485" s="438"/>
      <c r="R485" s="438"/>
      <c r="S485" s="438"/>
      <c r="T485" s="438"/>
      <c r="U485" s="438"/>
      <c r="V485" s="438"/>
      <c r="W485" s="438"/>
      <c r="X485" s="438"/>
      <c r="Y485" s="438"/>
      <c r="Z485" s="438"/>
      <c r="AA485" s="438"/>
      <c r="AB485" s="438"/>
      <c r="AC485" s="438"/>
      <c r="AD485" s="438"/>
      <c r="AE485" s="438"/>
      <c r="AF485" s="438"/>
      <c r="AG485" s="438"/>
      <c r="AH485" s="438"/>
    </row>
    <row r="486">
      <c r="A486" s="438"/>
      <c r="B486" s="438"/>
      <c r="C486" s="438"/>
      <c r="D486" s="438"/>
      <c r="E486" s="438"/>
      <c r="F486" s="438"/>
      <c r="G486" s="438"/>
      <c r="H486" s="438"/>
      <c r="I486" s="438"/>
      <c r="J486" s="438"/>
      <c r="K486" s="438"/>
      <c r="L486" s="438"/>
      <c r="M486" s="438"/>
      <c r="N486" s="438"/>
      <c r="O486" s="438"/>
      <c r="P486" s="438"/>
      <c r="Q486" s="438"/>
      <c r="R486" s="438"/>
      <c r="S486" s="438"/>
      <c r="T486" s="438"/>
      <c r="U486" s="438"/>
      <c r="V486" s="438"/>
      <c r="W486" s="438"/>
      <c r="X486" s="438"/>
      <c r="Y486" s="438"/>
      <c r="Z486" s="438"/>
      <c r="AA486" s="438"/>
      <c r="AB486" s="438"/>
      <c r="AC486" s="438"/>
      <c r="AD486" s="438"/>
      <c r="AE486" s="438"/>
      <c r="AF486" s="438"/>
      <c r="AG486" s="438"/>
      <c r="AH486" s="438"/>
    </row>
    <row r="487">
      <c r="A487" s="438"/>
      <c r="B487" s="438"/>
      <c r="C487" s="438"/>
      <c r="D487" s="438"/>
      <c r="E487" s="438"/>
      <c r="F487" s="438"/>
      <c r="G487" s="438"/>
      <c r="H487" s="438"/>
      <c r="I487" s="438"/>
      <c r="J487" s="438"/>
      <c r="K487" s="438"/>
      <c r="L487" s="438"/>
      <c r="M487" s="438"/>
      <c r="N487" s="438"/>
      <c r="O487" s="438"/>
      <c r="P487" s="438"/>
      <c r="Q487" s="438"/>
      <c r="R487" s="438"/>
      <c r="S487" s="438"/>
      <c r="T487" s="438"/>
      <c r="U487" s="438"/>
      <c r="V487" s="438"/>
      <c r="W487" s="438"/>
      <c r="X487" s="438"/>
      <c r="Y487" s="438"/>
      <c r="Z487" s="438"/>
      <c r="AA487" s="438"/>
      <c r="AB487" s="438"/>
      <c r="AC487" s="438"/>
      <c r="AD487" s="438"/>
      <c r="AE487" s="438"/>
      <c r="AF487" s="438"/>
      <c r="AG487" s="438"/>
      <c r="AH487" s="438"/>
    </row>
    <row r="488">
      <c r="A488" s="438"/>
      <c r="B488" s="438"/>
      <c r="C488" s="438"/>
      <c r="D488" s="438"/>
      <c r="E488" s="438"/>
      <c r="F488" s="438"/>
      <c r="G488" s="438"/>
      <c r="H488" s="438"/>
      <c r="I488" s="438"/>
      <c r="J488" s="438"/>
      <c r="K488" s="438"/>
      <c r="L488" s="438"/>
      <c r="M488" s="438"/>
      <c r="N488" s="438"/>
      <c r="O488" s="438"/>
      <c r="P488" s="438"/>
      <c r="Q488" s="438"/>
      <c r="R488" s="438"/>
      <c r="S488" s="438"/>
      <c r="T488" s="438"/>
      <c r="U488" s="438"/>
      <c r="V488" s="438"/>
      <c r="W488" s="438"/>
      <c r="X488" s="438"/>
      <c r="Y488" s="438"/>
      <c r="Z488" s="438"/>
      <c r="AA488" s="438"/>
      <c r="AB488" s="438"/>
      <c r="AC488" s="438"/>
      <c r="AD488" s="438"/>
      <c r="AE488" s="438"/>
      <c r="AF488" s="438"/>
      <c r="AG488" s="438"/>
      <c r="AH488" s="438"/>
    </row>
    <row r="489">
      <c r="A489" s="438"/>
      <c r="B489" s="438"/>
      <c r="C489" s="438"/>
      <c r="D489" s="438"/>
      <c r="E489" s="438"/>
      <c r="F489" s="438"/>
      <c r="G489" s="438"/>
      <c r="H489" s="438"/>
      <c r="I489" s="438"/>
      <c r="J489" s="438"/>
      <c r="K489" s="438"/>
      <c r="L489" s="438"/>
      <c r="M489" s="438"/>
      <c r="N489" s="438"/>
      <c r="O489" s="438"/>
      <c r="P489" s="438"/>
      <c r="Q489" s="438"/>
      <c r="R489" s="438"/>
      <c r="S489" s="438"/>
      <c r="T489" s="438"/>
      <c r="U489" s="438"/>
      <c r="V489" s="438"/>
      <c r="W489" s="438"/>
      <c r="X489" s="438"/>
      <c r="Y489" s="438"/>
      <c r="Z489" s="438"/>
      <c r="AA489" s="438"/>
      <c r="AB489" s="438"/>
      <c r="AC489" s="438"/>
      <c r="AD489" s="438"/>
      <c r="AE489" s="438"/>
      <c r="AF489" s="438"/>
      <c r="AG489" s="438"/>
      <c r="AH489" s="438"/>
    </row>
    <row r="490">
      <c r="A490" s="438"/>
      <c r="B490" s="438"/>
      <c r="C490" s="438"/>
      <c r="D490" s="438"/>
      <c r="E490" s="438"/>
      <c r="F490" s="438"/>
      <c r="G490" s="438"/>
      <c r="H490" s="438"/>
      <c r="I490" s="438"/>
      <c r="J490" s="438"/>
      <c r="K490" s="438"/>
      <c r="L490" s="438"/>
      <c r="M490" s="438"/>
      <c r="N490" s="438"/>
      <c r="O490" s="438"/>
      <c r="P490" s="438"/>
      <c r="Q490" s="438"/>
      <c r="R490" s="438"/>
      <c r="S490" s="438"/>
      <c r="T490" s="438"/>
      <c r="U490" s="438"/>
      <c r="V490" s="438"/>
      <c r="W490" s="438"/>
      <c r="X490" s="438"/>
      <c r="Y490" s="438"/>
      <c r="Z490" s="438"/>
      <c r="AA490" s="438"/>
      <c r="AB490" s="438"/>
      <c r="AC490" s="438"/>
      <c r="AD490" s="438"/>
      <c r="AE490" s="438"/>
      <c r="AF490" s="438"/>
      <c r="AG490" s="438"/>
      <c r="AH490" s="438"/>
    </row>
    <row r="491">
      <c r="A491" s="438"/>
      <c r="B491" s="438"/>
      <c r="C491" s="438"/>
      <c r="D491" s="438"/>
      <c r="E491" s="438"/>
      <c r="F491" s="438"/>
      <c r="G491" s="438"/>
      <c r="H491" s="438"/>
      <c r="I491" s="438"/>
      <c r="J491" s="438"/>
      <c r="K491" s="438"/>
      <c r="L491" s="438"/>
      <c r="M491" s="438"/>
      <c r="N491" s="438"/>
      <c r="O491" s="438"/>
      <c r="P491" s="438"/>
      <c r="Q491" s="438"/>
      <c r="R491" s="438"/>
      <c r="S491" s="438"/>
      <c r="T491" s="438"/>
      <c r="U491" s="438"/>
      <c r="V491" s="438"/>
      <c r="W491" s="438"/>
      <c r="X491" s="438"/>
      <c r="Y491" s="438"/>
      <c r="Z491" s="438"/>
      <c r="AA491" s="438"/>
      <c r="AB491" s="438"/>
      <c r="AC491" s="438"/>
      <c r="AD491" s="438"/>
      <c r="AE491" s="438"/>
      <c r="AF491" s="438"/>
      <c r="AG491" s="438"/>
      <c r="AH491" s="438"/>
    </row>
    <row r="492">
      <c r="A492" s="438"/>
      <c r="B492" s="438"/>
      <c r="C492" s="438"/>
      <c r="D492" s="438"/>
      <c r="E492" s="438"/>
      <c r="F492" s="438"/>
      <c r="G492" s="438"/>
      <c r="H492" s="438"/>
      <c r="I492" s="438"/>
      <c r="J492" s="438"/>
      <c r="K492" s="438"/>
      <c r="L492" s="438"/>
      <c r="M492" s="438"/>
      <c r="N492" s="438"/>
      <c r="O492" s="438"/>
      <c r="P492" s="438"/>
      <c r="Q492" s="438"/>
      <c r="R492" s="438"/>
      <c r="S492" s="438"/>
      <c r="T492" s="438"/>
      <c r="U492" s="438"/>
      <c r="V492" s="438"/>
      <c r="W492" s="438"/>
      <c r="X492" s="438"/>
      <c r="Y492" s="438"/>
      <c r="Z492" s="438"/>
      <c r="AA492" s="438"/>
      <c r="AB492" s="438"/>
      <c r="AC492" s="438"/>
      <c r="AD492" s="438"/>
      <c r="AE492" s="438"/>
      <c r="AF492" s="438"/>
      <c r="AG492" s="438"/>
      <c r="AH492" s="438"/>
    </row>
    <row r="493">
      <c r="A493" s="438"/>
      <c r="B493" s="438"/>
      <c r="C493" s="438"/>
      <c r="D493" s="438"/>
      <c r="E493" s="438"/>
      <c r="F493" s="438"/>
      <c r="G493" s="438"/>
      <c r="H493" s="438"/>
      <c r="I493" s="438"/>
      <c r="J493" s="438"/>
      <c r="K493" s="438"/>
      <c r="L493" s="438"/>
      <c r="M493" s="438"/>
      <c r="N493" s="438"/>
      <c r="O493" s="438"/>
      <c r="P493" s="438"/>
      <c r="Q493" s="438"/>
      <c r="R493" s="438"/>
      <c r="S493" s="438"/>
      <c r="T493" s="438"/>
      <c r="U493" s="438"/>
      <c r="V493" s="438"/>
      <c r="W493" s="438"/>
      <c r="X493" s="438"/>
      <c r="Y493" s="438"/>
      <c r="Z493" s="438"/>
      <c r="AA493" s="438"/>
      <c r="AB493" s="438"/>
      <c r="AC493" s="438"/>
      <c r="AD493" s="438"/>
      <c r="AE493" s="438"/>
      <c r="AF493" s="438"/>
      <c r="AG493" s="438"/>
      <c r="AH493" s="438"/>
    </row>
    <row r="494">
      <c r="A494" s="438"/>
      <c r="B494" s="438"/>
      <c r="C494" s="438"/>
      <c r="D494" s="438"/>
      <c r="E494" s="438"/>
      <c r="F494" s="438"/>
      <c r="G494" s="438"/>
      <c r="H494" s="438"/>
      <c r="I494" s="438"/>
      <c r="J494" s="438"/>
      <c r="K494" s="438"/>
      <c r="L494" s="438"/>
      <c r="M494" s="438"/>
      <c r="N494" s="438"/>
      <c r="O494" s="438"/>
      <c r="P494" s="438"/>
      <c r="Q494" s="438"/>
      <c r="R494" s="438"/>
      <c r="S494" s="438"/>
      <c r="T494" s="438"/>
      <c r="U494" s="438"/>
      <c r="V494" s="438"/>
      <c r="W494" s="438"/>
      <c r="X494" s="438"/>
      <c r="Y494" s="438"/>
      <c r="Z494" s="438"/>
      <c r="AA494" s="438"/>
      <c r="AB494" s="438"/>
      <c r="AC494" s="438"/>
      <c r="AD494" s="438"/>
      <c r="AE494" s="438"/>
      <c r="AF494" s="438"/>
      <c r="AG494" s="438"/>
      <c r="AH494" s="438"/>
    </row>
    <row r="495">
      <c r="A495" s="438"/>
      <c r="B495" s="438"/>
      <c r="C495" s="438"/>
      <c r="D495" s="438"/>
      <c r="E495" s="438"/>
      <c r="F495" s="438"/>
      <c r="G495" s="438"/>
      <c r="H495" s="438"/>
      <c r="I495" s="438"/>
      <c r="J495" s="438"/>
      <c r="K495" s="438"/>
      <c r="L495" s="438"/>
      <c r="M495" s="438"/>
      <c r="N495" s="438"/>
      <c r="O495" s="438"/>
      <c r="P495" s="438"/>
      <c r="Q495" s="438"/>
      <c r="R495" s="438"/>
      <c r="S495" s="438"/>
      <c r="T495" s="438"/>
      <c r="U495" s="438"/>
      <c r="V495" s="438"/>
      <c r="W495" s="438"/>
      <c r="X495" s="438"/>
      <c r="Y495" s="438"/>
      <c r="Z495" s="438"/>
      <c r="AA495" s="438"/>
      <c r="AB495" s="438"/>
      <c r="AC495" s="438"/>
      <c r="AD495" s="438"/>
      <c r="AE495" s="438"/>
      <c r="AF495" s="438"/>
      <c r="AG495" s="438"/>
      <c r="AH495" s="438"/>
    </row>
    <row r="496">
      <c r="A496" s="438"/>
      <c r="B496" s="438"/>
      <c r="C496" s="438"/>
      <c r="D496" s="438"/>
      <c r="E496" s="438"/>
      <c r="F496" s="438"/>
      <c r="G496" s="438"/>
      <c r="H496" s="438"/>
      <c r="I496" s="438"/>
      <c r="J496" s="438"/>
      <c r="K496" s="438"/>
      <c r="L496" s="438"/>
      <c r="M496" s="438"/>
      <c r="N496" s="438"/>
      <c r="O496" s="438"/>
      <c r="P496" s="438"/>
      <c r="Q496" s="438"/>
      <c r="R496" s="438"/>
      <c r="S496" s="438"/>
      <c r="T496" s="438"/>
      <c r="U496" s="438"/>
      <c r="V496" s="438"/>
      <c r="W496" s="438"/>
      <c r="X496" s="438"/>
      <c r="Y496" s="438"/>
      <c r="Z496" s="438"/>
      <c r="AA496" s="438"/>
      <c r="AB496" s="438"/>
      <c r="AC496" s="438"/>
      <c r="AD496" s="438"/>
      <c r="AE496" s="438"/>
      <c r="AF496" s="438"/>
      <c r="AG496" s="438"/>
      <c r="AH496" s="438"/>
    </row>
    <row r="497">
      <c r="A497" s="438"/>
      <c r="B497" s="438"/>
      <c r="C497" s="438"/>
      <c r="D497" s="438"/>
      <c r="E497" s="438"/>
      <c r="F497" s="438"/>
      <c r="G497" s="438"/>
      <c r="H497" s="438"/>
      <c r="I497" s="438"/>
      <c r="J497" s="438"/>
      <c r="K497" s="438"/>
      <c r="L497" s="438"/>
      <c r="M497" s="438"/>
      <c r="N497" s="438"/>
      <c r="O497" s="438"/>
      <c r="P497" s="438"/>
      <c r="Q497" s="438"/>
      <c r="R497" s="438"/>
      <c r="S497" s="438"/>
      <c r="T497" s="438"/>
      <c r="U497" s="438"/>
      <c r="V497" s="438"/>
      <c r="W497" s="438"/>
      <c r="X497" s="438"/>
      <c r="Y497" s="438"/>
      <c r="Z497" s="438"/>
      <c r="AA497" s="438"/>
      <c r="AB497" s="438"/>
      <c r="AC497" s="438"/>
      <c r="AD497" s="438"/>
      <c r="AE497" s="438"/>
      <c r="AF497" s="438"/>
      <c r="AG497" s="438"/>
      <c r="AH497" s="438"/>
    </row>
    <row r="498">
      <c r="A498" s="438"/>
      <c r="B498" s="438"/>
      <c r="C498" s="438"/>
      <c r="D498" s="438"/>
      <c r="E498" s="438"/>
      <c r="F498" s="438"/>
      <c r="G498" s="438"/>
      <c r="H498" s="438"/>
      <c r="I498" s="438"/>
      <c r="J498" s="438"/>
      <c r="K498" s="438"/>
      <c r="L498" s="438"/>
      <c r="M498" s="438"/>
      <c r="N498" s="438"/>
      <c r="O498" s="438"/>
      <c r="P498" s="438"/>
      <c r="Q498" s="438"/>
      <c r="R498" s="438"/>
      <c r="S498" s="438"/>
      <c r="T498" s="438"/>
      <c r="U498" s="438"/>
      <c r="V498" s="438"/>
      <c r="W498" s="438"/>
      <c r="X498" s="438"/>
      <c r="Y498" s="438"/>
      <c r="Z498" s="438"/>
      <c r="AA498" s="438"/>
      <c r="AB498" s="438"/>
      <c r="AC498" s="438"/>
      <c r="AD498" s="438"/>
      <c r="AE498" s="438"/>
      <c r="AF498" s="438"/>
      <c r="AG498" s="438"/>
      <c r="AH498" s="438"/>
    </row>
    <row r="499">
      <c r="A499" s="438"/>
      <c r="B499" s="438"/>
      <c r="C499" s="438"/>
      <c r="D499" s="438"/>
      <c r="E499" s="438"/>
      <c r="F499" s="438"/>
      <c r="G499" s="438"/>
      <c r="H499" s="438"/>
      <c r="I499" s="438"/>
      <c r="J499" s="438"/>
      <c r="K499" s="438"/>
      <c r="L499" s="438"/>
      <c r="M499" s="438"/>
      <c r="N499" s="438"/>
      <c r="O499" s="438"/>
      <c r="P499" s="438"/>
      <c r="Q499" s="438"/>
      <c r="R499" s="438"/>
      <c r="S499" s="438"/>
      <c r="T499" s="438"/>
      <c r="U499" s="438"/>
      <c r="V499" s="438"/>
      <c r="W499" s="438"/>
      <c r="X499" s="438"/>
      <c r="Y499" s="438"/>
      <c r="Z499" s="438"/>
      <c r="AA499" s="438"/>
      <c r="AB499" s="438"/>
      <c r="AC499" s="438"/>
      <c r="AD499" s="438"/>
      <c r="AE499" s="438"/>
      <c r="AF499" s="438"/>
      <c r="AG499" s="438"/>
      <c r="AH499" s="438"/>
    </row>
    <row r="500">
      <c r="A500" s="438"/>
      <c r="B500" s="438"/>
      <c r="C500" s="438"/>
      <c r="D500" s="438"/>
      <c r="E500" s="438"/>
      <c r="F500" s="438"/>
      <c r="G500" s="438"/>
      <c r="H500" s="438"/>
      <c r="I500" s="438"/>
      <c r="J500" s="438"/>
      <c r="K500" s="438"/>
      <c r="L500" s="438"/>
      <c r="M500" s="438"/>
      <c r="N500" s="438"/>
      <c r="O500" s="438"/>
      <c r="P500" s="438"/>
      <c r="Q500" s="438"/>
      <c r="R500" s="438"/>
      <c r="S500" s="438"/>
      <c r="T500" s="438"/>
      <c r="U500" s="438"/>
      <c r="V500" s="438"/>
      <c r="W500" s="438"/>
      <c r="X500" s="438"/>
      <c r="Y500" s="438"/>
      <c r="Z500" s="438"/>
      <c r="AA500" s="438"/>
      <c r="AB500" s="438"/>
      <c r="AC500" s="438"/>
      <c r="AD500" s="438"/>
      <c r="AE500" s="438"/>
      <c r="AF500" s="438"/>
      <c r="AG500" s="438"/>
      <c r="AH500" s="438"/>
    </row>
    <row r="501">
      <c r="A501" s="438"/>
      <c r="B501" s="438"/>
      <c r="C501" s="438"/>
      <c r="D501" s="438"/>
      <c r="E501" s="438"/>
      <c r="F501" s="438"/>
      <c r="G501" s="438"/>
      <c r="H501" s="438"/>
      <c r="I501" s="438"/>
      <c r="J501" s="438"/>
      <c r="K501" s="438"/>
      <c r="L501" s="438"/>
      <c r="M501" s="438"/>
      <c r="N501" s="438"/>
      <c r="O501" s="438"/>
      <c r="P501" s="438"/>
      <c r="Q501" s="438"/>
      <c r="R501" s="438"/>
      <c r="S501" s="438"/>
      <c r="T501" s="438"/>
      <c r="U501" s="438"/>
      <c r="V501" s="438"/>
      <c r="W501" s="438"/>
      <c r="X501" s="438"/>
      <c r="Y501" s="438"/>
      <c r="Z501" s="438"/>
      <c r="AA501" s="438"/>
      <c r="AB501" s="438"/>
      <c r="AC501" s="438"/>
      <c r="AD501" s="438"/>
      <c r="AE501" s="438"/>
      <c r="AF501" s="438"/>
      <c r="AG501" s="438"/>
      <c r="AH501" s="438"/>
    </row>
    <row r="502">
      <c r="A502" s="438"/>
      <c r="B502" s="438"/>
      <c r="C502" s="438"/>
      <c r="D502" s="438"/>
      <c r="E502" s="438"/>
      <c r="F502" s="438"/>
      <c r="G502" s="438"/>
      <c r="H502" s="438"/>
      <c r="I502" s="438"/>
      <c r="J502" s="438"/>
      <c r="K502" s="438"/>
      <c r="L502" s="438"/>
      <c r="M502" s="438"/>
      <c r="N502" s="438"/>
      <c r="O502" s="438"/>
      <c r="P502" s="438"/>
      <c r="Q502" s="438"/>
      <c r="R502" s="438"/>
      <c r="S502" s="438"/>
      <c r="T502" s="438"/>
      <c r="U502" s="438"/>
      <c r="V502" s="438"/>
      <c r="W502" s="438"/>
      <c r="X502" s="438"/>
      <c r="Y502" s="438"/>
      <c r="Z502" s="438"/>
      <c r="AA502" s="438"/>
      <c r="AB502" s="438"/>
      <c r="AC502" s="438"/>
      <c r="AD502" s="438"/>
      <c r="AE502" s="438"/>
      <c r="AF502" s="438"/>
      <c r="AG502" s="438"/>
      <c r="AH502" s="438"/>
    </row>
    <row r="503">
      <c r="A503" s="438"/>
      <c r="B503" s="438"/>
      <c r="C503" s="438"/>
      <c r="D503" s="438"/>
      <c r="E503" s="438"/>
      <c r="F503" s="438"/>
      <c r="G503" s="438"/>
      <c r="H503" s="438"/>
      <c r="I503" s="438"/>
      <c r="J503" s="438"/>
      <c r="K503" s="438"/>
      <c r="L503" s="438"/>
      <c r="M503" s="438"/>
      <c r="N503" s="438"/>
      <c r="O503" s="438"/>
      <c r="P503" s="438"/>
      <c r="Q503" s="438"/>
      <c r="R503" s="438"/>
      <c r="S503" s="438"/>
      <c r="T503" s="438"/>
      <c r="U503" s="438"/>
      <c r="V503" s="438"/>
      <c r="W503" s="438"/>
      <c r="X503" s="438"/>
      <c r="Y503" s="438"/>
      <c r="Z503" s="438"/>
      <c r="AA503" s="438"/>
      <c r="AB503" s="438"/>
      <c r="AC503" s="438"/>
      <c r="AD503" s="438"/>
      <c r="AE503" s="438"/>
      <c r="AF503" s="438"/>
      <c r="AG503" s="438"/>
      <c r="AH503" s="438"/>
    </row>
    <row r="504">
      <c r="A504" s="438"/>
      <c r="B504" s="438"/>
      <c r="C504" s="438"/>
      <c r="D504" s="438"/>
      <c r="E504" s="438"/>
      <c r="F504" s="438"/>
      <c r="G504" s="438"/>
      <c r="H504" s="438"/>
      <c r="I504" s="438"/>
      <c r="J504" s="438"/>
      <c r="K504" s="438"/>
      <c r="L504" s="438"/>
      <c r="M504" s="438"/>
      <c r="N504" s="438"/>
      <c r="O504" s="438"/>
      <c r="P504" s="438"/>
      <c r="Q504" s="438"/>
      <c r="R504" s="438"/>
      <c r="S504" s="438"/>
      <c r="T504" s="438"/>
      <c r="U504" s="438"/>
      <c r="V504" s="438"/>
      <c r="W504" s="438"/>
      <c r="X504" s="438"/>
      <c r="Y504" s="438"/>
      <c r="Z504" s="438"/>
      <c r="AA504" s="438"/>
      <c r="AB504" s="438"/>
      <c r="AC504" s="438"/>
      <c r="AD504" s="438"/>
      <c r="AE504" s="438"/>
      <c r="AF504" s="438"/>
      <c r="AG504" s="438"/>
      <c r="AH504" s="438"/>
    </row>
    <row r="505">
      <c r="A505" s="438"/>
      <c r="B505" s="438"/>
      <c r="C505" s="438"/>
      <c r="D505" s="438"/>
      <c r="E505" s="438"/>
      <c r="F505" s="438"/>
      <c r="G505" s="438"/>
      <c r="H505" s="438"/>
      <c r="I505" s="438"/>
      <c r="J505" s="438"/>
      <c r="K505" s="438"/>
      <c r="L505" s="438"/>
      <c r="M505" s="438"/>
      <c r="N505" s="438"/>
      <c r="O505" s="438"/>
      <c r="P505" s="438"/>
      <c r="Q505" s="438"/>
      <c r="R505" s="438"/>
      <c r="S505" s="438"/>
      <c r="T505" s="438"/>
      <c r="U505" s="438"/>
      <c r="V505" s="438"/>
      <c r="W505" s="438"/>
      <c r="X505" s="438"/>
      <c r="Y505" s="438"/>
      <c r="Z505" s="438"/>
      <c r="AA505" s="438"/>
      <c r="AB505" s="438"/>
      <c r="AC505" s="438"/>
      <c r="AD505" s="438"/>
      <c r="AE505" s="438"/>
      <c r="AF505" s="438"/>
      <c r="AG505" s="438"/>
      <c r="AH505" s="438"/>
    </row>
    <row r="506">
      <c r="A506" s="438"/>
      <c r="B506" s="438"/>
      <c r="C506" s="438"/>
      <c r="D506" s="438"/>
      <c r="E506" s="438"/>
      <c r="F506" s="438"/>
      <c r="G506" s="438"/>
      <c r="H506" s="438"/>
      <c r="I506" s="438"/>
      <c r="J506" s="438"/>
      <c r="K506" s="438"/>
      <c r="L506" s="438"/>
      <c r="M506" s="438"/>
      <c r="N506" s="438"/>
      <c r="O506" s="438"/>
      <c r="P506" s="438"/>
      <c r="Q506" s="438"/>
      <c r="R506" s="438"/>
      <c r="S506" s="438"/>
      <c r="T506" s="438"/>
      <c r="U506" s="438"/>
      <c r="V506" s="438"/>
      <c r="W506" s="438"/>
      <c r="X506" s="438"/>
      <c r="Y506" s="438"/>
      <c r="Z506" s="438"/>
      <c r="AA506" s="438"/>
      <c r="AB506" s="438"/>
      <c r="AC506" s="438"/>
      <c r="AD506" s="438"/>
      <c r="AE506" s="438"/>
      <c r="AF506" s="438"/>
      <c r="AG506" s="438"/>
      <c r="AH506" s="438"/>
    </row>
    <row r="507">
      <c r="A507" s="438"/>
      <c r="B507" s="438"/>
      <c r="C507" s="438"/>
      <c r="D507" s="438"/>
      <c r="E507" s="438"/>
      <c r="F507" s="438"/>
      <c r="G507" s="438"/>
      <c r="H507" s="438"/>
      <c r="I507" s="438"/>
      <c r="J507" s="438"/>
      <c r="K507" s="438"/>
      <c r="L507" s="438"/>
      <c r="M507" s="438"/>
      <c r="N507" s="438"/>
      <c r="O507" s="438"/>
      <c r="P507" s="438"/>
      <c r="Q507" s="438"/>
      <c r="R507" s="438"/>
      <c r="S507" s="438"/>
      <c r="T507" s="438"/>
      <c r="U507" s="438"/>
      <c r="V507" s="438"/>
      <c r="W507" s="438"/>
      <c r="X507" s="438"/>
      <c r="Y507" s="438"/>
      <c r="Z507" s="438"/>
      <c r="AA507" s="438"/>
      <c r="AB507" s="438"/>
      <c r="AC507" s="438"/>
      <c r="AD507" s="438"/>
      <c r="AE507" s="438"/>
      <c r="AF507" s="438"/>
      <c r="AG507" s="438"/>
      <c r="AH507" s="438"/>
    </row>
    <row r="508">
      <c r="A508" s="438"/>
      <c r="B508" s="438"/>
      <c r="C508" s="438"/>
      <c r="D508" s="438"/>
      <c r="E508" s="438"/>
      <c r="F508" s="438"/>
      <c r="G508" s="438"/>
      <c r="H508" s="438"/>
      <c r="I508" s="438"/>
      <c r="J508" s="438"/>
      <c r="K508" s="438"/>
      <c r="L508" s="438"/>
      <c r="M508" s="438"/>
      <c r="N508" s="438"/>
      <c r="O508" s="438"/>
      <c r="P508" s="438"/>
      <c r="Q508" s="438"/>
      <c r="R508" s="438"/>
      <c r="S508" s="438"/>
      <c r="T508" s="438"/>
      <c r="U508" s="438"/>
      <c r="V508" s="438"/>
      <c r="W508" s="438"/>
      <c r="X508" s="438"/>
      <c r="Y508" s="438"/>
      <c r="Z508" s="438"/>
      <c r="AA508" s="438"/>
      <c r="AB508" s="438"/>
      <c r="AC508" s="438"/>
      <c r="AD508" s="438"/>
      <c r="AE508" s="438"/>
      <c r="AF508" s="438"/>
      <c r="AG508" s="438"/>
      <c r="AH508" s="438"/>
    </row>
    <row r="509">
      <c r="A509" s="438"/>
      <c r="B509" s="438"/>
      <c r="C509" s="438"/>
      <c r="D509" s="438"/>
      <c r="E509" s="438"/>
      <c r="F509" s="438"/>
      <c r="G509" s="438"/>
      <c r="H509" s="438"/>
      <c r="I509" s="438"/>
      <c r="J509" s="438"/>
      <c r="K509" s="438"/>
      <c r="L509" s="438"/>
      <c r="M509" s="438"/>
      <c r="N509" s="438"/>
      <c r="O509" s="438"/>
      <c r="P509" s="438"/>
      <c r="Q509" s="438"/>
      <c r="R509" s="438"/>
      <c r="S509" s="438"/>
      <c r="T509" s="438"/>
      <c r="U509" s="438"/>
      <c r="V509" s="438"/>
      <c r="W509" s="438"/>
      <c r="X509" s="438"/>
      <c r="Y509" s="438"/>
      <c r="Z509" s="438"/>
      <c r="AA509" s="438"/>
      <c r="AB509" s="438"/>
      <c r="AC509" s="438"/>
      <c r="AD509" s="438"/>
      <c r="AE509" s="438"/>
      <c r="AF509" s="438"/>
      <c r="AG509" s="438"/>
      <c r="AH509" s="438"/>
    </row>
    <row r="510">
      <c r="A510" s="438"/>
      <c r="B510" s="438"/>
      <c r="C510" s="438"/>
      <c r="D510" s="438"/>
      <c r="E510" s="438"/>
      <c r="F510" s="438"/>
      <c r="G510" s="438"/>
      <c r="H510" s="438"/>
      <c r="I510" s="438"/>
      <c r="J510" s="438"/>
      <c r="K510" s="438"/>
      <c r="L510" s="438"/>
      <c r="M510" s="438"/>
      <c r="N510" s="438"/>
      <c r="O510" s="438"/>
      <c r="P510" s="438"/>
      <c r="Q510" s="438"/>
      <c r="R510" s="438"/>
      <c r="S510" s="438"/>
      <c r="T510" s="438"/>
      <c r="U510" s="438"/>
      <c r="V510" s="438"/>
      <c r="W510" s="438"/>
      <c r="X510" s="438"/>
      <c r="Y510" s="438"/>
      <c r="Z510" s="438"/>
      <c r="AA510" s="438"/>
      <c r="AB510" s="438"/>
      <c r="AC510" s="438"/>
      <c r="AD510" s="438"/>
      <c r="AE510" s="438"/>
      <c r="AF510" s="438"/>
      <c r="AG510" s="438"/>
      <c r="AH510" s="438"/>
    </row>
    <row r="511">
      <c r="A511" s="438"/>
      <c r="B511" s="438"/>
      <c r="C511" s="438"/>
      <c r="D511" s="438"/>
      <c r="E511" s="438"/>
      <c r="F511" s="438"/>
      <c r="G511" s="438"/>
      <c r="H511" s="438"/>
      <c r="I511" s="438"/>
      <c r="J511" s="438"/>
      <c r="K511" s="438"/>
      <c r="L511" s="438"/>
      <c r="M511" s="438"/>
      <c r="N511" s="438"/>
      <c r="O511" s="438"/>
      <c r="P511" s="438"/>
      <c r="Q511" s="438"/>
      <c r="R511" s="438"/>
      <c r="S511" s="438"/>
      <c r="T511" s="438"/>
      <c r="U511" s="438"/>
      <c r="V511" s="438"/>
      <c r="W511" s="438"/>
      <c r="X511" s="438"/>
      <c r="Y511" s="438"/>
      <c r="Z511" s="438"/>
      <c r="AA511" s="438"/>
      <c r="AB511" s="438"/>
      <c r="AC511" s="438"/>
      <c r="AD511" s="438"/>
      <c r="AE511" s="438"/>
      <c r="AF511" s="438"/>
      <c r="AG511" s="438"/>
      <c r="AH511" s="438"/>
    </row>
    <row r="512">
      <c r="A512" s="438"/>
      <c r="B512" s="438"/>
      <c r="C512" s="438"/>
      <c r="D512" s="438"/>
      <c r="E512" s="438"/>
      <c r="F512" s="438"/>
      <c r="G512" s="438"/>
      <c r="H512" s="438"/>
      <c r="I512" s="438"/>
      <c r="J512" s="438"/>
      <c r="K512" s="438"/>
      <c r="L512" s="438"/>
      <c r="M512" s="438"/>
      <c r="N512" s="438"/>
      <c r="O512" s="438"/>
      <c r="P512" s="438"/>
      <c r="Q512" s="438"/>
      <c r="R512" s="438"/>
      <c r="S512" s="438"/>
      <c r="T512" s="438"/>
      <c r="U512" s="438"/>
      <c r="V512" s="438"/>
      <c r="W512" s="438"/>
      <c r="X512" s="438"/>
      <c r="Y512" s="438"/>
      <c r="Z512" s="438"/>
      <c r="AA512" s="438"/>
      <c r="AB512" s="438"/>
      <c r="AC512" s="438"/>
      <c r="AD512" s="438"/>
      <c r="AE512" s="438"/>
      <c r="AF512" s="438"/>
      <c r="AG512" s="438"/>
      <c r="AH512" s="438"/>
    </row>
    <row r="513">
      <c r="A513" s="438"/>
      <c r="B513" s="438"/>
      <c r="C513" s="438"/>
      <c r="D513" s="438"/>
      <c r="E513" s="438"/>
      <c r="F513" s="438"/>
      <c r="G513" s="438"/>
      <c r="H513" s="438"/>
      <c r="I513" s="438"/>
      <c r="J513" s="438"/>
      <c r="K513" s="438"/>
      <c r="L513" s="438"/>
      <c r="M513" s="438"/>
      <c r="N513" s="438"/>
      <c r="O513" s="438"/>
      <c r="P513" s="438"/>
      <c r="Q513" s="438"/>
      <c r="R513" s="438"/>
      <c r="S513" s="438"/>
      <c r="T513" s="438"/>
      <c r="U513" s="438"/>
      <c r="V513" s="438"/>
      <c r="W513" s="438"/>
      <c r="X513" s="438"/>
      <c r="Y513" s="438"/>
      <c r="Z513" s="438"/>
      <c r="AA513" s="438"/>
      <c r="AB513" s="438"/>
      <c r="AC513" s="438"/>
      <c r="AD513" s="438"/>
      <c r="AE513" s="438"/>
      <c r="AF513" s="438"/>
      <c r="AG513" s="438"/>
      <c r="AH513" s="438"/>
    </row>
    <row r="514">
      <c r="A514" s="438"/>
      <c r="B514" s="438"/>
      <c r="C514" s="438"/>
      <c r="D514" s="438"/>
      <c r="E514" s="438"/>
      <c r="F514" s="438"/>
      <c r="G514" s="438"/>
      <c r="H514" s="438"/>
      <c r="I514" s="438"/>
      <c r="J514" s="438"/>
      <c r="K514" s="438"/>
      <c r="L514" s="438"/>
      <c r="M514" s="438"/>
      <c r="N514" s="438"/>
      <c r="O514" s="438"/>
      <c r="P514" s="438"/>
      <c r="Q514" s="438"/>
      <c r="R514" s="438"/>
      <c r="S514" s="438"/>
      <c r="T514" s="438"/>
      <c r="U514" s="438"/>
      <c r="V514" s="438"/>
      <c r="W514" s="438"/>
      <c r="X514" s="438"/>
      <c r="Y514" s="438"/>
      <c r="Z514" s="438"/>
      <c r="AA514" s="438"/>
      <c r="AB514" s="438"/>
      <c r="AC514" s="438"/>
      <c r="AD514" s="438"/>
      <c r="AE514" s="438"/>
      <c r="AF514" s="438"/>
      <c r="AG514" s="438"/>
      <c r="AH514" s="438"/>
    </row>
    <row r="515">
      <c r="A515" s="438"/>
      <c r="B515" s="438"/>
      <c r="C515" s="438"/>
      <c r="D515" s="438"/>
      <c r="E515" s="438"/>
      <c r="F515" s="438"/>
      <c r="G515" s="438"/>
      <c r="H515" s="438"/>
      <c r="I515" s="438"/>
      <c r="J515" s="438"/>
      <c r="K515" s="438"/>
      <c r="L515" s="438"/>
      <c r="M515" s="438"/>
      <c r="N515" s="438"/>
      <c r="O515" s="438"/>
      <c r="P515" s="438"/>
      <c r="Q515" s="438"/>
      <c r="R515" s="438"/>
      <c r="S515" s="438"/>
      <c r="T515" s="438"/>
      <c r="U515" s="438"/>
      <c r="V515" s="438"/>
      <c r="W515" s="438"/>
      <c r="X515" s="438"/>
      <c r="Y515" s="438"/>
      <c r="Z515" s="438"/>
      <c r="AA515" s="438"/>
      <c r="AB515" s="438"/>
      <c r="AC515" s="438"/>
      <c r="AD515" s="438"/>
      <c r="AE515" s="438"/>
      <c r="AF515" s="438"/>
      <c r="AG515" s="438"/>
      <c r="AH515" s="438"/>
    </row>
    <row r="516">
      <c r="A516" s="438"/>
      <c r="B516" s="438"/>
      <c r="C516" s="438"/>
      <c r="D516" s="438"/>
      <c r="E516" s="438"/>
      <c r="F516" s="438"/>
      <c r="G516" s="438"/>
      <c r="H516" s="438"/>
      <c r="I516" s="438"/>
      <c r="J516" s="438"/>
      <c r="K516" s="438"/>
      <c r="L516" s="438"/>
      <c r="M516" s="438"/>
      <c r="N516" s="438"/>
      <c r="O516" s="438"/>
      <c r="P516" s="438"/>
      <c r="Q516" s="438"/>
      <c r="R516" s="438"/>
      <c r="S516" s="438"/>
      <c r="T516" s="438"/>
      <c r="U516" s="438"/>
      <c r="V516" s="438"/>
      <c r="W516" s="438"/>
      <c r="X516" s="438"/>
      <c r="Y516" s="438"/>
      <c r="Z516" s="438"/>
      <c r="AA516" s="438"/>
      <c r="AB516" s="438"/>
      <c r="AC516" s="438"/>
      <c r="AD516" s="438"/>
      <c r="AE516" s="438"/>
      <c r="AF516" s="438"/>
      <c r="AG516" s="438"/>
      <c r="AH516" s="438"/>
    </row>
    <row r="517">
      <c r="A517" s="438"/>
      <c r="B517" s="438"/>
      <c r="C517" s="438"/>
      <c r="D517" s="438"/>
      <c r="E517" s="438"/>
      <c r="F517" s="438"/>
      <c r="G517" s="438"/>
      <c r="H517" s="438"/>
      <c r="I517" s="438"/>
      <c r="J517" s="438"/>
      <c r="K517" s="438"/>
      <c r="L517" s="438"/>
      <c r="M517" s="438"/>
      <c r="N517" s="438"/>
      <c r="O517" s="438"/>
      <c r="P517" s="438"/>
      <c r="Q517" s="438"/>
      <c r="R517" s="438"/>
      <c r="S517" s="438"/>
      <c r="T517" s="438"/>
      <c r="U517" s="438"/>
      <c r="V517" s="438"/>
      <c r="W517" s="438"/>
      <c r="X517" s="438"/>
      <c r="Y517" s="438"/>
      <c r="Z517" s="438"/>
      <c r="AA517" s="438"/>
      <c r="AB517" s="438"/>
      <c r="AC517" s="438"/>
      <c r="AD517" s="438"/>
      <c r="AE517" s="438"/>
      <c r="AF517" s="438"/>
      <c r="AG517" s="438"/>
      <c r="AH517" s="438"/>
    </row>
    <row r="518">
      <c r="A518" s="438"/>
      <c r="B518" s="438"/>
      <c r="C518" s="438"/>
      <c r="D518" s="438"/>
      <c r="E518" s="438"/>
      <c r="F518" s="438"/>
      <c r="G518" s="438"/>
      <c r="H518" s="438"/>
      <c r="I518" s="438"/>
      <c r="J518" s="438"/>
      <c r="K518" s="438"/>
      <c r="L518" s="438"/>
      <c r="M518" s="438"/>
      <c r="N518" s="438"/>
      <c r="O518" s="438"/>
      <c r="P518" s="438"/>
      <c r="Q518" s="438"/>
      <c r="R518" s="438"/>
      <c r="S518" s="438"/>
      <c r="T518" s="438"/>
      <c r="U518" s="438"/>
      <c r="V518" s="438"/>
      <c r="W518" s="438"/>
      <c r="X518" s="438"/>
      <c r="Y518" s="438"/>
      <c r="Z518" s="438"/>
      <c r="AA518" s="438"/>
      <c r="AB518" s="438"/>
      <c r="AC518" s="438"/>
      <c r="AD518" s="438"/>
      <c r="AE518" s="438"/>
      <c r="AF518" s="438"/>
      <c r="AG518" s="438"/>
      <c r="AH518" s="438"/>
    </row>
    <row r="519">
      <c r="A519" s="438"/>
      <c r="B519" s="438"/>
      <c r="C519" s="438"/>
      <c r="D519" s="438"/>
      <c r="E519" s="438"/>
      <c r="F519" s="438"/>
      <c r="G519" s="438"/>
      <c r="H519" s="438"/>
      <c r="I519" s="438"/>
      <c r="J519" s="438"/>
      <c r="K519" s="438"/>
      <c r="L519" s="438"/>
      <c r="M519" s="438"/>
      <c r="N519" s="438"/>
      <c r="O519" s="438"/>
      <c r="P519" s="438"/>
      <c r="Q519" s="438"/>
      <c r="R519" s="438"/>
      <c r="S519" s="438"/>
      <c r="T519" s="438"/>
      <c r="U519" s="438"/>
      <c r="V519" s="438"/>
      <c r="W519" s="438"/>
      <c r="X519" s="438"/>
      <c r="Y519" s="438"/>
      <c r="Z519" s="438"/>
      <c r="AA519" s="438"/>
      <c r="AB519" s="438"/>
      <c r="AC519" s="438"/>
      <c r="AD519" s="438"/>
      <c r="AE519" s="438"/>
      <c r="AF519" s="438"/>
      <c r="AG519" s="438"/>
      <c r="AH519" s="438"/>
    </row>
    <row r="520">
      <c r="A520" s="438"/>
      <c r="B520" s="438"/>
      <c r="C520" s="438"/>
      <c r="D520" s="438"/>
      <c r="E520" s="438"/>
      <c r="F520" s="438"/>
      <c r="G520" s="438"/>
      <c r="H520" s="438"/>
      <c r="I520" s="438"/>
      <c r="J520" s="438"/>
      <c r="K520" s="438"/>
      <c r="L520" s="438"/>
      <c r="M520" s="438"/>
      <c r="N520" s="438"/>
      <c r="O520" s="438"/>
      <c r="P520" s="438"/>
      <c r="Q520" s="438"/>
      <c r="R520" s="438"/>
      <c r="S520" s="438"/>
      <c r="T520" s="438"/>
      <c r="U520" s="438"/>
      <c r="V520" s="438"/>
      <c r="W520" s="438"/>
      <c r="X520" s="438"/>
      <c r="Y520" s="438"/>
      <c r="Z520" s="438"/>
      <c r="AA520" s="438"/>
      <c r="AB520" s="438"/>
      <c r="AC520" s="438"/>
      <c r="AD520" s="438"/>
      <c r="AE520" s="438"/>
      <c r="AF520" s="438"/>
      <c r="AG520" s="438"/>
      <c r="AH520" s="438"/>
    </row>
    <row r="521">
      <c r="A521" s="438"/>
      <c r="B521" s="438"/>
      <c r="C521" s="438"/>
      <c r="D521" s="438"/>
      <c r="E521" s="438"/>
      <c r="F521" s="438"/>
      <c r="G521" s="438"/>
      <c r="H521" s="438"/>
      <c r="I521" s="438"/>
      <c r="J521" s="438"/>
      <c r="K521" s="438"/>
      <c r="L521" s="438"/>
      <c r="M521" s="438"/>
      <c r="N521" s="438"/>
      <c r="O521" s="438"/>
      <c r="P521" s="438"/>
      <c r="Q521" s="438"/>
      <c r="R521" s="438"/>
      <c r="S521" s="438"/>
      <c r="T521" s="438"/>
      <c r="U521" s="438"/>
      <c r="V521" s="438"/>
      <c r="W521" s="438"/>
      <c r="X521" s="438"/>
      <c r="Y521" s="438"/>
      <c r="Z521" s="438"/>
      <c r="AA521" s="438"/>
      <c r="AB521" s="438"/>
      <c r="AC521" s="438"/>
      <c r="AD521" s="438"/>
      <c r="AE521" s="438"/>
      <c r="AF521" s="438"/>
      <c r="AG521" s="438"/>
      <c r="AH521" s="438"/>
    </row>
    <row r="522">
      <c r="A522" s="438"/>
      <c r="B522" s="438"/>
      <c r="C522" s="438"/>
      <c r="D522" s="438"/>
      <c r="E522" s="438"/>
      <c r="F522" s="438"/>
      <c r="G522" s="438"/>
      <c r="H522" s="438"/>
      <c r="I522" s="438"/>
      <c r="J522" s="438"/>
      <c r="K522" s="438"/>
      <c r="L522" s="438"/>
      <c r="M522" s="438"/>
      <c r="N522" s="438"/>
      <c r="O522" s="438"/>
      <c r="P522" s="438"/>
      <c r="Q522" s="438"/>
      <c r="R522" s="438"/>
      <c r="S522" s="438"/>
      <c r="T522" s="438"/>
      <c r="U522" s="438"/>
      <c r="V522" s="438"/>
      <c r="W522" s="438"/>
      <c r="X522" s="438"/>
      <c r="Y522" s="438"/>
      <c r="Z522" s="438"/>
      <c r="AA522" s="438"/>
      <c r="AB522" s="438"/>
      <c r="AC522" s="438"/>
      <c r="AD522" s="438"/>
      <c r="AE522" s="438"/>
      <c r="AF522" s="438"/>
      <c r="AG522" s="438"/>
      <c r="AH522" s="438"/>
    </row>
    <row r="523">
      <c r="A523" s="438"/>
      <c r="B523" s="438"/>
      <c r="C523" s="438"/>
      <c r="D523" s="438"/>
      <c r="E523" s="438"/>
      <c r="F523" s="438"/>
      <c r="G523" s="438"/>
      <c r="H523" s="438"/>
      <c r="I523" s="438"/>
      <c r="J523" s="438"/>
      <c r="K523" s="438"/>
      <c r="L523" s="438"/>
      <c r="M523" s="438"/>
      <c r="N523" s="438"/>
      <c r="O523" s="438"/>
      <c r="P523" s="438"/>
      <c r="Q523" s="438"/>
      <c r="R523" s="438"/>
      <c r="S523" s="438"/>
      <c r="T523" s="438"/>
      <c r="U523" s="438"/>
      <c r="V523" s="438"/>
      <c r="W523" s="438"/>
      <c r="X523" s="438"/>
      <c r="Y523" s="438"/>
      <c r="Z523" s="438"/>
      <c r="AA523" s="438"/>
      <c r="AB523" s="438"/>
      <c r="AC523" s="438"/>
      <c r="AD523" s="438"/>
      <c r="AE523" s="438"/>
      <c r="AF523" s="438"/>
      <c r="AG523" s="438"/>
      <c r="AH523" s="438"/>
    </row>
    <row r="524">
      <c r="A524" s="438"/>
      <c r="B524" s="438"/>
      <c r="C524" s="438"/>
      <c r="D524" s="438"/>
      <c r="E524" s="438"/>
      <c r="F524" s="438"/>
      <c r="G524" s="438"/>
      <c r="H524" s="438"/>
      <c r="I524" s="438"/>
      <c r="J524" s="438"/>
      <c r="K524" s="438"/>
      <c r="L524" s="438"/>
      <c r="M524" s="438"/>
      <c r="N524" s="438"/>
      <c r="O524" s="438"/>
      <c r="P524" s="438"/>
      <c r="Q524" s="438"/>
      <c r="R524" s="438"/>
      <c r="S524" s="438"/>
      <c r="T524" s="438"/>
      <c r="U524" s="438"/>
      <c r="V524" s="438"/>
      <c r="W524" s="438"/>
      <c r="X524" s="438"/>
      <c r="Y524" s="438"/>
      <c r="Z524" s="438"/>
      <c r="AA524" s="438"/>
      <c r="AB524" s="438"/>
      <c r="AC524" s="438"/>
      <c r="AD524" s="438"/>
      <c r="AE524" s="438"/>
      <c r="AF524" s="438"/>
      <c r="AG524" s="438"/>
      <c r="AH524" s="438"/>
    </row>
    <row r="525">
      <c r="A525" s="438"/>
      <c r="B525" s="438"/>
      <c r="C525" s="438"/>
      <c r="D525" s="438"/>
      <c r="E525" s="438"/>
      <c r="F525" s="438"/>
      <c r="G525" s="438"/>
      <c r="H525" s="438"/>
      <c r="I525" s="438"/>
      <c r="J525" s="438"/>
      <c r="K525" s="438"/>
      <c r="L525" s="438"/>
      <c r="M525" s="438"/>
      <c r="N525" s="438"/>
      <c r="O525" s="438"/>
      <c r="P525" s="438"/>
      <c r="Q525" s="438"/>
      <c r="R525" s="438"/>
      <c r="S525" s="438"/>
      <c r="T525" s="438"/>
      <c r="U525" s="438"/>
      <c r="V525" s="438"/>
      <c r="W525" s="438"/>
      <c r="X525" s="438"/>
      <c r="Y525" s="438"/>
      <c r="Z525" s="438"/>
      <c r="AA525" s="438"/>
      <c r="AB525" s="438"/>
      <c r="AC525" s="438"/>
      <c r="AD525" s="438"/>
      <c r="AE525" s="438"/>
      <c r="AF525" s="438"/>
      <c r="AG525" s="438"/>
      <c r="AH525" s="438"/>
    </row>
    <row r="526">
      <c r="A526" s="438"/>
      <c r="B526" s="438"/>
      <c r="C526" s="438"/>
      <c r="D526" s="438"/>
      <c r="E526" s="438"/>
      <c r="F526" s="438"/>
      <c r="G526" s="438"/>
      <c r="H526" s="438"/>
      <c r="I526" s="438"/>
      <c r="J526" s="438"/>
      <c r="K526" s="438"/>
      <c r="L526" s="438"/>
      <c r="M526" s="438"/>
      <c r="N526" s="438"/>
      <c r="O526" s="438"/>
      <c r="P526" s="438"/>
      <c r="Q526" s="438"/>
      <c r="R526" s="438"/>
      <c r="S526" s="438"/>
      <c r="T526" s="438"/>
      <c r="U526" s="438"/>
      <c r="V526" s="438"/>
      <c r="W526" s="438"/>
      <c r="X526" s="438"/>
      <c r="Y526" s="438"/>
      <c r="Z526" s="438"/>
      <c r="AA526" s="438"/>
      <c r="AB526" s="438"/>
      <c r="AC526" s="438"/>
      <c r="AD526" s="438"/>
      <c r="AE526" s="438"/>
      <c r="AF526" s="438"/>
      <c r="AG526" s="438"/>
      <c r="AH526" s="438"/>
    </row>
    <row r="527">
      <c r="A527" s="438"/>
      <c r="B527" s="438"/>
      <c r="C527" s="438"/>
      <c r="D527" s="438"/>
      <c r="E527" s="438"/>
      <c r="F527" s="438"/>
      <c r="G527" s="438"/>
      <c r="H527" s="438"/>
      <c r="I527" s="438"/>
      <c r="J527" s="438"/>
      <c r="K527" s="438"/>
      <c r="L527" s="438"/>
      <c r="M527" s="438"/>
      <c r="N527" s="438"/>
      <c r="O527" s="438"/>
      <c r="P527" s="438"/>
      <c r="Q527" s="438"/>
      <c r="R527" s="438"/>
      <c r="S527" s="438"/>
      <c r="T527" s="438"/>
      <c r="U527" s="438"/>
      <c r="V527" s="438"/>
      <c r="W527" s="438"/>
      <c r="X527" s="438"/>
      <c r="Y527" s="438"/>
      <c r="Z527" s="438"/>
      <c r="AA527" s="438"/>
      <c r="AB527" s="438"/>
      <c r="AC527" s="438"/>
      <c r="AD527" s="438"/>
      <c r="AE527" s="438"/>
      <c r="AF527" s="438"/>
      <c r="AG527" s="438"/>
      <c r="AH527" s="438"/>
    </row>
    <row r="528">
      <c r="A528" s="438"/>
      <c r="B528" s="438"/>
      <c r="C528" s="438"/>
      <c r="D528" s="438"/>
      <c r="E528" s="438"/>
      <c r="F528" s="438"/>
      <c r="G528" s="438"/>
      <c r="H528" s="438"/>
      <c r="I528" s="438"/>
      <c r="J528" s="438"/>
      <c r="K528" s="438"/>
      <c r="L528" s="438"/>
      <c r="M528" s="438"/>
      <c r="N528" s="438"/>
      <c r="O528" s="438"/>
      <c r="P528" s="438"/>
      <c r="Q528" s="438"/>
      <c r="R528" s="438"/>
      <c r="S528" s="438"/>
      <c r="T528" s="438"/>
      <c r="U528" s="438"/>
      <c r="V528" s="438"/>
      <c r="W528" s="438"/>
      <c r="X528" s="438"/>
      <c r="Y528" s="438"/>
      <c r="Z528" s="438"/>
      <c r="AA528" s="438"/>
      <c r="AB528" s="438"/>
      <c r="AC528" s="438"/>
      <c r="AD528" s="438"/>
      <c r="AE528" s="438"/>
      <c r="AF528" s="438"/>
      <c r="AG528" s="438"/>
      <c r="AH528" s="438"/>
    </row>
    <row r="529">
      <c r="A529" s="438"/>
      <c r="B529" s="438"/>
      <c r="C529" s="438"/>
      <c r="D529" s="438"/>
      <c r="E529" s="438"/>
      <c r="F529" s="438"/>
      <c r="G529" s="438"/>
      <c r="H529" s="438"/>
      <c r="I529" s="438"/>
      <c r="J529" s="438"/>
      <c r="K529" s="438"/>
      <c r="L529" s="438"/>
      <c r="M529" s="438"/>
      <c r="N529" s="438"/>
      <c r="O529" s="438"/>
      <c r="P529" s="438"/>
      <c r="Q529" s="438"/>
      <c r="R529" s="438"/>
      <c r="S529" s="438"/>
      <c r="T529" s="438"/>
      <c r="U529" s="438"/>
      <c r="V529" s="438"/>
      <c r="W529" s="438"/>
      <c r="X529" s="438"/>
      <c r="Y529" s="438"/>
      <c r="Z529" s="438"/>
      <c r="AA529" s="438"/>
      <c r="AB529" s="438"/>
      <c r="AC529" s="438"/>
      <c r="AD529" s="438"/>
      <c r="AE529" s="438"/>
      <c r="AF529" s="438"/>
      <c r="AG529" s="438"/>
      <c r="AH529" s="438"/>
    </row>
    <row r="530">
      <c r="A530" s="438"/>
      <c r="B530" s="438"/>
      <c r="C530" s="438"/>
      <c r="D530" s="438"/>
      <c r="E530" s="438"/>
      <c r="F530" s="438"/>
      <c r="G530" s="438"/>
      <c r="H530" s="438"/>
      <c r="I530" s="438"/>
      <c r="J530" s="438"/>
      <c r="K530" s="438"/>
      <c r="L530" s="438"/>
      <c r="M530" s="438"/>
      <c r="N530" s="438"/>
      <c r="O530" s="438"/>
      <c r="P530" s="438"/>
      <c r="Q530" s="438"/>
      <c r="R530" s="438"/>
      <c r="S530" s="438"/>
      <c r="T530" s="438"/>
      <c r="U530" s="438"/>
      <c r="V530" s="438"/>
      <c r="W530" s="438"/>
      <c r="X530" s="438"/>
      <c r="Y530" s="438"/>
      <c r="Z530" s="438"/>
      <c r="AA530" s="438"/>
      <c r="AB530" s="438"/>
      <c r="AC530" s="438"/>
      <c r="AD530" s="438"/>
      <c r="AE530" s="438"/>
      <c r="AF530" s="438"/>
      <c r="AG530" s="438"/>
      <c r="AH530" s="438"/>
    </row>
    <row r="531">
      <c r="A531" s="438"/>
      <c r="B531" s="438"/>
      <c r="C531" s="438"/>
      <c r="D531" s="438"/>
      <c r="E531" s="438"/>
      <c r="F531" s="438"/>
      <c r="G531" s="438"/>
      <c r="H531" s="438"/>
      <c r="I531" s="438"/>
      <c r="J531" s="438"/>
      <c r="K531" s="438"/>
      <c r="L531" s="438"/>
      <c r="M531" s="438"/>
      <c r="N531" s="438"/>
      <c r="O531" s="438"/>
      <c r="P531" s="438"/>
      <c r="Q531" s="438"/>
      <c r="R531" s="438"/>
      <c r="S531" s="438"/>
      <c r="T531" s="438"/>
      <c r="U531" s="438"/>
      <c r="V531" s="438"/>
      <c r="W531" s="438"/>
      <c r="X531" s="438"/>
      <c r="Y531" s="438"/>
      <c r="Z531" s="438"/>
      <c r="AA531" s="438"/>
      <c r="AB531" s="438"/>
      <c r="AC531" s="438"/>
      <c r="AD531" s="438"/>
      <c r="AE531" s="438"/>
      <c r="AF531" s="438"/>
      <c r="AG531" s="438"/>
      <c r="AH531" s="438"/>
    </row>
    <row r="532">
      <c r="A532" s="438"/>
      <c r="B532" s="438"/>
      <c r="C532" s="438"/>
      <c r="D532" s="438"/>
      <c r="E532" s="438"/>
      <c r="F532" s="438"/>
      <c r="G532" s="438"/>
      <c r="H532" s="438"/>
      <c r="I532" s="438"/>
      <c r="J532" s="438"/>
      <c r="K532" s="438"/>
      <c r="L532" s="438"/>
      <c r="M532" s="438"/>
      <c r="N532" s="438"/>
      <c r="O532" s="438"/>
      <c r="P532" s="438"/>
      <c r="Q532" s="438"/>
      <c r="R532" s="438"/>
      <c r="S532" s="438"/>
      <c r="T532" s="438"/>
      <c r="U532" s="438"/>
      <c r="V532" s="438"/>
      <c r="W532" s="438"/>
      <c r="X532" s="438"/>
      <c r="Y532" s="438"/>
      <c r="Z532" s="438"/>
      <c r="AA532" s="438"/>
      <c r="AB532" s="438"/>
      <c r="AC532" s="438"/>
      <c r="AD532" s="438"/>
      <c r="AE532" s="438"/>
      <c r="AF532" s="438"/>
      <c r="AG532" s="438"/>
      <c r="AH532" s="438"/>
    </row>
    <row r="533">
      <c r="A533" s="438"/>
      <c r="B533" s="438"/>
      <c r="C533" s="438"/>
      <c r="D533" s="438"/>
      <c r="E533" s="438"/>
      <c r="F533" s="438"/>
      <c r="G533" s="438"/>
      <c r="H533" s="438"/>
      <c r="I533" s="438"/>
      <c r="J533" s="438"/>
      <c r="K533" s="438"/>
      <c r="L533" s="438"/>
      <c r="M533" s="438"/>
      <c r="N533" s="438"/>
      <c r="O533" s="438"/>
      <c r="P533" s="438"/>
      <c r="Q533" s="438"/>
      <c r="R533" s="438"/>
      <c r="S533" s="438"/>
      <c r="T533" s="438"/>
      <c r="U533" s="438"/>
      <c r="V533" s="438"/>
      <c r="W533" s="438"/>
      <c r="X533" s="438"/>
      <c r="Y533" s="438"/>
      <c r="Z533" s="438"/>
      <c r="AA533" s="438"/>
      <c r="AB533" s="438"/>
      <c r="AC533" s="438"/>
      <c r="AD533" s="438"/>
      <c r="AE533" s="438"/>
      <c r="AF533" s="438"/>
      <c r="AG533" s="438"/>
      <c r="AH533" s="438"/>
    </row>
    <row r="534">
      <c r="A534" s="438"/>
      <c r="B534" s="438"/>
      <c r="C534" s="438"/>
      <c r="D534" s="438"/>
      <c r="E534" s="438"/>
      <c r="F534" s="438"/>
      <c r="G534" s="438"/>
      <c r="H534" s="438"/>
      <c r="I534" s="438"/>
      <c r="J534" s="438"/>
      <c r="K534" s="438"/>
      <c r="L534" s="438"/>
      <c r="M534" s="438"/>
      <c r="N534" s="438"/>
      <c r="O534" s="438"/>
      <c r="P534" s="438"/>
      <c r="Q534" s="438"/>
      <c r="R534" s="438"/>
      <c r="S534" s="438"/>
      <c r="T534" s="438"/>
      <c r="U534" s="438"/>
      <c r="V534" s="438"/>
      <c r="W534" s="438"/>
      <c r="X534" s="438"/>
      <c r="Y534" s="438"/>
      <c r="Z534" s="438"/>
      <c r="AA534" s="438"/>
      <c r="AB534" s="438"/>
      <c r="AC534" s="438"/>
      <c r="AD534" s="438"/>
      <c r="AE534" s="438"/>
      <c r="AF534" s="438"/>
      <c r="AG534" s="438"/>
      <c r="AH534" s="438"/>
    </row>
    <row r="535">
      <c r="A535" s="438"/>
      <c r="B535" s="438"/>
      <c r="C535" s="438"/>
      <c r="D535" s="438"/>
      <c r="E535" s="438"/>
      <c r="F535" s="438"/>
      <c r="G535" s="438"/>
      <c r="H535" s="438"/>
      <c r="I535" s="438"/>
      <c r="J535" s="438"/>
      <c r="K535" s="438"/>
      <c r="L535" s="438"/>
      <c r="M535" s="438"/>
      <c r="N535" s="438"/>
      <c r="O535" s="438"/>
      <c r="P535" s="438"/>
      <c r="Q535" s="438"/>
      <c r="R535" s="438"/>
      <c r="S535" s="438"/>
      <c r="T535" s="438"/>
      <c r="U535" s="438"/>
      <c r="V535" s="438"/>
      <c r="W535" s="438"/>
      <c r="X535" s="438"/>
      <c r="Y535" s="438"/>
      <c r="Z535" s="438"/>
      <c r="AA535" s="438"/>
      <c r="AB535" s="438"/>
      <c r="AC535" s="438"/>
      <c r="AD535" s="438"/>
      <c r="AE535" s="438"/>
      <c r="AF535" s="438"/>
      <c r="AG535" s="438"/>
      <c r="AH535" s="438"/>
    </row>
    <row r="536">
      <c r="A536" s="438"/>
      <c r="B536" s="438"/>
      <c r="C536" s="438"/>
      <c r="D536" s="438"/>
      <c r="E536" s="438"/>
      <c r="F536" s="438"/>
      <c r="G536" s="438"/>
      <c r="H536" s="438"/>
      <c r="I536" s="438"/>
      <c r="J536" s="438"/>
      <c r="K536" s="438"/>
      <c r="L536" s="438"/>
      <c r="M536" s="438"/>
      <c r="N536" s="438"/>
      <c r="O536" s="438"/>
      <c r="P536" s="438"/>
      <c r="Q536" s="438"/>
      <c r="R536" s="438"/>
      <c r="S536" s="438"/>
      <c r="T536" s="438"/>
      <c r="U536" s="438"/>
      <c r="V536" s="438"/>
      <c r="W536" s="438"/>
      <c r="X536" s="438"/>
      <c r="Y536" s="438"/>
      <c r="Z536" s="438"/>
      <c r="AA536" s="438"/>
      <c r="AB536" s="438"/>
      <c r="AC536" s="438"/>
      <c r="AD536" s="438"/>
      <c r="AE536" s="438"/>
      <c r="AF536" s="438"/>
      <c r="AG536" s="438"/>
      <c r="AH536" s="438"/>
    </row>
    <row r="537">
      <c r="A537" s="438"/>
      <c r="B537" s="438"/>
      <c r="C537" s="438"/>
      <c r="D537" s="438"/>
      <c r="E537" s="438"/>
      <c r="F537" s="438"/>
      <c r="G537" s="438"/>
      <c r="H537" s="438"/>
      <c r="I537" s="438"/>
      <c r="J537" s="438"/>
      <c r="K537" s="438"/>
      <c r="L537" s="438"/>
      <c r="M537" s="438"/>
      <c r="N537" s="438"/>
      <c r="O537" s="438"/>
      <c r="P537" s="438"/>
      <c r="Q537" s="438"/>
      <c r="R537" s="438"/>
      <c r="S537" s="438"/>
      <c r="T537" s="438"/>
      <c r="U537" s="438"/>
      <c r="V537" s="438"/>
      <c r="W537" s="438"/>
      <c r="X537" s="438"/>
      <c r="Y537" s="438"/>
      <c r="Z537" s="438"/>
      <c r="AA537" s="438"/>
      <c r="AB537" s="438"/>
      <c r="AC537" s="438"/>
      <c r="AD537" s="438"/>
      <c r="AE537" s="438"/>
      <c r="AF537" s="438"/>
      <c r="AG537" s="438"/>
      <c r="AH537" s="438"/>
    </row>
    <row r="538">
      <c r="A538" s="438"/>
      <c r="B538" s="438"/>
      <c r="C538" s="438"/>
      <c r="D538" s="438"/>
      <c r="E538" s="438"/>
      <c r="F538" s="438"/>
      <c r="G538" s="438"/>
      <c r="H538" s="438"/>
      <c r="I538" s="438"/>
      <c r="J538" s="438"/>
      <c r="K538" s="438"/>
      <c r="L538" s="438"/>
      <c r="M538" s="438"/>
      <c r="N538" s="438"/>
      <c r="O538" s="438"/>
      <c r="P538" s="438"/>
      <c r="Q538" s="438"/>
      <c r="R538" s="438"/>
      <c r="S538" s="438"/>
      <c r="T538" s="438"/>
      <c r="U538" s="438"/>
      <c r="V538" s="438"/>
      <c r="W538" s="438"/>
      <c r="X538" s="438"/>
      <c r="Y538" s="438"/>
      <c r="Z538" s="438"/>
      <c r="AA538" s="438"/>
      <c r="AB538" s="438"/>
      <c r="AC538" s="438"/>
      <c r="AD538" s="438"/>
      <c r="AE538" s="438"/>
      <c r="AF538" s="438"/>
      <c r="AG538" s="438"/>
      <c r="AH538" s="438"/>
    </row>
    <row r="539">
      <c r="A539" s="438"/>
      <c r="B539" s="438"/>
      <c r="C539" s="438"/>
      <c r="D539" s="438"/>
      <c r="E539" s="438"/>
      <c r="F539" s="438"/>
      <c r="G539" s="438"/>
      <c r="H539" s="438"/>
      <c r="I539" s="438"/>
      <c r="J539" s="438"/>
      <c r="K539" s="438"/>
      <c r="L539" s="438"/>
      <c r="M539" s="438"/>
      <c r="N539" s="438"/>
      <c r="O539" s="438"/>
      <c r="P539" s="438"/>
      <c r="Q539" s="438"/>
      <c r="R539" s="438"/>
      <c r="S539" s="438"/>
      <c r="T539" s="438"/>
      <c r="U539" s="438"/>
      <c r="V539" s="438"/>
      <c r="W539" s="438"/>
      <c r="X539" s="438"/>
      <c r="Y539" s="438"/>
      <c r="Z539" s="438"/>
      <c r="AA539" s="438"/>
      <c r="AB539" s="438"/>
      <c r="AC539" s="438"/>
      <c r="AD539" s="438"/>
      <c r="AE539" s="438"/>
      <c r="AF539" s="438"/>
      <c r="AG539" s="438"/>
      <c r="AH539" s="438"/>
    </row>
    <row r="540">
      <c r="A540" s="438"/>
      <c r="B540" s="438"/>
      <c r="C540" s="438"/>
      <c r="D540" s="438"/>
      <c r="E540" s="438"/>
      <c r="F540" s="438"/>
      <c r="G540" s="438"/>
      <c r="H540" s="438"/>
      <c r="I540" s="438"/>
      <c r="J540" s="438"/>
      <c r="K540" s="438"/>
      <c r="L540" s="438"/>
      <c r="M540" s="438"/>
      <c r="N540" s="438"/>
      <c r="O540" s="438"/>
      <c r="P540" s="438"/>
      <c r="Q540" s="438"/>
      <c r="R540" s="438"/>
      <c r="S540" s="438"/>
      <c r="T540" s="438"/>
      <c r="U540" s="438"/>
      <c r="V540" s="438"/>
      <c r="W540" s="438"/>
      <c r="X540" s="438"/>
      <c r="Y540" s="438"/>
      <c r="Z540" s="438"/>
      <c r="AA540" s="438"/>
      <c r="AB540" s="438"/>
      <c r="AC540" s="438"/>
      <c r="AD540" s="438"/>
      <c r="AE540" s="438"/>
      <c r="AF540" s="438"/>
      <c r="AG540" s="438"/>
      <c r="AH540" s="438"/>
    </row>
    <row r="541">
      <c r="A541" s="438"/>
      <c r="B541" s="438"/>
      <c r="C541" s="438"/>
      <c r="D541" s="438"/>
      <c r="E541" s="438"/>
      <c r="F541" s="438"/>
      <c r="G541" s="438"/>
      <c r="H541" s="438"/>
      <c r="I541" s="438"/>
      <c r="J541" s="438"/>
      <c r="K541" s="438"/>
      <c r="L541" s="438"/>
      <c r="M541" s="438"/>
      <c r="N541" s="438"/>
      <c r="O541" s="438"/>
      <c r="P541" s="438"/>
      <c r="Q541" s="438"/>
      <c r="R541" s="438"/>
      <c r="S541" s="438"/>
      <c r="T541" s="438"/>
      <c r="U541" s="438"/>
      <c r="V541" s="438"/>
      <c r="W541" s="438"/>
      <c r="X541" s="438"/>
      <c r="Y541" s="438"/>
      <c r="Z541" s="438"/>
      <c r="AA541" s="438"/>
      <c r="AB541" s="438"/>
      <c r="AC541" s="438"/>
      <c r="AD541" s="438"/>
      <c r="AE541" s="438"/>
      <c r="AF541" s="438"/>
      <c r="AG541" s="438"/>
      <c r="AH541" s="438"/>
    </row>
    <row r="542">
      <c r="A542" s="438"/>
      <c r="B542" s="438"/>
      <c r="C542" s="438"/>
      <c r="D542" s="438"/>
      <c r="E542" s="438"/>
      <c r="F542" s="438"/>
      <c r="G542" s="438"/>
      <c r="H542" s="438"/>
      <c r="I542" s="438"/>
      <c r="J542" s="438"/>
      <c r="K542" s="438"/>
      <c r="L542" s="438"/>
      <c r="M542" s="438"/>
      <c r="N542" s="438"/>
      <c r="O542" s="438"/>
      <c r="P542" s="438"/>
      <c r="Q542" s="438"/>
      <c r="R542" s="438"/>
      <c r="S542" s="438"/>
      <c r="T542" s="438"/>
      <c r="U542" s="438"/>
      <c r="V542" s="438"/>
      <c r="W542" s="438"/>
      <c r="X542" s="438"/>
      <c r="Y542" s="438"/>
      <c r="Z542" s="438"/>
      <c r="AA542" s="438"/>
      <c r="AB542" s="438"/>
      <c r="AC542" s="438"/>
      <c r="AD542" s="438"/>
      <c r="AE542" s="438"/>
      <c r="AF542" s="438"/>
      <c r="AG542" s="438"/>
      <c r="AH542" s="438"/>
    </row>
    <row r="543">
      <c r="A543" s="438"/>
      <c r="B543" s="438"/>
      <c r="C543" s="438"/>
      <c r="D543" s="438"/>
      <c r="E543" s="438"/>
      <c r="F543" s="438"/>
      <c r="G543" s="438"/>
      <c r="H543" s="438"/>
      <c r="I543" s="438"/>
      <c r="J543" s="438"/>
      <c r="K543" s="438"/>
      <c r="L543" s="438"/>
      <c r="M543" s="438"/>
      <c r="N543" s="438"/>
      <c r="O543" s="438"/>
      <c r="P543" s="438"/>
      <c r="Q543" s="438"/>
      <c r="R543" s="438"/>
      <c r="S543" s="438"/>
      <c r="T543" s="438"/>
      <c r="U543" s="438"/>
      <c r="V543" s="438"/>
      <c r="W543" s="438"/>
      <c r="X543" s="438"/>
      <c r="Y543" s="438"/>
      <c r="Z543" s="438"/>
      <c r="AA543" s="438"/>
      <c r="AB543" s="438"/>
      <c r="AC543" s="438"/>
      <c r="AD543" s="438"/>
      <c r="AE543" s="438"/>
      <c r="AF543" s="438"/>
      <c r="AG543" s="438"/>
      <c r="AH543" s="438"/>
    </row>
    <row r="544">
      <c r="A544" s="438"/>
      <c r="B544" s="438"/>
      <c r="C544" s="438"/>
      <c r="D544" s="438"/>
      <c r="E544" s="438"/>
      <c r="F544" s="438"/>
      <c r="G544" s="438"/>
      <c r="H544" s="438"/>
      <c r="I544" s="438"/>
      <c r="J544" s="438"/>
      <c r="K544" s="438"/>
      <c r="L544" s="438"/>
      <c r="M544" s="438"/>
      <c r="N544" s="438"/>
      <c r="O544" s="438"/>
      <c r="P544" s="438"/>
      <c r="Q544" s="438"/>
      <c r="R544" s="438"/>
      <c r="S544" s="438"/>
      <c r="T544" s="438"/>
      <c r="U544" s="438"/>
      <c r="V544" s="438"/>
      <c r="W544" s="438"/>
      <c r="X544" s="438"/>
      <c r="Y544" s="438"/>
      <c r="Z544" s="438"/>
      <c r="AA544" s="438"/>
      <c r="AB544" s="438"/>
      <c r="AC544" s="438"/>
      <c r="AD544" s="438"/>
      <c r="AE544" s="438"/>
      <c r="AF544" s="438"/>
      <c r="AG544" s="438"/>
      <c r="AH544" s="438"/>
    </row>
    <row r="545">
      <c r="A545" s="438"/>
      <c r="B545" s="438"/>
      <c r="C545" s="438"/>
      <c r="D545" s="438"/>
      <c r="E545" s="438"/>
      <c r="F545" s="438"/>
      <c r="G545" s="438"/>
      <c r="H545" s="438"/>
      <c r="I545" s="438"/>
      <c r="J545" s="438"/>
      <c r="K545" s="438"/>
      <c r="L545" s="438"/>
      <c r="M545" s="438"/>
      <c r="N545" s="438"/>
      <c r="O545" s="438"/>
      <c r="P545" s="438"/>
      <c r="Q545" s="438"/>
      <c r="R545" s="438"/>
      <c r="S545" s="438"/>
      <c r="T545" s="438"/>
      <c r="U545" s="438"/>
      <c r="V545" s="438"/>
      <c r="W545" s="438"/>
      <c r="X545" s="438"/>
      <c r="Y545" s="438"/>
      <c r="Z545" s="438"/>
      <c r="AA545" s="438"/>
      <c r="AB545" s="438"/>
      <c r="AC545" s="438"/>
      <c r="AD545" s="438"/>
      <c r="AE545" s="438"/>
      <c r="AF545" s="438"/>
      <c r="AG545" s="438"/>
      <c r="AH545" s="438"/>
    </row>
    <row r="546">
      <c r="A546" s="438"/>
      <c r="B546" s="438"/>
      <c r="C546" s="438"/>
      <c r="D546" s="438"/>
      <c r="E546" s="438"/>
      <c r="F546" s="438"/>
      <c r="G546" s="438"/>
      <c r="H546" s="438"/>
      <c r="I546" s="438"/>
      <c r="J546" s="438"/>
      <c r="K546" s="438"/>
      <c r="L546" s="438"/>
      <c r="M546" s="438"/>
      <c r="N546" s="438"/>
      <c r="O546" s="438"/>
      <c r="P546" s="438"/>
      <c r="Q546" s="438"/>
      <c r="R546" s="438"/>
      <c r="S546" s="438"/>
      <c r="T546" s="438"/>
      <c r="U546" s="438"/>
      <c r="V546" s="438"/>
      <c r="W546" s="438"/>
      <c r="X546" s="438"/>
      <c r="Y546" s="438"/>
      <c r="Z546" s="438"/>
      <c r="AA546" s="438"/>
      <c r="AB546" s="438"/>
      <c r="AC546" s="438"/>
      <c r="AD546" s="438"/>
      <c r="AE546" s="438"/>
      <c r="AF546" s="438"/>
      <c r="AG546" s="438"/>
      <c r="AH546" s="438"/>
    </row>
    <row r="547">
      <c r="A547" s="438"/>
      <c r="B547" s="438"/>
      <c r="C547" s="438"/>
      <c r="D547" s="438"/>
      <c r="E547" s="438"/>
      <c r="F547" s="438"/>
      <c r="G547" s="438"/>
      <c r="H547" s="438"/>
      <c r="I547" s="438"/>
      <c r="J547" s="438"/>
      <c r="K547" s="438"/>
      <c r="L547" s="438"/>
      <c r="M547" s="438"/>
      <c r="N547" s="438"/>
      <c r="O547" s="438"/>
      <c r="P547" s="438"/>
      <c r="Q547" s="438"/>
      <c r="R547" s="438"/>
      <c r="S547" s="438"/>
      <c r="T547" s="438"/>
      <c r="U547" s="438"/>
      <c r="V547" s="438"/>
      <c r="W547" s="438"/>
      <c r="X547" s="438"/>
      <c r="Y547" s="438"/>
      <c r="Z547" s="438"/>
      <c r="AA547" s="438"/>
      <c r="AB547" s="438"/>
      <c r="AC547" s="438"/>
      <c r="AD547" s="438"/>
      <c r="AE547" s="438"/>
      <c r="AF547" s="438"/>
      <c r="AG547" s="438"/>
      <c r="AH547" s="438"/>
    </row>
    <row r="548">
      <c r="A548" s="438"/>
      <c r="B548" s="438"/>
      <c r="C548" s="438"/>
      <c r="D548" s="438"/>
      <c r="E548" s="438"/>
      <c r="F548" s="438"/>
      <c r="G548" s="438"/>
      <c r="H548" s="438"/>
      <c r="I548" s="438"/>
      <c r="J548" s="438"/>
      <c r="K548" s="438"/>
      <c r="L548" s="438"/>
      <c r="M548" s="438"/>
      <c r="N548" s="438"/>
      <c r="O548" s="438"/>
      <c r="P548" s="438"/>
      <c r="Q548" s="438"/>
      <c r="R548" s="438"/>
      <c r="S548" s="438"/>
      <c r="T548" s="438"/>
      <c r="U548" s="438"/>
      <c r="V548" s="438"/>
      <c r="W548" s="438"/>
      <c r="X548" s="438"/>
      <c r="Y548" s="438"/>
      <c r="Z548" s="438"/>
      <c r="AA548" s="438"/>
      <c r="AB548" s="438"/>
      <c r="AC548" s="438"/>
      <c r="AD548" s="438"/>
      <c r="AE548" s="438"/>
      <c r="AF548" s="438"/>
      <c r="AG548" s="438"/>
      <c r="AH548" s="438"/>
    </row>
    <row r="549">
      <c r="A549" s="438"/>
      <c r="B549" s="438"/>
      <c r="C549" s="438"/>
      <c r="D549" s="438"/>
      <c r="E549" s="438"/>
      <c r="F549" s="438"/>
      <c r="G549" s="438"/>
      <c r="H549" s="438"/>
      <c r="I549" s="438"/>
      <c r="J549" s="438"/>
      <c r="K549" s="438"/>
      <c r="L549" s="438"/>
      <c r="M549" s="438"/>
      <c r="N549" s="438"/>
      <c r="O549" s="438"/>
      <c r="P549" s="438"/>
      <c r="Q549" s="438"/>
      <c r="R549" s="438"/>
      <c r="S549" s="438"/>
      <c r="T549" s="438"/>
      <c r="U549" s="438"/>
      <c r="V549" s="438"/>
      <c r="W549" s="438"/>
      <c r="X549" s="438"/>
      <c r="Y549" s="438"/>
      <c r="Z549" s="438"/>
      <c r="AA549" s="438"/>
      <c r="AB549" s="438"/>
      <c r="AC549" s="438"/>
      <c r="AD549" s="438"/>
      <c r="AE549" s="438"/>
      <c r="AF549" s="438"/>
      <c r="AG549" s="438"/>
      <c r="AH549" s="438"/>
    </row>
    <row r="550">
      <c r="A550" s="438"/>
      <c r="B550" s="438"/>
      <c r="C550" s="438"/>
      <c r="D550" s="438"/>
      <c r="E550" s="438"/>
      <c r="F550" s="438"/>
      <c r="G550" s="438"/>
      <c r="H550" s="438"/>
      <c r="I550" s="438"/>
      <c r="J550" s="438"/>
      <c r="K550" s="438"/>
      <c r="L550" s="438"/>
      <c r="M550" s="438"/>
      <c r="N550" s="438"/>
      <c r="O550" s="438"/>
      <c r="P550" s="438"/>
      <c r="Q550" s="438"/>
      <c r="R550" s="438"/>
      <c r="S550" s="438"/>
      <c r="T550" s="438"/>
      <c r="U550" s="438"/>
      <c r="V550" s="438"/>
      <c r="W550" s="438"/>
      <c r="X550" s="438"/>
      <c r="Y550" s="438"/>
      <c r="Z550" s="438"/>
      <c r="AA550" s="438"/>
      <c r="AB550" s="438"/>
      <c r="AC550" s="438"/>
      <c r="AD550" s="438"/>
      <c r="AE550" s="438"/>
      <c r="AF550" s="438"/>
      <c r="AG550" s="438"/>
      <c r="AH550" s="438"/>
    </row>
    <row r="551">
      <c r="A551" s="438"/>
      <c r="B551" s="438"/>
      <c r="C551" s="438"/>
      <c r="D551" s="438"/>
      <c r="E551" s="438"/>
      <c r="F551" s="438"/>
      <c r="G551" s="438"/>
      <c r="H551" s="438"/>
      <c r="I551" s="438"/>
      <c r="J551" s="438"/>
      <c r="K551" s="438"/>
      <c r="L551" s="438"/>
      <c r="M551" s="438"/>
      <c r="N551" s="438"/>
      <c r="O551" s="438"/>
      <c r="P551" s="438"/>
      <c r="Q551" s="438"/>
      <c r="R551" s="438"/>
      <c r="S551" s="438"/>
      <c r="T551" s="438"/>
      <c r="U551" s="438"/>
      <c r="V551" s="438"/>
      <c r="W551" s="438"/>
      <c r="X551" s="438"/>
      <c r="Y551" s="438"/>
      <c r="Z551" s="438"/>
      <c r="AA551" s="438"/>
      <c r="AB551" s="438"/>
      <c r="AC551" s="438"/>
      <c r="AD551" s="438"/>
      <c r="AE551" s="438"/>
      <c r="AF551" s="438"/>
      <c r="AG551" s="438"/>
      <c r="AH551" s="438"/>
    </row>
    <row r="552">
      <c r="A552" s="438"/>
      <c r="B552" s="438"/>
      <c r="C552" s="438"/>
      <c r="D552" s="438"/>
      <c r="E552" s="438"/>
      <c r="F552" s="438"/>
      <c r="G552" s="438"/>
      <c r="H552" s="438"/>
      <c r="I552" s="438"/>
      <c r="J552" s="438"/>
      <c r="K552" s="438"/>
      <c r="L552" s="438"/>
      <c r="M552" s="438"/>
      <c r="N552" s="438"/>
      <c r="O552" s="438"/>
      <c r="P552" s="438"/>
      <c r="Q552" s="438"/>
      <c r="R552" s="438"/>
      <c r="S552" s="438"/>
      <c r="T552" s="438"/>
      <c r="U552" s="438"/>
      <c r="V552" s="438"/>
      <c r="W552" s="438"/>
      <c r="X552" s="438"/>
      <c r="Y552" s="438"/>
      <c r="Z552" s="438"/>
      <c r="AA552" s="438"/>
      <c r="AB552" s="438"/>
      <c r="AC552" s="438"/>
      <c r="AD552" s="438"/>
      <c r="AE552" s="438"/>
      <c r="AF552" s="438"/>
      <c r="AG552" s="438"/>
      <c r="AH552" s="438"/>
    </row>
    <row r="553">
      <c r="A553" s="438"/>
      <c r="B553" s="438"/>
      <c r="C553" s="438"/>
      <c r="D553" s="438"/>
      <c r="E553" s="438"/>
      <c r="F553" s="438"/>
      <c r="G553" s="438"/>
      <c r="H553" s="438"/>
      <c r="I553" s="438"/>
      <c r="J553" s="438"/>
      <c r="K553" s="438"/>
      <c r="L553" s="438"/>
      <c r="M553" s="438"/>
      <c r="N553" s="438"/>
      <c r="O553" s="438"/>
      <c r="P553" s="438"/>
      <c r="Q553" s="438"/>
      <c r="R553" s="438"/>
      <c r="S553" s="438"/>
      <c r="T553" s="438"/>
      <c r="U553" s="438"/>
      <c r="V553" s="438"/>
      <c r="W553" s="438"/>
      <c r="X553" s="438"/>
      <c r="Y553" s="438"/>
      <c r="Z553" s="438"/>
      <c r="AA553" s="438"/>
      <c r="AB553" s="438"/>
      <c r="AC553" s="438"/>
      <c r="AD553" s="438"/>
      <c r="AE553" s="438"/>
      <c r="AF553" s="438"/>
      <c r="AG553" s="438"/>
      <c r="AH553" s="438"/>
    </row>
    <row r="554">
      <c r="A554" s="438"/>
      <c r="B554" s="438"/>
      <c r="C554" s="438"/>
      <c r="D554" s="438"/>
      <c r="E554" s="438"/>
      <c r="F554" s="438"/>
      <c r="G554" s="438"/>
      <c r="H554" s="438"/>
      <c r="I554" s="438"/>
      <c r="J554" s="438"/>
      <c r="K554" s="438"/>
      <c r="L554" s="438"/>
      <c r="M554" s="438"/>
      <c r="N554" s="438"/>
      <c r="O554" s="438"/>
      <c r="P554" s="438"/>
      <c r="Q554" s="438"/>
      <c r="R554" s="438"/>
      <c r="S554" s="438"/>
      <c r="T554" s="438"/>
      <c r="U554" s="438"/>
      <c r="V554" s="438"/>
      <c r="W554" s="438"/>
      <c r="X554" s="438"/>
      <c r="Y554" s="438"/>
      <c r="Z554" s="438"/>
      <c r="AA554" s="438"/>
      <c r="AB554" s="438"/>
      <c r="AC554" s="438"/>
      <c r="AD554" s="438"/>
      <c r="AE554" s="438"/>
      <c r="AF554" s="438"/>
      <c r="AG554" s="438"/>
      <c r="AH554" s="438"/>
    </row>
    <row r="555">
      <c r="A555" s="438"/>
      <c r="B555" s="438"/>
      <c r="C555" s="438"/>
      <c r="D555" s="438"/>
      <c r="E555" s="438"/>
      <c r="F555" s="438"/>
      <c r="G555" s="438"/>
      <c r="H555" s="438"/>
      <c r="I555" s="438"/>
      <c r="J555" s="438"/>
      <c r="K555" s="438"/>
      <c r="L555" s="438"/>
      <c r="M555" s="438"/>
      <c r="N555" s="438"/>
      <c r="O555" s="438"/>
      <c r="P555" s="438"/>
      <c r="Q555" s="438"/>
      <c r="R555" s="438"/>
      <c r="S555" s="438"/>
      <c r="T555" s="438"/>
      <c r="U555" s="438"/>
      <c r="V555" s="438"/>
      <c r="W555" s="438"/>
      <c r="X555" s="438"/>
      <c r="Y555" s="438"/>
      <c r="Z555" s="438"/>
      <c r="AA555" s="438"/>
      <c r="AB555" s="438"/>
      <c r="AC555" s="438"/>
      <c r="AD555" s="438"/>
      <c r="AE555" s="438"/>
      <c r="AF555" s="438"/>
      <c r="AG555" s="438"/>
      <c r="AH555" s="438"/>
    </row>
    <row r="556">
      <c r="A556" s="438"/>
      <c r="B556" s="438"/>
      <c r="C556" s="438"/>
      <c r="D556" s="438"/>
      <c r="E556" s="438"/>
      <c r="F556" s="438"/>
      <c r="G556" s="438"/>
      <c r="H556" s="438"/>
      <c r="I556" s="438"/>
      <c r="J556" s="438"/>
      <c r="K556" s="438"/>
      <c r="L556" s="438"/>
      <c r="M556" s="438"/>
      <c r="N556" s="438"/>
      <c r="O556" s="438"/>
      <c r="P556" s="438"/>
      <c r="Q556" s="438"/>
      <c r="R556" s="438"/>
      <c r="S556" s="438"/>
      <c r="T556" s="438"/>
      <c r="U556" s="438"/>
      <c r="V556" s="438"/>
      <c r="W556" s="438"/>
      <c r="X556" s="438"/>
      <c r="Y556" s="438"/>
      <c r="Z556" s="438"/>
      <c r="AA556" s="438"/>
      <c r="AB556" s="438"/>
      <c r="AC556" s="438"/>
      <c r="AD556" s="438"/>
      <c r="AE556" s="438"/>
      <c r="AF556" s="438"/>
      <c r="AG556" s="438"/>
      <c r="AH556" s="438"/>
    </row>
    <row r="557">
      <c r="A557" s="438"/>
      <c r="B557" s="438"/>
      <c r="C557" s="438"/>
      <c r="D557" s="438"/>
      <c r="E557" s="438"/>
      <c r="F557" s="438"/>
      <c r="G557" s="438"/>
      <c r="H557" s="438"/>
      <c r="I557" s="438"/>
      <c r="J557" s="438"/>
      <c r="K557" s="438"/>
      <c r="L557" s="438"/>
      <c r="M557" s="438"/>
      <c r="N557" s="438"/>
      <c r="O557" s="438"/>
      <c r="P557" s="438"/>
      <c r="Q557" s="438"/>
      <c r="R557" s="438"/>
      <c r="S557" s="438"/>
      <c r="T557" s="438"/>
      <c r="U557" s="438"/>
      <c r="V557" s="438"/>
      <c r="W557" s="438"/>
      <c r="X557" s="438"/>
      <c r="Y557" s="438"/>
      <c r="Z557" s="438"/>
      <c r="AA557" s="438"/>
      <c r="AB557" s="438"/>
      <c r="AC557" s="438"/>
      <c r="AD557" s="438"/>
      <c r="AE557" s="438"/>
      <c r="AF557" s="438"/>
      <c r="AG557" s="438"/>
      <c r="AH557" s="438"/>
    </row>
    <row r="558">
      <c r="A558" s="438"/>
      <c r="B558" s="438"/>
      <c r="C558" s="438"/>
      <c r="D558" s="438"/>
      <c r="E558" s="438"/>
      <c r="F558" s="438"/>
      <c r="G558" s="438"/>
      <c r="H558" s="438"/>
      <c r="I558" s="438"/>
      <c r="J558" s="438"/>
      <c r="K558" s="438"/>
      <c r="L558" s="438"/>
      <c r="M558" s="438"/>
      <c r="N558" s="438"/>
      <c r="O558" s="438"/>
      <c r="P558" s="438"/>
      <c r="Q558" s="438"/>
      <c r="R558" s="438"/>
      <c r="S558" s="438"/>
      <c r="T558" s="438"/>
      <c r="U558" s="438"/>
      <c r="V558" s="438"/>
      <c r="W558" s="438"/>
      <c r="X558" s="438"/>
      <c r="Y558" s="438"/>
      <c r="Z558" s="438"/>
      <c r="AA558" s="438"/>
      <c r="AB558" s="438"/>
      <c r="AC558" s="438"/>
      <c r="AD558" s="438"/>
      <c r="AE558" s="438"/>
      <c r="AF558" s="438"/>
      <c r="AG558" s="438"/>
      <c r="AH558" s="438"/>
    </row>
    <row r="559">
      <c r="A559" s="438"/>
      <c r="B559" s="438"/>
      <c r="C559" s="438"/>
      <c r="D559" s="438"/>
      <c r="E559" s="438"/>
      <c r="F559" s="438"/>
      <c r="G559" s="438"/>
      <c r="H559" s="438"/>
      <c r="I559" s="438"/>
      <c r="J559" s="438"/>
      <c r="K559" s="438"/>
      <c r="L559" s="438"/>
      <c r="M559" s="438"/>
      <c r="N559" s="438"/>
      <c r="O559" s="438"/>
      <c r="P559" s="438"/>
      <c r="Q559" s="438"/>
      <c r="R559" s="438"/>
      <c r="S559" s="438"/>
      <c r="T559" s="438"/>
      <c r="U559" s="438"/>
      <c r="V559" s="438"/>
      <c r="W559" s="438"/>
      <c r="X559" s="438"/>
      <c r="Y559" s="438"/>
      <c r="Z559" s="438"/>
      <c r="AA559" s="438"/>
      <c r="AB559" s="438"/>
      <c r="AC559" s="438"/>
      <c r="AD559" s="438"/>
      <c r="AE559" s="438"/>
      <c r="AF559" s="438"/>
      <c r="AG559" s="438"/>
      <c r="AH559" s="438"/>
    </row>
    <row r="560">
      <c r="A560" s="438"/>
      <c r="B560" s="438"/>
      <c r="C560" s="438"/>
      <c r="D560" s="438"/>
      <c r="E560" s="438"/>
      <c r="F560" s="438"/>
      <c r="G560" s="438"/>
      <c r="H560" s="438"/>
      <c r="I560" s="438"/>
      <c r="J560" s="438"/>
      <c r="K560" s="438"/>
      <c r="L560" s="438"/>
      <c r="M560" s="438"/>
      <c r="N560" s="438"/>
      <c r="O560" s="438"/>
      <c r="P560" s="438"/>
      <c r="Q560" s="438"/>
      <c r="R560" s="438"/>
      <c r="S560" s="438"/>
      <c r="T560" s="438"/>
      <c r="U560" s="438"/>
      <c r="V560" s="438"/>
      <c r="W560" s="438"/>
      <c r="X560" s="438"/>
      <c r="Y560" s="438"/>
      <c r="Z560" s="438"/>
      <c r="AA560" s="438"/>
      <c r="AB560" s="438"/>
      <c r="AC560" s="438"/>
      <c r="AD560" s="438"/>
      <c r="AE560" s="438"/>
      <c r="AF560" s="438"/>
      <c r="AG560" s="438"/>
      <c r="AH560" s="438"/>
    </row>
    <row r="561">
      <c r="A561" s="438"/>
      <c r="B561" s="438"/>
      <c r="C561" s="438"/>
      <c r="D561" s="438"/>
      <c r="E561" s="438"/>
      <c r="F561" s="438"/>
      <c r="G561" s="438"/>
      <c r="H561" s="438"/>
      <c r="I561" s="438"/>
      <c r="J561" s="438"/>
      <c r="K561" s="438"/>
      <c r="L561" s="438"/>
      <c r="M561" s="438"/>
      <c r="N561" s="438"/>
      <c r="O561" s="438"/>
      <c r="P561" s="438"/>
      <c r="Q561" s="438"/>
      <c r="R561" s="438"/>
      <c r="S561" s="438"/>
      <c r="T561" s="438"/>
      <c r="U561" s="438"/>
      <c r="V561" s="438"/>
      <c r="W561" s="438"/>
      <c r="X561" s="438"/>
      <c r="Y561" s="438"/>
      <c r="Z561" s="438"/>
      <c r="AA561" s="438"/>
      <c r="AB561" s="438"/>
      <c r="AC561" s="438"/>
      <c r="AD561" s="438"/>
      <c r="AE561" s="438"/>
      <c r="AF561" s="438"/>
      <c r="AG561" s="438"/>
      <c r="AH561" s="438"/>
    </row>
    <row r="562">
      <c r="A562" s="438"/>
      <c r="B562" s="438"/>
      <c r="C562" s="438"/>
      <c r="D562" s="438"/>
      <c r="E562" s="438"/>
      <c r="F562" s="438"/>
      <c r="G562" s="438"/>
      <c r="H562" s="438"/>
      <c r="I562" s="438"/>
      <c r="J562" s="438"/>
      <c r="K562" s="438"/>
      <c r="L562" s="438"/>
      <c r="M562" s="438"/>
      <c r="N562" s="438"/>
      <c r="O562" s="438"/>
      <c r="P562" s="438"/>
      <c r="Q562" s="438"/>
      <c r="R562" s="438"/>
      <c r="S562" s="438"/>
      <c r="T562" s="438"/>
      <c r="U562" s="438"/>
      <c r="V562" s="438"/>
      <c r="W562" s="438"/>
      <c r="X562" s="438"/>
      <c r="Y562" s="438"/>
      <c r="Z562" s="438"/>
      <c r="AA562" s="438"/>
      <c r="AB562" s="438"/>
      <c r="AC562" s="438"/>
      <c r="AD562" s="438"/>
      <c r="AE562" s="438"/>
      <c r="AF562" s="438"/>
      <c r="AG562" s="438"/>
      <c r="AH562" s="438"/>
    </row>
    <row r="563">
      <c r="A563" s="438"/>
      <c r="B563" s="438"/>
      <c r="C563" s="438"/>
      <c r="D563" s="438"/>
      <c r="E563" s="438"/>
      <c r="F563" s="438"/>
      <c r="G563" s="438"/>
      <c r="H563" s="438"/>
      <c r="I563" s="438"/>
      <c r="J563" s="438"/>
      <c r="K563" s="438"/>
      <c r="L563" s="438"/>
      <c r="M563" s="438"/>
      <c r="N563" s="438"/>
      <c r="O563" s="438"/>
      <c r="P563" s="438"/>
      <c r="Q563" s="438"/>
      <c r="R563" s="438"/>
      <c r="S563" s="438"/>
      <c r="T563" s="438"/>
      <c r="U563" s="438"/>
      <c r="V563" s="438"/>
      <c r="W563" s="438"/>
      <c r="X563" s="438"/>
      <c r="Y563" s="438"/>
      <c r="Z563" s="438"/>
      <c r="AA563" s="438"/>
      <c r="AB563" s="438"/>
      <c r="AC563" s="438"/>
      <c r="AD563" s="438"/>
      <c r="AE563" s="438"/>
      <c r="AF563" s="438"/>
      <c r="AG563" s="438"/>
      <c r="AH563" s="438"/>
    </row>
    <row r="564">
      <c r="A564" s="438"/>
      <c r="B564" s="438"/>
      <c r="C564" s="438"/>
      <c r="D564" s="438"/>
      <c r="E564" s="438"/>
      <c r="F564" s="438"/>
      <c r="G564" s="438"/>
      <c r="H564" s="438"/>
      <c r="I564" s="438"/>
      <c r="J564" s="438"/>
      <c r="K564" s="438"/>
      <c r="L564" s="438"/>
      <c r="M564" s="438"/>
      <c r="N564" s="438"/>
      <c r="O564" s="438"/>
      <c r="P564" s="438"/>
      <c r="Q564" s="438"/>
      <c r="R564" s="438"/>
      <c r="S564" s="438"/>
      <c r="T564" s="438"/>
      <c r="U564" s="438"/>
      <c r="V564" s="438"/>
      <c r="W564" s="438"/>
      <c r="X564" s="438"/>
      <c r="Y564" s="438"/>
      <c r="Z564" s="438"/>
      <c r="AA564" s="438"/>
      <c r="AB564" s="438"/>
      <c r="AC564" s="438"/>
      <c r="AD564" s="438"/>
      <c r="AE564" s="438"/>
      <c r="AF564" s="438"/>
      <c r="AG564" s="438"/>
      <c r="AH564" s="438"/>
    </row>
    <row r="565">
      <c r="A565" s="438"/>
      <c r="B565" s="438"/>
      <c r="C565" s="438"/>
      <c r="D565" s="438"/>
      <c r="E565" s="438"/>
      <c r="F565" s="438"/>
      <c r="G565" s="438"/>
      <c r="H565" s="438"/>
      <c r="I565" s="438"/>
      <c r="J565" s="438"/>
      <c r="K565" s="438"/>
      <c r="L565" s="438"/>
      <c r="M565" s="438"/>
      <c r="N565" s="438"/>
      <c r="O565" s="438"/>
      <c r="P565" s="438"/>
      <c r="Q565" s="438"/>
      <c r="R565" s="438"/>
      <c r="S565" s="438"/>
      <c r="T565" s="438"/>
      <c r="U565" s="438"/>
      <c r="V565" s="438"/>
      <c r="W565" s="438"/>
      <c r="X565" s="438"/>
      <c r="Y565" s="438"/>
      <c r="Z565" s="438"/>
      <c r="AA565" s="438"/>
      <c r="AB565" s="438"/>
      <c r="AC565" s="438"/>
      <c r="AD565" s="438"/>
      <c r="AE565" s="438"/>
      <c r="AF565" s="438"/>
      <c r="AG565" s="438"/>
      <c r="AH565" s="438"/>
    </row>
    <row r="566">
      <c r="A566" s="438"/>
      <c r="B566" s="438"/>
      <c r="C566" s="438"/>
      <c r="D566" s="438"/>
      <c r="E566" s="438"/>
      <c r="F566" s="438"/>
      <c r="G566" s="438"/>
      <c r="H566" s="438"/>
      <c r="I566" s="438"/>
      <c r="J566" s="438"/>
      <c r="K566" s="438"/>
      <c r="L566" s="438"/>
      <c r="M566" s="438"/>
      <c r="N566" s="438"/>
      <c r="O566" s="438"/>
      <c r="P566" s="438"/>
      <c r="Q566" s="438"/>
      <c r="R566" s="438"/>
      <c r="S566" s="438"/>
      <c r="T566" s="438"/>
      <c r="U566" s="438"/>
      <c r="V566" s="438"/>
      <c r="W566" s="438"/>
      <c r="X566" s="438"/>
      <c r="Y566" s="438"/>
      <c r="Z566" s="438"/>
      <c r="AA566" s="438"/>
      <c r="AB566" s="438"/>
      <c r="AC566" s="438"/>
      <c r="AD566" s="438"/>
      <c r="AE566" s="438"/>
      <c r="AF566" s="438"/>
      <c r="AG566" s="438"/>
      <c r="AH566" s="438"/>
    </row>
    <row r="567">
      <c r="A567" s="438"/>
      <c r="B567" s="438"/>
      <c r="C567" s="438"/>
      <c r="D567" s="438"/>
      <c r="E567" s="438"/>
      <c r="F567" s="438"/>
      <c r="G567" s="438"/>
      <c r="H567" s="438"/>
      <c r="I567" s="438"/>
      <c r="J567" s="438"/>
      <c r="K567" s="438"/>
      <c r="L567" s="438"/>
      <c r="M567" s="438"/>
      <c r="N567" s="438"/>
      <c r="O567" s="438"/>
      <c r="P567" s="438"/>
      <c r="Q567" s="438"/>
      <c r="R567" s="438"/>
      <c r="S567" s="438"/>
      <c r="T567" s="438"/>
      <c r="U567" s="438"/>
      <c r="V567" s="438"/>
      <c r="W567" s="438"/>
      <c r="X567" s="438"/>
      <c r="Y567" s="438"/>
      <c r="Z567" s="438"/>
      <c r="AA567" s="438"/>
      <c r="AB567" s="438"/>
      <c r="AC567" s="438"/>
      <c r="AD567" s="438"/>
      <c r="AE567" s="438"/>
      <c r="AF567" s="438"/>
      <c r="AG567" s="438"/>
      <c r="AH567" s="438"/>
    </row>
    <row r="568">
      <c r="A568" s="438"/>
      <c r="B568" s="438"/>
      <c r="C568" s="438"/>
      <c r="D568" s="438"/>
      <c r="E568" s="438"/>
      <c r="F568" s="438"/>
      <c r="G568" s="438"/>
      <c r="H568" s="438"/>
      <c r="I568" s="438"/>
      <c r="J568" s="438"/>
      <c r="K568" s="438"/>
      <c r="L568" s="438"/>
      <c r="M568" s="438"/>
      <c r="N568" s="438"/>
      <c r="O568" s="438"/>
      <c r="P568" s="438"/>
      <c r="Q568" s="438"/>
      <c r="R568" s="438"/>
      <c r="S568" s="438"/>
      <c r="T568" s="438"/>
      <c r="U568" s="438"/>
      <c r="V568" s="438"/>
      <c r="W568" s="438"/>
      <c r="X568" s="438"/>
      <c r="Y568" s="438"/>
      <c r="Z568" s="438"/>
      <c r="AA568" s="438"/>
      <c r="AB568" s="438"/>
      <c r="AC568" s="438"/>
      <c r="AD568" s="438"/>
      <c r="AE568" s="438"/>
      <c r="AF568" s="438"/>
      <c r="AG568" s="438"/>
      <c r="AH568" s="438"/>
    </row>
    <row r="569">
      <c r="A569" s="438"/>
      <c r="B569" s="438"/>
      <c r="C569" s="438"/>
      <c r="D569" s="438"/>
      <c r="E569" s="438"/>
      <c r="F569" s="438"/>
      <c r="G569" s="438"/>
      <c r="H569" s="438"/>
      <c r="I569" s="438"/>
      <c r="J569" s="438"/>
      <c r="K569" s="438"/>
      <c r="L569" s="438"/>
      <c r="M569" s="438"/>
      <c r="N569" s="438"/>
      <c r="O569" s="438"/>
      <c r="P569" s="438"/>
      <c r="Q569" s="438"/>
      <c r="R569" s="438"/>
      <c r="S569" s="438"/>
      <c r="T569" s="438"/>
      <c r="U569" s="438"/>
      <c r="V569" s="438"/>
      <c r="W569" s="438"/>
      <c r="X569" s="438"/>
      <c r="Y569" s="438"/>
      <c r="Z569" s="438"/>
      <c r="AA569" s="438"/>
      <c r="AB569" s="438"/>
      <c r="AC569" s="438"/>
      <c r="AD569" s="438"/>
      <c r="AE569" s="438"/>
      <c r="AF569" s="438"/>
      <c r="AG569" s="438"/>
      <c r="AH569" s="438"/>
    </row>
    <row r="570">
      <c r="A570" s="438"/>
      <c r="B570" s="438"/>
      <c r="C570" s="438"/>
      <c r="D570" s="438"/>
      <c r="E570" s="438"/>
      <c r="F570" s="438"/>
      <c r="G570" s="438"/>
      <c r="H570" s="438"/>
      <c r="I570" s="438"/>
      <c r="J570" s="438"/>
      <c r="K570" s="438"/>
      <c r="L570" s="438"/>
      <c r="M570" s="438"/>
      <c r="N570" s="438"/>
      <c r="O570" s="438"/>
      <c r="P570" s="438"/>
      <c r="Q570" s="438"/>
      <c r="R570" s="438"/>
      <c r="S570" s="438"/>
      <c r="T570" s="438"/>
      <c r="U570" s="438"/>
      <c r="V570" s="438"/>
      <c r="W570" s="438"/>
      <c r="X570" s="438"/>
      <c r="Y570" s="438"/>
      <c r="Z570" s="438"/>
      <c r="AA570" s="438"/>
      <c r="AB570" s="438"/>
      <c r="AC570" s="438"/>
      <c r="AD570" s="438"/>
      <c r="AE570" s="438"/>
      <c r="AF570" s="438"/>
      <c r="AG570" s="438"/>
      <c r="AH570" s="438"/>
    </row>
    <row r="571">
      <c r="A571" s="438"/>
      <c r="B571" s="438"/>
      <c r="C571" s="438"/>
      <c r="D571" s="438"/>
      <c r="E571" s="438"/>
      <c r="F571" s="438"/>
      <c r="G571" s="438"/>
      <c r="H571" s="438"/>
      <c r="I571" s="438"/>
      <c r="J571" s="438"/>
      <c r="K571" s="438"/>
      <c r="L571" s="438"/>
      <c r="M571" s="438"/>
      <c r="N571" s="438"/>
      <c r="O571" s="438"/>
      <c r="P571" s="438"/>
      <c r="Q571" s="438"/>
      <c r="R571" s="438"/>
      <c r="S571" s="438"/>
      <c r="T571" s="438"/>
      <c r="U571" s="438"/>
      <c r="V571" s="438"/>
      <c r="W571" s="438"/>
      <c r="X571" s="438"/>
      <c r="Y571" s="438"/>
      <c r="Z571" s="438"/>
      <c r="AA571" s="438"/>
      <c r="AB571" s="438"/>
      <c r="AC571" s="438"/>
      <c r="AD571" s="438"/>
      <c r="AE571" s="438"/>
      <c r="AF571" s="438"/>
      <c r="AG571" s="438"/>
      <c r="AH571" s="438"/>
    </row>
    <row r="572">
      <c r="A572" s="438"/>
      <c r="B572" s="438"/>
      <c r="C572" s="438"/>
      <c r="D572" s="438"/>
      <c r="E572" s="438"/>
      <c r="F572" s="438"/>
      <c r="G572" s="438"/>
      <c r="H572" s="438"/>
      <c r="I572" s="438"/>
      <c r="J572" s="438"/>
      <c r="K572" s="438"/>
      <c r="L572" s="438"/>
      <c r="M572" s="438"/>
      <c r="N572" s="438"/>
      <c r="O572" s="438"/>
      <c r="P572" s="438"/>
      <c r="Q572" s="438"/>
      <c r="R572" s="438"/>
      <c r="S572" s="438"/>
      <c r="T572" s="438"/>
      <c r="U572" s="438"/>
      <c r="V572" s="438"/>
      <c r="W572" s="438"/>
      <c r="X572" s="438"/>
      <c r="Y572" s="438"/>
      <c r="Z572" s="438"/>
      <c r="AA572" s="438"/>
      <c r="AB572" s="438"/>
      <c r="AC572" s="438"/>
      <c r="AD572" s="438"/>
      <c r="AE572" s="438"/>
      <c r="AF572" s="438"/>
      <c r="AG572" s="438"/>
      <c r="AH572" s="438"/>
    </row>
    <row r="573">
      <c r="A573" s="438"/>
      <c r="B573" s="438"/>
      <c r="C573" s="438"/>
      <c r="D573" s="438"/>
      <c r="E573" s="438"/>
      <c r="F573" s="438"/>
      <c r="G573" s="438"/>
      <c r="H573" s="438"/>
      <c r="I573" s="438"/>
      <c r="J573" s="438"/>
      <c r="K573" s="438"/>
      <c r="L573" s="438"/>
      <c r="M573" s="438"/>
      <c r="N573" s="438"/>
      <c r="O573" s="438"/>
      <c r="P573" s="438"/>
      <c r="Q573" s="438"/>
      <c r="R573" s="438"/>
      <c r="S573" s="438"/>
      <c r="T573" s="438"/>
      <c r="U573" s="438"/>
      <c r="V573" s="438"/>
      <c r="W573" s="438"/>
      <c r="X573" s="438"/>
      <c r="Y573" s="438"/>
      <c r="Z573" s="438"/>
      <c r="AA573" s="438"/>
      <c r="AB573" s="438"/>
      <c r="AC573" s="438"/>
      <c r="AD573" s="438"/>
      <c r="AE573" s="438"/>
      <c r="AF573" s="438"/>
      <c r="AG573" s="438"/>
      <c r="AH573" s="438"/>
    </row>
    <row r="574">
      <c r="A574" s="438"/>
      <c r="B574" s="438"/>
      <c r="C574" s="438"/>
      <c r="D574" s="438"/>
      <c r="E574" s="438"/>
      <c r="F574" s="438"/>
      <c r="G574" s="438"/>
      <c r="H574" s="438"/>
      <c r="I574" s="438"/>
      <c r="J574" s="438"/>
      <c r="K574" s="438"/>
      <c r="L574" s="438"/>
      <c r="M574" s="438"/>
      <c r="N574" s="438"/>
      <c r="O574" s="438"/>
      <c r="P574" s="438"/>
      <c r="Q574" s="438"/>
      <c r="R574" s="438"/>
      <c r="S574" s="438"/>
      <c r="T574" s="438"/>
      <c r="U574" s="438"/>
      <c r="V574" s="438"/>
      <c r="W574" s="438"/>
      <c r="X574" s="438"/>
      <c r="Y574" s="438"/>
      <c r="Z574" s="438"/>
      <c r="AA574" s="438"/>
      <c r="AB574" s="438"/>
      <c r="AC574" s="438"/>
      <c r="AD574" s="438"/>
      <c r="AE574" s="438"/>
      <c r="AF574" s="438"/>
      <c r="AG574" s="438"/>
      <c r="AH574" s="438"/>
    </row>
    <row r="575">
      <c r="A575" s="438"/>
      <c r="B575" s="438"/>
      <c r="C575" s="438"/>
      <c r="D575" s="438"/>
      <c r="E575" s="438"/>
      <c r="F575" s="438"/>
      <c r="G575" s="438"/>
      <c r="H575" s="438"/>
      <c r="I575" s="438"/>
      <c r="J575" s="438"/>
      <c r="K575" s="438"/>
      <c r="L575" s="438"/>
      <c r="M575" s="438"/>
      <c r="N575" s="438"/>
      <c r="O575" s="438"/>
      <c r="P575" s="438"/>
      <c r="Q575" s="438"/>
      <c r="R575" s="438"/>
      <c r="S575" s="438"/>
      <c r="T575" s="438"/>
      <c r="U575" s="438"/>
      <c r="V575" s="438"/>
      <c r="W575" s="438"/>
      <c r="X575" s="438"/>
      <c r="Y575" s="438"/>
      <c r="Z575" s="438"/>
      <c r="AA575" s="438"/>
      <c r="AB575" s="438"/>
      <c r="AC575" s="438"/>
      <c r="AD575" s="438"/>
      <c r="AE575" s="438"/>
      <c r="AF575" s="438"/>
      <c r="AG575" s="438"/>
      <c r="AH575" s="438"/>
    </row>
    <row r="576">
      <c r="A576" s="438"/>
      <c r="B576" s="438"/>
      <c r="C576" s="438"/>
      <c r="D576" s="438"/>
      <c r="E576" s="438"/>
      <c r="F576" s="438"/>
      <c r="G576" s="438"/>
      <c r="H576" s="438"/>
      <c r="I576" s="438"/>
      <c r="J576" s="438"/>
      <c r="K576" s="438"/>
      <c r="L576" s="438"/>
      <c r="M576" s="438"/>
      <c r="N576" s="438"/>
      <c r="O576" s="438"/>
      <c r="P576" s="438"/>
      <c r="Q576" s="438"/>
      <c r="R576" s="438"/>
      <c r="S576" s="438"/>
      <c r="T576" s="438"/>
      <c r="U576" s="438"/>
      <c r="V576" s="438"/>
      <c r="W576" s="438"/>
      <c r="X576" s="438"/>
      <c r="Y576" s="438"/>
      <c r="Z576" s="438"/>
      <c r="AA576" s="438"/>
      <c r="AB576" s="438"/>
      <c r="AC576" s="438"/>
      <c r="AD576" s="438"/>
      <c r="AE576" s="438"/>
      <c r="AF576" s="438"/>
      <c r="AG576" s="438"/>
      <c r="AH576" s="438"/>
    </row>
    <row r="577">
      <c r="A577" s="438"/>
      <c r="B577" s="438"/>
      <c r="C577" s="438"/>
      <c r="D577" s="438"/>
      <c r="E577" s="438"/>
      <c r="F577" s="438"/>
      <c r="G577" s="438"/>
      <c r="H577" s="438"/>
      <c r="I577" s="438"/>
      <c r="J577" s="438"/>
      <c r="K577" s="438"/>
      <c r="L577" s="438"/>
      <c r="M577" s="438"/>
      <c r="N577" s="438"/>
      <c r="O577" s="438"/>
      <c r="P577" s="438"/>
      <c r="Q577" s="438"/>
      <c r="R577" s="438"/>
      <c r="S577" s="438"/>
      <c r="T577" s="438"/>
      <c r="U577" s="438"/>
      <c r="V577" s="438"/>
      <c r="W577" s="438"/>
      <c r="X577" s="438"/>
      <c r="Y577" s="438"/>
      <c r="Z577" s="438"/>
      <c r="AA577" s="438"/>
      <c r="AB577" s="438"/>
      <c r="AC577" s="438"/>
      <c r="AD577" s="438"/>
      <c r="AE577" s="438"/>
      <c r="AF577" s="438"/>
      <c r="AG577" s="438"/>
      <c r="AH577" s="438"/>
    </row>
    <row r="578">
      <c r="A578" s="438"/>
      <c r="B578" s="438"/>
      <c r="C578" s="438"/>
      <c r="D578" s="438"/>
      <c r="E578" s="438"/>
      <c r="F578" s="438"/>
      <c r="G578" s="438"/>
      <c r="H578" s="438"/>
      <c r="I578" s="438"/>
      <c r="J578" s="438"/>
      <c r="K578" s="438"/>
      <c r="L578" s="438"/>
      <c r="M578" s="438"/>
      <c r="N578" s="438"/>
      <c r="O578" s="438"/>
      <c r="P578" s="438"/>
      <c r="Q578" s="438"/>
      <c r="R578" s="438"/>
      <c r="S578" s="438"/>
      <c r="T578" s="438"/>
      <c r="U578" s="438"/>
      <c r="V578" s="438"/>
      <c r="W578" s="438"/>
      <c r="X578" s="438"/>
      <c r="Y578" s="438"/>
      <c r="Z578" s="438"/>
      <c r="AA578" s="438"/>
      <c r="AB578" s="438"/>
      <c r="AC578" s="438"/>
      <c r="AD578" s="438"/>
      <c r="AE578" s="438"/>
      <c r="AF578" s="438"/>
      <c r="AG578" s="438"/>
      <c r="AH578" s="438"/>
    </row>
    <row r="579">
      <c r="A579" s="438"/>
      <c r="B579" s="438"/>
      <c r="C579" s="438"/>
      <c r="D579" s="438"/>
      <c r="E579" s="438"/>
      <c r="F579" s="438"/>
      <c r="G579" s="438"/>
      <c r="H579" s="438"/>
      <c r="I579" s="438"/>
      <c r="J579" s="438"/>
      <c r="K579" s="438"/>
      <c r="L579" s="438"/>
      <c r="M579" s="438"/>
      <c r="N579" s="438"/>
      <c r="O579" s="438"/>
      <c r="P579" s="438"/>
      <c r="Q579" s="438"/>
      <c r="R579" s="438"/>
      <c r="S579" s="438"/>
      <c r="T579" s="438"/>
      <c r="U579" s="438"/>
      <c r="V579" s="438"/>
      <c r="W579" s="438"/>
      <c r="X579" s="438"/>
      <c r="Y579" s="438"/>
      <c r="Z579" s="438"/>
      <c r="AA579" s="438"/>
      <c r="AB579" s="438"/>
      <c r="AC579" s="438"/>
      <c r="AD579" s="438"/>
      <c r="AE579" s="438"/>
      <c r="AF579" s="438"/>
      <c r="AG579" s="438"/>
      <c r="AH579" s="438"/>
    </row>
    <row r="580">
      <c r="A580" s="438"/>
      <c r="B580" s="438"/>
      <c r="C580" s="438"/>
      <c r="D580" s="438"/>
      <c r="E580" s="438"/>
      <c r="F580" s="438"/>
      <c r="G580" s="438"/>
      <c r="H580" s="438"/>
      <c r="I580" s="438"/>
      <c r="J580" s="438"/>
      <c r="K580" s="438"/>
      <c r="L580" s="438"/>
      <c r="M580" s="438"/>
      <c r="N580" s="438"/>
      <c r="O580" s="438"/>
      <c r="P580" s="438"/>
      <c r="Q580" s="438"/>
      <c r="R580" s="438"/>
      <c r="S580" s="438"/>
      <c r="T580" s="438"/>
      <c r="U580" s="438"/>
      <c r="V580" s="438"/>
      <c r="W580" s="438"/>
      <c r="X580" s="438"/>
      <c r="Y580" s="438"/>
      <c r="Z580" s="438"/>
      <c r="AA580" s="438"/>
      <c r="AB580" s="438"/>
      <c r="AC580" s="438"/>
      <c r="AD580" s="438"/>
      <c r="AE580" s="438"/>
      <c r="AF580" s="438"/>
      <c r="AG580" s="438"/>
      <c r="AH580" s="438"/>
    </row>
    <row r="581">
      <c r="A581" s="438"/>
      <c r="B581" s="438"/>
      <c r="C581" s="438"/>
      <c r="D581" s="438"/>
      <c r="E581" s="438"/>
      <c r="F581" s="438"/>
      <c r="G581" s="438"/>
      <c r="H581" s="438"/>
      <c r="I581" s="438"/>
      <c r="J581" s="438"/>
      <c r="K581" s="438"/>
      <c r="L581" s="438"/>
      <c r="M581" s="438"/>
      <c r="N581" s="438"/>
      <c r="O581" s="438"/>
      <c r="P581" s="438"/>
      <c r="Q581" s="438"/>
      <c r="R581" s="438"/>
      <c r="S581" s="438"/>
      <c r="T581" s="438"/>
      <c r="U581" s="438"/>
      <c r="V581" s="438"/>
      <c r="W581" s="438"/>
      <c r="X581" s="438"/>
      <c r="Y581" s="438"/>
      <c r="Z581" s="438"/>
      <c r="AA581" s="438"/>
      <c r="AB581" s="438"/>
      <c r="AC581" s="438"/>
      <c r="AD581" s="438"/>
      <c r="AE581" s="438"/>
      <c r="AF581" s="438"/>
      <c r="AG581" s="438"/>
      <c r="AH581" s="438"/>
    </row>
    <row r="582">
      <c r="A582" s="438"/>
      <c r="B582" s="438"/>
      <c r="C582" s="438"/>
      <c r="D582" s="438"/>
      <c r="E582" s="438"/>
      <c r="F582" s="438"/>
      <c r="G582" s="438"/>
      <c r="H582" s="438"/>
      <c r="I582" s="438"/>
      <c r="J582" s="438"/>
      <c r="K582" s="438"/>
      <c r="L582" s="438"/>
      <c r="M582" s="438"/>
      <c r="N582" s="438"/>
      <c r="O582" s="438"/>
      <c r="P582" s="438"/>
      <c r="Q582" s="438"/>
      <c r="R582" s="438"/>
      <c r="S582" s="438"/>
      <c r="T582" s="438"/>
      <c r="U582" s="438"/>
      <c r="V582" s="438"/>
      <c r="W582" s="438"/>
      <c r="X582" s="438"/>
      <c r="Y582" s="438"/>
      <c r="Z582" s="438"/>
      <c r="AA582" s="438"/>
      <c r="AB582" s="438"/>
      <c r="AC582" s="438"/>
      <c r="AD582" s="438"/>
      <c r="AE582" s="438"/>
      <c r="AF582" s="438"/>
      <c r="AG582" s="438"/>
      <c r="AH582" s="438"/>
    </row>
    <row r="583">
      <c r="A583" s="438"/>
      <c r="B583" s="438"/>
      <c r="C583" s="438"/>
      <c r="D583" s="438"/>
      <c r="E583" s="438"/>
      <c r="F583" s="438"/>
      <c r="G583" s="438"/>
      <c r="H583" s="438"/>
      <c r="I583" s="438"/>
      <c r="J583" s="438"/>
      <c r="K583" s="438"/>
      <c r="L583" s="438"/>
      <c r="M583" s="438"/>
      <c r="N583" s="438"/>
      <c r="O583" s="438"/>
      <c r="P583" s="438"/>
      <c r="Q583" s="438"/>
      <c r="R583" s="438"/>
      <c r="S583" s="438"/>
      <c r="T583" s="438"/>
      <c r="U583" s="438"/>
      <c r="V583" s="438"/>
      <c r="W583" s="438"/>
      <c r="X583" s="438"/>
      <c r="Y583" s="438"/>
      <c r="Z583" s="438"/>
      <c r="AA583" s="438"/>
      <c r="AB583" s="438"/>
      <c r="AC583" s="438"/>
      <c r="AD583" s="438"/>
      <c r="AE583" s="438"/>
      <c r="AF583" s="438"/>
      <c r="AG583" s="438"/>
      <c r="AH583" s="438"/>
    </row>
    <row r="584">
      <c r="A584" s="438"/>
      <c r="B584" s="438"/>
      <c r="C584" s="438"/>
      <c r="D584" s="438"/>
      <c r="E584" s="438"/>
      <c r="F584" s="438"/>
      <c r="G584" s="438"/>
      <c r="H584" s="438"/>
      <c r="I584" s="438"/>
      <c r="J584" s="438"/>
      <c r="K584" s="438"/>
      <c r="L584" s="438"/>
      <c r="M584" s="438"/>
      <c r="N584" s="438"/>
      <c r="O584" s="438"/>
      <c r="P584" s="438"/>
      <c r="Q584" s="438"/>
      <c r="R584" s="438"/>
      <c r="S584" s="438"/>
      <c r="T584" s="438"/>
      <c r="U584" s="438"/>
      <c r="V584" s="438"/>
      <c r="W584" s="438"/>
      <c r="X584" s="438"/>
      <c r="Y584" s="438"/>
      <c r="Z584" s="438"/>
      <c r="AA584" s="438"/>
      <c r="AB584" s="438"/>
      <c r="AC584" s="438"/>
      <c r="AD584" s="438"/>
      <c r="AE584" s="438"/>
      <c r="AF584" s="438"/>
      <c r="AG584" s="438"/>
      <c r="AH584" s="438"/>
    </row>
    <row r="585">
      <c r="A585" s="438"/>
      <c r="B585" s="438"/>
      <c r="C585" s="438"/>
      <c r="D585" s="438"/>
      <c r="E585" s="438"/>
      <c r="F585" s="438"/>
      <c r="G585" s="438"/>
      <c r="H585" s="438"/>
      <c r="I585" s="438"/>
      <c r="J585" s="438"/>
      <c r="K585" s="438"/>
      <c r="L585" s="438"/>
      <c r="M585" s="438"/>
      <c r="N585" s="438"/>
      <c r="O585" s="438"/>
      <c r="P585" s="438"/>
      <c r="Q585" s="438"/>
      <c r="R585" s="438"/>
      <c r="S585" s="438"/>
      <c r="T585" s="438"/>
      <c r="U585" s="438"/>
      <c r="V585" s="438"/>
      <c r="W585" s="438"/>
      <c r="X585" s="438"/>
      <c r="Y585" s="438"/>
      <c r="Z585" s="438"/>
      <c r="AA585" s="438"/>
      <c r="AB585" s="438"/>
      <c r="AC585" s="438"/>
      <c r="AD585" s="438"/>
      <c r="AE585" s="438"/>
      <c r="AF585" s="438"/>
      <c r="AG585" s="438"/>
      <c r="AH585" s="438"/>
    </row>
    <row r="586">
      <c r="A586" s="438"/>
      <c r="B586" s="438"/>
      <c r="C586" s="438"/>
      <c r="D586" s="438"/>
      <c r="E586" s="438"/>
      <c r="F586" s="438"/>
      <c r="G586" s="438"/>
      <c r="H586" s="438"/>
      <c r="I586" s="438"/>
      <c r="J586" s="438"/>
      <c r="K586" s="438"/>
      <c r="L586" s="438"/>
      <c r="M586" s="438"/>
      <c r="N586" s="438"/>
      <c r="O586" s="438"/>
      <c r="P586" s="438"/>
      <c r="Q586" s="438"/>
      <c r="R586" s="438"/>
      <c r="S586" s="438"/>
      <c r="T586" s="438"/>
      <c r="U586" s="438"/>
      <c r="V586" s="438"/>
      <c r="W586" s="438"/>
      <c r="X586" s="438"/>
      <c r="Y586" s="438"/>
      <c r="Z586" s="438"/>
      <c r="AA586" s="438"/>
      <c r="AB586" s="438"/>
      <c r="AC586" s="438"/>
      <c r="AD586" s="438"/>
      <c r="AE586" s="438"/>
      <c r="AF586" s="438"/>
      <c r="AG586" s="438"/>
      <c r="AH586" s="438"/>
    </row>
    <row r="587">
      <c r="A587" s="438"/>
      <c r="B587" s="438"/>
      <c r="C587" s="438"/>
      <c r="D587" s="438"/>
      <c r="E587" s="438"/>
      <c r="F587" s="438"/>
      <c r="G587" s="438"/>
      <c r="H587" s="438"/>
      <c r="I587" s="438"/>
      <c r="J587" s="438"/>
      <c r="K587" s="438"/>
      <c r="L587" s="438"/>
      <c r="M587" s="438"/>
      <c r="N587" s="438"/>
      <c r="O587" s="438"/>
      <c r="P587" s="438"/>
      <c r="Q587" s="438"/>
      <c r="R587" s="438"/>
      <c r="S587" s="438"/>
      <c r="T587" s="438"/>
      <c r="U587" s="438"/>
      <c r="V587" s="438"/>
      <c r="W587" s="438"/>
      <c r="X587" s="438"/>
      <c r="Y587" s="438"/>
      <c r="Z587" s="438"/>
      <c r="AA587" s="438"/>
      <c r="AB587" s="438"/>
      <c r="AC587" s="438"/>
      <c r="AD587" s="438"/>
      <c r="AE587" s="438"/>
      <c r="AF587" s="438"/>
      <c r="AG587" s="438"/>
      <c r="AH587" s="438"/>
    </row>
    <row r="588">
      <c r="A588" s="438"/>
      <c r="B588" s="438"/>
      <c r="C588" s="438"/>
      <c r="D588" s="438"/>
      <c r="E588" s="438"/>
      <c r="F588" s="438"/>
      <c r="G588" s="438"/>
      <c r="H588" s="438"/>
      <c r="I588" s="438"/>
      <c r="J588" s="438"/>
      <c r="K588" s="438"/>
      <c r="L588" s="438"/>
      <c r="M588" s="438"/>
      <c r="N588" s="438"/>
      <c r="O588" s="438"/>
      <c r="P588" s="438"/>
      <c r="Q588" s="438"/>
      <c r="R588" s="438"/>
      <c r="S588" s="438"/>
      <c r="T588" s="438"/>
      <c r="U588" s="438"/>
      <c r="V588" s="438"/>
      <c r="W588" s="438"/>
      <c r="X588" s="438"/>
      <c r="Y588" s="438"/>
      <c r="Z588" s="438"/>
      <c r="AA588" s="438"/>
      <c r="AB588" s="438"/>
      <c r="AC588" s="438"/>
      <c r="AD588" s="438"/>
      <c r="AE588" s="438"/>
      <c r="AF588" s="438"/>
      <c r="AG588" s="438"/>
      <c r="AH588" s="438"/>
    </row>
    <row r="589">
      <c r="A589" s="438"/>
      <c r="B589" s="438"/>
      <c r="C589" s="438"/>
      <c r="D589" s="438"/>
      <c r="E589" s="438"/>
      <c r="F589" s="438"/>
      <c r="G589" s="438"/>
      <c r="H589" s="438"/>
      <c r="I589" s="438"/>
      <c r="J589" s="438"/>
      <c r="K589" s="438"/>
      <c r="L589" s="438"/>
      <c r="M589" s="438"/>
      <c r="N589" s="438"/>
      <c r="O589" s="438"/>
      <c r="P589" s="438"/>
      <c r="Q589" s="438"/>
      <c r="R589" s="438"/>
      <c r="S589" s="438"/>
      <c r="T589" s="438"/>
      <c r="U589" s="438"/>
      <c r="V589" s="438"/>
      <c r="W589" s="438"/>
      <c r="X589" s="438"/>
      <c r="Y589" s="438"/>
      <c r="Z589" s="438"/>
      <c r="AA589" s="438"/>
      <c r="AB589" s="438"/>
      <c r="AC589" s="438"/>
      <c r="AD589" s="438"/>
      <c r="AE589" s="438"/>
      <c r="AF589" s="438"/>
      <c r="AG589" s="438"/>
      <c r="AH589" s="438"/>
    </row>
    <row r="590">
      <c r="A590" s="438"/>
      <c r="B590" s="438"/>
      <c r="C590" s="438"/>
      <c r="D590" s="438"/>
      <c r="E590" s="438"/>
      <c r="F590" s="438"/>
      <c r="G590" s="438"/>
      <c r="H590" s="438"/>
      <c r="I590" s="438"/>
      <c r="J590" s="438"/>
      <c r="K590" s="438"/>
      <c r="L590" s="438"/>
      <c r="M590" s="438"/>
      <c r="N590" s="438"/>
      <c r="O590" s="438"/>
      <c r="P590" s="438"/>
      <c r="Q590" s="438"/>
      <c r="R590" s="438"/>
      <c r="S590" s="438"/>
      <c r="T590" s="438"/>
      <c r="U590" s="438"/>
      <c r="V590" s="438"/>
      <c r="W590" s="438"/>
      <c r="X590" s="438"/>
      <c r="Y590" s="438"/>
      <c r="Z590" s="438"/>
      <c r="AA590" s="438"/>
      <c r="AB590" s="438"/>
      <c r="AC590" s="438"/>
      <c r="AD590" s="438"/>
      <c r="AE590" s="438"/>
      <c r="AF590" s="438"/>
      <c r="AG590" s="438"/>
      <c r="AH590" s="438"/>
    </row>
    <row r="591">
      <c r="A591" s="438"/>
      <c r="B591" s="438"/>
      <c r="C591" s="438"/>
      <c r="D591" s="438"/>
      <c r="E591" s="438"/>
      <c r="F591" s="438"/>
      <c r="G591" s="438"/>
      <c r="H591" s="438"/>
      <c r="I591" s="438"/>
      <c r="J591" s="438"/>
      <c r="K591" s="438"/>
      <c r="L591" s="438"/>
      <c r="M591" s="438"/>
      <c r="N591" s="438"/>
      <c r="O591" s="438"/>
      <c r="P591" s="438"/>
      <c r="Q591" s="438"/>
      <c r="R591" s="438"/>
      <c r="S591" s="438"/>
      <c r="T591" s="438"/>
      <c r="U591" s="438"/>
      <c r="V591" s="438"/>
      <c r="W591" s="438"/>
      <c r="X591" s="438"/>
      <c r="Y591" s="438"/>
      <c r="Z591" s="438"/>
      <c r="AA591" s="438"/>
      <c r="AB591" s="438"/>
      <c r="AC591" s="438"/>
      <c r="AD591" s="438"/>
      <c r="AE591" s="438"/>
      <c r="AF591" s="438"/>
      <c r="AG591" s="438"/>
      <c r="AH591" s="438"/>
    </row>
    <row r="592">
      <c r="A592" s="438"/>
      <c r="B592" s="438"/>
      <c r="C592" s="438"/>
      <c r="D592" s="438"/>
      <c r="E592" s="438"/>
      <c r="F592" s="438"/>
      <c r="G592" s="438"/>
      <c r="H592" s="438"/>
      <c r="I592" s="438"/>
      <c r="J592" s="438"/>
      <c r="K592" s="438"/>
      <c r="L592" s="438"/>
      <c r="M592" s="438"/>
      <c r="N592" s="438"/>
      <c r="O592" s="438"/>
      <c r="P592" s="438"/>
      <c r="Q592" s="438"/>
      <c r="R592" s="438"/>
      <c r="S592" s="438"/>
      <c r="T592" s="438"/>
      <c r="U592" s="438"/>
      <c r="V592" s="438"/>
      <c r="W592" s="438"/>
      <c r="X592" s="438"/>
      <c r="Y592" s="438"/>
      <c r="Z592" s="438"/>
      <c r="AA592" s="438"/>
      <c r="AB592" s="438"/>
      <c r="AC592" s="438"/>
      <c r="AD592" s="438"/>
      <c r="AE592" s="438"/>
      <c r="AF592" s="438"/>
      <c r="AG592" s="438"/>
      <c r="AH592" s="438"/>
    </row>
    <row r="593">
      <c r="A593" s="438"/>
      <c r="B593" s="438"/>
      <c r="C593" s="438"/>
      <c r="D593" s="438"/>
      <c r="E593" s="438"/>
      <c r="F593" s="438"/>
      <c r="G593" s="438"/>
      <c r="H593" s="438"/>
      <c r="I593" s="438"/>
      <c r="J593" s="438"/>
      <c r="K593" s="438"/>
      <c r="L593" s="438"/>
      <c r="M593" s="438"/>
      <c r="N593" s="438"/>
      <c r="O593" s="438"/>
      <c r="P593" s="438"/>
      <c r="Q593" s="438"/>
      <c r="R593" s="438"/>
      <c r="S593" s="438"/>
      <c r="T593" s="438"/>
      <c r="U593" s="438"/>
      <c r="V593" s="438"/>
      <c r="W593" s="438"/>
      <c r="X593" s="438"/>
      <c r="Y593" s="438"/>
      <c r="Z593" s="438"/>
      <c r="AA593" s="438"/>
      <c r="AB593" s="438"/>
      <c r="AC593" s="438"/>
      <c r="AD593" s="438"/>
      <c r="AE593" s="438"/>
      <c r="AF593" s="438"/>
      <c r="AG593" s="438"/>
      <c r="AH593" s="438"/>
    </row>
    <row r="594">
      <c r="A594" s="438"/>
      <c r="B594" s="438"/>
      <c r="C594" s="438"/>
      <c r="D594" s="438"/>
      <c r="E594" s="438"/>
      <c r="F594" s="438"/>
      <c r="G594" s="438"/>
      <c r="H594" s="438"/>
      <c r="I594" s="438"/>
      <c r="J594" s="438"/>
      <c r="K594" s="438"/>
      <c r="L594" s="438"/>
      <c r="M594" s="438"/>
      <c r="N594" s="438"/>
      <c r="O594" s="438"/>
      <c r="P594" s="438"/>
      <c r="Q594" s="438"/>
      <c r="R594" s="438"/>
      <c r="S594" s="438"/>
      <c r="T594" s="438"/>
      <c r="U594" s="438"/>
      <c r="V594" s="438"/>
      <c r="W594" s="438"/>
      <c r="X594" s="438"/>
      <c r="Y594" s="438"/>
      <c r="Z594" s="438"/>
      <c r="AA594" s="438"/>
      <c r="AB594" s="438"/>
      <c r="AC594" s="438"/>
      <c r="AD594" s="438"/>
      <c r="AE594" s="438"/>
      <c r="AF594" s="438"/>
      <c r="AG594" s="438"/>
      <c r="AH594" s="438"/>
    </row>
    <row r="595">
      <c r="A595" s="438"/>
      <c r="B595" s="438"/>
      <c r="C595" s="438"/>
      <c r="D595" s="438"/>
      <c r="E595" s="438"/>
      <c r="F595" s="438"/>
      <c r="G595" s="438"/>
      <c r="H595" s="438"/>
      <c r="I595" s="438"/>
      <c r="J595" s="438"/>
      <c r="K595" s="438"/>
      <c r="L595" s="438"/>
      <c r="M595" s="438"/>
      <c r="N595" s="438"/>
      <c r="O595" s="438"/>
      <c r="P595" s="438"/>
      <c r="Q595" s="438"/>
      <c r="R595" s="438"/>
      <c r="S595" s="438"/>
      <c r="T595" s="438"/>
      <c r="U595" s="438"/>
      <c r="V595" s="438"/>
      <c r="W595" s="438"/>
      <c r="X595" s="438"/>
      <c r="Y595" s="438"/>
      <c r="Z595" s="438"/>
      <c r="AA595" s="438"/>
      <c r="AB595" s="438"/>
      <c r="AC595" s="438"/>
      <c r="AD595" s="438"/>
      <c r="AE595" s="438"/>
      <c r="AF595" s="438"/>
      <c r="AG595" s="438"/>
      <c r="AH595" s="438"/>
    </row>
    <row r="596">
      <c r="A596" s="438"/>
      <c r="B596" s="438"/>
      <c r="C596" s="438"/>
      <c r="D596" s="438"/>
      <c r="E596" s="438"/>
      <c r="F596" s="438"/>
      <c r="G596" s="438"/>
      <c r="H596" s="438"/>
      <c r="I596" s="438"/>
      <c r="J596" s="438"/>
      <c r="K596" s="438"/>
      <c r="L596" s="438"/>
      <c r="M596" s="438"/>
      <c r="N596" s="438"/>
      <c r="O596" s="438"/>
      <c r="P596" s="438"/>
      <c r="Q596" s="438"/>
      <c r="R596" s="438"/>
      <c r="S596" s="438"/>
      <c r="T596" s="438"/>
      <c r="U596" s="438"/>
      <c r="V596" s="438"/>
      <c r="W596" s="438"/>
      <c r="X596" s="438"/>
      <c r="Y596" s="438"/>
      <c r="Z596" s="438"/>
      <c r="AA596" s="438"/>
      <c r="AB596" s="438"/>
      <c r="AC596" s="438"/>
      <c r="AD596" s="438"/>
      <c r="AE596" s="438"/>
      <c r="AF596" s="438"/>
      <c r="AG596" s="438"/>
      <c r="AH596" s="438"/>
    </row>
    <row r="597">
      <c r="A597" s="438"/>
      <c r="B597" s="438"/>
      <c r="C597" s="438"/>
      <c r="D597" s="438"/>
      <c r="E597" s="438"/>
      <c r="F597" s="438"/>
      <c r="G597" s="438"/>
      <c r="H597" s="438"/>
      <c r="I597" s="438"/>
      <c r="J597" s="438"/>
      <c r="K597" s="438"/>
      <c r="L597" s="438"/>
      <c r="M597" s="438"/>
      <c r="N597" s="438"/>
      <c r="O597" s="438"/>
      <c r="P597" s="438"/>
      <c r="Q597" s="438"/>
      <c r="R597" s="438"/>
      <c r="S597" s="438"/>
      <c r="T597" s="438"/>
      <c r="U597" s="438"/>
      <c r="V597" s="438"/>
      <c r="W597" s="438"/>
      <c r="X597" s="438"/>
      <c r="Y597" s="438"/>
      <c r="Z597" s="438"/>
      <c r="AA597" s="438"/>
      <c r="AB597" s="438"/>
      <c r="AC597" s="438"/>
      <c r="AD597" s="438"/>
      <c r="AE597" s="438"/>
      <c r="AF597" s="438"/>
      <c r="AG597" s="438"/>
      <c r="AH597" s="438"/>
    </row>
    <row r="598">
      <c r="A598" s="438"/>
      <c r="B598" s="438"/>
      <c r="C598" s="438"/>
      <c r="D598" s="438"/>
      <c r="E598" s="438"/>
      <c r="F598" s="438"/>
      <c r="G598" s="438"/>
      <c r="H598" s="438"/>
      <c r="I598" s="438"/>
      <c r="J598" s="438"/>
      <c r="K598" s="438"/>
      <c r="L598" s="438"/>
      <c r="M598" s="438"/>
      <c r="N598" s="438"/>
      <c r="O598" s="438"/>
      <c r="P598" s="438"/>
      <c r="Q598" s="438"/>
      <c r="R598" s="438"/>
      <c r="S598" s="438"/>
      <c r="T598" s="438"/>
      <c r="U598" s="438"/>
      <c r="V598" s="438"/>
      <c r="W598" s="438"/>
      <c r="X598" s="438"/>
      <c r="Y598" s="438"/>
      <c r="Z598" s="438"/>
      <c r="AA598" s="438"/>
      <c r="AB598" s="438"/>
      <c r="AC598" s="438"/>
      <c r="AD598" s="438"/>
      <c r="AE598" s="438"/>
      <c r="AF598" s="438"/>
      <c r="AG598" s="438"/>
      <c r="AH598" s="438"/>
    </row>
    <row r="599">
      <c r="A599" s="438"/>
      <c r="B599" s="438"/>
      <c r="C599" s="438"/>
      <c r="D599" s="438"/>
      <c r="E599" s="438"/>
      <c r="F599" s="438"/>
      <c r="G599" s="438"/>
      <c r="H599" s="438"/>
      <c r="I599" s="438"/>
      <c r="J599" s="438"/>
      <c r="K599" s="438"/>
      <c r="L599" s="438"/>
      <c r="M599" s="438"/>
      <c r="N599" s="438"/>
      <c r="O599" s="438"/>
      <c r="P599" s="438"/>
      <c r="Q599" s="438"/>
      <c r="R599" s="438"/>
      <c r="S599" s="438"/>
      <c r="T599" s="438"/>
      <c r="U599" s="438"/>
      <c r="V599" s="438"/>
      <c r="W599" s="438"/>
      <c r="X599" s="438"/>
      <c r="Y599" s="438"/>
      <c r="Z599" s="438"/>
      <c r="AA599" s="438"/>
      <c r="AB599" s="438"/>
      <c r="AC599" s="438"/>
      <c r="AD599" s="438"/>
      <c r="AE599" s="438"/>
      <c r="AF599" s="438"/>
      <c r="AG599" s="438"/>
      <c r="AH599" s="438"/>
    </row>
    <row r="600">
      <c r="A600" s="438"/>
      <c r="B600" s="438"/>
      <c r="C600" s="438"/>
      <c r="D600" s="438"/>
      <c r="E600" s="438"/>
      <c r="F600" s="438"/>
      <c r="G600" s="438"/>
      <c r="H600" s="438"/>
      <c r="I600" s="438"/>
      <c r="J600" s="438"/>
      <c r="K600" s="438"/>
      <c r="L600" s="438"/>
      <c r="M600" s="438"/>
      <c r="N600" s="438"/>
      <c r="O600" s="438"/>
      <c r="P600" s="438"/>
      <c r="Q600" s="438"/>
      <c r="R600" s="438"/>
      <c r="S600" s="438"/>
      <c r="T600" s="438"/>
      <c r="U600" s="438"/>
      <c r="V600" s="438"/>
      <c r="W600" s="438"/>
      <c r="X600" s="438"/>
      <c r="Y600" s="438"/>
      <c r="Z600" s="438"/>
      <c r="AA600" s="438"/>
      <c r="AB600" s="438"/>
      <c r="AC600" s="438"/>
      <c r="AD600" s="438"/>
      <c r="AE600" s="438"/>
      <c r="AF600" s="438"/>
      <c r="AG600" s="438"/>
      <c r="AH600" s="438"/>
    </row>
    <row r="601">
      <c r="A601" s="438"/>
      <c r="B601" s="438"/>
      <c r="C601" s="438"/>
      <c r="D601" s="438"/>
      <c r="E601" s="438"/>
      <c r="F601" s="438"/>
      <c r="G601" s="438"/>
      <c r="H601" s="438"/>
      <c r="I601" s="438"/>
      <c r="J601" s="438"/>
      <c r="K601" s="438"/>
      <c r="L601" s="438"/>
      <c r="M601" s="438"/>
      <c r="N601" s="438"/>
      <c r="O601" s="438"/>
      <c r="P601" s="438"/>
      <c r="Q601" s="438"/>
      <c r="R601" s="438"/>
      <c r="S601" s="438"/>
      <c r="T601" s="438"/>
      <c r="U601" s="438"/>
      <c r="V601" s="438"/>
      <c r="W601" s="438"/>
      <c r="X601" s="438"/>
      <c r="Y601" s="438"/>
      <c r="Z601" s="438"/>
      <c r="AA601" s="438"/>
      <c r="AB601" s="438"/>
      <c r="AC601" s="438"/>
      <c r="AD601" s="438"/>
      <c r="AE601" s="438"/>
      <c r="AF601" s="438"/>
      <c r="AG601" s="438"/>
      <c r="AH601" s="438"/>
    </row>
    <row r="602">
      <c r="A602" s="438"/>
      <c r="B602" s="438"/>
      <c r="C602" s="438"/>
      <c r="D602" s="438"/>
      <c r="E602" s="438"/>
      <c r="F602" s="438"/>
      <c r="G602" s="438"/>
      <c r="H602" s="438"/>
      <c r="I602" s="438"/>
      <c r="J602" s="438"/>
      <c r="K602" s="438"/>
      <c r="L602" s="438"/>
      <c r="M602" s="438"/>
      <c r="N602" s="438"/>
      <c r="O602" s="438"/>
      <c r="P602" s="438"/>
      <c r="Q602" s="438"/>
      <c r="R602" s="438"/>
      <c r="S602" s="438"/>
      <c r="T602" s="438"/>
      <c r="U602" s="438"/>
      <c r="V602" s="438"/>
      <c r="W602" s="438"/>
      <c r="X602" s="438"/>
      <c r="Y602" s="438"/>
      <c r="Z602" s="438"/>
      <c r="AA602" s="438"/>
      <c r="AB602" s="438"/>
      <c r="AC602" s="438"/>
      <c r="AD602" s="438"/>
      <c r="AE602" s="438"/>
      <c r="AF602" s="438"/>
      <c r="AG602" s="438"/>
      <c r="AH602" s="438"/>
    </row>
    <row r="603">
      <c r="A603" s="438"/>
      <c r="B603" s="438"/>
      <c r="C603" s="438"/>
      <c r="D603" s="438"/>
      <c r="E603" s="438"/>
      <c r="F603" s="438"/>
      <c r="G603" s="438"/>
      <c r="H603" s="438"/>
      <c r="I603" s="438"/>
      <c r="J603" s="438"/>
      <c r="K603" s="438"/>
      <c r="L603" s="438"/>
      <c r="M603" s="438"/>
      <c r="N603" s="438"/>
      <c r="O603" s="438"/>
      <c r="P603" s="438"/>
      <c r="Q603" s="438"/>
      <c r="R603" s="438"/>
      <c r="S603" s="438"/>
      <c r="T603" s="438"/>
      <c r="U603" s="438"/>
      <c r="V603" s="438"/>
      <c r="W603" s="438"/>
      <c r="X603" s="438"/>
      <c r="Y603" s="438"/>
      <c r="Z603" s="438"/>
      <c r="AA603" s="438"/>
      <c r="AB603" s="438"/>
      <c r="AC603" s="438"/>
      <c r="AD603" s="438"/>
      <c r="AE603" s="438"/>
      <c r="AF603" s="438"/>
      <c r="AG603" s="438"/>
      <c r="AH603" s="438"/>
    </row>
    <row r="604">
      <c r="A604" s="438"/>
      <c r="B604" s="438"/>
      <c r="C604" s="438"/>
      <c r="D604" s="438"/>
      <c r="E604" s="438"/>
      <c r="F604" s="438"/>
      <c r="G604" s="438"/>
      <c r="H604" s="438"/>
      <c r="I604" s="438"/>
      <c r="J604" s="438"/>
      <c r="K604" s="438"/>
      <c r="L604" s="438"/>
      <c r="M604" s="438"/>
      <c r="N604" s="438"/>
      <c r="O604" s="438"/>
      <c r="P604" s="438"/>
      <c r="Q604" s="438"/>
      <c r="R604" s="438"/>
      <c r="S604" s="438"/>
      <c r="T604" s="438"/>
      <c r="U604" s="438"/>
      <c r="V604" s="438"/>
      <c r="W604" s="438"/>
      <c r="X604" s="438"/>
      <c r="Y604" s="438"/>
      <c r="Z604" s="438"/>
      <c r="AA604" s="438"/>
      <c r="AB604" s="438"/>
      <c r="AC604" s="438"/>
      <c r="AD604" s="438"/>
      <c r="AE604" s="438"/>
      <c r="AF604" s="438"/>
      <c r="AG604" s="438"/>
      <c r="AH604" s="438"/>
    </row>
    <row r="605">
      <c r="A605" s="438"/>
      <c r="B605" s="438"/>
      <c r="C605" s="438"/>
      <c r="D605" s="438"/>
      <c r="E605" s="438"/>
      <c r="F605" s="438"/>
      <c r="G605" s="438"/>
      <c r="H605" s="438"/>
      <c r="I605" s="438"/>
      <c r="J605" s="438"/>
      <c r="K605" s="438"/>
      <c r="L605" s="438"/>
      <c r="M605" s="438"/>
      <c r="N605" s="438"/>
      <c r="O605" s="438"/>
      <c r="P605" s="438"/>
      <c r="Q605" s="438"/>
      <c r="R605" s="438"/>
      <c r="S605" s="438"/>
      <c r="T605" s="438"/>
      <c r="U605" s="438"/>
      <c r="V605" s="438"/>
      <c r="W605" s="438"/>
      <c r="X605" s="438"/>
      <c r="Y605" s="438"/>
      <c r="Z605" s="438"/>
      <c r="AA605" s="438"/>
      <c r="AB605" s="438"/>
      <c r="AC605" s="438"/>
      <c r="AD605" s="438"/>
      <c r="AE605" s="438"/>
      <c r="AF605" s="438"/>
      <c r="AG605" s="438"/>
      <c r="AH605" s="438"/>
    </row>
    <row r="606">
      <c r="A606" s="438"/>
      <c r="B606" s="438"/>
      <c r="C606" s="438"/>
      <c r="D606" s="438"/>
      <c r="E606" s="438"/>
      <c r="F606" s="438"/>
      <c r="G606" s="438"/>
      <c r="H606" s="438"/>
      <c r="I606" s="438"/>
      <c r="J606" s="438"/>
      <c r="K606" s="438"/>
      <c r="L606" s="438"/>
      <c r="M606" s="438"/>
      <c r="N606" s="438"/>
      <c r="O606" s="438"/>
      <c r="P606" s="438"/>
      <c r="Q606" s="438"/>
      <c r="R606" s="438"/>
      <c r="S606" s="438"/>
      <c r="T606" s="438"/>
      <c r="U606" s="438"/>
      <c r="V606" s="438"/>
      <c r="W606" s="438"/>
      <c r="X606" s="438"/>
      <c r="Y606" s="438"/>
      <c r="Z606" s="438"/>
      <c r="AA606" s="438"/>
      <c r="AB606" s="438"/>
      <c r="AC606" s="438"/>
      <c r="AD606" s="438"/>
      <c r="AE606" s="438"/>
      <c r="AF606" s="438"/>
      <c r="AG606" s="438"/>
      <c r="AH606" s="438"/>
    </row>
    <row r="607">
      <c r="A607" s="438"/>
      <c r="B607" s="438"/>
      <c r="C607" s="438"/>
      <c r="D607" s="438"/>
      <c r="E607" s="438"/>
      <c r="F607" s="438"/>
      <c r="G607" s="438"/>
      <c r="H607" s="438"/>
      <c r="I607" s="438"/>
      <c r="J607" s="438"/>
      <c r="K607" s="438"/>
      <c r="L607" s="438"/>
      <c r="M607" s="438"/>
      <c r="N607" s="438"/>
      <c r="O607" s="438"/>
      <c r="P607" s="438"/>
      <c r="Q607" s="438"/>
      <c r="R607" s="438"/>
      <c r="S607" s="438"/>
      <c r="T607" s="438"/>
      <c r="U607" s="438"/>
      <c r="V607" s="438"/>
      <c r="W607" s="438"/>
      <c r="X607" s="438"/>
      <c r="Y607" s="438"/>
      <c r="Z607" s="438"/>
      <c r="AA607" s="438"/>
      <c r="AB607" s="438"/>
      <c r="AC607" s="438"/>
      <c r="AD607" s="438"/>
      <c r="AE607" s="438"/>
      <c r="AF607" s="438"/>
      <c r="AG607" s="438"/>
      <c r="AH607" s="438"/>
    </row>
    <row r="608">
      <c r="A608" s="438"/>
      <c r="B608" s="438"/>
      <c r="C608" s="438"/>
      <c r="D608" s="438"/>
      <c r="E608" s="438"/>
      <c r="F608" s="438"/>
      <c r="G608" s="438"/>
      <c r="H608" s="438"/>
      <c r="I608" s="438"/>
      <c r="J608" s="438"/>
      <c r="K608" s="438"/>
      <c r="L608" s="438"/>
      <c r="M608" s="438"/>
      <c r="N608" s="438"/>
      <c r="O608" s="438"/>
      <c r="P608" s="438"/>
      <c r="Q608" s="438"/>
      <c r="R608" s="438"/>
      <c r="S608" s="438"/>
      <c r="T608" s="438"/>
      <c r="U608" s="438"/>
      <c r="V608" s="438"/>
      <c r="W608" s="438"/>
      <c r="X608" s="438"/>
      <c r="Y608" s="438"/>
      <c r="Z608" s="438"/>
      <c r="AA608" s="438"/>
      <c r="AB608" s="438"/>
      <c r="AC608" s="438"/>
      <c r="AD608" s="438"/>
      <c r="AE608" s="438"/>
      <c r="AF608" s="438"/>
      <c r="AG608" s="438"/>
      <c r="AH608" s="438"/>
    </row>
    <row r="609">
      <c r="A609" s="438"/>
      <c r="B609" s="438"/>
      <c r="C609" s="438"/>
      <c r="D609" s="438"/>
      <c r="E609" s="438"/>
      <c r="F609" s="438"/>
      <c r="G609" s="438"/>
      <c r="H609" s="438"/>
      <c r="I609" s="438"/>
      <c r="J609" s="438"/>
      <c r="K609" s="438"/>
      <c r="L609" s="438"/>
      <c r="M609" s="438"/>
      <c r="N609" s="438"/>
      <c r="O609" s="438"/>
      <c r="P609" s="438"/>
      <c r="Q609" s="438"/>
      <c r="R609" s="438"/>
      <c r="S609" s="438"/>
      <c r="T609" s="438"/>
      <c r="U609" s="438"/>
      <c r="V609" s="438"/>
      <c r="W609" s="438"/>
      <c r="X609" s="438"/>
      <c r="Y609" s="438"/>
      <c r="Z609" s="438"/>
      <c r="AA609" s="438"/>
      <c r="AB609" s="438"/>
      <c r="AC609" s="438"/>
      <c r="AD609" s="438"/>
      <c r="AE609" s="438"/>
      <c r="AF609" s="438"/>
      <c r="AG609" s="438"/>
      <c r="AH609" s="438"/>
    </row>
    <row r="610">
      <c r="A610" s="438"/>
      <c r="B610" s="438"/>
      <c r="C610" s="438"/>
      <c r="D610" s="438"/>
      <c r="E610" s="438"/>
      <c r="F610" s="438"/>
      <c r="G610" s="438"/>
      <c r="H610" s="438"/>
      <c r="I610" s="438"/>
      <c r="J610" s="438"/>
      <c r="K610" s="438"/>
      <c r="L610" s="438"/>
      <c r="M610" s="438"/>
      <c r="N610" s="438"/>
      <c r="O610" s="438"/>
      <c r="P610" s="438"/>
      <c r="Q610" s="438"/>
      <c r="R610" s="438"/>
      <c r="S610" s="438"/>
      <c r="T610" s="438"/>
      <c r="U610" s="438"/>
      <c r="V610" s="438"/>
      <c r="W610" s="438"/>
      <c r="X610" s="438"/>
      <c r="Y610" s="438"/>
      <c r="Z610" s="438"/>
      <c r="AA610" s="438"/>
      <c r="AB610" s="438"/>
      <c r="AC610" s="438"/>
      <c r="AD610" s="438"/>
      <c r="AE610" s="438"/>
      <c r="AF610" s="438"/>
      <c r="AG610" s="438"/>
      <c r="AH610" s="438"/>
    </row>
    <row r="611">
      <c r="A611" s="438"/>
      <c r="B611" s="438"/>
      <c r="C611" s="438"/>
      <c r="D611" s="438"/>
      <c r="E611" s="438"/>
      <c r="F611" s="438"/>
      <c r="G611" s="438"/>
      <c r="H611" s="438"/>
      <c r="I611" s="438"/>
      <c r="J611" s="438"/>
      <c r="K611" s="438"/>
      <c r="L611" s="438"/>
      <c r="M611" s="438"/>
      <c r="N611" s="438"/>
      <c r="O611" s="438"/>
      <c r="P611" s="438"/>
      <c r="Q611" s="438"/>
      <c r="R611" s="438"/>
      <c r="S611" s="438"/>
      <c r="T611" s="438"/>
      <c r="U611" s="438"/>
      <c r="V611" s="438"/>
      <c r="W611" s="438"/>
      <c r="X611" s="438"/>
      <c r="Y611" s="438"/>
      <c r="Z611" s="438"/>
      <c r="AA611" s="438"/>
      <c r="AB611" s="438"/>
      <c r="AC611" s="438"/>
      <c r="AD611" s="438"/>
      <c r="AE611" s="438"/>
      <c r="AF611" s="438"/>
      <c r="AG611" s="438"/>
      <c r="AH611" s="438"/>
    </row>
    <row r="612">
      <c r="A612" s="438"/>
      <c r="B612" s="438"/>
      <c r="C612" s="438"/>
      <c r="D612" s="438"/>
      <c r="E612" s="438"/>
      <c r="F612" s="438"/>
      <c r="G612" s="438"/>
      <c r="H612" s="438"/>
      <c r="I612" s="438"/>
      <c r="J612" s="438"/>
      <c r="K612" s="438"/>
      <c r="L612" s="438"/>
      <c r="M612" s="438"/>
      <c r="N612" s="438"/>
      <c r="O612" s="438"/>
      <c r="P612" s="438"/>
      <c r="Q612" s="438"/>
      <c r="R612" s="438"/>
      <c r="S612" s="438"/>
      <c r="T612" s="438"/>
      <c r="U612" s="438"/>
      <c r="V612" s="438"/>
      <c r="W612" s="438"/>
      <c r="X612" s="438"/>
      <c r="Y612" s="438"/>
      <c r="Z612" s="438"/>
      <c r="AA612" s="438"/>
      <c r="AB612" s="438"/>
      <c r="AC612" s="438"/>
      <c r="AD612" s="438"/>
      <c r="AE612" s="438"/>
      <c r="AF612" s="438"/>
      <c r="AG612" s="438"/>
      <c r="AH612" s="438"/>
    </row>
    <row r="613">
      <c r="A613" s="438"/>
      <c r="B613" s="438"/>
      <c r="C613" s="438"/>
      <c r="D613" s="438"/>
      <c r="E613" s="438"/>
      <c r="F613" s="438"/>
      <c r="G613" s="438"/>
      <c r="H613" s="438"/>
      <c r="I613" s="438"/>
      <c r="J613" s="438"/>
      <c r="K613" s="438"/>
      <c r="L613" s="438"/>
      <c r="M613" s="438"/>
      <c r="N613" s="438"/>
      <c r="O613" s="438"/>
      <c r="P613" s="438"/>
      <c r="Q613" s="438"/>
      <c r="R613" s="438"/>
      <c r="S613" s="438"/>
      <c r="T613" s="438"/>
      <c r="U613" s="438"/>
      <c r="V613" s="438"/>
      <c r="W613" s="438"/>
      <c r="X613" s="438"/>
      <c r="Y613" s="438"/>
      <c r="Z613" s="438"/>
      <c r="AA613" s="438"/>
      <c r="AB613" s="438"/>
      <c r="AC613" s="438"/>
      <c r="AD613" s="438"/>
      <c r="AE613" s="438"/>
      <c r="AF613" s="438"/>
      <c r="AG613" s="438"/>
      <c r="AH613" s="438"/>
    </row>
    <row r="614">
      <c r="A614" s="438"/>
      <c r="B614" s="438"/>
      <c r="C614" s="438"/>
      <c r="D614" s="438"/>
      <c r="E614" s="438"/>
      <c r="F614" s="438"/>
      <c r="G614" s="438"/>
      <c r="H614" s="438"/>
      <c r="I614" s="438"/>
      <c r="J614" s="438"/>
      <c r="K614" s="438"/>
      <c r="L614" s="438"/>
      <c r="M614" s="438"/>
      <c r="N614" s="438"/>
      <c r="O614" s="438"/>
      <c r="P614" s="438"/>
      <c r="Q614" s="438"/>
      <c r="R614" s="438"/>
      <c r="S614" s="438"/>
      <c r="T614" s="438"/>
      <c r="U614" s="438"/>
      <c r="V614" s="438"/>
      <c r="W614" s="438"/>
      <c r="X614" s="438"/>
      <c r="Y614" s="438"/>
      <c r="Z614" s="438"/>
      <c r="AA614" s="438"/>
      <c r="AB614" s="438"/>
      <c r="AC614" s="438"/>
      <c r="AD614" s="438"/>
      <c r="AE614" s="438"/>
      <c r="AF614" s="438"/>
      <c r="AG614" s="438"/>
      <c r="AH614" s="438"/>
    </row>
    <row r="615">
      <c r="A615" s="438"/>
      <c r="B615" s="438"/>
      <c r="C615" s="438"/>
      <c r="D615" s="438"/>
      <c r="E615" s="438"/>
      <c r="F615" s="438"/>
      <c r="G615" s="438"/>
      <c r="H615" s="438"/>
      <c r="I615" s="438"/>
      <c r="J615" s="438"/>
      <c r="K615" s="438"/>
      <c r="L615" s="438"/>
      <c r="M615" s="438"/>
      <c r="N615" s="438"/>
      <c r="O615" s="438"/>
      <c r="P615" s="438"/>
      <c r="Q615" s="438"/>
      <c r="R615" s="438"/>
      <c r="S615" s="438"/>
      <c r="T615" s="438"/>
      <c r="U615" s="438"/>
      <c r="V615" s="438"/>
      <c r="W615" s="438"/>
      <c r="X615" s="438"/>
      <c r="Y615" s="438"/>
      <c r="Z615" s="438"/>
      <c r="AA615" s="438"/>
      <c r="AB615" s="438"/>
      <c r="AC615" s="438"/>
      <c r="AD615" s="438"/>
      <c r="AE615" s="438"/>
      <c r="AF615" s="438"/>
      <c r="AG615" s="438"/>
      <c r="AH615" s="438"/>
    </row>
    <row r="616">
      <c r="A616" s="438"/>
      <c r="B616" s="438"/>
      <c r="C616" s="438"/>
      <c r="D616" s="438"/>
      <c r="E616" s="438"/>
      <c r="F616" s="438"/>
      <c r="G616" s="438"/>
      <c r="H616" s="438"/>
      <c r="I616" s="438"/>
      <c r="J616" s="438"/>
      <c r="K616" s="438"/>
      <c r="L616" s="438"/>
      <c r="M616" s="438"/>
      <c r="N616" s="438"/>
      <c r="O616" s="438"/>
      <c r="P616" s="438"/>
      <c r="Q616" s="438"/>
      <c r="R616" s="438"/>
      <c r="S616" s="438"/>
      <c r="T616" s="438"/>
      <c r="U616" s="438"/>
      <c r="V616" s="438"/>
      <c r="W616" s="438"/>
      <c r="X616" s="438"/>
      <c r="Y616" s="438"/>
      <c r="Z616" s="438"/>
      <c r="AA616" s="438"/>
      <c r="AB616" s="438"/>
      <c r="AC616" s="438"/>
      <c r="AD616" s="438"/>
      <c r="AE616" s="438"/>
      <c r="AF616" s="438"/>
      <c r="AG616" s="438"/>
      <c r="AH616" s="438"/>
    </row>
    <row r="617">
      <c r="A617" s="438"/>
      <c r="B617" s="438"/>
      <c r="C617" s="438"/>
      <c r="D617" s="438"/>
      <c r="E617" s="438"/>
      <c r="F617" s="438"/>
      <c r="G617" s="438"/>
      <c r="H617" s="438"/>
      <c r="I617" s="438"/>
      <c r="J617" s="438"/>
      <c r="K617" s="438"/>
      <c r="L617" s="438"/>
      <c r="M617" s="438"/>
      <c r="N617" s="438"/>
      <c r="O617" s="438"/>
      <c r="P617" s="438"/>
      <c r="Q617" s="438"/>
      <c r="R617" s="438"/>
      <c r="S617" s="438"/>
      <c r="T617" s="438"/>
      <c r="U617" s="438"/>
      <c r="V617" s="438"/>
      <c r="W617" s="438"/>
      <c r="X617" s="438"/>
      <c r="Y617" s="438"/>
      <c r="Z617" s="438"/>
      <c r="AA617" s="438"/>
      <c r="AB617" s="438"/>
      <c r="AC617" s="438"/>
      <c r="AD617" s="438"/>
      <c r="AE617" s="438"/>
      <c r="AF617" s="438"/>
      <c r="AG617" s="438"/>
      <c r="AH617" s="438"/>
    </row>
    <row r="618">
      <c r="A618" s="438"/>
      <c r="B618" s="438"/>
      <c r="C618" s="438"/>
      <c r="D618" s="438"/>
      <c r="E618" s="438"/>
      <c r="F618" s="438"/>
      <c r="G618" s="438"/>
      <c r="H618" s="438"/>
      <c r="I618" s="438"/>
      <c r="J618" s="438"/>
      <c r="K618" s="438"/>
      <c r="L618" s="438"/>
      <c r="M618" s="438"/>
      <c r="N618" s="438"/>
      <c r="O618" s="438"/>
      <c r="P618" s="438"/>
      <c r="Q618" s="438"/>
      <c r="R618" s="438"/>
      <c r="S618" s="438"/>
      <c r="T618" s="438"/>
      <c r="U618" s="438"/>
      <c r="V618" s="438"/>
      <c r="W618" s="438"/>
      <c r="X618" s="438"/>
      <c r="Y618" s="438"/>
      <c r="Z618" s="438"/>
      <c r="AA618" s="438"/>
      <c r="AB618" s="438"/>
      <c r="AC618" s="438"/>
      <c r="AD618" s="438"/>
      <c r="AE618" s="438"/>
      <c r="AF618" s="438"/>
      <c r="AG618" s="438"/>
      <c r="AH618" s="438"/>
    </row>
    <row r="619">
      <c r="A619" s="438"/>
      <c r="B619" s="438"/>
      <c r="C619" s="438"/>
      <c r="D619" s="438"/>
      <c r="E619" s="438"/>
      <c r="F619" s="438"/>
      <c r="G619" s="438"/>
      <c r="H619" s="438"/>
      <c r="I619" s="438"/>
      <c r="J619" s="438"/>
      <c r="K619" s="438"/>
      <c r="L619" s="438"/>
      <c r="M619" s="438"/>
      <c r="N619" s="438"/>
      <c r="O619" s="438"/>
      <c r="P619" s="438"/>
      <c r="Q619" s="438"/>
      <c r="R619" s="438"/>
      <c r="S619" s="438"/>
      <c r="T619" s="438"/>
      <c r="U619" s="438"/>
      <c r="V619" s="438"/>
      <c r="W619" s="438"/>
      <c r="X619" s="438"/>
      <c r="Y619" s="438"/>
      <c r="Z619" s="438"/>
      <c r="AA619" s="438"/>
      <c r="AB619" s="438"/>
      <c r="AC619" s="438"/>
      <c r="AD619" s="438"/>
      <c r="AE619" s="438"/>
      <c r="AF619" s="438"/>
      <c r="AG619" s="438"/>
      <c r="AH619" s="438"/>
    </row>
    <row r="620">
      <c r="A620" s="438"/>
      <c r="B620" s="438"/>
      <c r="C620" s="438"/>
      <c r="D620" s="438"/>
      <c r="E620" s="438"/>
      <c r="F620" s="438"/>
      <c r="G620" s="438"/>
      <c r="H620" s="438"/>
      <c r="I620" s="438"/>
      <c r="J620" s="438"/>
      <c r="K620" s="438"/>
      <c r="L620" s="438"/>
      <c r="M620" s="438"/>
      <c r="N620" s="438"/>
      <c r="O620" s="438"/>
      <c r="P620" s="438"/>
      <c r="Q620" s="438"/>
      <c r="R620" s="438"/>
      <c r="S620" s="438"/>
      <c r="T620" s="438"/>
      <c r="U620" s="438"/>
      <c r="V620" s="438"/>
      <c r="W620" s="438"/>
      <c r="X620" s="438"/>
      <c r="Y620" s="438"/>
      <c r="Z620" s="438"/>
      <c r="AA620" s="438"/>
      <c r="AB620" s="438"/>
      <c r="AC620" s="438"/>
      <c r="AD620" s="438"/>
      <c r="AE620" s="438"/>
      <c r="AF620" s="438"/>
      <c r="AG620" s="438"/>
      <c r="AH620" s="438"/>
    </row>
    <row r="621">
      <c r="A621" s="438"/>
      <c r="B621" s="438"/>
      <c r="C621" s="438"/>
      <c r="D621" s="438"/>
      <c r="E621" s="438"/>
      <c r="F621" s="438"/>
      <c r="G621" s="438"/>
      <c r="H621" s="438"/>
      <c r="I621" s="438"/>
      <c r="J621" s="438"/>
      <c r="K621" s="438"/>
      <c r="L621" s="438"/>
      <c r="M621" s="438"/>
      <c r="N621" s="438"/>
      <c r="O621" s="438"/>
      <c r="P621" s="438"/>
      <c r="Q621" s="438"/>
      <c r="R621" s="438"/>
      <c r="S621" s="438"/>
      <c r="T621" s="438"/>
      <c r="U621" s="438"/>
      <c r="V621" s="438"/>
      <c r="W621" s="438"/>
      <c r="X621" s="438"/>
      <c r="Y621" s="438"/>
      <c r="Z621" s="438"/>
      <c r="AA621" s="438"/>
      <c r="AB621" s="438"/>
      <c r="AC621" s="438"/>
      <c r="AD621" s="438"/>
      <c r="AE621" s="438"/>
      <c r="AF621" s="438"/>
      <c r="AG621" s="438"/>
      <c r="AH621" s="438"/>
    </row>
    <row r="622">
      <c r="A622" s="438"/>
      <c r="B622" s="438"/>
      <c r="C622" s="438"/>
      <c r="D622" s="438"/>
      <c r="E622" s="438"/>
      <c r="F622" s="438"/>
      <c r="G622" s="438"/>
      <c r="H622" s="438"/>
      <c r="I622" s="438"/>
      <c r="J622" s="438"/>
      <c r="K622" s="438"/>
      <c r="L622" s="438"/>
      <c r="M622" s="438"/>
      <c r="N622" s="438"/>
      <c r="O622" s="438"/>
      <c r="P622" s="438"/>
      <c r="Q622" s="438"/>
      <c r="R622" s="438"/>
      <c r="S622" s="438"/>
      <c r="T622" s="438"/>
      <c r="U622" s="438"/>
      <c r="V622" s="438"/>
      <c r="W622" s="438"/>
      <c r="X622" s="438"/>
      <c r="Y622" s="438"/>
      <c r="Z622" s="438"/>
      <c r="AA622" s="438"/>
      <c r="AB622" s="438"/>
      <c r="AC622" s="438"/>
      <c r="AD622" s="438"/>
      <c r="AE622" s="438"/>
      <c r="AF622" s="438"/>
      <c r="AG622" s="438"/>
      <c r="AH622" s="438"/>
    </row>
    <row r="623">
      <c r="A623" s="438"/>
      <c r="B623" s="438"/>
      <c r="C623" s="438"/>
      <c r="D623" s="438"/>
      <c r="E623" s="438"/>
      <c r="F623" s="438"/>
      <c r="G623" s="438"/>
      <c r="H623" s="438"/>
      <c r="I623" s="438"/>
      <c r="J623" s="438"/>
      <c r="K623" s="438"/>
      <c r="L623" s="438"/>
      <c r="M623" s="438"/>
      <c r="N623" s="438"/>
      <c r="O623" s="438"/>
      <c r="P623" s="438"/>
      <c r="Q623" s="438"/>
      <c r="R623" s="438"/>
      <c r="S623" s="438"/>
      <c r="T623" s="438"/>
      <c r="U623" s="438"/>
      <c r="V623" s="438"/>
      <c r="W623" s="438"/>
      <c r="X623" s="438"/>
      <c r="Y623" s="438"/>
      <c r="Z623" s="438"/>
      <c r="AA623" s="438"/>
      <c r="AB623" s="438"/>
      <c r="AC623" s="438"/>
      <c r="AD623" s="438"/>
      <c r="AE623" s="438"/>
      <c r="AF623" s="438"/>
      <c r="AG623" s="438"/>
      <c r="AH623" s="438"/>
    </row>
    <row r="624">
      <c r="A624" s="438"/>
      <c r="B624" s="438"/>
      <c r="C624" s="438"/>
      <c r="D624" s="438"/>
      <c r="E624" s="438"/>
      <c r="F624" s="438"/>
      <c r="G624" s="438"/>
      <c r="H624" s="438"/>
      <c r="I624" s="438"/>
      <c r="J624" s="438"/>
      <c r="K624" s="438"/>
      <c r="L624" s="438"/>
      <c r="M624" s="438"/>
      <c r="N624" s="438"/>
      <c r="O624" s="438"/>
      <c r="P624" s="438"/>
      <c r="Q624" s="438"/>
      <c r="R624" s="438"/>
      <c r="S624" s="438"/>
      <c r="T624" s="438"/>
      <c r="U624" s="438"/>
      <c r="V624" s="438"/>
      <c r="W624" s="438"/>
      <c r="X624" s="438"/>
      <c r="Y624" s="438"/>
      <c r="Z624" s="438"/>
      <c r="AA624" s="438"/>
      <c r="AB624" s="438"/>
      <c r="AC624" s="438"/>
      <c r="AD624" s="438"/>
      <c r="AE624" s="438"/>
      <c r="AF624" s="438"/>
      <c r="AG624" s="438"/>
      <c r="AH624" s="438"/>
    </row>
    <row r="625">
      <c r="A625" s="438"/>
      <c r="B625" s="438"/>
      <c r="C625" s="438"/>
      <c r="D625" s="438"/>
      <c r="E625" s="438"/>
      <c r="F625" s="438"/>
      <c r="G625" s="438"/>
      <c r="H625" s="438"/>
      <c r="I625" s="438"/>
      <c r="J625" s="438"/>
      <c r="K625" s="438"/>
      <c r="L625" s="438"/>
      <c r="M625" s="438"/>
      <c r="N625" s="438"/>
      <c r="O625" s="438"/>
      <c r="P625" s="438"/>
      <c r="Q625" s="438"/>
      <c r="R625" s="438"/>
      <c r="S625" s="438"/>
      <c r="T625" s="438"/>
      <c r="U625" s="438"/>
      <c r="V625" s="438"/>
      <c r="W625" s="438"/>
      <c r="X625" s="438"/>
      <c r="Y625" s="438"/>
      <c r="Z625" s="438"/>
      <c r="AA625" s="438"/>
      <c r="AB625" s="438"/>
      <c r="AC625" s="438"/>
      <c r="AD625" s="438"/>
      <c r="AE625" s="438"/>
      <c r="AF625" s="438"/>
      <c r="AG625" s="438"/>
      <c r="AH625" s="438"/>
    </row>
    <row r="626">
      <c r="A626" s="438"/>
      <c r="B626" s="438"/>
      <c r="C626" s="438"/>
      <c r="D626" s="438"/>
      <c r="E626" s="438"/>
      <c r="F626" s="438"/>
      <c r="G626" s="438"/>
      <c r="H626" s="438"/>
      <c r="I626" s="438"/>
      <c r="J626" s="438"/>
      <c r="K626" s="438"/>
      <c r="L626" s="438"/>
      <c r="M626" s="438"/>
      <c r="N626" s="438"/>
      <c r="O626" s="438"/>
      <c r="P626" s="438"/>
      <c r="Q626" s="438"/>
      <c r="R626" s="438"/>
      <c r="S626" s="438"/>
      <c r="T626" s="438"/>
      <c r="U626" s="438"/>
      <c r="V626" s="438"/>
      <c r="W626" s="438"/>
      <c r="X626" s="438"/>
      <c r="Y626" s="438"/>
      <c r="Z626" s="438"/>
      <c r="AA626" s="438"/>
      <c r="AB626" s="438"/>
      <c r="AC626" s="438"/>
      <c r="AD626" s="438"/>
      <c r="AE626" s="438"/>
      <c r="AF626" s="438"/>
      <c r="AG626" s="438"/>
      <c r="AH626" s="438"/>
    </row>
    <row r="627">
      <c r="A627" s="438"/>
      <c r="B627" s="438"/>
      <c r="C627" s="438"/>
      <c r="D627" s="438"/>
      <c r="E627" s="438"/>
      <c r="F627" s="438"/>
      <c r="G627" s="438"/>
      <c r="H627" s="438"/>
      <c r="I627" s="438"/>
      <c r="J627" s="438"/>
      <c r="K627" s="438"/>
      <c r="L627" s="438"/>
      <c r="M627" s="438"/>
      <c r="N627" s="438"/>
      <c r="O627" s="438"/>
      <c r="P627" s="438"/>
      <c r="Q627" s="438"/>
      <c r="R627" s="438"/>
      <c r="S627" s="438"/>
      <c r="T627" s="438"/>
      <c r="U627" s="438"/>
      <c r="V627" s="438"/>
      <c r="W627" s="438"/>
      <c r="X627" s="438"/>
      <c r="Y627" s="438"/>
      <c r="Z627" s="438"/>
      <c r="AA627" s="438"/>
      <c r="AB627" s="438"/>
      <c r="AC627" s="438"/>
      <c r="AD627" s="438"/>
      <c r="AE627" s="438"/>
      <c r="AF627" s="438"/>
      <c r="AG627" s="438"/>
      <c r="AH627" s="438"/>
    </row>
    <row r="628">
      <c r="A628" s="438"/>
      <c r="B628" s="438"/>
      <c r="C628" s="438"/>
      <c r="D628" s="438"/>
      <c r="E628" s="438"/>
      <c r="F628" s="438"/>
      <c r="G628" s="438"/>
      <c r="H628" s="438"/>
      <c r="I628" s="438"/>
      <c r="J628" s="438"/>
      <c r="K628" s="438"/>
      <c r="L628" s="438"/>
      <c r="M628" s="438"/>
      <c r="N628" s="438"/>
      <c r="O628" s="438"/>
      <c r="P628" s="438"/>
      <c r="Q628" s="438"/>
      <c r="R628" s="438"/>
      <c r="S628" s="438"/>
      <c r="T628" s="438"/>
      <c r="U628" s="438"/>
      <c r="V628" s="438"/>
      <c r="W628" s="438"/>
      <c r="X628" s="438"/>
      <c r="Y628" s="438"/>
      <c r="Z628" s="438"/>
      <c r="AA628" s="438"/>
      <c r="AB628" s="438"/>
      <c r="AC628" s="438"/>
      <c r="AD628" s="438"/>
      <c r="AE628" s="438"/>
      <c r="AF628" s="438"/>
      <c r="AG628" s="438"/>
      <c r="AH628" s="438"/>
    </row>
    <row r="629">
      <c r="A629" s="438"/>
      <c r="B629" s="438"/>
      <c r="C629" s="438"/>
      <c r="D629" s="438"/>
      <c r="E629" s="438"/>
      <c r="F629" s="438"/>
      <c r="G629" s="438"/>
      <c r="H629" s="438"/>
      <c r="I629" s="438"/>
      <c r="J629" s="438"/>
      <c r="K629" s="438"/>
      <c r="L629" s="438"/>
      <c r="M629" s="438"/>
      <c r="N629" s="438"/>
      <c r="O629" s="438"/>
      <c r="P629" s="438"/>
      <c r="Q629" s="438"/>
      <c r="R629" s="438"/>
      <c r="S629" s="438"/>
      <c r="T629" s="438"/>
      <c r="U629" s="438"/>
      <c r="V629" s="438"/>
      <c r="W629" s="438"/>
      <c r="X629" s="438"/>
      <c r="Y629" s="438"/>
      <c r="Z629" s="438"/>
      <c r="AA629" s="438"/>
      <c r="AB629" s="438"/>
      <c r="AC629" s="438"/>
      <c r="AD629" s="438"/>
      <c r="AE629" s="438"/>
      <c r="AF629" s="438"/>
      <c r="AG629" s="438"/>
      <c r="AH629" s="438"/>
    </row>
    <row r="630">
      <c r="A630" s="438"/>
      <c r="B630" s="438"/>
      <c r="C630" s="438"/>
      <c r="D630" s="438"/>
      <c r="E630" s="438"/>
      <c r="F630" s="438"/>
      <c r="G630" s="438"/>
      <c r="H630" s="438"/>
      <c r="I630" s="438"/>
      <c r="J630" s="438"/>
      <c r="K630" s="438"/>
      <c r="L630" s="438"/>
      <c r="M630" s="438"/>
      <c r="N630" s="438"/>
      <c r="O630" s="438"/>
      <c r="P630" s="438"/>
      <c r="Q630" s="438"/>
      <c r="R630" s="438"/>
      <c r="S630" s="438"/>
      <c r="T630" s="438"/>
      <c r="U630" s="438"/>
      <c r="V630" s="438"/>
      <c r="W630" s="438"/>
      <c r="X630" s="438"/>
      <c r="Y630" s="438"/>
      <c r="Z630" s="438"/>
      <c r="AA630" s="438"/>
      <c r="AB630" s="438"/>
      <c r="AC630" s="438"/>
      <c r="AD630" s="438"/>
      <c r="AE630" s="438"/>
      <c r="AF630" s="438"/>
      <c r="AG630" s="438"/>
      <c r="AH630" s="438"/>
    </row>
    <row r="631">
      <c r="A631" s="438"/>
      <c r="B631" s="438"/>
      <c r="C631" s="438"/>
      <c r="D631" s="438"/>
      <c r="E631" s="438"/>
      <c r="F631" s="438"/>
      <c r="G631" s="438"/>
      <c r="H631" s="438"/>
      <c r="I631" s="438"/>
      <c r="J631" s="438"/>
      <c r="K631" s="438"/>
      <c r="L631" s="438"/>
      <c r="M631" s="438"/>
      <c r="N631" s="438"/>
      <c r="O631" s="438"/>
      <c r="P631" s="438"/>
      <c r="Q631" s="438"/>
      <c r="R631" s="438"/>
      <c r="S631" s="438"/>
      <c r="T631" s="438"/>
      <c r="U631" s="438"/>
      <c r="V631" s="438"/>
      <c r="W631" s="438"/>
      <c r="X631" s="438"/>
      <c r="Y631" s="438"/>
      <c r="Z631" s="438"/>
      <c r="AA631" s="438"/>
      <c r="AB631" s="438"/>
      <c r="AC631" s="438"/>
      <c r="AD631" s="438"/>
      <c r="AE631" s="438"/>
      <c r="AF631" s="438"/>
      <c r="AG631" s="438"/>
      <c r="AH631" s="438"/>
    </row>
    <row r="632">
      <c r="A632" s="438"/>
      <c r="B632" s="438"/>
      <c r="C632" s="438"/>
      <c r="D632" s="438"/>
      <c r="E632" s="438"/>
      <c r="F632" s="438"/>
      <c r="G632" s="438"/>
      <c r="H632" s="438"/>
      <c r="I632" s="438"/>
      <c r="J632" s="438"/>
      <c r="K632" s="438"/>
      <c r="L632" s="438"/>
      <c r="M632" s="438"/>
      <c r="N632" s="438"/>
      <c r="O632" s="438"/>
      <c r="P632" s="438"/>
      <c r="Q632" s="438"/>
      <c r="R632" s="438"/>
      <c r="S632" s="438"/>
      <c r="T632" s="438"/>
      <c r="U632" s="438"/>
      <c r="V632" s="438"/>
      <c r="W632" s="438"/>
      <c r="X632" s="438"/>
      <c r="Y632" s="438"/>
      <c r="Z632" s="438"/>
      <c r="AA632" s="438"/>
      <c r="AB632" s="438"/>
      <c r="AC632" s="438"/>
      <c r="AD632" s="438"/>
      <c r="AE632" s="438"/>
      <c r="AF632" s="438"/>
      <c r="AG632" s="438"/>
      <c r="AH632" s="438"/>
    </row>
    <row r="633">
      <c r="A633" s="438"/>
      <c r="B633" s="438"/>
      <c r="C633" s="438"/>
      <c r="D633" s="438"/>
      <c r="E633" s="438"/>
      <c r="F633" s="438"/>
      <c r="G633" s="438"/>
      <c r="H633" s="438"/>
      <c r="I633" s="438"/>
      <c r="J633" s="438"/>
      <c r="K633" s="438"/>
      <c r="L633" s="438"/>
      <c r="M633" s="438"/>
      <c r="N633" s="438"/>
      <c r="O633" s="438"/>
      <c r="P633" s="438"/>
      <c r="Q633" s="438"/>
      <c r="R633" s="438"/>
      <c r="S633" s="438"/>
      <c r="T633" s="438"/>
      <c r="U633" s="438"/>
      <c r="V633" s="438"/>
      <c r="W633" s="438"/>
      <c r="X633" s="438"/>
      <c r="Y633" s="438"/>
      <c r="Z633" s="438"/>
      <c r="AA633" s="438"/>
      <c r="AB633" s="438"/>
      <c r="AC633" s="438"/>
      <c r="AD633" s="438"/>
      <c r="AE633" s="438"/>
      <c r="AF633" s="438"/>
      <c r="AG633" s="438"/>
      <c r="AH633" s="438"/>
    </row>
    <row r="634">
      <c r="A634" s="438"/>
      <c r="B634" s="438"/>
      <c r="C634" s="438"/>
      <c r="D634" s="438"/>
      <c r="E634" s="438"/>
      <c r="F634" s="438"/>
      <c r="G634" s="438"/>
      <c r="H634" s="438"/>
      <c r="I634" s="438"/>
      <c r="J634" s="438"/>
      <c r="K634" s="438"/>
      <c r="L634" s="438"/>
      <c r="M634" s="438"/>
      <c r="N634" s="438"/>
      <c r="O634" s="438"/>
      <c r="P634" s="438"/>
      <c r="Q634" s="438"/>
      <c r="R634" s="438"/>
      <c r="S634" s="438"/>
      <c r="T634" s="438"/>
      <c r="U634" s="438"/>
      <c r="V634" s="438"/>
      <c r="W634" s="438"/>
      <c r="X634" s="438"/>
      <c r="Y634" s="438"/>
      <c r="Z634" s="438"/>
      <c r="AA634" s="438"/>
      <c r="AB634" s="438"/>
      <c r="AC634" s="438"/>
      <c r="AD634" s="438"/>
      <c r="AE634" s="438"/>
      <c r="AF634" s="438"/>
      <c r="AG634" s="438"/>
      <c r="AH634" s="438"/>
    </row>
    <row r="635">
      <c r="A635" s="438"/>
      <c r="B635" s="438"/>
      <c r="C635" s="438"/>
      <c r="D635" s="438"/>
      <c r="E635" s="438"/>
      <c r="F635" s="438"/>
      <c r="G635" s="438"/>
      <c r="H635" s="438"/>
      <c r="I635" s="438"/>
      <c r="J635" s="438"/>
      <c r="K635" s="438"/>
      <c r="L635" s="438"/>
      <c r="M635" s="438"/>
      <c r="N635" s="438"/>
      <c r="O635" s="438"/>
      <c r="P635" s="438"/>
      <c r="Q635" s="438"/>
      <c r="R635" s="438"/>
      <c r="S635" s="438"/>
      <c r="T635" s="438"/>
      <c r="U635" s="438"/>
      <c r="V635" s="438"/>
      <c r="W635" s="438"/>
      <c r="X635" s="438"/>
      <c r="Y635" s="438"/>
      <c r="Z635" s="438"/>
      <c r="AA635" s="438"/>
      <c r="AB635" s="438"/>
      <c r="AC635" s="438"/>
      <c r="AD635" s="438"/>
      <c r="AE635" s="438"/>
      <c r="AF635" s="438"/>
      <c r="AG635" s="438"/>
      <c r="AH635" s="438"/>
    </row>
    <row r="636">
      <c r="A636" s="438"/>
      <c r="B636" s="438"/>
      <c r="C636" s="438"/>
      <c r="D636" s="438"/>
      <c r="E636" s="438"/>
      <c r="F636" s="438"/>
      <c r="G636" s="438"/>
      <c r="H636" s="438"/>
      <c r="I636" s="438"/>
      <c r="J636" s="438"/>
      <c r="K636" s="438"/>
      <c r="L636" s="438"/>
      <c r="M636" s="438"/>
      <c r="N636" s="438"/>
      <c r="O636" s="438"/>
      <c r="P636" s="438"/>
      <c r="Q636" s="438"/>
      <c r="R636" s="438"/>
      <c r="S636" s="438"/>
      <c r="T636" s="438"/>
      <c r="U636" s="438"/>
      <c r="V636" s="438"/>
      <c r="W636" s="438"/>
      <c r="X636" s="438"/>
      <c r="Y636" s="438"/>
      <c r="Z636" s="438"/>
      <c r="AA636" s="438"/>
      <c r="AB636" s="438"/>
      <c r="AC636" s="438"/>
      <c r="AD636" s="438"/>
      <c r="AE636" s="438"/>
      <c r="AF636" s="438"/>
      <c r="AG636" s="438"/>
      <c r="AH636" s="438"/>
    </row>
    <row r="637">
      <c r="A637" s="438"/>
      <c r="B637" s="438"/>
      <c r="C637" s="438"/>
      <c r="D637" s="438"/>
      <c r="E637" s="438"/>
      <c r="F637" s="438"/>
      <c r="G637" s="438"/>
      <c r="H637" s="438"/>
      <c r="I637" s="438"/>
      <c r="J637" s="438"/>
      <c r="K637" s="438"/>
      <c r="L637" s="438"/>
      <c r="M637" s="438"/>
      <c r="N637" s="438"/>
      <c r="O637" s="438"/>
      <c r="P637" s="438"/>
      <c r="Q637" s="438"/>
      <c r="R637" s="438"/>
      <c r="S637" s="438"/>
      <c r="T637" s="438"/>
      <c r="U637" s="438"/>
      <c r="V637" s="438"/>
      <c r="W637" s="438"/>
      <c r="X637" s="438"/>
      <c r="Y637" s="438"/>
      <c r="Z637" s="438"/>
      <c r="AA637" s="438"/>
      <c r="AB637" s="438"/>
      <c r="AC637" s="438"/>
      <c r="AD637" s="438"/>
      <c r="AE637" s="438"/>
      <c r="AF637" s="438"/>
      <c r="AG637" s="438"/>
      <c r="AH637" s="438"/>
    </row>
    <row r="638">
      <c r="A638" s="438"/>
      <c r="B638" s="438"/>
      <c r="C638" s="438"/>
      <c r="D638" s="438"/>
      <c r="E638" s="438"/>
      <c r="F638" s="438"/>
      <c r="G638" s="438"/>
      <c r="H638" s="438"/>
      <c r="I638" s="438"/>
      <c r="J638" s="438"/>
      <c r="K638" s="438"/>
      <c r="L638" s="438"/>
      <c r="M638" s="438"/>
      <c r="N638" s="438"/>
      <c r="O638" s="438"/>
      <c r="P638" s="438"/>
      <c r="Q638" s="438"/>
      <c r="R638" s="438"/>
      <c r="S638" s="438"/>
      <c r="T638" s="438"/>
      <c r="U638" s="438"/>
      <c r="V638" s="438"/>
      <c r="W638" s="438"/>
      <c r="X638" s="438"/>
      <c r="Y638" s="438"/>
      <c r="Z638" s="438"/>
      <c r="AA638" s="438"/>
      <c r="AB638" s="438"/>
      <c r="AC638" s="438"/>
      <c r="AD638" s="438"/>
      <c r="AE638" s="438"/>
      <c r="AF638" s="438"/>
      <c r="AG638" s="438"/>
      <c r="AH638" s="438"/>
    </row>
    <row r="639">
      <c r="A639" s="438"/>
      <c r="B639" s="438"/>
      <c r="C639" s="438"/>
      <c r="D639" s="438"/>
      <c r="E639" s="438"/>
      <c r="F639" s="438"/>
      <c r="G639" s="438"/>
      <c r="H639" s="438"/>
      <c r="I639" s="438"/>
      <c r="J639" s="438"/>
      <c r="K639" s="438"/>
      <c r="L639" s="438"/>
      <c r="M639" s="438"/>
      <c r="N639" s="438"/>
      <c r="O639" s="438"/>
      <c r="P639" s="438"/>
      <c r="Q639" s="438"/>
      <c r="R639" s="438"/>
      <c r="S639" s="438"/>
      <c r="T639" s="438"/>
      <c r="U639" s="438"/>
      <c r="V639" s="438"/>
      <c r="W639" s="438"/>
      <c r="X639" s="438"/>
      <c r="Y639" s="438"/>
      <c r="Z639" s="438"/>
      <c r="AA639" s="438"/>
      <c r="AB639" s="438"/>
      <c r="AC639" s="438"/>
      <c r="AD639" s="438"/>
      <c r="AE639" s="438"/>
      <c r="AF639" s="438"/>
      <c r="AG639" s="438"/>
      <c r="AH639" s="438"/>
    </row>
    <row r="640">
      <c r="A640" s="438"/>
      <c r="B640" s="438"/>
      <c r="C640" s="438"/>
      <c r="D640" s="438"/>
      <c r="E640" s="438"/>
      <c r="F640" s="438"/>
      <c r="G640" s="438"/>
      <c r="H640" s="438"/>
      <c r="I640" s="438"/>
      <c r="J640" s="438"/>
      <c r="K640" s="438"/>
      <c r="L640" s="438"/>
      <c r="M640" s="438"/>
      <c r="N640" s="438"/>
      <c r="O640" s="438"/>
      <c r="P640" s="438"/>
      <c r="Q640" s="438"/>
      <c r="R640" s="438"/>
      <c r="S640" s="438"/>
      <c r="T640" s="438"/>
      <c r="U640" s="438"/>
      <c r="V640" s="438"/>
      <c r="W640" s="438"/>
      <c r="X640" s="438"/>
      <c r="Y640" s="438"/>
      <c r="Z640" s="438"/>
      <c r="AA640" s="438"/>
      <c r="AB640" s="438"/>
      <c r="AC640" s="438"/>
      <c r="AD640" s="438"/>
      <c r="AE640" s="438"/>
      <c r="AF640" s="438"/>
      <c r="AG640" s="438"/>
      <c r="AH640" s="438"/>
    </row>
    <row r="641">
      <c r="A641" s="438"/>
      <c r="B641" s="438"/>
      <c r="C641" s="438"/>
      <c r="D641" s="438"/>
      <c r="E641" s="438"/>
      <c r="F641" s="438"/>
      <c r="G641" s="438"/>
      <c r="H641" s="438"/>
      <c r="I641" s="438"/>
      <c r="J641" s="438"/>
      <c r="K641" s="438"/>
      <c r="L641" s="438"/>
      <c r="M641" s="438"/>
      <c r="N641" s="438"/>
      <c r="O641" s="438"/>
      <c r="P641" s="438"/>
      <c r="Q641" s="438"/>
      <c r="R641" s="438"/>
      <c r="S641" s="438"/>
      <c r="T641" s="438"/>
      <c r="U641" s="438"/>
      <c r="V641" s="438"/>
      <c r="W641" s="438"/>
      <c r="X641" s="438"/>
      <c r="Y641" s="438"/>
      <c r="Z641" s="438"/>
      <c r="AA641" s="438"/>
      <c r="AB641" s="438"/>
      <c r="AC641" s="438"/>
      <c r="AD641" s="438"/>
      <c r="AE641" s="438"/>
      <c r="AF641" s="438"/>
      <c r="AG641" s="438"/>
      <c r="AH641" s="438"/>
    </row>
    <row r="642">
      <c r="A642" s="438"/>
      <c r="B642" s="438"/>
      <c r="C642" s="438"/>
      <c r="D642" s="438"/>
      <c r="E642" s="438"/>
      <c r="F642" s="438"/>
      <c r="G642" s="438"/>
      <c r="H642" s="438"/>
      <c r="I642" s="438"/>
      <c r="J642" s="438"/>
      <c r="K642" s="438"/>
      <c r="L642" s="438"/>
      <c r="M642" s="438"/>
      <c r="N642" s="438"/>
      <c r="O642" s="438"/>
      <c r="P642" s="438"/>
      <c r="Q642" s="438"/>
      <c r="R642" s="438"/>
      <c r="S642" s="438"/>
      <c r="T642" s="438"/>
      <c r="U642" s="438"/>
      <c r="V642" s="438"/>
      <c r="W642" s="438"/>
      <c r="X642" s="438"/>
      <c r="Y642" s="438"/>
      <c r="Z642" s="438"/>
      <c r="AA642" s="438"/>
      <c r="AB642" s="438"/>
      <c r="AC642" s="438"/>
      <c r="AD642" s="438"/>
      <c r="AE642" s="438"/>
      <c r="AF642" s="438"/>
      <c r="AG642" s="438"/>
      <c r="AH642" s="438"/>
    </row>
    <row r="643">
      <c r="A643" s="438"/>
      <c r="B643" s="438"/>
      <c r="C643" s="438"/>
      <c r="D643" s="438"/>
      <c r="E643" s="438"/>
      <c r="F643" s="438"/>
      <c r="G643" s="438"/>
      <c r="H643" s="438"/>
      <c r="I643" s="438"/>
      <c r="J643" s="438"/>
      <c r="K643" s="438"/>
      <c r="L643" s="438"/>
      <c r="M643" s="438"/>
      <c r="N643" s="438"/>
      <c r="O643" s="438"/>
      <c r="P643" s="438"/>
      <c r="Q643" s="438"/>
      <c r="R643" s="438"/>
      <c r="S643" s="438"/>
      <c r="T643" s="438"/>
      <c r="U643" s="438"/>
      <c r="V643" s="438"/>
      <c r="W643" s="438"/>
      <c r="X643" s="438"/>
      <c r="Y643" s="438"/>
      <c r="Z643" s="438"/>
      <c r="AA643" s="438"/>
      <c r="AB643" s="438"/>
      <c r="AC643" s="438"/>
      <c r="AD643" s="438"/>
      <c r="AE643" s="438"/>
      <c r="AF643" s="438"/>
      <c r="AG643" s="438"/>
      <c r="AH643" s="438"/>
    </row>
    <row r="644">
      <c r="A644" s="438"/>
      <c r="B644" s="438"/>
      <c r="C644" s="438"/>
      <c r="D644" s="438"/>
      <c r="E644" s="438"/>
      <c r="F644" s="438"/>
      <c r="G644" s="438"/>
      <c r="H644" s="438"/>
      <c r="I644" s="438"/>
      <c r="J644" s="438"/>
      <c r="K644" s="438"/>
      <c r="L644" s="438"/>
      <c r="M644" s="438"/>
      <c r="N644" s="438"/>
      <c r="O644" s="438"/>
      <c r="P644" s="438"/>
      <c r="Q644" s="438"/>
      <c r="R644" s="438"/>
      <c r="S644" s="438"/>
      <c r="T644" s="438"/>
      <c r="U644" s="438"/>
      <c r="V644" s="438"/>
      <c r="W644" s="438"/>
      <c r="X644" s="438"/>
      <c r="Y644" s="438"/>
      <c r="Z644" s="438"/>
      <c r="AA644" s="438"/>
      <c r="AB644" s="438"/>
      <c r="AC644" s="438"/>
      <c r="AD644" s="438"/>
      <c r="AE644" s="438"/>
      <c r="AF644" s="438"/>
      <c r="AG644" s="438"/>
      <c r="AH644" s="438"/>
    </row>
    <row r="645">
      <c r="A645" s="438"/>
      <c r="B645" s="438"/>
      <c r="C645" s="438"/>
      <c r="D645" s="438"/>
      <c r="E645" s="438"/>
      <c r="F645" s="438"/>
      <c r="G645" s="438"/>
      <c r="H645" s="438"/>
      <c r="I645" s="438"/>
      <c r="J645" s="438"/>
      <c r="K645" s="438"/>
      <c r="L645" s="438"/>
      <c r="M645" s="438"/>
      <c r="N645" s="438"/>
      <c r="O645" s="438"/>
      <c r="P645" s="438"/>
      <c r="Q645" s="438"/>
      <c r="R645" s="438"/>
      <c r="S645" s="438"/>
      <c r="T645" s="438"/>
      <c r="U645" s="438"/>
      <c r="V645" s="438"/>
      <c r="W645" s="438"/>
      <c r="X645" s="438"/>
      <c r="Y645" s="438"/>
      <c r="Z645" s="438"/>
      <c r="AA645" s="438"/>
      <c r="AB645" s="438"/>
      <c r="AC645" s="438"/>
      <c r="AD645" s="438"/>
      <c r="AE645" s="438"/>
      <c r="AF645" s="438"/>
      <c r="AG645" s="438"/>
      <c r="AH645" s="438"/>
    </row>
    <row r="646">
      <c r="A646" s="438"/>
      <c r="B646" s="438"/>
      <c r="C646" s="438"/>
      <c r="D646" s="438"/>
      <c r="E646" s="438"/>
      <c r="F646" s="438"/>
      <c r="G646" s="438"/>
      <c r="H646" s="438"/>
      <c r="I646" s="438"/>
      <c r="J646" s="438"/>
      <c r="K646" s="438"/>
      <c r="L646" s="438"/>
      <c r="M646" s="438"/>
      <c r="N646" s="438"/>
      <c r="O646" s="438"/>
      <c r="P646" s="438"/>
      <c r="Q646" s="438"/>
      <c r="R646" s="438"/>
      <c r="S646" s="438"/>
      <c r="T646" s="438"/>
      <c r="U646" s="438"/>
      <c r="V646" s="438"/>
      <c r="W646" s="438"/>
      <c r="X646" s="438"/>
      <c r="Y646" s="438"/>
      <c r="Z646" s="438"/>
      <c r="AA646" s="438"/>
      <c r="AB646" s="438"/>
      <c r="AC646" s="438"/>
      <c r="AD646" s="438"/>
      <c r="AE646" s="438"/>
      <c r="AF646" s="438"/>
      <c r="AG646" s="438"/>
      <c r="AH646" s="438"/>
    </row>
    <row r="647">
      <c r="A647" s="438"/>
      <c r="B647" s="438"/>
      <c r="C647" s="438"/>
      <c r="D647" s="438"/>
      <c r="E647" s="438"/>
      <c r="F647" s="438"/>
      <c r="G647" s="438"/>
      <c r="H647" s="438"/>
      <c r="I647" s="438"/>
      <c r="J647" s="438"/>
      <c r="K647" s="438"/>
      <c r="L647" s="438"/>
      <c r="M647" s="438"/>
      <c r="N647" s="438"/>
      <c r="O647" s="438"/>
      <c r="P647" s="438"/>
      <c r="Q647" s="438"/>
      <c r="R647" s="438"/>
      <c r="S647" s="438"/>
      <c r="T647" s="438"/>
      <c r="U647" s="438"/>
      <c r="V647" s="438"/>
      <c r="W647" s="438"/>
      <c r="X647" s="438"/>
      <c r="Y647" s="438"/>
      <c r="Z647" s="438"/>
      <c r="AA647" s="438"/>
      <c r="AB647" s="438"/>
      <c r="AC647" s="438"/>
      <c r="AD647" s="438"/>
      <c r="AE647" s="438"/>
      <c r="AF647" s="438"/>
      <c r="AG647" s="438"/>
      <c r="AH647" s="438"/>
    </row>
    <row r="648">
      <c r="A648" s="438"/>
      <c r="B648" s="438"/>
      <c r="C648" s="438"/>
      <c r="D648" s="438"/>
      <c r="E648" s="438"/>
      <c r="F648" s="438"/>
      <c r="G648" s="438"/>
      <c r="H648" s="438"/>
      <c r="I648" s="438"/>
      <c r="J648" s="438"/>
      <c r="K648" s="438"/>
      <c r="L648" s="438"/>
      <c r="M648" s="438"/>
      <c r="N648" s="438"/>
      <c r="O648" s="438"/>
      <c r="P648" s="438"/>
      <c r="Q648" s="438"/>
      <c r="R648" s="438"/>
      <c r="S648" s="438"/>
      <c r="T648" s="438"/>
      <c r="U648" s="438"/>
      <c r="V648" s="438"/>
      <c r="W648" s="438"/>
      <c r="X648" s="438"/>
      <c r="Y648" s="438"/>
      <c r="Z648" s="438"/>
      <c r="AA648" s="438"/>
      <c r="AB648" s="438"/>
      <c r="AC648" s="438"/>
      <c r="AD648" s="438"/>
      <c r="AE648" s="438"/>
      <c r="AF648" s="438"/>
      <c r="AG648" s="438"/>
      <c r="AH648" s="438"/>
    </row>
    <row r="649">
      <c r="A649" s="438"/>
      <c r="B649" s="438"/>
      <c r="C649" s="438"/>
      <c r="D649" s="438"/>
      <c r="E649" s="438"/>
      <c r="F649" s="438"/>
      <c r="G649" s="438"/>
      <c r="H649" s="438"/>
      <c r="I649" s="438"/>
      <c r="J649" s="438"/>
      <c r="K649" s="438"/>
      <c r="L649" s="438"/>
      <c r="M649" s="438"/>
      <c r="N649" s="438"/>
      <c r="O649" s="438"/>
      <c r="P649" s="438"/>
      <c r="Q649" s="438"/>
      <c r="R649" s="438"/>
      <c r="S649" s="438"/>
      <c r="T649" s="438"/>
      <c r="U649" s="438"/>
      <c r="V649" s="438"/>
      <c r="W649" s="438"/>
      <c r="X649" s="438"/>
      <c r="Y649" s="438"/>
      <c r="Z649" s="438"/>
      <c r="AA649" s="438"/>
      <c r="AB649" s="438"/>
      <c r="AC649" s="438"/>
      <c r="AD649" s="438"/>
      <c r="AE649" s="438"/>
      <c r="AF649" s="438"/>
      <c r="AG649" s="438"/>
      <c r="AH649" s="438"/>
    </row>
    <row r="650">
      <c r="A650" s="438"/>
      <c r="B650" s="438"/>
      <c r="C650" s="438"/>
      <c r="D650" s="438"/>
      <c r="E650" s="438"/>
      <c r="F650" s="438"/>
      <c r="G650" s="438"/>
      <c r="H650" s="438"/>
      <c r="I650" s="438"/>
      <c r="J650" s="438"/>
      <c r="K650" s="438"/>
      <c r="L650" s="438"/>
      <c r="M650" s="438"/>
      <c r="N650" s="438"/>
      <c r="O650" s="438"/>
      <c r="P650" s="438"/>
      <c r="Q650" s="438"/>
      <c r="R650" s="438"/>
      <c r="S650" s="438"/>
      <c r="T650" s="438"/>
      <c r="U650" s="438"/>
      <c r="V650" s="438"/>
      <c r="W650" s="438"/>
      <c r="X650" s="438"/>
      <c r="Y650" s="438"/>
      <c r="Z650" s="438"/>
      <c r="AA650" s="438"/>
      <c r="AB650" s="438"/>
      <c r="AC650" s="438"/>
      <c r="AD650" s="438"/>
      <c r="AE650" s="438"/>
      <c r="AF650" s="438"/>
      <c r="AG650" s="438"/>
      <c r="AH650" s="438"/>
    </row>
    <row r="651">
      <c r="A651" s="438"/>
      <c r="B651" s="438"/>
      <c r="C651" s="438"/>
      <c r="D651" s="438"/>
      <c r="E651" s="438"/>
      <c r="F651" s="438"/>
      <c r="G651" s="438"/>
      <c r="H651" s="438"/>
      <c r="I651" s="438"/>
      <c r="J651" s="438"/>
      <c r="K651" s="438"/>
      <c r="L651" s="438"/>
      <c r="M651" s="438"/>
      <c r="N651" s="438"/>
      <c r="O651" s="438"/>
      <c r="P651" s="438"/>
      <c r="Q651" s="438"/>
      <c r="R651" s="438"/>
      <c r="S651" s="438"/>
      <c r="T651" s="438"/>
      <c r="U651" s="438"/>
      <c r="V651" s="438"/>
      <c r="W651" s="438"/>
      <c r="X651" s="438"/>
      <c r="Y651" s="438"/>
      <c r="Z651" s="438"/>
      <c r="AA651" s="438"/>
      <c r="AB651" s="438"/>
      <c r="AC651" s="438"/>
      <c r="AD651" s="438"/>
      <c r="AE651" s="438"/>
      <c r="AF651" s="438"/>
      <c r="AG651" s="438"/>
      <c r="AH651" s="438"/>
    </row>
    <row r="652">
      <c r="A652" s="438"/>
      <c r="B652" s="438"/>
      <c r="C652" s="438"/>
      <c r="D652" s="438"/>
      <c r="E652" s="438"/>
      <c r="F652" s="438"/>
      <c r="G652" s="438"/>
      <c r="H652" s="438"/>
      <c r="I652" s="438"/>
      <c r="J652" s="438"/>
      <c r="K652" s="438"/>
      <c r="L652" s="438"/>
      <c r="M652" s="438"/>
      <c r="N652" s="438"/>
      <c r="O652" s="438"/>
      <c r="P652" s="438"/>
      <c r="Q652" s="438"/>
      <c r="R652" s="438"/>
      <c r="S652" s="438"/>
      <c r="T652" s="438"/>
      <c r="U652" s="438"/>
      <c r="V652" s="438"/>
      <c r="W652" s="438"/>
      <c r="X652" s="438"/>
      <c r="Y652" s="438"/>
      <c r="Z652" s="438"/>
      <c r="AA652" s="438"/>
      <c r="AB652" s="438"/>
      <c r="AC652" s="438"/>
      <c r="AD652" s="438"/>
      <c r="AE652" s="438"/>
      <c r="AF652" s="438"/>
      <c r="AG652" s="438"/>
      <c r="AH652" s="438"/>
    </row>
    <row r="653">
      <c r="A653" s="438"/>
      <c r="B653" s="438"/>
      <c r="C653" s="438"/>
      <c r="D653" s="438"/>
      <c r="E653" s="438"/>
      <c r="F653" s="438"/>
      <c r="G653" s="438"/>
      <c r="H653" s="438"/>
      <c r="I653" s="438"/>
      <c r="J653" s="438"/>
      <c r="K653" s="438"/>
      <c r="L653" s="438"/>
      <c r="M653" s="438"/>
      <c r="N653" s="438"/>
      <c r="O653" s="438"/>
      <c r="P653" s="438"/>
      <c r="Q653" s="438"/>
      <c r="R653" s="438"/>
      <c r="S653" s="438"/>
      <c r="T653" s="438"/>
      <c r="U653" s="438"/>
      <c r="V653" s="438"/>
      <c r="W653" s="438"/>
      <c r="X653" s="438"/>
      <c r="Y653" s="438"/>
      <c r="Z653" s="438"/>
      <c r="AA653" s="438"/>
      <c r="AB653" s="438"/>
      <c r="AC653" s="438"/>
      <c r="AD653" s="438"/>
      <c r="AE653" s="438"/>
      <c r="AF653" s="438"/>
      <c r="AG653" s="438"/>
      <c r="AH653" s="438"/>
    </row>
    <row r="654">
      <c r="A654" s="438"/>
      <c r="B654" s="438"/>
      <c r="C654" s="438"/>
      <c r="D654" s="438"/>
      <c r="E654" s="438"/>
      <c r="F654" s="438"/>
      <c r="G654" s="438"/>
      <c r="H654" s="438"/>
      <c r="I654" s="438"/>
      <c r="J654" s="438"/>
      <c r="K654" s="438"/>
      <c r="L654" s="438"/>
      <c r="M654" s="438"/>
      <c r="N654" s="438"/>
      <c r="O654" s="438"/>
      <c r="P654" s="438"/>
      <c r="Q654" s="438"/>
      <c r="R654" s="438"/>
      <c r="S654" s="438"/>
      <c r="T654" s="438"/>
      <c r="U654" s="438"/>
      <c r="V654" s="438"/>
      <c r="W654" s="438"/>
      <c r="X654" s="438"/>
      <c r="Y654" s="438"/>
      <c r="Z654" s="438"/>
      <c r="AA654" s="438"/>
      <c r="AB654" s="438"/>
      <c r="AC654" s="438"/>
      <c r="AD654" s="438"/>
      <c r="AE654" s="438"/>
      <c r="AF654" s="438"/>
      <c r="AG654" s="438"/>
      <c r="AH654" s="438"/>
    </row>
    <row r="655">
      <c r="A655" s="438"/>
      <c r="B655" s="438"/>
      <c r="C655" s="438"/>
      <c r="D655" s="438"/>
      <c r="E655" s="438"/>
      <c r="F655" s="438"/>
      <c r="G655" s="438"/>
      <c r="H655" s="438"/>
      <c r="I655" s="438"/>
      <c r="J655" s="438"/>
      <c r="K655" s="438"/>
      <c r="L655" s="438"/>
      <c r="M655" s="438"/>
      <c r="N655" s="438"/>
      <c r="O655" s="438"/>
      <c r="P655" s="438"/>
      <c r="Q655" s="438"/>
      <c r="R655" s="438"/>
      <c r="S655" s="438"/>
      <c r="T655" s="438"/>
      <c r="U655" s="438"/>
      <c r="V655" s="438"/>
      <c r="W655" s="438"/>
      <c r="X655" s="438"/>
      <c r="Y655" s="438"/>
      <c r="Z655" s="438"/>
      <c r="AA655" s="438"/>
      <c r="AB655" s="438"/>
      <c r="AC655" s="438"/>
      <c r="AD655" s="438"/>
      <c r="AE655" s="438"/>
      <c r="AF655" s="438"/>
      <c r="AG655" s="438"/>
      <c r="AH655" s="438"/>
    </row>
    <row r="656">
      <c r="A656" s="438"/>
      <c r="B656" s="438"/>
      <c r="C656" s="438"/>
      <c r="D656" s="438"/>
      <c r="E656" s="438"/>
      <c r="F656" s="438"/>
      <c r="G656" s="438"/>
      <c r="H656" s="438"/>
      <c r="I656" s="438"/>
      <c r="J656" s="438"/>
      <c r="K656" s="438"/>
      <c r="L656" s="438"/>
      <c r="M656" s="438"/>
      <c r="N656" s="438"/>
      <c r="O656" s="438"/>
      <c r="P656" s="438"/>
      <c r="Q656" s="438"/>
      <c r="R656" s="438"/>
      <c r="S656" s="438"/>
      <c r="T656" s="438"/>
      <c r="U656" s="438"/>
      <c r="V656" s="438"/>
      <c r="W656" s="438"/>
      <c r="X656" s="438"/>
      <c r="Y656" s="438"/>
      <c r="Z656" s="438"/>
      <c r="AA656" s="438"/>
      <c r="AB656" s="438"/>
      <c r="AC656" s="438"/>
      <c r="AD656" s="438"/>
      <c r="AE656" s="438"/>
      <c r="AF656" s="438"/>
      <c r="AG656" s="438"/>
      <c r="AH656" s="438"/>
    </row>
    <row r="657">
      <c r="A657" s="438"/>
      <c r="B657" s="438"/>
      <c r="C657" s="438"/>
      <c r="D657" s="438"/>
      <c r="E657" s="438"/>
      <c r="F657" s="438"/>
      <c r="G657" s="438"/>
      <c r="H657" s="438"/>
      <c r="I657" s="438"/>
      <c r="J657" s="438"/>
      <c r="K657" s="438"/>
      <c r="L657" s="438"/>
      <c r="M657" s="438"/>
      <c r="N657" s="438"/>
      <c r="O657" s="438"/>
      <c r="P657" s="438"/>
      <c r="Q657" s="438"/>
      <c r="R657" s="438"/>
      <c r="S657" s="438"/>
      <c r="T657" s="438"/>
      <c r="U657" s="438"/>
      <c r="V657" s="438"/>
      <c r="W657" s="438"/>
      <c r="X657" s="438"/>
      <c r="Y657" s="438"/>
      <c r="Z657" s="438"/>
      <c r="AA657" s="438"/>
      <c r="AB657" s="438"/>
      <c r="AC657" s="438"/>
      <c r="AD657" s="438"/>
      <c r="AE657" s="438"/>
      <c r="AF657" s="438"/>
      <c r="AG657" s="438"/>
      <c r="AH657" s="438"/>
    </row>
    <row r="658">
      <c r="A658" s="438"/>
      <c r="B658" s="438"/>
      <c r="C658" s="438"/>
      <c r="D658" s="438"/>
      <c r="E658" s="438"/>
      <c r="F658" s="438"/>
      <c r="G658" s="438"/>
      <c r="H658" s="438"/>
      <c r="I658" s="438"/>
      <c r="J658" s="438"/>
      <c r="K658" s="438"/>
      <c r="L658" s="438"/>
      <c r="M658" s="438"/>
      <c r="N658" s="438"/>
      <c r="O658" s="438"/>
      <c r="P658" s="438"/>
      <c r="Q658" s="438"/>
      <c r="R658" s="438"/>
      <c r="S658" s="438"/>
      <c r="T658" s="438"/>
      <c r="U658" s="438"/>
      <c r="V658" s="438"/>
      <c r="W658" s="438"/>
      <c r="X658" s="438"/>
      <c r="Y658" s="438"/>
      <c r="Z658" s="438"/>
      <c r="AA658" s="438"/>
      <c r="AB658" s="438"/>
      <c r="AC658" s="438"/>
      <c r="AD658" s="438"/>
      <c r="AE658" s="438"/>
      <c r="AF658" s="438"/>
      <c r="AG658" s="438"/>
      <c r="AH658" s="438"/>
    </row>
    <row r="659">
      <c r="A659" s="438"/>
      <c r="B659" s="438"/>
      <c r="C659" s="438"/>
      <c r="D659" s="438"/>
      <c r="E659" s="438"/>
      <c r="F659" s="438"/>
      <c r="G659" s="438"/>
      <c r="H659" s="438"/>
      <c r="I659" s="438"/>
      <c r="J659" s="438"/>
      <c r="K659" s="438"/>
      <c r="L659" s="438"/>
      <c r="M659" s="438"/>
      <c r="N659" s="438"/>
      <c r="O659" s="438"/>
      <c r="P659" s="438"/>
      <c r="Q659" s="438"/>
      <c r="R659" s="438"/>
      <c r="S659" s="438"/>
      <c r="T659" s="438"/>
      <c r="U659" s="438"/>
      <c r="V659" s="438"/>
      <c r="W659" s="438"/>
      <c r="X659" s="438"/>
      <c r="Y659" s="438"/>
      <c r="Z659" s="438"/>
      <c r="AA659" s="438"/>
      <c r="AB659" s="438"/>
      <c r="AC659" s="438"/>
      <c r="AD659" s="438"/>
      <c r="AE659" s="438"/>
      <c r="AF659" s="438"/>
      <c r="AG659" s="438"/>
      <c r="AH659" s="438"/>
    </row>
    <row r="660">
      <c r="A660" s="438"/>
      <c r="B660" s="438"/>
      <c r="C660" s="438"/>
      <c r="D660" s="438"/>
      <c r="E660" s="438"/>
      <c r="F660" s="438"/>
      <c r="G660" s="438"/>
      <c r="H660" s="438"/>
      <c r="I660" s="438"/>
      <c r="J660" s="438"/>
      <c r="K660" s="438"/>
      <c r="L660" s="438"/>
      <c r="M660" s="438"/>
      <c r="N660" s="438"/>
      <c r="O660" s="438"/>
      <c r="P660" s="438"/>
      <c r="Q660" s="438"/>
      <c r="R660" s="438"/>
      <c r="S660" s="438"/>
      <c r="T660" s="438"/>
      <c r="U660" s="438"/>
      <c r="V660" s="438"/>
      <c r="W660" s="438"/>
      <c r="X660" s="438"/>
      <c r="Y660" s="438"/>
      <c r="Z660" s="438"/>
      <c r="AA660" s="438"/>
      <c r="AB660" s="438"/>
      <c r="AC660" s="438"/>
      <c r="AD660" s="438"/>
      <c r="AE660" s="438"/>
      <c r="AF660" s="438"/>
      <c r="AG660" s="438"/>
      <c r="AH660" s="438"/>
    </row>
    <row r="661">
      <c r="A661" s="438"/>
      <c r="B661" s="438"/>
      <c r="C661" s="438"/>
      <c r="D661" s="438"/>
      <c r="E661" s="438"/>
      <c r="F661" s="438"/>
      <c r="G661" s="438"/>
      <c r="H661" s="438"/>
      <c r="I661" s="438"/>
      <c r="J661" s="438"/>
      <c r="K661" s="438"/>
      <c r="L661" s="438"/>
      <c r="M661" s="438"/>
      <c r="N661" s="438"/>
      <c r="O661" s="438"/>
      <c r="P661" s="438"/>
      <c r="Q661" s="438"/>
      <c r="R661" s="438"/>
      <c r="S661" s="438"/>
      <c r="T661" s="438"/>
      <c r="U661" s="438"/>
      <c r="V661" s="438"/>
      <c r="W661" s="438"/>
      <c r="X661" s="438"/>
      <c r="Y661" s="438"/>
      <c r="Z661" s="438"/>
      <c r="AA661" s="438"/>
      <c r="AB661" s="438"/>
      <c r="AC661" s="438"/>
      <c r="AD661" s="438"/>
      <c r="AE661" s="438"/>
      <c r="AF661" s="438"/>
      <c r="AG661" s="438"/>
      <c r="AH661" s="438"/>
    </row>
    <row r="662">
      <c r="A662" s="438"/>
      <c r="B662" s="438"/>
      <c r="C662" s="438"/>
      <c r="D662" s="438"/>
      <c r="E662" s="438"/>
      <c r="F662" s="438"/>
      <c r="G662" s="438"/>
      <c r="H662" s="438"/>
      <c r="I662" s="438"/>
      <c r="J662" s="438"/>
      <c r="K662" s="438"/>
      <c r="L662" s="438"/>
      <c r="M662" s="438"/>
      <c r="N662" s="438"/>
      <c r="O662" s="438"/>
      <c r="P662" s="438"/>
      <c r="Q662" s="438"/>
      <c r="R662" s="438"/>
      <c r="S662" s="438"/>
      <c r="T662" s="438"/>
      <c r="U662" s="438"/>
      <c r="V662" s="438"/>
      <c r="W662" s="438"/>
      <c r="X662" s="438"/>
      <c r="Y662" s="438"/>
      <c r="Z662" s="438"/>
      <c r="AA662" s="438"/>
      <c r="AB662" s="438"/>
      <c r="AC662" s="438"/>
      <c r="AD662" s="438"/>
      <c r="AE662" s="438"/>
      <c r="AF662" s="438"/>
      <c r="AG662" s="438"/>
      <c r="AH662" s="438"/>
    </row>
    <row r="663">
      <c r="A663" s="438"/>
      <c r="B663" s="438"/>
      <c r="C663" s="438"/>
      <c r="D663" s="438"/>
      <c r="E663" s="438"/>
      <c r="F663" s="438"/>
      <c r="G663" s="438"/>
      <c r="H663" s="438"/>
      <c r="I663" s="438"/>
      <c r="J663" s="438"/>
      <c r="K663" s="438"/>
      <c r="L663" s="438"/>
      <c r="M663" s="438"/>
      <c r="N663" s="438"/>
      <c r="O663" s="438"/>
      <c r="P663" s="438"/>
      <c r="Q663" s="438"/>
      <c r="R663" s="438"/>
      <c r="S663" s="438"/>
      <c r="T663" s="438"/>
      <c r="U663" s="438"/>
      <c r="V663" s="438"/>
      <c r="W663" s="438"/>
      <c r="X663" s="438"/>
      <c r="Y663" s="438"/>
      <c r="Z663" s="438"/>
      <c r="AA663" s="438"/>
      <c r="AB663" s="438"/>
      <c r="AC663" s="438"/>
      <c r="AD663" s="438"/>
      <c r="AE663" s="438"/>
      <c r="AF663" s="438"/>
      <c r="AG663" s="438"/>
      <c r="AH663" s="438"/>
    </row>
    <row r="664">
      <c r="A664" s="438"/>
      <c r="B664" s="438"/>
      <c r="C664" s="438"/>
      <c r="D664" s="438"/>
      <c r="E664" s="438"/>
      <c r="F664" s="438"/>
      <c r="G664" s="438"/>
      <c r="H664" s="438"/>
      <c r="I664" s="438"/>
      <c r="J664" s="438"/>
      <c r="K664" s="438"/>
      <c r="L664" s="438"/>
      <c r="M664" s="438"/>
      <c r="N664" s="438"/>
      <c r="O664" s="438"/>
      <c r="P664" s="438"/>
      <c r="Q664" s="438"/>
      <c r="R664" s="438"/>
      <c r="S664" s="438"/>
      <c r="T664" s="438"/>
      <c r="U664" s="438"/>
      <c r="V664" s="438"/>
      <c r="W664" s="438"/>
      <c r="X664" s="438"/>
      <c r="Y664" s="438"/>
      <c r="Z664" s="438"/>
      <c r="AA664" s="438"/>
      <c r="AB664" s="438"/>
      <c r="AC664" s="438"/>
      <c r="AD664" s="438"/>
      <c r="AE664" s="438"/>
      <c r="AF664" s="438"/>
      <c r="AG664" s="438"/>
      <c r="AH664" s="438"/>
    </row>
    <row r="665">
      <c r="A665" s="438"/>
      <c r="B665" s="438"/>
      <c r="C665" s="438"/>
      <c r="D665" s="438"/>
      <c r="E665" s="438"/>
      <c r="F665" s="438"/>
      <c r="G665" s="438"/>
      <c r="H665" s="438"/>
      <c r="I665" s="438"/>
      <c r="J665" s="438"/>
      <c r="K665" s="438"/>
      <c r="L665" s="438"/>
      <c r="M665" s="438"/>
      <c r="N665" s="438"/>
      <c r="O665" s="438"/>
      <c r="P665" s="438"/>
      <c r="Q665" s="438"/>
      <c r="R665" s="438"/>
      <c r="S665" s="438"/>
      <c r="T665" s="438"/>
      <c r="U665" s="438"/>
      <c r="V665" s="438"/>
      <c r="W665" s="438"/>
      <c r="X665" s="438"/>
      <c r="Y665" s="438"/>
      <c r="Z665" s="438"/>
      <c r="AA665" s="438"/>
      <c r="AB665" s="438"/>
      <c r="AC665" s="438"/>
      <c r="AD665" s="438"/>
      <c r="AE665" s="438"/>
      <c r="AF665" s="438"/>
      <c r="AG665" s="438"/>
      <c r="AH665" s="438"/>
    </row>
    <row r="666">
      <c r="A666" s="438"/>
      <c r="B666" s="438"/>
      <c r="C666" s="438"/>
      <c r="D666" s="438"/>
      <c r="E666" s="438"/>
      <c r="F666" s="438"/>
      <c r="G666" s="438"/>
      <c r="H666" s="438"/>
      <c r="I666" s="438"/>
      <c r="J666" s="438"/>
      <c r="K666" s="438"/>
      <c r="L666" s="438"/>
      <c r="M666" s="438"/>
      <c r="N666" s="438"/>
      <c r="O666" s="438"/>
      <c r="P666" s="438"/>
      <c r="Q666" s="438"/>
      <c r="R666" s="438"/>
      <c r="S666" s="438"/>
      <c r="T666" s="438"/>
      <c r="U666" s="438"/>
      <c r="V666" s="438"/>
      <c r="W666" s="438"/>
      <c r="X666" s="438"/>
      <c r="Y666" s="438"/>
      <c r="Z666" s="438"/>
      <c r="AA666" s="438"/>
      <c r="AB666" s="438"/>
      <c r="AC666" s="438"/>
      <c r="AD666" s="438"/>
      <c r="AE666" s="438"/>
      <c r="AF666" s="438"/>
      <c r="AG666" s="438"/>
      <c r="AH666" s="438"/>
    </row>
    <row r="667">
      <c r="A667" s="438"/>
      <c r="B667" s="438"/>
      <c r="C667" s="438"/>
      <c r="D667" s="438"/>
      <c r="E667" s="438"/>
      <c r="F667" s="438"/>
      <c r="G667" s="438"/>
      <c r="H667" s="438"/>
      <c r="I667" s="438"/>
      <c r="J667" s="438"/>
      <c r="K667" s="438"/>
      <c r="L667" s="438"/>
      <c r="M667" s="438"/>
      <c r="N667" s="438"/>
      <c r="O667" s="438"/>
      <c r="P667" s="438"/>
      <c r="Q667" s="438"/>
      <c r="R667" s="438"/>
      <c r="S667" s="438"/>
      <c r="T667" s="438"/>
      <c r="U667" s="438"/>
      <c r="V667" s="438"/>
      <c r="W667" s="438"/>
      <c r="X667" s="438"/>
      <c r="Y667" s="438"/>
      <c r="Z667" s="438"/>
      <c r="AA667" s="438"/>
      <c r="AB667" s="438"/>
      <c r="AC667" s="438"/>
      <c r="AD667" s="438"/>
      <c r="AE667" s="438"/>
      <c r="AF667" s="438"/>
      <c r="AG667" s="438"/>
      <c r="AH667" s="438"/>
    </row>
    <row r="668">
      <c r="A668" s="438"/>
      <c r="B668" s="438"/>
      <c r="C668" s="438"/>
      <c r="D668" s="438"/>
      <c r="E668" s="438"/>
      <c r="F668" s="438"/>
      <c r="G668" s="438"/>
      <c r="H668" s="438"/>
      <c r="I668" s="438"/>
      <c r="J668" s="438"/>
      <c r="K668" s="438"/>
      <c r="L668" s="438"/>
      <c r="M668" s="438"/>
      <c r="N668" s="438"/>
      <c r="O668" s="438"/>
      <c r="P668" s="438"/>
      <c r="Q668" s="438"/>
      <c r="R668" s="438"/>
      <c r="S668" s="438"/>
      <c r="T668" s="438"/>
      <c r="U668" s="438"/>
      <c r="V668" s="438"/>
      <c r="W668" s="438"/>
      <c r="X668" s="438"/>
      <c r="Y668" s="438"/>
      <c r="Z668" s="438"/>
      <c r="AA668" s="438"/>
      <c r="AB668" s="438"/>
      <c r="AC668" s="438"/>
      <c r="AD668" s="438"/>
      <c r="AE668" s="438"/>
      <c r="AF668" s="438"/>
      <c r="AG668" s="438"/>
      <c r="AH668" s="438"/>
    </row>
    <row r="669">
      <c r="A669" s="438"/>
      <c r="B669" s="438"/>
      <c r="C669" s="438"/>
      <c r="D669" s="438"/>
      <c r="E669" s="438"/>
      <c r="F669" s="438"/>
      <c r="G669" s="438"/>
      <c r="H669" s="438"/>
      <c r="I669" s="438"/>
      <c r="J669" s="438"/>
      <c r="K669" s="438"/>
      <c r="L669" s="438"/>
      <c r="M669" s="438"/>
      <c r="N669" s="438"/>
      <c r="O669" s="438"/>
      <c r="P669" s="438"/>
      <c r="Q669" s="438"/>
      <c r="R669" s="438"/>
      <c r="S669" s="438"/>
      <c r="T669" s="438"/>
      <c r="U669" s="438"/>
      <c r="V669" s="438"/>
      <c r="W669" s="438"/>
      <c r="X669" s="438"/>
      <c r="Y669" s="438"/>
      <c r="Z669" s="438"/>
      <c r="AA669" s="438"/>
      <c r="AB669" s="438"/>
      <c r="AC669" s="438"/>
      <c r="AD669" s="438"/>
      <c r="AE669" s="438"/>
      <c r="AF669" s="438"/>
      <c r="AG669" s="438"/>
      <c r="AH669" s="438"/>
    </row>
    <row r="670">
      <c r="A670" s="438"/>
      <c r="B670" s="438"/>
      <c r="C670" s="438"/>
      <c r="D670" s="438"/>
      <c r="E670" s="438"/>
      <c r="F670" s="438"/>
      <c r="G670" s="438"/>
      <c r="H670" s="438"/>
      <c r="I670" s="438"/>
      <c r="J670" s="438"/>
      <c r="K670" s="438"/>
      <c r="L670" s="438"/>
      <c r="M670" s="438"/>
      <c r="N670" s="438"/>
      <c r="O670" s="438"/>
      <c r="P670" s="438"/>
      <c r="Q670" s="438"/>
      <c r="R670" s="438"/>
      <c r="S670" s="438"/>
      <c r="T670" s="438"/>
      <c r="U670" s="438"/>
      <c r="V670" s="438"/>
      <c r="W670" s="438"/>
      <c r="X670" s="438"/>
      <c r="Y670" s="438"/>
      <c r="Z670" s="438"/>
      <c r="AA670" s="438"/>
      <c r="AB670" s="438"/>
      <c r="AC670" s="438"/>
      <c r="AD670" s="438"/>
      <c r="AE670" s="438"/>
      <c r="AF670" s="438"/>
      <c r="AG670" s="438"/>
      <c r="AH670" s="438"/>
    </row>
    <row r="671">
      <c r="A671" s="438"/>
      <c r="B671" s="438"/>
      <c r="C671" s="438"/>
      <c r="D671" s="438"/>
      <c r="E671" s="438"/>
      <c r="F671" s="438"/>
      <c r="G671" s="438"/>
      <c r="H671" s="438"/>
      <c r="I671" s="438"/>
      <c r="J671" s="438"/>
      <c r="K671" s="438"/>
      <c r="L671" s="438"/>
      <c r="M671" s="438"/>
      <c r="N671" s="438"/>
      <c r="O671" s="438"/>
      <c r="P671" s="438"/>
      <c r="Q671" s="438"/>
      <c r="R671" s="438"/>
      <c r="S671" s="438"/>
      <c r="T671" s="438"/>
      <c r="U671" s="438"/>
      <c r="V671" s="438"/>
      <c r="W671" s="438"/>
      <c r="X671" s="438"/>
      <c r="Y671" s="438"/>
      <c r="Z671" s="438"/>
      <c r="AA671" s="438"/>
      <c r="AB671" s="438"/>
      <c r="AC671" s="438"/>
      <c r="AD671" s="438"/>
      <c r="AE671" s="438"/>
      <c r="AF671" s="438"/>
      <c r="AG671" s="438"/>
      <c r="AH671" s="438"/>
    </row>
    <row r="672">
      <c r="A672" s="438"/>
      <c r="B672" s="438"/>
      <c r="C672" s="438"/>
      <c r="D672" s="438"/>
      <c r="E672" s="438"/>
      <c r="F672" s="438"/>
      <c r="G672" s="438"/>
      <c r="H672" s="438"/>
      <c r="I672" s="438"/>
      <c r="J672" s="438"/>
      <c r="K672" s="438"/>
      <c r="L672" s="438"/>
      <c r="M672" s="438"/>
      <c r="N672" s="438"/>
      <c r="O672" s="438"/>
      <c r="P672" s="438"/>
      <c r="Q672" s="438"/>
      <c r="R672" s="438"/>
      <c r="S672" s="438"/>
      <c r="T672" s="438"/>
      <c r="U672" s="438"/>
      <c r="V672" s="438"/>
      <c r="W672" s="438"/>
      <c r="X672" s="438"/>
      <c r="Y672" s="438"/>
      <c r="Z672" s="438"/>
      <c r="AA672" s="438"/>
      <c r="AB672" s="438"/>
      <c r="AC672" s="438"/>
      <c r="AD672" s="438"/>
      <c r="AE672" s="438"/>
      <c r="AF672" s="438"/>
      <c r="AG672" s="438"/>
      <c r="AH672" s="438"/>
    </row>
    <row r="673">
      <c r="A673" s="438"/>
      <c r="B673" s="438"/>
      <c r="C673" s="438"/>
      <c r="D673" s="438"/>
      <c r="E673" s="438"/>
      <c r="F673" s="438"/>
      <c r="G673" s="438"/>
      <c r="H673" s="438"/>
      <c r="I673" s="438"/>
      <c r="J673" s="438"/>
      <c r="K673" s="438"/>
      <c r="L673" s="438"/>
      <c r="M673" s="438"/>
      <c r="N673" s="438"/>
      <c r="O673" s="438"/>
      <c r="P673" s="438"/>
      <c r="Q673" s="438"/>
      <c r="R673" s="438"/>
      <c r="S673" s="438"/>
      <c r="T673" s="438"/>
      <c r="U673" s="438"/>
      <c r="V673" s="438"/>
      <c r="W673" s="438"/>
      <c r="X673" s="438"/>
      <c r="Y673" s="438"/>
      <c r="Z673" s="438"/>
      <c r="AA673" s="438"/>
      <c r="AB673" s="438"/>
      <c r="AC673" s="438"/>
      <c r="AD673" s="438"/>
      <c r="AE673" s="438"/>
      <c r="AF673" s="438"/>
      <c r="AG673" s="438"/>
      <c r="AH673" s="438"/>
    </row>
    <row r="674">
      <c r="A674" s="438"/>
      <c r="B674" s="438"/>
      <c r="C674" s="438"/>
      <c r="D674" s="438"/>
      <c r="E674" s="438"/>
      <c r="F674" s="438"/>
      <c r="G674" s="438"/>
      <c r="H674" s="438"/>
      <c r="I674" s="438"/>
      <c r="J674" s="438"/>
      <c r="K674" s="438"/>
      <c r="L674" s="438"/>
      <c r="M674" s="438"/>
      <c r="N674" s="438"/>
      <c r="O674" s="438"/>
      <c r="P674" s="438"/>
      <c r="Q674" s="438"/>
      <c r="R674" s="438"/>
      <c r="S674" s="438"/>
      <c r="T674" s="438"/>
      <c r="U674" s="438"/>
      <c r="V674" s="438"/>
      <c r="W674" s="438"/>
      <c r="X674" s="438"/>
      <c r="Y674" s="438"/>
      <c r="Z674" s="438"/>
      <c r="AA674" s="438"/>
      <c r="AB674" s="438"/>
      <c r="AC674" s="438"/>
      <c r="AD674" s="438"/>
      <c r="AE674" s="438"/>
      <c r="AF674" s="438"/>
      <c r="AG674" s="438"/>
      <c r="AH674" s="438"/>
    </row>
    <row r="675">
      <c r="A675" s="438"/>
      <c r="B675" s="438"/>
      <c r="C675" s="438"/>
      <c r="D675" s="438"/>
      <c r="E675" s="438"/>
      <c r="F675" s="438"/>
      <c r="G675" s="438"/>
      <c r="H675" s="438"/>
      <c r="I675" s="438"/>
      <c r="J675" s="438"/>
      <c r="K675" s="438"/>
      <c r="L675" s="438"/>
      <c r="M675" s="438"/>
      <c r="N675" s="438"/>
      <c r="O675" s="438"/>
      <c r="P675" s="438"/>
      <c r="Q675" s="438"/>
      <c r="R675" s="438"/>
      <c r="S675" s="438"/>
      <c r="T675" s="438"/>
      <c r="U675" s="438"/>
      <c r="V675" s="438"/>
      <c r="W675" s="438"/>
      <c r="X675" s="438"/>
      <c r="Y675" s="438"/>
      <c r="Z675" s="438"/>
      <c r="AA675" s="438"/>
      <c r="AB675" s="438"/>
      <c r="AC675" s="438"/>
      <c r="AD675" s="438"/>
      <c r="AE675" s="438"/>
      <c r="AF675" s="438"/>
      <c r="AG675" s="438"/>
      <c r="AH675" s="438"/>
    </row>
    <row r="676">
      <c r="A676" s="438"/>
      <c r="B676" s="438"/>
      <c r="C676" s="438"/>
      <c r="D676" s="438"/>
      <c r="E676" s="438"/>
      <c r="F676" s="438"/>
      <c r="G676" s="438"/>
      <c r="H676" s="438"/>
      <c r="I676" s="438"/>
      <c r="J676" s="438"/>
      <c r="K676" s="438"/>
      <c r="L676" s="438"/>
      <c r="M676" s="438"/>
      <c r="N676" s="438"/>
      <c r="O676" s="438"/>
      <c r="P676" s="438"/>
      <c r="Q676" s="438"/>
      <c r="R676" s="438"/>
      <c r="S676" s="438"/>
      <c r="T676" s="438"/>
      <c r="U676" s="438"/>
      <c r="V676" s="438"/>
      <c r="W676" s="438"/>
      <c r="X676" s="438"/>
      <c r="Y676" s="438"/>
      <c r="Z676" s="438"/>
      <c r="AA676" s="438"/>
      <c r="AB676" s="438"/>
      <c r="AC676" s="438"/>
      <c r="AD676" s="438"/>
      <c r="AE676" s="438"/>
      <c r="AF676" s="438"/>
      <c r="AG676" s="438"/>
      <c r="AH676" s="438"/>
    </row>
    <row r="677">
      <c r="A677" s="438"/>
      <c r="B677" s="438"/>
      <c r="C677" s="438"/>
      <c r="D677" s="438"/>
      <c r="E677" s="438"/>
      <c r="F677" s="438"/>
      <c r="G677" s="438"/>
      <c r="H677" s="438"/>
      <c r="I677" s="438"/>
      <c r="J677" s="438"/>
      <c r="K677" s="438"/>
      <c r="L677" s="438"/>
      <c r="M677" s="438"/>
      <c r="N677" s="438"/>
      <c r="O677" s="438"/>
      <c r="P677" s="438"/>
      <c r="Q677" s="438"/>
      <c r="R677" s="438"/>
      <c r="S677" s="438"/>
      <c r="T677" s="438"/>
      <c r="U677" s="438"/>
      <c r="V677" s="438"/>
      <c r="W677" s="438"/>
      <c r="X677" s="438"/>
      <c r="Y677" s="438"/>
      <c r="Z677" s="438"/>
      <c r="AA677" s="438"/>
      <c r="AB677" s="438"/>
      <c r="AC677" s="438"/>
      <c r="AD677" s="438"/>
      <c r="AE677" s="438"/>
      <c r="AF677" s="438"/>
      <c r="AG677" s="438"/>
      <c r="AH677" s="438"/>
    </row>
    <row r="678">
      <c r="A678" s="438"/>
      <c r="B678" s="438"/>
      <c r="C678" s="438"/>
      <c r="D678" s="438"/>
      <c r="E678" s="438"/>
      <c r="F678" s="438"/>
      <c r="G678" s="438"/>
      <c r="H678" s="438"/>
      <c r="I678" s="438"/>
      <c r="J678" s="438"/>
      <c r="K678" s="438"/>
      <c r="L678" s="438"/>
      <c r="M678" s="438"/>
      <c r="N678" s="438"/>
      <c r="O678" s="438"/>
      <c r="P678" s="438"/>
      <c r="Q678" s="438"/>
      <c r="R678" s="438"/>
      <c r="S678" s="438"/>
      <c r="T678" s="438"/>
      <c r="U678" s="438"/>
      <c r="V678" s="438"/>
      <c r="W678" s="438"/>
      <c r="X678" s="438"/>
      <c r="Y678" s="438"/>
      <c r="Z678" s="438"/>
      <c r="AA678" s="438"/>
      <c r="AB678" s="438"/>
      <c r="AC678" s="438"/>
      <c r="AD678" s="438"/>
      <c r="AE678" s="438"/>
      <c r="AF678" s="438"/>
      <c r="AG678" s="438"/>
      <c r="AH678" s="438"/>
    </row>
    <row r="679">
      <c r="A679" s="438"/>
      <c r="B679" s="438"/>
      <c r="C679" s="438"/>
      <c r="D679" s="438"/>
      <c r="E679" s="438"/>
      <c r="F679" s="438"/>
      <c r="G679" s="438"/>
      <c r="H679" s="438"/>
      <c r="I679" s="438"/>
      <c r="J679" s="438"/>
      <c r="K679" s="438"/>
      <c r="L679" s="438"/>
      <c r="M679" s="438"/>
      <c r="N679" s="438"/>
      <c r="O679" s="438"/>
      <c r="P679" s="438"/>
      <c r="Q679" s="438"/>
      <c r="R679" s="438"/>
      <c r="S679" s="438"/>
      <c r="T679" s="438"/>
      <c r="U679" s="438"/>
      <c r="V679" s="438"/>
      <c r="W679" s="438"/>
      <c r="X679" s="438"/>
      <c r="Y679" s="438"/>
      <c r="Z679" s="438"/>
      <c r="AA679" s="438"/>
      <c r="AB679" s="438"/>
      <c r="AC679" s="438"/>
      <c r="AD679" s="438"/>
      <c r="AE679" s="438"/>
      <c r="AF679" s="438"/>
      <c r="AG679" s="438"/>
      <c r="AH679" s="438"/>
    </row>
    <row r="680">
      <c r="A680" s="438"/>
      <c r="B680" s="438"/>
      <c r="C680" s="438"/>
      <c r="D680" s="438"/>
      <c r="E680" s="438"/>
      <c r="F680" s="438"/>
      <c r="G680" s="438"/>
      <c r="H680" s="438"/>
      <c r="I680" s="438"/>
      <c r="J680" s="438"/>
      <c r="K680" s="438"/>
      <c r="L680" s="438"/>
      <c r="M680" s="438"/>
      <c r="N680" s="438"/>
      <c r="O680" s="438"/>
      <c r="P680" s="438"/>
      <c r="Q680" s="438"/>
      <c r="R680" s="438"/>
      <c r="S680" s="438"/>
      <c r="T680" s="438"/>
      <c r="U680" s="438"/>
      <c r="V680" s="438"/>
      <c r="W680" s="438"/>
      <c r="X680" s="438"/>
      <c r="Y680" s="438"/>
      <c r="Z680" s="438"/>
      <c r="AA680" s="438"/>
      <c r="AB680" s="438"/>
      <c r="AC680" s="438"/>
      <c r="AD680" s="438"/>
      <c r="AE680" s="438"/>
      <c r="AF680" s="438"/>
      <c r="AG680" s="438"/>
      <c r="AH680" s="438"/>
    </row>
    <row r="681">
      <c r="A681" s="438"/>
      <c r="B681" s="438"/>
      <c r="C681" s="438"/>
      <c r="D681" s="438"/>
      <c r="E681" s="438"/>
      <c r="F681" s="438"/>
      <c r="G681" s="438"/>
      <c r="H681" s="438"/>
      <c r="I681" s="438"/>
      <c r="J681" s="438"/>
      <c r="K681" s="438"/>
      <c r="L681" s="438"/>
      <c r="M681" s="438"/>
      <c r="N681" s="438"/>
      <c r="O681" s="438"/>
      <c r="P681" s="438"/>
      <c r="Q681" s="438"/>
      <c r="R681" s="438"/>
      <c r="S681" s="438"/>
      <c r="T681" s="438"/>
      <c r="U681" s="438"/>
      <c r="V681" s="438"/>
      <c r="W681" s="438"/>
      <c r="X681" s="438"/>
      <c r="Y681" s="438"/>
      <c r="Z681" s="438"/>
      <c r="AA681" s="438"/>
      <c r="AB681" s="438"/>
      <c r="AC681" s="438"/>
      <c r="AD681" s="438"/>
      <c r="AE681" s="438"/>
      <c r="AF681" s="438"/>
      <c r="AG681" s="438"/>
      <c r="AH681" s="438"/>
    </row>
    <row r="682">
      <c r="A682" s="438"/>
      <c r="B682" s="438"/>
      <c r="C682" s="438"/>
      <c r="D682" s="438"/>
      <c r="E682" s="438"/>
      <c r="F682" s="438"/>
      <c r="G682" s="438"/>
      <c r="H682" s="438"/>
      <c r="I682" s="438"/>
      <c r="J682" s="438"/>
      <c r="K682" s="438"/>
      <c r="L682" s="438"/>
      <c r="M682" s="438"/>
      <c r="N682" s="438"/>
      <c r="O682" s="438"/>
      <c r="P682" s="438"/>
      <c r="Q682" s="438"/>
      <c r="R682" s="438"/>
      <c r="S682" s="438"/>
      <c r="T682" s="438"/>
      <c r="U682" s="438"/>
      <c r="V682" s="438"/>
      <c r="W682" s="438"/>
      <c r="X682" s="438"/>
      <c r="Y682" s="438"/>
      <c r="Z682" s="438"/>
      <c r="AA682" s="438"/>
      <c r="AB682" s="438"/>
      <c r="AC682" s="438"/>
      <c r="AD682" s="438"/>
      <c r="AE682" s="438"/>
      <c r="AF682" s="438"/>
      <c r="AG682" s="438"/>
      <c r="AH682" s="438"/>
    </row>
    <row r="683">
      <c r="A683" s="438"/>
      <c r="B683" s="438"/>
      <c r="C683" s="438"/>
      <c r="D683" s="438"/>
      <c r="E683" s="438"/>
      <c r="F683" s="438"/>
      <c r="G683" s="438"/>
      <c r="H683" s="438"/>
      <c r="I683" s="438"/>
      <c r="J683" s="438"/>
      <c r="K683" s="438"/>
      <c r="L683" s="438"/>
      <c r="M683" s="438"/>
      <c r="N683" s="438"/>
      <c r="O683" s="438"/>
      <c r="P683" s="438"/>
      <c r="Q683" s="438"/>
      <c r="R683" s="438"/>
      <c r="S683" s="438"/>
      <c r="T683" s="438"/>
      <c r="U683" s="438"/>
      <c r="V683" s="438"/>
      <c r="W683" s="438"/>
      <c r="X683" s="438"/>
      <c r="Y683" s="438"/>
      <c r="Z683" s="438"/>
      <c r="AA683" s="438"/>
      <c r="AB683" s="438"/>
      <c r="AC683" s="438"/>
      <c r="AD683" s="438"/>
      <c r="AE683" s="438"/>
      <c r="AF683" s="438"/>
      <c r="AG683" s="438"/>
      <c r="AH683" s="438"/>
    </row>
    <row r="684">
      <c r="A684" s="438"/>
      <c r="B684" s="438"/>
      <c r="C684" s="438"/>
      <c r="D684" s="438"/>
      <c r="E684" s="438"/>
      <c r="F684" s="438"/>
      <c r="G684" s="438"/>
      <c r="H684" s="438"/>
      <c r="I684" s="438"/>
      <c r="J684" s="438"/>
      <c r="K684" s="438"/>
      <c r="L684" s="438"/>
      <c r="M684" s="438"/>
      <c r="N684" s="438"/>
      <c r="O684" s="438"/>
      <c r="P684" s="438"/>
      <c r="Q684" s="438"/>
      <c r="R684" s="438"/>
      <c r="S684" s="438"/>
      <c r="T684" s="438"/>
      <c r="U684" s="438"/>
      <c r="V684" s="438"/>
      <c r="W684" s="438"/>
      <c r="X684" s="438"/>
      <c r="Y684" s="438"/>
      <c r="Z684" s="438"/>
      <c r="AA684" s="438"/>
      <c r="AB684" s="438"/>
      <c r="AC684" s="438"/>
      <c r="AD684" s="438"/>
      <c r="AE684" s="438"/>
      <c r="AF684" s="438"/>
      <c r="AG684" s="438"/>
      <c r="AH684" s="438"/>
    </row>
    <row r="685">
      <c r="A685" s="438"/>
      <c r="B685" s="438"/>
      <c r="C685" s="438"/>
      <c r="D685" s="438"/>
      <c r="E685" s="438"/>
      <c r="F685" s="438"/>
      <c r="G685" s="438"/>
      <c r="H685" s="438"/>
      <c r="I685" s="438"/>
      <c r="J685" s="438"/>
      <c r="K685" s="438"/>
      <c r="L685" s="438"/>
      <c r="M685" s="438"/>
      <c r="N685" s="438"/>
      <c r="O685" s="438"/>
      <c r="P685" s="438"/>
      <c r="Q685" s="438"/>
      <c r="R685" s="438"/>
      <c r="S685" s="438"/>
      <c r="T685" s="438"/>
      <c r="U685" s="438"/>
      <c r="V685" s="438"/>
      <c r="W685" s="438"/>
      <c r="X685" s="438"/>
      <c r="Y685" s="438"/>
      <c r="Z685" s="438"/>
      <c r="AA685" s="438"/>
      <c r="AB685" s="438"/>
      <c r="AC685" s="438"/>
      <c r="AD685" s="438"/>
      <c r="AE685" s="438"/>
      <c r="AF685" s="438"/>
      <c r="AG685" s="438"/>
      <c r="AH685" s="438"/>
    </row>
    <row r="686">
      <c r="A686" s="438"/>
      <c r="B686" s="438"/>
      <c r="C686" s="438"/>
      <c r="D686" s="438"/>
      <c r="E686" s="438"/>
      <c r="F686" s="438"/>
      <c r="G686" s="438"/>
      <c r="H686" s="438"/>
      <c r="I686" s="438"/>
      <c r="J686" s="438"/>
      <c r="K686" s="438"/>
      <c r="L686" s="438"/>
      <c r="M686" s="438"/>
      <c r="N686" s="438"/>
      <c r="O686" s="438"/>
      <c r="P686" s="438"/>
      <c r="Q686" s="438"/>
      <c r="R686" s="438"/>
      <c r="S686" s="438"/>
      <c r="T686" s="438"/>
      <c r="U686" s="438"/>
      <c r="V686" s="438"/>
      <c r="W686" s="438"/>
      <c r="X686" s="438"/>
      <c r="Y686" s="438"/>
      <c r="Z686" s="438"/>
      <c r="AA686" s="438"/>
      <c r="AB686" s="438"/>
      <c r="AC686" s="438"/>
      <c r="AD686" s="438"/>
      <c r="AE686" s="438"/>
      <c r="AF686" s="438"/>
      <c r="AG686" s="438"/>
      <c r="AH686" s="438"/>
    </row>
    <row r="687">
      <c r="A687" s="438"/>
      <c r="B687" s="438"/>
      <c r="C687" s="438"/>
      <c r="D687" s="438"/>
      <c r="E687" s="438"/>
      <c r="F687" s="438"/>
      <c r="G687" s="438"/>
      <c r="H687" s="438"/>
      <c r="I687" s="438"/>
      <c r="J687" s="438"/>
      <c r="K687" s="438"/>
      <c r="L687" s="438"/>
      <c r="M687" s="438"/>
      <c r="N687" s="438"/>
      <c r="O687" s="438"/>
      <c r="P687" s="438"/>
      <c r="Q687" s="438"/>
      <c r="R687" s="438"/>
      <c r="S687" s="438"/>
      <c r="T687" s="438"/>
      <c r="U687" s="438"/>
      <c r="V687" s="438"/>
      <c r="W687" s="438"/>
      <c r="X687" s="438"/>
      <c r="Y687" s="438"/>
      <c r="Z687" s="438"/>
      <c r="AA687" s="438"/>
      <c r="AB687" s="438"/>
      <c r="AC687" s="438"/>
      <c r="AD687" s="438"/>
      <c r="AE687" s="438"/>
      <c r="AF687" s="438"/>
      <c r="AG687" s="438"/>
      <c r="AH687" s="438"/>
    </row>
    <row r="688">
      <c r="A688" s="438"/>
      <c r="B688" s="438"/>
      <c r="C688" s="438"/>
      <c r="D688" s="438"/>
      <c r="E688" s="438"/>
      <c r="F688" s="438"/>
      <c r="G688" s="438"/>
      <c r="H688" s="438"/>
      <c r="I688" s="438"/>
      <c r="J688" s="438"/>
      <c r="K688" s="438"/>
      <c r="L688" s="438"/>
      <c r="M688" s="438"/>
      <c r="N688" s="438"/>
      <c r="O688" s="438"/>
      <c r="P688" s="438"/>
      <c r="Q688" s="438"/>
      <c r="R688" s="438"/>
      <c r="S688" s="438"/>
      <c r="T688" s="438"/>
      <c r="U688" s="438"/>
      <c r="V688" s="438"/>
      <c r="W688" s="438"/>
      <c r="X688" s="438"/>
      <c r="Y688" s="438"/>
      <c r="Z688" s="438"/>
      <c r="AA688" s="438"/>
      <c r="AB688" s="438"/>
      <c r="AC688" s="438"/>
      <c r="AD688" s="438"/>
      <c r="AE688" s="438"/>
      <c r="AF688" s="438"/>
      <c r="AG688" s="438"/>
      <c r="AH688" s="438"/>
    </row>
    <row r="689">
      <c r="A689" s="438"/>
      <c r="B689" s="438"/>
      <c r="C689" s="438"/>
      <c r="D689" s="438"/>
      <c r="E689" s="438"/>
      <c r="F689" s="438"/>
      <c r="G689" s="438"/>
      <c r="H689" s="438"/>
      <c r="I689" s="438"/>
      <c r="J689" s="438"/>
      <c r="K689" s="438"/>
      <c r="L689" s="438"/>
      <c r="M689" s="438"/>
      <c r="N689" s="438"/>
      <c r="O689" s="438"/>
      <c r="P689" s="438"/>
      <c r="Q689" s="438"/>
      <c r="R689" s="438"/>
      <c r="S689" s="438"/>
      <c r="T689" s="438"/>
      <c r="U689" s="438"/>
      <c r="V689" s="438"/>
      <c r="W689" s="438"/>
      <c r="X689" s="438"/>
      <c r="Y689" s="438"/>
      <c r="Z689" s="438"/>
      <c r="AA689" s="438"/>
      <c r="AB689" s="438"/>
      <c r="AC689" s="438"/>
      <c r="AD689" s="438"/>
      <c r="AE689" s="438"/>
      <c r="AF689" s="438"/>
      <c r="AG689" s="438"/>
      <c r="AH689" s="438"/>
    </row>
    <row r="690">
      <c r="A690" s="438"/>
      <c r="B690" s="438"/>
      <c r="C690" s="438"/>
      <c r="D690" s="438"/>
      <c r="E690" s="438"/>
      <c r="F690" s="438"/>
      <c r="G690" s="438"/>
      <c r="H690" s="438"/>
      <c r="I690" s="438"/>
      <c r="J690" s="438"/>
      <c r="K690" s="438"/>
      <c r="L690" s="438"/>
      <c r="M690" s="438"/>
      <c r="N690" s="438"/>
      <c r="O690" s="438"/>
      <c r="P690" s="438"/>
      <c r="Q690" s="438"/>
      <c r="R690" s="438"/>
      <c r="S690" s="438"/>
      <c r="T690" s="438"/>
      <c r="U690" s="438"/>
      <c r="V690" s="438"/>
      <c r="W690" s="438"/>
      <c r="X690" s="438"/>
      <c r="Y690" s="438"/>
      <c r="Z690" s="438"/>
      <c r="AA690" s="438"/>
      <c r="AB690" s="438"/>
      <c r="AC690" s="438"/>
      <c r="AD690" s="438"/>
      <c r="AE690" s="438"/>
      <c r="AF690" s="438"/>
      <c r="AG690" s="438"/>
      <c r="AH690" s="438"/>
    </row>
    <row r="691">
      <c r="A691" s="438"/>
      <c r="B691" s="438"/>
      <c r="C691" s="438"/>
      <c r="D691" s="438"/>
      <c r="E691" s="438"/>
      <c r="F691" s="438"/>
      <c r="G691" s="438"/>
      <c r="H691" s="438"/>
      <c r="I691" s="438"/>
      <c r="J691" s="438"/>
      <c r="K691" s="438"/>
      <c r="L691" s="438"/>
      <c r="M691" s="438"/>
      <c r="N691" s="438"/>
      <c r="O691" s="438"/>
      <c r="P691" s="438"/>
      <c r="Q691" s="438"/>
      <c r="R691" s="438"/>
      <c r="S691" s="438"/>
      <c r="T691" s="438"/>
      <c r="U691" s="438"/>
      <c r="V691" s="438"/>
      <c r="W691" s="438"/>
      <c r="X691" s="438"/>
      <c r="Y691" s="438"/>
      <c r="Z691" s="438"/>
      <c r="AA691" s="438"/>
      <c r="AB691" s="438"/>
      <c r="AC691" s="438"/>
      <c r="AD691" s="438"/>
      <c r="AE691" s="438"/>
      <c r="AF691" s="438"/>
      <c r="AG691" s="438"/>
      <c r="AH691" s="438"/>
    </row>
    <row r="692">
      <c r="A692" s="438"/>
      <c r="B692" s="438"/>
      <c r="C692" s="438"/>
      <c r="D692" s="438"/>
      <c r="E692" s="438"/>
      <c r="F692" s="438"/>
      <c r="G692" s="438"/>
      <c r="H692" s="438"/>
      <c r="I692" s="438"/>
      <c r="J692" s="438"/>
      <c r="K692" s="438"/>
      <c r="L692" s="438"/>
      <c r="M692" s="438"/>
      <c r="N692" s="438"/>
      <c r="O692" s="438"/>
      <c r="P692" s="438"/>
      <c r="Q692" s="438"/>
      <c r="R692" s="438"/>
      <c r="S692" s="438"/>
      <c r="T692" s="438"/>
      <c r="U692" s="438"/>
      <c r="V692" s="438"/>
      <c r="W692" s="438"/>
      <c r="X692" s="438"/>
      <c r="Y692" s="438"/>
      <c r="Z692" s="438"/>
      <c r="AA692" s="438"/>
      <c r="AB692" s="438"/>
      <c r="AC692" s="438"/>
      <c r="AD692" s="438"/>
      <c r="AE692" s="438"/>
      <c r="AF692" s="438"/>
      <c r="AG692" s="438"/>
      <c r="AH692" s="438"/>
    </row>
    <row r="693">
      <c r="A693" s="438"/>
      <c r="B693" s="438"/>
      <c r="C693" s="438"/>
      <c r="D693" s="438"/>
      <c r="E693" s="438"/>
      <c r="F693" s="438"/>
      <c r="G693" s="438"/>
      <c r="H693" s="438"/>
      <c r="I693" s="438"/>
      <c r="J693" s="438"/>
      <c r="K693" s="438"/>
      <c r="L693" s="438"/>
      <c r="M693" s="438"/>
      <c r="N693" s="438"/>
      <c r="O693" s="438"/>
      <c r="P693" s="438"/>
      <c r="Q693" s="438"/>
      <c r="R693" s="438"/>
      <c r="S693" s="438"/>
      <c r="T693" s="438"/>
      <c r="U693" s="438"/>
      <c r="V693" s="438"/>
      <c r="W693" s="438"/>
      <c r="X693" s="438"/>
      <c r="Y693" s="438"/>
      <c r="Z693" s="438"/>
      <c r="AA693" s="438"/>
      <c r="AB693" s="438"/>
      <c r="AC693" s="438"/>
      <c r="AD693" s="438"/>
      <c r="AE693" s="438"/>
      <c r="AF693" s="438"/>
      <c r="AG693" s="438"/>
      <c r="AH693" s="438"/>
    </row>
    <row r="694">
      <c r="A694" s="438"/>
      <c r="B694" s="438"/>
      <c r="C694" s="438"/>
      <c r="D694" s="438"/>
      <c r="E694" s="438"/>
      <c r="F694" s="438"/>
      <c r="G694" s="438"/>
      <c r="H694" s="438"/>
      <c r="I694" s="438"/>
      <c r="J694" s="438"/>
      <c r="K694" s="438"/>
      <c r="L694" s="438"/>
      <c r="M694" s="438"/>
      <c r="N694" s="438"/>
      <c r="O694" s="438"/>
      <c r="P694" s="438"/>
      <c r="Q694" s="438"/>
      <c r="R694" s="438"/>
      <c r="S694" s="438"/>
      <c r="T694" s="438"/>
      <c r="U694" s="438"/>
      <c r="V694" s="438"/>
      <c r="W694" s="438"/>
      <c r="X694" s="438"/>
      <c r="Y694" s="438"/>
      <c r="Z694" s="438"/>
      <c r="AA694" s="438"/>
      <c r="AB694" s="438"/>
      <c r="AC694" s="438"/>
      <c r="AD694" s="438"/>
      <c r="AE694" s="438"/>
      <c r="AF694" s="438"/>
      <c r="AG694" s="438"/>
      <c r="AH694" s="438"/>
    </row>
    <row r="695">
      <c r="A695" s="438"/>
      <c r="B695" s="438"/>
      <c r="C695" s="438"/>
      <c r="D695" s="438"/>
      <c r="E695" s="438"/>
      <c r="F695" s="438"/>
      <c r="G695" s="438"/>
      <c r="H695" s="438"/>
      <c r="I695" s="438"/>
      <c r="J695" s="438"/>
      <c r="K695" s="438"/>
      <c r="L695" s="438"/>
      <c r="M695" s="438"/>
      <c r="N695" s="438"/>
      <c r="O695" s="438"/>
      <c r="P695" s="438"/>
      <c r="Q695" s="438"/>
      <c r="R695" s="438"/>
      <c r="S695" s="438"/>
      <c r="T695" s="438"/>
      <c r="U695" s="438"/>
      <c r="V695" s="438"/>
      <c r="W695" s="438"/>
      <c r="X695" s="438"/>
      <c r="Y695" s="438"/>
      <c r="Z695" s="438"/>
      <c r="AA695" s="438"/>
      <c r="AB695" s="438"/>
      <c r="AC695" s="438"/>
      <c r="AD695" s="438"/>
      <c r="AE695" s="438"/>
      <c r="AF695" s="438"/>
      <c r="AG695" s="438"/>
      <c r="AH695" s="438"/>
    </row>
    <row r="696">
      <c r="A696" s="438"/>
      <c r="B696" s="438"/>
      <c r="C696" s="438"/>
      <c r="D696" s="438"/>
      <c r="E696" s="438"/>
      <c r="F696" s="438"/>
      <c r="G696" s="438"/>
      <c r="H696" s="438"/>
      <c r="I696" s="438"/>
      <c r="J696" s="438"/>
      <c r="K696" s="438"/>
      <c r="L696" s="438"/>
      <c r="M696" s="438"/>
      <c r="N696" s="438"/>
      <c r="O696" s="438"/>
      <c r="P696" s="438"/>
      <c r="Q696" s="438"/>
      <c r="R696" s="438"/>
      <c r="S696" s="438"/>
      <c r="T696" s="438"/>
      <c r="U696" s="438"/>
      <c r="V696" s="438"/>
      <c r="W696" s="438"/>
      <c r="X696" s="438"/>
      <c r="Y696" s="438"/>
      <c r="Z696" s="438"/>
      <c r="AA696" s="438"/>
      <c r="AB696" s="438"/>
      <c r="AC696" s="438"/>
      <c r="AD696" s="438"/>
      <c r="AE696" s="438"/>
      <c r="AF696" s="438"/>
      <c r="AG696" s="438"/>
      <c r="AH696" s="438"/>
    </row>
    <row r="697">
      <c r="A697" s="438"/>
      <c r="B697" s="438"/>
      <c r="C697" s="438"/>
      <c r="D697" s="438"/>
      <c r="E697" s="438"/>
      <c r="F697" s="438"/>
      <c r="G697" s="438"/>
      <c r="H697" s="438"/>
      <c r="I697" s="438"/>
      <c r="J697" s="438"/>
      <c r="K697" s="438"/>
      <c r="L697" s="438"/>
      <c r="M697" s="438"/>
      <c r="N697" s="438"/>
      <c r="O697" s="438"/>
      <c r="P697" s="438"/>
      <c r="Q697" s="438"/>
      <c r="R697" s="438"/>
      <c r="S697" s="438"/>
      <c r="T697" s="438"/>
      <c r="U697" s="438"/>
      <c r="V697" s="438"/>
      <c r="W697" s="438"/>
      <c r="X697" s="438"/>
      <c r="Y697" s="438"/>
      <c r="Z697" s="438"/>
      <c r="AA697" s="438"/>
      <c r="AB697" s="438"/>
      <c r="AC697" s="438"/>
      <c r="AD697" s="438"/>
      <c r="AE697" s="438"/>
      <c r="AF697" s="438"/>
      <c r="AG697" s="438"/>
      <c r="AH697" s="438"/>
    </row>
    <row r="698">
      <c r="A698" s="438"/>
      <c r="B698" s="438"/>
      <c r="C698" s="438"/>
      <c r="D698" s="438"/>
      <c r="E698" s="438"/>
      <c r="F698" s="438"/>
      <c r="G698" s="438"/>
      <c r="H698" s="438"/>
      <c r="I698" s="438"/>
      <c r="J698" s="438"/>
      <c r="K698" s="438"/>
      <c r="L698" s="438"/>
      <c r="M698" s="438"/>
      <c r="N698" s="438"/>
      <c r="O698" s="438"/>
      <c r="P698" s="438"/>
      <c r="Q698" s="438"/>
      <c r="R698" s="438"/>
      <c r="S698" s="438"/>
      <c r="T698" s="438"/>
      <c r="U698" s="438"/>
      <c r="V698" s="438"/>
      <c r="W698" s="438"/>
      <c r="X698" s="438"/>
      <c r="Y698" s="438"/>
      <c r="Z698" s="438"/>
      <c r="AA698" s="438"/>
      <c r="AB698" s="438"/>
      <c r="AC698" s="438"/>
      <c r="AD698" s="438"/>
      <c r="AE698" s="438"/>
      <c r="AF698" s="438"/>
      <c r="AG698" s="438"/>
      <c r="AH698" s="438"/>
    </row>
    <row r="699">
      <c r="A699" s="438"/>
      <c r="B699" s="438"/>
      <c r="C699" s="438"/>
      <c r="D699" s="438"/>
      <c r="E699" s="438"/>
      <c r="F699" s="438"/>
      <c r="G699" s="438"/>
      <c r="H699" s="438"/>
      <c r="I699" s="438"/>
      <c r="J699" s="438"/>
      <c r="K699" s="438"/>
      <c r="L699" s="438"/>
      <c r="M699" s="438"/>
      <c r="N699" s="438"/>
      <c r="O699" s="438"/>
      <c r="P699" s="438"/>
      <c r="Q699" s="438"/>
      <c r="R699" s="438"/>
      <c r="S699" s="438"/>
      <c r="T699" s="438"/>
      <c r="U699" s="438"/>
      <c r="V699" s="438"/>
      <c r="W699" s="438"/>
      <c r="X699" s="438"/>
      <c r="Y699" s="438"/>
      <c r="Z699" s="438"/>
      <c r="AA699" s="438"/>
      <c r="AB699" s="438"/>
      <c r="AC699" s="438"/>
      <c r="AD699" s="438"/>
      <c r="AE699" s="438"/>
      <c r="AF699" s="438"/>
      <c r="AG699" s="438"/>
      <c r="AH699" s="438"/>
    </row>
    <row r="700">
      <c r="A700" s="438"/>
      <c r="B700" s="438"/>
      <c r="C700" s="438"/>
      <c r="D700" s="438"/>
      <c r="E700" s="438"/>
      <c r="F700" s="438"/>
      <c r="G700" s="438"/>
      <c r="H700" s="438"/>
      <c r="I700" s="438"/>
      <c r="J700" s="438"/>
      <c r="K700" s="438"/>
      <c r="L700" s="438"/>
      <c r="M700" s="438"/>
      <c r="N700" s="438"/>
      <c r="O700" s="438"/>
      <c r="P700" s="438"/>
      <c r="Q700" s="438"/>
      <c r="R700" s="438"/>
      <c r="S700" s="438"/>
      <c r="T700" s="438"/>
      <c r="U700" s="438"/>
      <c r="V700" s="438"/>
      <c r="W700" s="438"/>
      <c r="X700" s="438"/>
      <c r="Y700" s="438"/>
      <c r="Z700" s="438"/>
      <c r="AA700" s="438"/>
      <c r="AB700" s="438"/>
      <c r="AC700" s="438"/>
      <c r="AD700" s="438"/>
      <c r="AE700" s="438"/>
      <c r="AF700" s="438"/>
      <c r="AG700" s="438"/>
      <c r="AH700" s="438"/>
    </row>
    <row r="701">
      <c r="A701" s="438"/>
      <c r="B701" s="438"/>
      <c r="C701" s="438"/>
      <c r="D701" s="438"/>
      <c r="E701" s="438"/>
      <c r="F701" s="438"/>
      <c r="G701" s="438"/>
      <c r="H701" s="438"/>
      <c r="I701" s="438"/>
      <c r="J701" s="438"/>
      <c r="K701" s="438"/>
      <c r="L701" s="438"/>
      <c r="M701" s="438"/>
      <c r="N701" s="438"/>
      <c r="O701" s="438"/>
      <c r="P701" s="438"/>
      <c r="Q701" s="438"/>
      <c r="R701" s="438"/>
      <c r="S701" s="438"/>
      <c r="T701" s="438"/>
      <c r="U701" s="438"/>
      <c r="V701" s="438"/>
      <c r="W701" s="438"/>
      <c r="X701" s="438"/>
      <c r="Y701" s="438"/>
      <c r="Z701" s="438"/>
      <c r="AA701" s="438"/>
      <c r="AB701" s="438"/>
      <c r="AC701" s="438"/>
      <c r="AD701" s="438"/>
      <c r="AE701" s="438"/>
      <c r="AF701" s="438"/>
      <c r="AG701" s="438"/>
      <c r="AH701" s="438"/>
    </row>
    <row r="702">
      <c r="A702" s="438"/>
      <c r="B702" s="438"/>
      <c r="C702" s="438"/>
      <c r="D702" s="438"/>
      <c r="E702" s="438"/>
      <c r="F702" s="438"/>
      <c r="G702" s="438"/>
      <c r="H702" s="438"/>
      <c r="I702" s="438"/>
      <c r="J702" s="438"/>
      <c r="K702" s="438"/>
      <c r="L702" s="438"/>
      <c r="M702" s="438"/>
      <c r="N702" s="438"/>
      <c r="O702" s="438"/>
      <c r="P702" s="438"/>
      <c r="Q702" s="438"/>
      <c r="R702" s="438"/>
      <c r="S702" s="438"/>
      <c r="T702" s="438"/>
      <c r="U702" s="438"/>
      <c r="V702" s="438"/>
      <c r="W702" s="438"/>
      <c r="X702" s="438"/>
      <c r="Y702" s="438"/>
      <c r="Z702" s="438"/>
      <c r="AA702" s="438"/>
      <c r="AB702" s="438"/>
      <c r="AC702" s="438"/>
      <c r="AD702" s="438"/>
      <c r="AE702" s="438"/>
      <c r="AF702" s="438"/>
      <c r="AG702" s="438"/>
      <c r="AH702" s="438"/>
    </row>
    <row r="703">
      <c r="A703" s="438"/>
      <c r="B703" s="438"/>
      <c r="C703" s="438"/>
      <c r="D703" s="438"/>
      <c r="E703" s="438"/>
      <c r="F703" s="438"/>
      <c r="G703" s="438"/>
      <c r="H703" s="438"/>
      <c r="I703" s="438"/>
      <c r="J703" s="438"/>
      <c r="K703" s="438"/>
      <c r="L703" s="438"/>
      <c r="M703" s="438"/>
      <c r="N703" s="438"/>
      <c r="O703" s="438"/>
      <c r="P703" s="438"/>
      <c r="Q703" s="438"/>
      <c r="R703" s="438"/>
      <c r="S703" s="438"/>
      <c r="T703" s="438"/>
      <c r="U703" s="438"/>
      <c r="V703" s="438"/>
      <c r="W703" s="438"/>
      <c r="X703" s="438"/>
      <c r="Y703" s="438"/>
      <c r="Z703" s="438"/>
      <c r="AA703" s="438"/>
      <c r="AB703" s="438"/>
      <c r="AC703" s="438"/>
      <c r="AD703" s="438"/>
      <c r="AE703" s="438"/>
      <c r="AF703" s="438"/>
      <c r="AG703" s="438"/>
      <c r="AH703" s="438"/>
    </row>
    <row r="704">
      <c r="A704" s="438"/>
      <c r="B704" s="438"/>
      <c r="C704" s="438"/>
      <c r="D704" s="438"/>
      <c r="E704" s="438"/>
      <c r="F704" s="438"/>
      <c r="G704" s="438"/>
      <c r="H704" s="438"/>
      <c r="I704" s="438"/>
      <c r="J704" s="438"/>
      <c r="K704" s="438"/>
      <c r="L704" s="438"/>
      <c r="M704" s="438"/>
      <c r="N704" s="438"/>
      <c r="O704" s="438"/>
      <c r="P704" s="438"/>
      <c r="Q704" s="438"/>
      <c r="R704" s="438"/>
      <c r="S704" s="438"/>
      <c r="T704" s="438"/>
      <c r="U704" s="438"/>
      <c r="V704" s="438"/>
      <c r="W704" s="438"/>
      <c r="X704" s="438"/>
      <c r="Y704" s="438"/>
      <c r="Z704" s="438"/>
      <c r="AA704" s="438"/>
      <c r="AB704" s="438"/>
      <c r="AC704" s="438"/>
      <c r="AD704" s="438"/>
      <c r="AE704" s="438"/>
      <c r="AF704" s="438"/>
      <c r="AG704" s="438"/>
      <c r="AH704" s="438"/>
    </row>
    <row r="705">
      <c r="A705" s="438"/>
      <c r="B705" s="438"/>
      <c r="C705" s="438"/>
      <c r="D705" s="438"/>
      <c r="E705" s="438"/>
      <c r="F705" s="438"/>
      <c r="G705" s="438"/>
      <c r="H705" s="438"/>
      <c r="I705" s="438"/>
      <c r="J705" s="438"/>
      <c r="K705" s="438"/>
      <c r="L705" s="438"/>
      <c r="M705" s="438"/>
      <c r="N705" s="438"/>
      <c r="O705" s="438"/>
      <c r="P705" s="438"/>
      <c r="Q705" s="438"/>
      <c r="R705" s="438"/>
      <c r="S705" s="438"/>
      <c r="T705" s="438"/>
      <c r="U705" s="438"/>
      <c r="V705" s="438"/>
      <c r="W705" s="438"/>
      <c r="X705" s="438"/>
      <c r="Y705" s="438"/>
      <c r="Z705" s="438"/>
      <c r="AA705" s="438"/>
      <c r="AB705" s="438"/>
      <c r="AC705" s="438"/>
      <c r="AD705" s="438"/>
      <c r="AE705" s="438"/>
      <c r="AF705" s="438"/>
      <c r="AG705" s="438"/>
      <c r="AH705" s="438"/>
    </row>
    <row r="706">
      <c r="A706" s="438"/>
      <c r="B706" s="438"/>
      <c r="C706" s="438"/>
      <c r="D706" s="438"/>
      <c r="E706" s="438"/>
      <c r="F706" s="438"/>
      <c r="G706" s="438"/>
      <c r="H706" s="438"/>
      <c r="I706" s="438"/>
      <c r="J706" s="438"/>
      <c r="K706" s="438"/>
      <c r="L706" s="438"/>
      <c r="M706" s="438"/>
      <c r="N706" s="438"/>
      <c r="O706" s="438"/>
      <c r="P706" s="438"/>
      <c r="Q706" s="438"/>
      <c r="R706" s="438"/>
      <c r="S706" s="438"/>
      <c r="T706" s="438"/>
      <c r="U706" s="438"/>
      <c r="V706" s="438"/>
      <c r="W706" s="438"/>
      <c r="X706" s="438"/>
      <c r="Y706" s="438"/>
      <c r="Z706" s="438"/>
      <c r="AA706" s="438"/>
      <c r="AB706" s="438"/>
      <c r="AC706" s="438"/>
      <c r="AD706" s="438"/>
      <c r="AE706" s="438"/>
      <c r="AF706" s="438"/>
      <c r="AG706" s="438"/>
      <c r="AH706" s="438"/>
    </row>
    <row r="707">
      <c r="A707" s="438"/>
      <c r="B707" s="438"/>
      <c r="C707" s="438"/>
      <c r="D707" s="438"/>
      <c r="E707" s="438"/>
      <c r="F707" s="438"/>
      <c r="G707" s="438"/>
      <c r="H707" s="438"/>
      <c r="I707" s="438"/>
      <c r="J707" s="438"/>
      <c r="K707" s="438"/>
      <c r="L707" s="438"/>
      <c r="M707" s="438"/>
      <c r="N707" s="438"/>
      <c r="O707" s="438"/>
      <c r="P707" s="438"/>
      <c r="Q707" s="438"/>
      <c r="R707" s="438"/>
      <c r="S707" s="438"/>
      <c r="T707" s="438"/>
      <c r="U707" s="438"/>
      <c r="V707" s="438"/>
      <c r="W707" s="438"/>
      <c r="X707" s="438"/>
      <c r="Y707" s="438"/>
      <c r="Z707" s="438"/>
      <c r="AA707" s="438"/>
      <c r="AB707" s="438"/>
      <c r="AC707" s="438"/>
      <c r="AD707" s="438"/>
      <c r="AE707" s="438"/>
      <c r="AF707" s="438"/>
      <c r="AG707" s="438"/>
      <c r="AH707" s="438"/>
    </row>
    <row r="708">
      <c r="A708" s="438"/>
      <c r="B708" s="438"/>
      <c r="C708" s="438"/>
      <c r="D708" s="438"/>
      <c r="E708" s="438"/>
      <c r="F708" s="438"/>
      <c r="G708" s="438"/>
      <c r="H708" s="438"/>
      <c r="I708" s="438"/>
      <c r="J708" s="438"/>
      <c r="K708" s="438"/>
      <c r="L708" s="438"/>
      <c r="M708" s="438"/>
      <c r="N708" s="438"/>
      <c r="O708" s="438"/>
      <c r="P708" s="438"/>
      <c r="Q708" s="438"/>
      <c r="R708" s="438"/>
      <c r="S708" s="438"/>
      <c r="T708" s="438"/>
      <c r="U708" s="438"/>
      <c r="V708" s="438"/>
      <c r="W708" s="438"/>
      <c r="X708" s="438"/>
      <c r="Y708" s="438"/>
      <c r="Z708" s="438"/>
      <c r="AA708" s="438"/>
      <c r="AB708" s="438"/>
      <c r="AC708" s="438"/>
      <c r="AD708" s="438"/>
      <c r="AE708" s="438"/>
      <c r="AF708" s="438"/>
      <c r="AG708" s="438"/>
      <c r="AH708" s="438"/>
    </row>
    <row r="709">
      <c r="A709" s="438"/>
      <c r="B709" s="438"/>
      <c r="C709" s="438"/>
      <c r="D709" s="438"/>
      <c r="E709" s="438"/>
      <c r="F709" s="438"/>
      <c r="G709" s="438"/>
      <c r="H709" s="438"/>
      <c r="I709" s="438"/>
      <c r="J709" s="438"/>
      <c r="K709" s="438"/>
      <c r="L709" s="438"/>
      <c r="M709" s="438"/>
      <c r="N709" s="438"/>
      <c r="O709" s="438"/>
      <c r="P709" s="438"/>
      <c r="Q709" s="438"/>
      <c r="R709" s="438"/>
      <c r="S709" s="438"/>
      <c r="T709" s="438"/>
      <c r="U709" s="438"/>
      <c r="V709" s="438"/>
      <c r="W709" s="438"/>
      <c r="X709" s="438"/>
      <c r="Y709" s="438"/>
      <c r="Z709" s="438"/>
      <c r="AA709" s="438"/>
      <c r="AB709" s="438"/>
      <c r="AC709" s="438"/>
      <c r="AD709" s="438"/>
      <c r="AE709" s="438"/>
      <c r="AF709" s="438"/>
      <c r="AG709" s="438"/>
      <c r="AH709" s="438"/>
    </row>
    <row r="710">
      <c r="A710" s="438"/>
      <c r="B710" s="438"/>
      <c r="C710" s="438"/>
      <c r="D710" s="438"/>
      <c r="E710" s="438"/>
      <c r="F710" s="438"/>
      <c r="G710" s="438"/>
      <c r="H710" s="438"/>
      <c r="I710" s="438"/>
      <c r="J710" s="438"/>
      <c r="K710" s="438"/>
      <c r="L710" s="438"/>
      <c r="M710" s="438"/>
      <c r="N710" s="438"/>
      <c r="O710" s="438"/>
      <c r="P710" s="438"/>
      <c r="Q710" s="438"/>
      <c r="R710" s="438"/>
      <c r="S710" s="438"/>
      <c r="T710" s="438"/>
      <c r="U710" s="438"/>
      <c r="V710" s="438"/>
      <c r="W710" s="438"/>
      <c r="X710" s="438"/>
      <c r="Y710" s="438"/>
      <c r="Z710" s="438"/>
      <c r="AA710" s="438"/>
      <c r="AB710" s="438"/>
      <c r="AC710" s="438"/>
      <c r="AD710" s="438"/>
      <c r="AE710" s="438"/>
      <c r="AF710" s="438"/>
      <c r="AG710" s="438"/>
      <c r="AH710" s="438"/>
    </row>
    <row r="711">
      <c r="A711" s="438"/>
      <c r="B711" s="438"/>
      <c r="C711" s="438"/>
      <c r="D711" s="438"/>
      <c r="E711" s="438"/>
      <c r="F711" s="438"/>
      <c r="G711" s="438"/>
      <c r="H711" s="438"/>
      <c r="I711" s="438"/>
      <c r="J711" s="438"/>
      <c r="K711" s="438"/>
      <c r="L711" s="438"/>
      <c r="M711" s="438"/>
      <c r="N711" s="438"/>
      <c r="O711" s="438"/>
      <c r="P711" s="438"/>
      <c r="Q711" s="438"/>
      <c r="R711" s="438"/>
      <c r="S711" s="438"/>
      <c r="T711" s="438"/>
      <c r="U711" s="438"/>
      <c r="V711" s="438"/>
      <c r="W711" s="438"/>
      <c r="X711" s="438"/>
      <c r="Y711" s="438"/>
      <c r="Z711" s="438"/>
      <c r="AA711" s="438"/>
      <c r="AB711" s="438"/>
      <c r="AC711" s="438"/>
      <c r="AD711" s="438"/>
      <c r="AE711" s="438"/>
      <c r="AF711" s="438"/>
      <c r="AG711" s="438"/>
      <c r="AH711" s="438"/>
    </row>
    <row r="712">
      <c r="A712" s="438"/>
      <c r="B712" s="438"/>
      <c r="C712" s="438"/>
      <c r="D712" s="438"/>
      <c r="E712" s="438"/>
      <c r="F712" s="438"/>
      <c r="G712" s="438"/>
      <c r="H712" s="438"/>
      <c r="I712" s="438"/>
      <c r="J712" s="438"/>
      <c r="K712" s="438"/>
      <c r="L712" s="438"/>
      <c r="M712" s="438"/>
      <c r="N712" s="438"/>
      <c r="O712" s="438"/>
      <c r="P712" s="438"/>
      <c r="Q712" s="438"/>
      <c r="R712" s="438"/>
      <c r="S712" s="438"/>
      <c r="T712" s="438"/>
      <c r="U712" s="438"/>
      <c r="V712" s="438"/>
      <c r="W712" s="438"/>
      <c r="X712" s="438"/>
      <c r="Y712" s="438"/>
      <c r="Z712" s="438"/>
      <c r="AA712" s="438"/>
      <c r="AB712" s="438"/>
      <c r="AC712" s="438"/>
      <c r="AD712" s="438"/>
      <c r="AE712" s="438"/>
      <c r="AF712" s="438"/>
      <c r="AG712" s="438"/>
      <c r="AH712" s="438"/>
    </row>
    <row r="713">
      <c r="A713" s="438"/>
      <c r="B713" s="438"/>
      <c r="C713" s="438"/>
      <c r="D713" s="438"/>
      <c r="E713" s="438"/>
      <c r="F713" s="438"/>
      <c r="G713" s="438"/>
      <c r="H713" s="438"/>
      <c r="I713" s="438"/>
      <c r="J713" s="438"/>
      <c r="K713" s="438"/>
      <c r="L713" s="438"/>
      <c r="M713" s="438"/>
      <c r="N713" s="438"/>
      <c r="O713" s="438"/>
      <c r="P713" s="438"/>
      <c r="Q713" s="438"/>
      <c r="R713" s="438"/>
      <c r="S713" s="438"/>
      <c r="T713" s="438"/>
      <c r="U713" s="438"/>
      <c r="V713" s="438"/>
      <c r="W713" s="438"/>
      <c r="X713" s="438"/>
      <c r="Y713" s="438"/>
      <c r="Z713" s="438"/>
      <c r="AA713" s="438"/>
      <c r="AB713" s="438"/>
      <c r="AC713" s="438"/>
      <c r="AD713" s="438"/>
      <c r="AE713" s="438"/>
      <c r="AF713" s="438"/>
      <c r="AG713" s="438"/>
      <c r="AH713" s="438"/>
    </row>
    <row r="714">
      <c r="A714" s="438"/>
      <c r="B714" s="438"/>
      <c r="C714" s="438"/>
      <c r="D714" s="438"/>
      <c r="E714" s="438"/>
      <c r="F714" s="438"/>
      <c r="G714" s="438"/>
      <c r="H714" s="438"/>
      <c r="I714" s="438"/>
      <c r="J714" s="438"/>
      <c r="K714" s="438"/>
      <c r="L714" s="438"/>
      <c r="M714" s="438"/>
      <c r="N714" s="438"/>
      <c r="O714" s="438"/>
      <c r="P714" s="438"/>
      <c r="Q714" s="438"/>
      <c r="R714" s="438"/>
      <c r="S714" s="438"/>
      <c r="T714" s="438"/>
      <c r="U714" s="438"/>
      <c r="V714" s="438"/>
      <c r="W714" s="438"/>
      <c r="X714" s="438"/>
      <c r="Y714" s="438"/>
      <c r="Z714" s="438"/>
      <c r="AA714" s="438"/>
      <c r="AB714" s="438"/>
      <c r="AC714" s="438"/>
      <c r="AD714" s="438"/>
      <c r="AE714" s="438"/>
      <c r="AF714" s="438"/>
      <c r="AG714" s="438"/>
      <c r="AH714" s="438"/>
    </row>
    <row r="715">
      <c r="A715" s="438"/>
      <c r="B715" s="438"/>
      <c r="C715" s="438"/>
      <c r="D715" s="438"/>
      <c r="E715" s="438"/>
      <c r="F715" s="438"/>
      <c r="G715" s="438"/>
      <c r="H715" s="438"/>
      <c r="I715" s="438"/>
      <c r="J715" s="438"/>
      <c r="K715" s="438"/>
      <c r="L715" s="438"/>
      <c r="M715" s="438"/>
      <c r="N715" s="438"/>
      <c r="O715" s="438"/>
      <c r="P715" s="438"/>
      <c r="Q715" s="438"/>
      <c r="R715" s="438"/>
      <c r="S715" s="438"/>
      <c r="T715" s="438"/>
      <c r="U715" s="438"/>
      <c r="V715" s="438"/>
      <c r="W715" s="438"/>
      <c r="X715" s="438"/>
      <c r="Y715" s="438"/>
      <c r="Z715" s="438"/>
      <c r="AA715" s="438"/>
      <c r="AB715" s="438"/>
      <c r="AC715" s="438"/>
      <c r="AD715" s="438"/>
      <c r="AE715" s="438"/>
      <c r="AF715" s="438"/>
      <c r="AG715" s="438"/>
      <c r="AH715" s="438"/>
    </row>
    <row r="716">
      <c r="A716" s="438"/>
      <c r="B716" s="438"/>
      <c r="C716" s="438"/>
      <c r="D716" s="438"/>
      <c r="E716" s="438"/>
      <c r="F716" s="438"/>
      <c r="G716" s="438"/>
      <c r="H716" s="438"/>
      <c r="I716" s="438"/>
      <c r="J716" s="438"/>
      <c r="K716" s="438"/>
      <c r="L716" s="438"/>
      <c r="M716" s="438"/>
      <c r="N716" s="438"/>
      <c r="O716" s="438"/>
      <c r="P716" s="438"/>
      <c r="Q716" s="438"/>
      <c r="R716" s="438"/>
      <c r="S716" s="438"/>
      <c r="T716" s="438"/>
      <c r="U716" s="438"/>
      <c r="V716" s="438"/>
      <c r="W716" s="438"/>
      <c r="X716" s="438"/>
      <c r="Y716" s="438"/>
      <c r="Z716" s="438"/>
      <c r="AA716" s="438"/>
      <c r="AB716" s="438"/>
      <c r="AC716" s="438"/>
      <c r="AD716" s="438"/>
      <c r="AE716" s="438"/>
      <c r="AF716" s="438"/>
      <c r="AG716" s="438"/>
      <c r="AH716" s="438"/>
    </row>
    <row r="717">
      <c r="A717" s="438"/>
      <c r="B717" s="438"/>
      <c r="C717" s="438"/>
      <c r="D717" s="438"/>
      <c r="E717" s="438"/>
      <c r="F717" s="438"/>
      <c r="G717" s="438"/>
      <c r="H717" s="438"/>
      <c r="I717" s="438"/>
      <c r="J717" s="438"/>
      <c r="K717" s="438"/>
      <c r="L717" s="438"/>
      <c r="M717" s="438"/>
      <c r="N717" s="438"/>
      <c r="O717" s="438"/>
      <c r="P717" s="438"/>
      <c r="Q717" s="438"/>
      <c r="R717" s="438"/>
      <c r="S717" s="438"/>
      <c r="T717" s="438"/>
      <c r="U717" s="438"/>
      <c r="V717" s="438"/>
      <c r="W717" s="438"/>
      <c r="X717" s="438"/>
      <c r="Y717" s="438"/>
      <c r="Z717" s="438"/>
      <c r="AA717" s="438"/>
      <c r="AB717" s="438"/>
      <c r="AC717" s="438"/>
      <c r="AD717" s="438"/>
      <c r="AE717" s="438"/>
      <c r="AF717" s="438"/>
      <c r="AG717" s="438"/>
      <c r="AH717" s="438"/>
    </row>
    <row r="718">
      <c r="A718" s="438"/>
      <c r="B718" s="438"/>
      <c r="C718" s="438"/>
      <c r="D718" s="438"/>
      <c r="E718" s="438"/>
      <c r="F718" s="438"/>
      <c r="G718" s="438"/>
      <c r="H718" s="438"/>
      <c r="I718" s="438"/>
      <c r="J718" s="438"/>
      <c r="K718" s="438"/>
      <c r="L718" s="438"/>
      <c r="M718" s="438"/>
      <c r="N718" s="438"/>
      <c r="O718" s="438"/>
      <c r="P718" s="438"/>
      <c r="Q718" s="438"/>
      <c r="R718" s="438"/>
      <c r="S718" s="438"/>
      <c r="T718" s="438"/>
      <c r="U718" s="438"/>
      <c r="V718" s="438"/>
      <c r="W718" s="438"/>
      <c r="X718" s="438"/>
      <c r="Y718" s="438"/>
      <c r="Z718" s="438"/>
      <c r="AA718" s="438"/>
      <c r="AB718" s="438"/>
      <c r="AC718" s="438"/>
      <c r="AD718" s="438"/>
      <c r="AE718" s="438"/>
      <c r="AF718" s="438"/>
      <c r="AG718" s="438"/>
      <c r="AH718" s="438"/>
    </row>
    <row r="719">
      <c r="A719" s="438"/>
      <c r="B719" s="438"/>
      <c r="C719" s="438"/>
      <c r="D719" s="438"/>
      <c r="E719" s="438"/>
      <c r="F719" s="438"/>
      <c r="G719" s="438"/>
      <c r="H719" s="438"/>
      <c r="I719" s="438"/>
      <c r="J719" s="438"/>
      <c r="K719" s="438"/>
      <c r="L719" s="438"/>
      <c r="M719" s="438"/>
      <c r="N719" s="438"/>
      <c r="O719" s="438"/>
      <c r="P719" s="438"/>
      <c r="Q719" s="438"/>
      <c r="R719" s="438"/>
      <c r="S719" s="438"/>
      <c r="T719" s="438"/>
      <c r="U719" s="438"/>
      <c r="V719" s="438"/>
      <c r="W719" s="438"/>
      <c r="X719" s="438"/>
      <c r="Y719" s="438"/>
      <c r="Z719" s="438"/>
      <c r="AA719" s="438"/>
      <c r="AB719" s="438"/>
      <c r="AC719" s="438"/>
      <c r="AD719" s="438"/>
      <c r="AE719" s="438"/>
      <c r="AF719" s="438"/>
      <c r="AG719" s="438"/>
      <c r="AH719" s="438"/>
    </row>
    <row r="720">
      <c r="A720" s="438"/>
      <c r="B720" s="438"/>
      <c r="C720" s="438"/>
      <c r="D720" s="438"/>
      <c r="E720" s="438"/>
      <c r="F720" s="438"/>
      <c r="G720" s="438"/>
      <c r="H720" s="438"/>
      <c r="I720" s="438"/>
      <c r="J720" s="438"/>
      <c r="K720" s="438"/>
      <c r="L720" s="438"/>
      <c r="M720" s="438"/>
      <c r="N720" s="438"/>
      <c r="O720" s="438"/>
      <c r="P720" s="438"/>
      <c r="Q720" s="438"/>
      <c r="R720" s="438"/>
      <c r="S720" s="438"/>
      <c r="T720" s="438"/>
      <c r="U720" s="438"/>
      <c r="V720" s="438"/>
      <c r="W720" s="438"/>
      <c r="X720" s="438"/>
      <c r="Y720" s="438"/>
      <c r="Z720" s="438"/>
      <c r="AA720" s="438"/>
      <c r="AB720" s="438"/>
      <c r="AC720" s="438"/>
      <c r="AD720" s="438"/>
      <c r="AE720" s="438"/>
      <c r="AF720" s="438"/>
      <c r="AG720" s="438"/>
      <c r="AH720" s="438"/>
    </row>
    <row r="721">
      <c r="A721" s="438"/>
      <c r="B721" s="438"/>
      <c r="C721" s="438"/>
      <c r="D721" s="438"/>
      <c r="E721" s="438"/>
      <c r="F721" s="438"/>
      <c r="G721" s="438"/>
      <c r="H721" s="438"/>
      <c r="I721" s="438"/>
      <c r="J721" s="438"/>
      <c r="K721" s="438"/>
      <c r="L721" s="438"/>
      <c r="M721" s="438"/>
      <c r="N721" s="438"/>
      <c r="O721" s="438"/>
      <c r="P721" s="438"/>
      <c r="Q721" s="438"/>
      <c r="R721" s="438"/>
      <c r="S721" s="438"/>
      <c r="T721" s="438"/>
      <c r="U721" s="438"/>
      <c r="V721" s="438"/>
      <c r="W721" s="438"/>
      <c r="X721" s="438"/>
      <c r="Y721" s="438"/>
      <c r="Z721" s="438"/>
      <c r="AA721" s="438"/>
      <c r="AB721" s="438"/>
      <c r="AC721" s="438"/>
      <c r="AD721" s="438"/>
      <c r="AE721" s="438"/>
      <c r="AF721" s="438"/>
      <c r="AG721" s="438"/>
      <c r="AH721" s="438"/>
    </row>
    <row r="722">
      <c r="A722" s="438"/>
      <c r="B722" s="438"/>
      <c r="C722" s="438"/>
      <c r="D722" s="438"/>
      <c r="E722" s="438"/>
      <c r="F722" s="438"/>
      <c r="G722" s="438"/>
      <c r="H722" s="438"/>
      <c r="I722" s="438"/>
      <c r="J722" s="438"/>
      <c r="K722" s="438"/>
      <c r="L722" s="438"/>
      <c r="M722" s="438"/>
      <c r="N722" s="438"/>
      <c r="O722" s="438"/>
      <c r="P722" s="438"/>
      <c r="Q722" s="438"/>
      <c r="R722" s="438"/>
      <c r="S722" s="438"/>
      <c r="T722" s="438"/>
      <c r="U722" s="438"/>
      <c r="V722" s="438"/>
      <c r="W722" s="438"/>
      <c r="X722" s="438"/>
      <c r="Y722" s="438"/>
      <c r="Z722" s="438"/>
      <c r="AA722" s="438"/>
      <c r="AB722" s="438"/>
      <c r="AC722" s="438"/>
      <c r="AD722" s="438"/>
      <c r="AE722" s="438"/>
      <c r="AF722" s="438"/>
      <c r="AG722" s="438"/>
      <c r="AH722" s="438"/>
    </row>
    <row r="723">
      <c r="A723" s="438"/>
      <c r="B723" s="438"/>
      <c r="C723" s="438"/>
      <c r="D723" s="438"/>
      <c r="E723" s="438"/>
      <c r="F723" s="438"/>
      <c r="G723" s="438"/>
      <c r="H723" s="438"/>
      <c r="I723" s="438"/>
      <c r="J723" s="438"/>
      <c r="K723" s="438"/>
      <c r="L723" s="438"/>
      <c r="M723" s="438"/>
      <c r="N723" s="438"/>
      <c r="O723" s="438"/>
      <c r="P723" s="438"/>
      <c r="Q723" s="438"/>
      <c r="R723" s="438"/>
      <c r="S723" s="438"/>
      <c r="T723" s="438"/>
      <c r="U723" s="438"/>
      <c r="V723" s="438"/>
      <c r="W723" s="438"/>
      <c r="X723" s="438"/>
      <c r="Y723" s="438"/>
      <c r="Z723" s="438"/>
      <c r="AA723" s="438"/>
      <c r="AB723" s="438"/>
      <c r="AC723" s="438"/>
      <c r="AD723" s="438"/>
      <c r="AE723" s="438"/>
      <c r="AF723" s="438"/>
      <c r="AG723" s="438"/>
      <c r="AH723" s="438"/>
    </row>
    <row r="724">
      <c r="A724" s="438"/>
      <c r="B724" s="438"/>
      <c r="C724" s="438"/>
      <c r="D724" s="438"/>
      <c r="E724" s="438"/>
      <c r="F724" s="438"/>
      <c r="G724" s="438"/>
      <c r="H724" s="438"/>
      <c r="I724" s="438"/>
      <c r="J724" s="438"/>
      <c r="K724" s="438"/>
      <c r="L724" s="438"/>
      <c r="M724" s="438"/>
      <c r="N724" s="438"/>
      <c r="O724" s="438"/>
      <c r="P724" s="438"/>
      <c r="Q724" s="438"/>
      <c r="R724" s="438"/>
      <c r="S724" s="438"/>
      <c r="T724" s="438"/>
      <c r="U724" s="438"/>
      <c r="V724" s="438"/>
      <c r="W724" s="438"/>
      <c r="X724" s="438"/>
      <c r="Y724" s="438"/>
      <c r="Z724" s="438"/>
      <c r="AA724" s="438"/>
      <c r="AB724" s="438"/>
      <c r="AC724" s="438"/>
      <c r="AD724" s="438"/>
      <c r="AE724" s="438"/>
      <c r="AF724" s="438"/>
      <c r="AG724" s="438"/>
      <c r="AH724" s="438"/>
    </row>
    <row r="725">
      <c r="A725" s="438"/>
      <c r="B725" s="438"/>
      <c r="C725" s="438"/>
      <c r="D725" s="438"/>
      <c r="E725" s="438"/>
      <c r="F725" s="438"/>
      <c r="G725" s="438"/>
      <c r="H725" s="438"/>
      <c r="I725" s="438"/>
      <c r="J725" s="438"/>
      <c r="K725" s="438"/>
      <c r="L725" s="438"/>
      <c r="M725" s="438"/>
      <c r="N725" s="438"/>
      <c r="O725" s="438"/>
      <c r="P725" s="438"/>
      <c r="Q725" s="438"/>
      <c r="R725" s="438"/>
      <c r="S725" s="438"/>
      <c r="T725" s="438"/>
      <c r="U725" s="438"/>
      <c r="V725" s="438"/>
      <c r="W725" s="438"/>
      <c r="X725" s="438"/>
      <c r="Y725" s="438"/>
      <c r="Z725" s="438"/>
      <c r="AA725" s="438"/>
      <c r="AB725" s="438"/>
      <c r="AC725" s="438"/>
      <c r="AD725" s="438"/>
      <c r="AE725" s="438"/>
      <c r="AF725" s="438"/>
      <c r="AG725" s="438"/>
      <c r="AH725" s="438"/>
    </row>
    <row r="726">
      <c r="A726" s="438"/>
      <c r="B726" s="438"/>
      <c r="C726" s="438"/>
      <c r="D726" s="438"/>
      <c r="E726" s="438"/>
      <c r="F726" s="438"/>
      <c r="G726" s="438"/>
      <c r="H726" s="438"/>
      <c r="I726" s="438"/>
      <c r="J726" s="438"/>
      <c r="K726" s="438"/>
      <c r="L726" s="438"/>
      <c r="M726" s="438"/>
      <c r="N726" s="438"/>
      <c r="O726" s="438"/>
      <c r="P726" s="438"/>
      <c r="Q726" s="438"/>
      <c r="R726" s="438"/>
      <c r="S726" s="438"/>
      <c r="T726" s="438"/>
      <c r="U726" s="438"/>
      <c r="V726" s="438"/>
      <c r="W726" s="438"/>
      <c r="X726" s="438"/>
      <c r="Y726" s="438"/>
      <c r="Z726" s="438"/>
      <c r="AA726" s="438"/>
      <c r="AB726" s="438"/>
      <c r="AC726" s="438"/>
      <c r="AD726" s="438"/>
      <c r="AE726" s="438"/>
      <c r="AF726" s="438"/>
      <c r="AG726" s="438"/>
      <c r="AH726" s="438"/>
    </row>
    <row r="727">
      <c r="A727" s="438"/>
      <c r="B727" s="438"/>
      <c r="C727" s="438"/>
      <c r="D727" s="438"/>
      <c r="E727" s="438"/>
      <c r="F727" s="438"/>
      <c r="G727" s="438"/>
      <c r="H727" s="438"/>
      <c r="I727" s="438"/>
      <c r="J727" s="438"/>
      <c r="K727" s="438"/>
      <c r="L727" s="438"/>
      <c r="M727" s="438"/>
      <c r="N727" s="438"/>
      <c r="O727" s="438"/>
      <c r="P727" s="438"/>
      <c r="Q727" s="438"/>
      <c r="R727" s="438"/>
      <c r="S727" s="438"/>
      <c r="T727" s="438"/>
      <c r="U727" s="438"/>
      <c r="V727" s="438"/>
      <c r="W727" s="438"/>
      <c r="X727" s="438"/>
      <c r="Y727" s="438"/>
      <c r="Z727" s="438"/>
      <c r="AA727" s="438"/>
      <c r="AB727" s="438"/>
      <c r="AC727" s="438"/>
      <c r="AD727" s="438"/>
      <c r="AE727" s="438"/>
      <c r="AF727" s="438"/>
      <c r="AG727" s="438"/>
      <c r="AH727" s="438"/>
    </row>
    <row r="728">
      <c r="A728" s="438"/>
      <c r="B728" s="438"/>
      <c r="C728" s="438"/>
      <c r="D728" s="438"/>
      <c r="E728" s="438"/>
      <c r="F728" s="438"/>
      <c r="G728" s="438"/>
      <c r="H728" s="438"/>
      <c r="I728" s="438"/>
      <c r="J728" s="438"/>
      <c r="K728" s="438"/>
      <c r="L728" s="438"/>
      <c r="M728" s="438"/>
      <c r="N728" s="438"/>
      <c r="O728" s="438"/>
      <c r="P728" s="438"/>
      <c r="Q728" s="438"/>
      <c r="R728" s="438"/>
      <c r="S728" s="438"/>
      <c r="T728" s="438"/>
      <c r="U728" s="438"/>
      <c r="V728" s="438"/>
      <c r="W728" s="438"/>
      <c r="X728" s="438"/>
      <c r="Y728" s="438"/>
      <c r="Z728" s="438"/>
      <c r="AA728" s="438"/>
      <c r="AB728" s="438"/>
      <c r="AC728" s="438"/>
      <c r="AD728" s="438"/>
      <c r="AE728" s="438"/>
      <c r="AF728" s="438"/>
      <c r="AG728" s="438"/>
      <c r="AH728" s="438"/>
    </row>
    <row r="729">
      <c r="A729" s="438"/>
      <c r="B729" s="438"/>
      <c r="C729" s="438"/>
      <c r="D729" s="438"/>
      <c r="E729" s="438"/>
      <c r="F729" s="438"/>
      <c r="G729" s="438"/>
      <c r="H729" s="438"/>
      <c r="I729" s="438"/>
      <c r="J729" s="438"/>
      <c r="K729" s="438"/>
      <c r="L729" s="438"/>
      <c r="M729" s="438"/>
      <c r="N729" s="438"/>
      <c r="O729" s="438"/>
      <c r="P729" s="438"/>
      <c r="Q729" s="438"/>
      <c r="R729" s="438"/>
      <c r="S729" s="438"/>
      <c r="T729" s="438"/>
      <c r="U729" s="438"/>
      <c r="V729" s="438"/>
      <c r="W729" s="438"/>
      <c r="X729" s="438"/>
      <c r="Y729" s="438"/>
      <c r="Z729" s="438"/>
      <c r="AA729" s="438"/>
      <c r="AB729" s="438"/>
      <c r="AC729" s="438"/>
      <c r="AD729" s="438"/>
      <c r="AE729" s="438"/>
      <c r="AF729" s="438"/>
      <c r="AG729" s="438"/>
      <c r="AH729" s="438"/>
    </row>
    <row r="730">
      <c r="A730" s="438"/>
      <c r="B730" s="438"/>
      <c r="C730" s="438"/>
      <c r="D730" s="438"/>
      <c r="E730" s="438"/>
      <c r="F730" s="438"/>
      <c r="G730" s="438"/>
      <c r="H730" s="438"/>
      <c r="I730" s="438"/>
      <c r="J730" s="438"/>
      <c r="K730" s="438"/>
      <c r="L730" s="438"/>
      <c r="M730" s="438"/>
      <c r="N730" s="438"/>
      <c r="O730" s="438"/>
      <c r="P730" s="438"/>
      <c r="Q730" s="438"/>
      <c r="R730" s="438"/>
      <c r="S730" s="438"/>
      <c r="T730" s="438"/>
      <c r="U730" s="438"/>
      <c r="V730" s="438"/>
      <c r="W730" s="438"/>
      <c r="X730" s="438"/>
      <c r="Y730" s="438"/>
      <c r="Z730" s="438"/>
      <c r="AA730" s="438"/>
      <c r="AB730" s="438"/>
      <c r="AC730" s="438"/>
      <c r="AD730" s="438"/>
      <c r="AE730" s="438"/>
      <c r="AF730" s="438"/>
      <c r="AG730" s="438"/>
      <c r="AH730" s="438"/>
    </row>
    <row r="731">
      <c r="A731" s="438"/>
      <c r="B731" s="438"/>
      <c r="C731" s="438"/>
      <c r="D731" s="438"/>
      <c r="E731" s="438"/>
      <c r="F731" s="438"/>
      <c r="G731" s="438"/>
      <c r="H731" s="438"/>
      <c r="I731" s="438"/>
      <c r="J731" s="438"/>
      <c r="K731" s="438"/>
      <c r="L731" s="438"/>
      <c r="M731" s="438"/>
      <c r="N731" s="438"/>
      <c r="O731" s="438"/>
      <c r="P731" s="438"/>
      <c r="Q731" s="438"/>
      <c r="R731" s="438"/>
      <c r="S731" s="438"/>
      <c r="T731" s="438"/>
      <c r="U731" s="438"/>
      <c r="V731" s="438"/>
      <c r="W731" s="438"/>
      <c r="X731" s="438"/>
      <c r="Y731" s="438"/>
      <c r="Z731" s="438"/>
      <c r="AA731" s="438"/>
      <c r="AB731" s="438"/>
      <c r="AC731" s="438"/>
      <c r="AD731" s="438"/>
      <c r="AE731" s="438"/>
      <c r="AF731" s="438"/>
      <c r="AG731" s="438"/>
      <c r="AH731" s="438"/>
    </row>
    <row r="732">
      <c r="A732" s="438"/>
      <c r="B732" s="438"/>
      <c r="C732" s="438"/>
      <c r="D732" s="438"/>
      <c r="E732" s="438"/>
      <c r="F732" s="438"/>
      <c r="G732" s="438"/>
      <c r="H732" s="438"/>
      <c r="I732" s="438"/>
      <c r="J732" s="438"/>
      <c r="K732" s="438"/>
      <c r="L732" s="438"/>
      <c r="M732" s="438"/>
      <c r="N732" s="438"/>
      <c r="O732" s="438"/>
      <c r="P732" s="438"/>
      <c r="Q732" s="438"/>
      <c r="R732" s="438"/>
      <c r="S732" s="438"/>
      <c r="T732" s="438"/>
      <c r="U732" s="438"/>
      <c r="V732" s="438"/>
      <c r="W732" s="438"/>
      <c r="X732" s="438"/>
      <c r="Y732" s="438"/>
      <c r="Z732" s="438"/>
      <c r="AA732" s="438"/>
      <c r="AB732" s="438"/>
      <c r="AC732" s="438"/>
      <c r="AD732" s="438"/>
      <c r="AE732" s="438"/>
      <c r="AF732" s="438"/>
      <c r="AG732" s="438"/>
      <c r="AH732" s="438"/>
    </row>
    <row r="733">
      <c r="A733" s="438"/>
      <c r="B733" s="438"/>
      <c r="C733" s="438"/>
      <c r="D733" s="438"/>
      <c r="E733" s="438"/>
      <c r="F733" s="438"/>
      <c r="G733" s="438"/>
      <c r="H733" s="438"/>
      <c r="I733" s="438"/>
      <c r="J733" s="438"/>
      <c r="K733" s="438"/>
      <c r="L733" s="438"/>
      <c r="M733" s="438"/>
      <c r="N733" s="438"/>
      <c r="O733" s="438"/>
      <c r="P733" s="438"/>
      <c r="Q733" s="438"/>
      <c r="R733" s="438"/>
      <c r="S733" s="438"/>
      <c r="T733" s="438"/>
      <c r="U733" s="438"/>
      <c r="V733" s="438"/>
      <c r="W733" s="438"/>
      <c r="X733" s="438"/>
      <c r="Y733" s="438"/>
      <c r="Z733" s="438"/>
      <c r="AA733" s="438"/>
      <c r="AB733" s="438"/>
      <c r="AC733" s="438"/>
      <c r="AD733" s="438"/>
      <c r="AE733" s="438"/>
      <c r="AF733" s="438"/>
      <c r="AG733" s="438"/>
      <c r="AH733" s="438"/>
    </row>
    <row r="734">
      <c r="A734" s="438"/>
      <c r="B734" s="438"/>
      <c r="C734" s="438"/>
      <c r="D734" s="438"/>
      <c r="E734" s="438"/>
      <c r="F734" s="438"/>
      <c r="G734" s="438"/>
      <c r="H734" s="438"/>
      <c r="I734" s="438"/>
      <c r="J734" s="438"/>
      <c r="K734" s="438"/>
      <c r="L734" s="438"/>
      <c r="M734" s="438"/>
      <c r="N734" s="438"/>
      <c r="O734" s="438"/>
      <c r="P734" s="438"/>
      <c r="Q734" s="438"/>
      <c r="R734" s="438"/>
      <c r="S734" s="438"/>
      <c r="T734" s="438"/>
      <c r="U734" s="438"/>
      <c r="V734" s="438"/>
      <c r="W734" s="438"/>
      <c r="X734" s="438"/>
      <c r="Y734" s="438"/>
      <c r="Z734" s="438"/>
      <c r="AA734" s="438"/>
      <c r="AB734" s="438"/>
      <c r="AC734" s="438"/>
      <c r="AD734" s="438"/>
      <c r="AE734" s="438"/>
      <c r="AF734" s="438"/>
      <c r="AG734" s="438"/>
      <c r="AH734" s="438"/>
    </row>
    <row r="735">
      <c r="A735" s="438"/>
      <c r="B735" s="438"/>
      <c r="C735" s="438"/>
      <c r="D735" s="438"/>
      <c r="E735" s="438"/>
      <c r="F735" s="438"/>
      <c r="G735" s="438"/>
      <c r="H735" s="438"/>
      <c r="I735" s="438"/>
      <c r="J735" s="438"/>
      <c r="K735" s="438"/>
      <c r="L735" s="438"/>
      <c r="M735" s="438"/>
      <c r="N735" s="438"/>
      <c r="O735" s="438"/>
      <c r="P735" s="438"/>
      <c r="Q735" s="438"/>
      <c r="R735" s="438"/>
      <c r="S735" s="438"/>
      <c r="T735" s="438"/>
      <c r="U735" s="438"/>
      <c r="V735" s="438"/>
      <c r="W735" s="438"/>
      <c r="X735" s="438"/>
      <c r="Y735" s="438"/>
      <c r="Z735" s="438"/>
      <c r="AA735" s="438"/>
      <c r="AB735" s="438"/>
      <c r="AC735" s="438"/>
      <c r="AD735" s="438"/>
      <c r="AE735" s="438"/>
      <c r="AF735" s="438"/>
      <c r="AG735" s="438"/>
      <c r="AH735" s="438"/>
    </row>
    <row r="736">
      <c r="A736" s="438"/>
      <c r="B736" s="438"/>
      <c r="C736" s="438"/>
      <c r="D736" s="438"/>
      <c r="E736" s="438"/>
      <c r="F736" s="438"/>
      <c r="G736" s="438"/>
      <c r="H736" s="438"/>
      <c r="I736" s="438"/>
      <c r="J736" s="438"/>
      <c r="K736" s="438"/>
      <c r="L736" s="438"/>
      <c r="M736" s="438"/>
      <c r="N736" s="438"/>
      <c r="O736" s="438"/>
      <c r="P736" s="438"/>
      <c r="Q736" s="438"/>
      <c r="R736" s="438"/>
      <c r="S736" s="438"/>
      <c r="T736" s="438"/>
      <c r="U736" s="438"/>
      <c r="V736" s="438"/>
      <c r="W736" s="438"/>
      <c r="X736" s="438"/>
      <c r="Y736" s="438"/>
      <c r="Z736" s="438"/>
      <c r="AA736" s="438"/>
      <c r="AB736" s="438"/>
      <c r="AC736" s="438"/>
      <c r="AD736" s="438"/>
      <c r="AE736" s="438"/>
      <c r="AF736" s="438"/>
      <c r="AG736" s="438"/>
      <c r="AH736" s="438"/>
    </row>
    <row r="737">
      <c r="A737" s="438"/>
      <c r="B737" s="438"/>
      <c r="C737" s="438"/>
      <c r="D737" s="438"/>
      <c r="E737" s="438"/>
      <c r="F737" s="438"/>
      <c r="G737" s="438"/>
      <c r="H737" s="438"/>
      <c r="I737" s="438"/>
      <c r="J737" s="438"/>
      <c r="K737" s="438"/>
      <c r="L737" s="438"/>
      <c r="M737" s="438"/>
      <c r="N737" s="438"/>
      <c r="O737" s="438"/>
      <c r="P737" s="438"/>
      <c r="Q737" s="438"/>
      <c r="R737" s="438"/>
      <c r="S737" s="438"/>
      <c r="T737" s="438"/>
      <c r="U737" s="438"/>
      <c r="V737" s="438"/>
      <c r="W737" s="438"/>
      <c r="X737" s="438"/>
      <c r="Y737" s="438"/>
      <c r="Z737" s="438"/>
      <c r="AA737" s="438"/>
      <c r="AB737" s="438"/>
      <c r="AC737" s="438"/>
      <c r="AD737" s="438"/>
      <c r="AE737" s="438"/>
      <c r="AF737" s="438"/>
      <c r="AG737" s="438"/>
      <c r="AH737" s="438"/>
    </row>
    <row r="738">
      <c r="A738" s="438"/>
      <c r="B738" s="438"/>
      <c r="C738" s="438"/>
      <c r="D738" s="438"/>
      <c r="E738" s="438"/>
      <c r="F738" s="438"/>
      <c r="G738" s="438"/>
      <c r="H738" s="438"/>
      <c r="I738" s="438"/>
      <c r="J738" s="438"/>
      <c r="K738" s="438"/>
      <c r="L738" s="438"/>
      <c r="M738" s="438"/>
      <c r="N738" s="438"/>
      <c r="O738" s="438"/>
      <c r="P738" s="438"/>
      <c r="Q738" s="438"/>
      <c r="R738" s="438"/>
      <c r="S738" s="438"/>
      <c r="T738" s="438"/>
      <c r="U738" s="438"/>
      <c r="V738" s="438"/>
      <c r="W738" s="438"/>
      <c r="X738" s="438"/>
      <c r="Y738" s="438"/>
      <c r="Z738" s="438"/>
      <c r="AA738" s="438"/>
      <c r="AB738" s="438"/>
      <c r="AC738" s="438"/>
      <c r="AD738" s="438"/>
      <c r="AE738" s="438"/>
      <c r="AF738" s="438"/>
      <c r="AG738" s="438"/>
      <c r="AH738" s="438"/>
    </row>
    <row r="739">
      <c r="A739" s="438"/>
      <c r="B739" s="438"/>
      <c r="C739" s="438"/>
      <c r="D739" s="438"/>
      <c r="E739" s="438"/>
      <c r="F739" s="438"/>
      <c r="G739" s="438"/>
      <c r="H739" s="438"/>
      <c r="I739" s="438"/>
      <c r="J739" s="438"/>
      <c r="K739" s="438"/>
      <c r="L739" s="438"/>
      <c r="M739" s="438"/>
      <c r="N739" s="438"/>
      <c r="O739" s="438"/>
      <c r="P739" s="438"/>
      <c r="Q739" s="438"/>
      <c r="R739" s="438"/>
      <c r="S739" s="438"/>
      <c r="T739" s="438"/>
      <c r="U739" s="438"/>
      <c r="V739" s="438"/>
      <c r="W739" s="438"/>
      <c r="X739" s="438"/>
      <c r="Y739" s="438"/>
      <c r="Z739" s="438"/>
      <c r="AA739" s="438"/>
      <c r="AB739" s="438"/>
      <c r="AC739" s="438"/>
      <c r="AD739" s="438"/>
      <c r="AE739" s="438"/>
      <c r="AF739" s="438"/>
      <c r="AG739" s="438"/>
      <c r="AH739" s="438"/>
    </row>
    <row r="740">
      <c r="A740" s="438"/>
      <c r="B740" s="438"/>
      <c r="C740" s="438"/>
      <c r="D740" s="438"/>
      <c r="E740" s="438"/>
      <c r="F740" s="438"/>
      <c r="G740" s="438"/>
      <c r="H740" s="438"/>
      <c r="I740" s="438"/>
      <c r="J740" s="438"/>
      <c r="K740" s="438"/>
      <c r="L740" s="438"/>
      <c r="M740" s="438"/>
      <c r="N740" s="438"/>
      <c r="O740" s="438"/>
      <c r="P740" s="438"/>
      <c r="Q740" s="438"/>
      <c r="R740" s="438"/>
      <c r="S740" s="438"/>
      <c r="T740" s="438"/>
      <c r="U740" s="438"/>
      <c r="V740" s="438"/>
      <c r="W740" s="438"/>
      <c r="X740" s="438"/>
      <c r="Y740" s="438"/>
      <c r="Z740" s="438"/>
      <c r="AA740" s="438"/>
      <c r="AB740" s="438"/>
      <c r="AC740" s="438"/>
      <c r="AD740" s="438"/>
      <c r="AE740" s="438"/>
      <c r="AF740" s="438"/>
      <c r="AG740" s="438"/>
      <c r="AH740" s="438"/>
    </row>
    <row r="741">
      <c r="A741" s="438"/>
      <c r="B741" s="438"/>
      <c r="C741" s="438"/>
      <c r="D741" s="438"/>
      <c r="E741" s="438"/>
      <c r="F741" s="438"/>
      <c r="G741" s="438"/>
      <c r="H741" s="438"/>
      <c r="I741" s="438"/>
      <c r="J741" s="438"/>
      <c r="K741" s="438"/>
      <c r="L741" s="438"/>
      <c r="M741" s="438"/>
      <c r="N741" s="438"/>
      <c r="O741" s="438"/>
      <c r="P741" s="438"/>
      <c r="Q741" s="438"/>
      <c r="R741" s="438"/>
      <c r="S741" s="438"/>
      <c r="T741" s="438"/>
      <c r="U741" s="438"/>
      <c r="V741" s="438"/>
      <c r="W741" s="438"/>
      <c r="X741" s="438"/>
      <c r="Y741" s="438"/>
      <c r="Z741" s="438"/>
      <c r="AA741" s="438"/>
      <c r="AB741" s="438"/>
      <c r="AC741" s="438"/>
      <c r="AD741" s="438"/>
      <c r="AE741" s="438"/>
      <c r="AF741" s="438"/>
      <c r="AG741" s="438"/>
      <c r="AH741" s="438"/>
    </row>
    <row r="742">
      <c r="A742" s="438"/>
      <c r="B742" s="438"/>
      <c r="C742" s="438"/>
      <c r="D742" s="438"/>
      <c r="E742" s="438"/>
      <c r="F742" s="438"/>
      <c r="G742" s="438"/>
      <c r="H742" s="438"/>
      <c r="I742" s="438"/>
      <c r="J742" s="438"/>
      <c r="K742" s="438"/>
      <c r="L742" s="438"/>
      <c r="M742" s="438"/>
      <c r="N742" s="438"/>
      <c r="O742" s="438"/>
      <c r="P742" s="438"/>
      <c r="Q742" s="438"/>
      <c r="R742" s="438"/>
      <c r="S742" s="438"/>
      <c r="T742" s="438"/>
      <c r="U742" s="438"/>
      <c r="V742" s="438"/>
      <c r="W742" s="438"/>
      <c r="X742" s="438"/>
      <c r="Y742" s="438"/>
      <c r="Z742" s="438"/>
      <c r="AA742" s="438"/>
      <c r="AB742" s="438"/>
      <c r="AC742" s="438"/>
      <c r="AD742" s="438"/>
      <c r="AE742" s="438"/>
      <c r="AF742" s="438"/>
      <c r="AG742" s="438"/>
      <c r="AH742" s="438"/>
    </row>
    <row r="743">
      <c r="A743" s="438"/>
      <c r="B743" s="438"/>
      <c r="C743" s="438"/>
      <c r="D743" s="438"/>
      <c r="E743" s="438"/>
      <c r="F743" s="438"/>
      <c r="G743" s="438"/>
      <c r="H743" s="438"/>
      <c r="I743" s="438"/>
      <c r="J743" s="438"/>
      <c r="K743" s="438"/>
      <c r="L743" s="438"/>
      <c r="M743" s="438"/>
      <c r="N743" s="438"/>
      <c r="O743" s="438"/>
      <c r="P743" s="438"/>
      <c r="Q743" s="438"/>
      <c r="R743" s="438"/>
      <c r="S743" s="438"/>
      <c r="T743" s="438"/>
      <c r="U743" s="438"/>
      <c r="V743" s="438"/>
      <c r="W743" s="438"/>
      <c r="X743" s="438"/>
      <c r="Y743" s="438"/>
      <c r="Z743" s="438"/>
      <c r="AA743" s="438"/>
      <c r="AB743" s="438"/>
      <c r="AC743" s="438"/>
      <c r="AD743" s="438"/>
      <c r="AE743" s="438"/>
      <c r="AF743" s="438"/>
      <c r="AG743" s="438"/>
      <c r="AH743" s="438"/>
    </row>
    <row r="744">
      <c r="A744" s="438"/>
      <c r="B744" s="438"/>
      <c r="C744" s="438"/>
      <c r="D744" s="438"/>
      <c r="E744" s="438"/>
      <c r="F744" s="438"/>
      <c r="G744" s="438"/>
      <c r="H744" s="438"/>
      <c r="I744" s="438"/>
      <c r="J744" s="438"/>
      <c r="K744" s="438"/>
      <c r="L744" s="438"/>
      <c r="M744" s="438"/>
      <c r="N744" s="438"/>
      <c r="O744" s="438"/>
      <c r="P744" s="438"/>
      <c r="Q744" s="438"/>
      <c r="R744" s="438"/>
      <c r="S744" s="438"/>
      <c r="T744" s="438"/>
      <c r="U744" s="438"/>
      <c r="V744" s="438"/>
      <c r="W744" s="438"/>
      <c r="X744" s="438"/>
      <c r="Y744" s="438"/>
      <c r="Z744" s="438"/>
      <c r="AA744" s="438"/>
      <c r="AB744" s="438"/>
      <c r="AC744" s="438"/>
      <c r="AD744" s="438"/>
      <c r="AE744" s="438"/>
      <c r="AF744" s="438"/>
      <c r="AG744" s="438"/>
      <c r="AH744" s="438"/>
    </row>
    <row r="745">
      <c r="A745" s="438"/>
      <c r="B745" s="438"/>
      <c r="C745" s="438"/>
      <c r="D745" s="438"/>
      <c r="E745" s="438"/>
      <c r="F745" s="438"/>
      <c r="G745" s="438"/>
      <c r="H745" s="438"/>
      <c r="I745" s="438"/>
      <c r="J745" s="438"/>
      <c r="K745" s="438"/>
      <c r="L745" s="438"/>
      <c r="M745" s="438"/>
      <c r="N745" s="438"/>
      <c r="O745" s="438"/>
      <c r="P745" s="438"/>
      <c r="Q745" s="438"/>
      <c r="R745" s="438"/>
      <c r="S745" s="438"/>
      <c r="T745" s="438"/>
      <c r="U745" s="438"/>
      <c r="V745" s="438"/>
      <c r="W745" s="438"/>
      <c r="X745" s="438"/>
      <c r="Y745" s="438"/>
      <c r="Z745" s="438"/>
      <c r="AA745" s="438"/>
      <c r="AB745" s="438"/>
      <c r="AC745" s="438"/>
      <c r="AD745" s="438"/>
      <c r="AE745" s="438"/>
      <c r="AF745" s="438"/>
      <c r="AG745" s="438"/>
      <c r="AH745" s="438"/>
    </row>
    <row r="746">
      <c r="A746" s="438"/>
      <c r="B746" s="438"/>
      <c r="C746" s="438"/>
      <c r="D746" s="438"/>
      <c r="E746" s="438"/>
      <c r="F746" s="438"/>
      <c r="G746" s="438"/>
      <c r="H746" s="438"/>
      <c r="I746" s="438"/>
      <c r="J746" s="438"/>
      <c r="K746" s="438"/>
      <c r="L746" s="438"/>
      <c r="M746" s="438"/>
      <c r="N746" s="438"/>
      <c r="O746" s="438"/>
      <c r="P746" s="438"/>
      <c r="Q746" s="438"/>
      <c r="R746" s="438"/>
      <c r="S746" s="438"/>
      <c r="T746" s="438"/>
      <c r="U746" s="438"/>
      <c r="V746" s="438"/>
      <c r="W746" s="438"/>
      <c r="X746" s="438"/>
      <c r="Y746" s="438"/>
      <c r="Z746" s="438"/>
      <c r="AA746" s="438"/>
      <c r="AB746" s="438"/>
      <c r="AC746" s="438"/>
      <c r="AD746" s="438"/>
      <c r="AE746" s="438"/>
      <c r="AF746" s="438"/>
      <c r="AG746" s="438"/>
      <c r="AH746" s="438"/>
    </row>
    <row r="747">
      <c r="A747" s="438"/>
      <c r="B747" s="438"/>
      <c r="C747" s="438"/>
      <c r="D747" s="438"/>
      <c r="E747" s="438"/>
      <c r="F747" s="438"/>
      <c r="G747" s="438"/>
      <c r="H747" s="438"/>
      <c r="I747" s="438"/>
      <c r="J747" s="438"/>
      <c r="K747" s="438"/>
      <c r="L747" s="438"/>
      <c r="M747" s="438"/>
      <c r="N747" s="438"/>
      <c r="O747" s="438"/>
      <c r="P747" s="438"/>
      <c r="Q747" s="438"/>
      <c r="R747" s="438"/>
      <c r="S747" s="438"/>
      <c r="T747" s="438"/>
      <c r="U747" s="438"/>
      <c r="V747" s="438"/>
      <c r="W747" s="438"/>
      <c r="X747" s="438"/>
      <c r="Y747" s="438"/>
      <c r="Z747" s="438"/>
      <c r="AA747" s="438"/>
      <c r="AB747" s="438"/>
      <c r="AC747" s="438"/>
      <c r="AD747" s="438"/>
      <c r="AE747" s="438"/>
      <c r="AF747" s="438"/>
      <c r="AG747" s="438"/>
      <c r="AH747" s="438"/>
    </row>
    <row r="748">
      <c r="A748" s="438"/>
      <c r="B748" s="438"/>
      <c r="C748" s="438"/>
      <c r="D748" s="438"/>
      <c r="E748" s="438"/>
      <c r="F748" s="438"/>
      <c r="G748" s="438"/>
      <c r="H748" s="438"/>
      <c r="I748" s="438"/>
      <c r="J748" s="438"/>
      <c r="K748" s="438"/>
      <c r="L748" s="438"/>
      <c r="M748" s="438"/>
      <c r="N748" s="438"/>
      <c r="O748" s="438"/>
      <c r="P748" s="438"/>
      <c r="Q748" s="438"/>
      <c r="R748" s="438"/>
      <c r="S748" s="438"/>
      <c r="T748" s="438"/>
      <c r="U748" s="438"/>
      <c r="V748" s="438"/>
      <c r="W748" s="438"/>
      <c r="X748" s="438"/>
      <c r="Y748" s="438"/>
      <c r="Z748" s="438"/>
      <c r="AA748" s="438"/>
      <c r="AB748" s="438"/>
      <c r="AC748" s="438"/>
      <c r="AD748" s="438"/>
      <c r="AE748" s="438"/>
      <c r="AF748" s="438"/>
      <c r="AG748" s="438"/>
      <c r="AH748" s="438"/>
    </row>
    <row r="749">
      <c r="A749" s="438"/>
      <c r="B749" s="438"/>
      <c r="C749" s="438"/>
      <c r="D749" s="438"/>
      <c r="E749" s="438"/>
      <c r="F749" s="438"/>
      <c r="G749" s="438"/>
      <c r="H749" s="438"/>
      <c r="I749" s="438"/>
      <c r="J749" s="438"/>
      <c r="K749" s="438"/>
      <c r="L749" s="438"/>
      <c r="M749" s="438"/>
      <c r="N749" s="438"/>
      <c r="O749" s="438"/>
      <c r="P749" s="438"/>
      <c r="Q749" s="438"/>
      <c r="R749" s="438"/>
      <c r="S749" s="438"/>
      <c r="T749" s="438"/>
      <c r="U749" s="438"/>
      <c r="V749" s="438"/>
      <c r="W749" s="438"/>
      <c r="X749" s="438"/>
      <c r="Y749" s="438"/>
      <c r="Z749" s="438"/>
      <c r="AA749" s="438"/>
      <c r="AB749" s="438"/>
      <c r="AC749" s="438"/>
      <c r="AD749" s="438"/>
      <c r="AE749" s="438"/>
      <c r="AF749" s="438"/>
      <c r="AG749" s="438"/>
      <c r="AH749" s="438"/>
    </row>
    <row r="750">
      <c r="A750" s="438"/>
      <c r="B750" s="438"/>
      <c r="C750" s="438"/>
      <c r="D750" s="438"/>
      <c r="E750" s="438"/>
      <c r="F750" s="438"/>
      <c r="G750" s="438"/>
      <c r="H750" s="438"/>
      <c r="I750" s="438"/>
      <c r="J750" s="438"/>
      <c r="K750" s="438"/>
      <c r="L750" s="438"/>
      <c r="M750" s="438"/>
      <c r="N750" s="438"/>
      <c r="O750" s="438"/>
      <c r="P750" s="438"/>
      <c r="Q750" s="438"/>
      <c r="R750" s="438"/>
      <c r="S750" s="438"/>
      <c r="T750" s="438"/>
      <c r="U750" s="438"/>
      <c r="V750" s="438"/>
      <c r="W750" s="438"/>
      <c r="X750" s="438"/>
      <c r="Y750" s="438"/>
      <c r="Z750" s="438"/>
      <c r="AA750" s="438"/>
      <c r="AB750" s="438"/>
      <c r="AC750" s="438"/>
      <c r="AD750" s="438"/>
      <c r="AE750" s="438"/>
      <c r="AF750" s="438"/>
      <c r="AG750" s="438"/>
      <c r="AH750" s="438"/>
    </row>
    <row r="751">
      <c r="A751" s="438"/>
      <c r="B751" s="438"/>
      <c r="C751" s="438"/>
      <c r="D751" s="438"/>
      <c r="E751" s="438"/>
      <c r="F751" s="438"/>
      <c r="G751" s="438"/>
      <c r="H751" s="438"/>
      <c r="I751" s="438"/>
      <c r="J751" s="438"/>
      <c r="K751" s="438"/>
      <c r="L751" s="438"/>
      <c r="M751" s="438"/>
      <c r="N751" s="438"/>
      <c r="O751" s="438"/>
      <c r="P751" s="438"/>
      <c r="Q751" s="438"/>
      <c r="R751" s="438"/>
      <c r="S751" s="438"/>
      <c r="T751" s="438"/>
      <c r="U751" s="438"/>
      <c r="V751" s="438"/>
      <c r="W751" s="438"/>
      <c r="X751" s="438"/>
      <c r="Y751" s="438"/>
      <c r="Z751" s="438"/>
      <c r="AA751" s="438"/>
      <c r="AB751" s="438"/>
      <c r="AC751" s="438"/>
      <c r="AD751" s="438"/>
      <c r="AE751" s="438"/>
      <c r="AF751" s="438"/>
      <c r="AG751" s="438"/>
      <c r="AH751" s="438"/>
    </row>
    <row r="752">
      <c r="A752" s="438"/>
      <c r="B752" s="438"/>
      <c r="C752" s="438"/>
      <c r="D752" s="438"/>
      <c r="E752" s="438"/>
      <c r="F752" s="438"/>
      <c r="G752" s="438"/>
      <c r="H752" s="438"/>
      <c r="I752" s="438"/>
      <c r="J752" s="438"/>
      <c r="K752" s="438"/>
      <c r="L752" s="438"/>
      <c r="M752" s="438"/>
      <c r="N752" s="438"/>
      <c r="O752" s="438"/>
      <c r="P752" s="438"/>
      <c r="Q752" s="438"/>
      <c r="R752" s="438"/>
      <c r="S752" s="438"/>
      <c r="T752" s="438"/>
      <c r="U752" s="438"/>
      <c r="V752" s="438"/>
      <c r="W752" s="438"/>
      <c r="X752" s="438"/>
      <c r="Y752" s="438"/>
      <c r="Z752" s="438"/>
      <c r="AA752" s="438"/>
      <c r="AB752" s="438"/>
      <c r="AC752" s="438"/>
      <c r="AD752" s="438"/>
      <c r="AE752" s="438"/>
      <c r="AF752" s="438"/>
      <c r="AG752" s="438"/>
      <c r="AH752" s="438"/>
    </row>
    <row r="753">
      <c r="A753" s="438"/>
      <c r="B753" s="438"/>
      <c r="C753" s="438"/>
      <c r="D753" s="438"/>
      <c r="E753" s="438"/>
      <c r="F753" s="438"/>
      <c r="G753" s="438"/>
      <c r="H753" s="438"/>
      <c r="I753" s="438"/>
      <c r="J753" s="438"/>
      <c r="K753" s="438"/>
      <c r="L753" s="438"/>
      <c r="M753" s="438"/>
      <c r="N753" s="438"/>
      <c r="O753" s="438"/>
      <c r="P753" s="438"/>
      <c r="Q753" s="438"/>
      <c r="R753" s="438"/>
      <c r="S753" s="438"/>
      <c r="T753" s="438"/>
      <c r="U753" s="438"/>
      <c r="V753" s="438"/>
      <c r="W753" s="438"/>
      <c r="X753" s="438"/>
      <c r="Y753" s="438"/>
      <c r="Z753" s="438"/>
      <c r="AA753" s="438"/>
      <c r="AB753" s="438"/>
      <c r="AC753" s="438"/>
      <c r="AD753" s="438"/>
      <c r="AE753" s="438"/>
      <c r="AF753" s="438"/>
      <c r="AG753" s="438"/>
      <c r="AH753" s="438"/>
    </row>
    <row r="754">
      <c r="A754" s="438"/>
      <c r="B754" s="438"/>
      <c r="C754" s="438"/>
      <c r="D754" s="438"/>
      <c r="E754" s="438"/>
      <c r="F754" s="438"/>
      <c r="G754" s="438"/>
      <c r="H754" s="438"/>
      <c r="I754" s="438"/>
      <c r="J754" s="438"/>
      <c r="K754" s="438"/>
      <c r="L754" s="438"/>
      <c r="M754" s="438"/>
      <c r="N754" s="438"/>
      <c r="O754" s="438"/>
      <c r="P754" s="438"/>
      <c r="Q754" s="438"/>
      <c r="R754" s="438"/>
      <c r="S754" s="438"/>
      <c r="T754" s="438"/>
      <c r="U754" s="438"/>
      <c r="V754" s="438"/>
      <c r="W754" s="438"/>
      <c r="X754" s="438"/>
      <c r="Y754" s="438"/>
      <c r="Z754" s="438"/>
      <c r="AA754" s="438"/>
      <c r="AB754" s="438"/>
      <c r="AC754" s="438"/>
      <c r="AD754" s="438"/>
      <c r="AE754" s="438"/>
      <c r="AF754" s="438"/>
      <c r="AG754" s="438"/>
      <c r="AH754" s="438"/>
    </row>
    <row r="755">
      <c r="A755" s="438"/>
      <c r="B755" s="438"/>
      <c r="C755" s="438"/>
      <c r="D755" s="438"/>
      <c r="E755" s="438"/>
      <c r="F755" s="438"/>
      <c r="G755" s="438"/>
      <c r="H755" s="438"/>
      <c r="I755" s="438"/>
      <c r="J755" s="438"/>
      <c r="K755" s="438"/>
      <c r="L755" s="438"/>
      <c r="M755" s="438"/>
      <c r="N755" s="438"/>
      <c r="O755" s="438"/>
      <c r="P755" s="438"/>
      <c r="Q755" s="438"/>
      <c r="R755" s="438"/>
      <c r="S755" s="438"/>
      <c r="T755" s="438"/>
      <c r="U755" s="438"/>
      <c r="V755" s="438"/>
      <c r="W755" s="438"/>
      <c r="X755" s="438"/>
      <c r="Y755" s="438"/>
      <c r="Z755" s="438"/>
      <c r="AA755" s="438"/>
      <c r="AB755" s="438"/>
      <c r="AC755" s="438"/>
      <c r="AD755" s="438"/>
      <c r="AE755" s="438"/>
      <c r="AF755" s="438"/>
      <c r="AG755" s="438"/>
      <c r="AH755" s="438"/>
    </row>
    <row r="756">
      <c r="A756" s="438"/>
      <c r="B756" s="438"/>
      <c r="C756" s="438"/>
      <c r="D756" s="438"/>
      <c r="E756" s="438"/>
      <c r="F756" s="438"/>
      <c r="G756" s="438"/>
      <c r="H756" s="438"/>
      <c r="I756" s="438"/>
      <c r="J756" s="438"/>
      <c r="K756" s="438"/>
      <c r="L756" s="438"/>
      <c r="M756" s="438"/>
      <c r="N756" s="438"/>
      <c r="O756" s="438"/>
      <c r="P756" s="438"/>
      <c r="Q756" s="438"/>
      <c r="R756" s="438"/>
      <c r="S756" s="438"/>
      <c r="T756" s="438"/>
      <c r="U756" s="438"/>
      <c r="V756" s="438"/>
      <c r="W756" s="438"/>
      <c r="X756" s="438"/>
      <c r="Y756" s="438"/>
      <c r="Z756" s="438"/>
      <c r="AA756" s="438"/>
      <c r="AB756" s="438"/>
      <c r="AC756" s="438"/>
      <c r="AD756" s="438"/>
      <c r="AE756" s="438"/>
      <c r="AF756" s="438"/>
      <c r="AG756" s="438"/>
      <c r="AH756" s="438"/>
    </row>
    <row r="757">
      <c r="A757" s="438"/>
      <c r="B757" s="438"/>
      <c r="C757" s="438"/>
      <c r="D757" s="438"/>
      <c r="E757" s="438"/>
      <c r="F757" s="438"/>
      <c r="G757" s="438"/>
      <c r="H757" s="438"/>
      <c r="I757" s="438"/>
      <c r="J757" s="438"/>
      <c r="K757" s="438"/>
      <c r="L757" s="438"/>
      <c r="M757" s="438"/>
      <c r="N757" s="438"/>
      <c r="O757" s="438"/>
      <c r="P757" s="438"/>
      <c r="Q757" s="438"/>
      <c r="R757" s="438"/>
      <c r="S757" s="438"/>
      <c r="T757" s="438"/>
      <c r="U757" s="438"/>
      <c r="V757" s="438"/>
      <c r="W757" s="438"/>
      <c r="X757" s="438"/>
      <c r="Y757" s="438"/>
      <c r="Z757" s="438"/>
      <c r="AA757" s="438"/>
      <c r="AB757" s="438"/>
      <c r="AC757" s="438"/>
      <c r="AD757" s="438"/>
      <c r="AE757" s="438"/>
      <c r="AF757" s="438"/>
      <c r="AG757" s="438"/>
      <c r="AH757" s="438"/>
    </row>
    <row r="758">
      <c r="A758" s="438"/>
      <c r="B758" s="438"/>
      <c r="C758" s="438"/>
      <c r="D758" s="438"/>
      <c r="E758" s="438"/>
      <c r="F758" s="438"/>
      <c r="G758" s="438"/>
      <c r="H758" s="438"/>
      <c r="I758" s="438"/>
      <c r="J758" s="438"/>
      <c r="K758" s="438"/>
      <c r="L758" s="438"/>
      <c r="M758" s="438"/>
      <c r="N758" s="438"/>
      <c r="O758" s="438"/>
      <c r="P758" s="438"/>
      <c r="Q758" s="438"/>
      <c r="R758" s="438"/>
      <c r="S758" s="438"/>
      <c r="T758" s="438"/>
      <c r="U758" s="438"/>
      <c r="V758" s="438"/>
      <c r="W758" s="438"/>
      <c r="X758" s="438"/>
      <c r="Y758" s="438"/>
      <c r="Z758" s="438"/>
      <c r="AA758" s="438"/>
      <c r="AB758" s="438"/>
      <c r="AC758" s="438"/>
      <c r="AD758" s="438"/>
      <c r="AE758" s="438"/>
      <c r="AF758" s="438"/>
      <c r="AG758" s="438"/>
      <c r="AH758" s="438"/>
    </row>
    <row r="759">
      <c r="A759" s="438"/>
      <c r="B759" s="438"/>
      <c r="C759" s="438"/>
      <c r="D759" s="438"/>
      <c r="E759" s="438"/>
      <c r="F759" s="438"/>
      <c r="G759" s="438"/>
      <c r="H759" s="438"/>
      <c r="I759" s="438"/>
      <c r="J759" s="438"/>
      <c r="K759" s="438"/>
      <c r="L759" s="438"/>
      <c r="M759" s="438"/>
      <c r="N759" s="438"/>
      <c r="O759" s="438"/>
      <c r="P759" s="438"/>
      <c r="Q759" s="438"/>
      <c r="R759" s="438"/>
      <c r="S759" s="438"/>
      <c r="T759" s="438"/>
      <c r="U759" s="438"/>
      <c r="V759" s="438"/>
      <c r="W759" s="438"/>
      <c r="X759" s="438"/>
      <c r="Y759" s="438"/>
      <c r="Z759" s="438"/>
      <c r="AA759" s="438"/>
      <c r="AB759" s="438"/>
      <c r="AC759" s="438"/>
      <c r="AD759" s="438"/>
      <c r="AE759" s="438"/>
      <c r="AF759" s="438"/>
      <c r="AG759" s="438"/>
      <c r="AH759" s="438"/>
    </row>
    <row r="760">
      <c r="A760" s="438"/>
      <c r="B760" s="438"/>
      <c r="C760" s="438"/>
      <c r="D760" s="438"/>
      <c r="E760" s="438"/>
      <c r="F760" s="438"/>
      <c r="G760" s="438"/>
      <c r="H760" s="438"/>
      <c r="I760" s="438"/>
      <c r="J760" s="438"/>
      <c r="K760" s="438"/>
      <c r="L760" s="438"/>
      <c r="M760" s="438"/>
      <c r="N760" s="438"/>
      <c r="O760" s="438"/>
      <c r="P760" s="438"/>
      <c r="Q760" s="438"/>
      <c r="R760" s="438"/>
      <c r="S760" s="438"/>
      <c r="T760" s="438"/>
      <c r="U760" s="438"/>
      <c r="V760" s="438"/>
      <c r="W760" s="438"/>
      <c r="X760" s="438"/>
      <c r="Y760" s="438"/>
      <c r="Z760" s="438"/>
      <c r="AA760" s="438"/>
      <c r="AB760" s="438"/>
      <c r="AC760" s="438"/>
      <c r="AD760" s="438"/>
      <c r="AE760" s="438"/>
      <c r="AF760" s="438"/>
      <c r="AG760" s="438"/>
      <c r="AH760" s="438"/>
    </row>
    <row r="761">
      <c r="A761" s="438"/>
      <c r="B761" s="438"/>
      <c r="C761" s="438"/>
      <c r="D761" s="438"/>
      <c r="E761" s="438"/>
      <c r="F761" s="438"/>
      <c r="G761" s="438"/>
      <c r="H761" s="438"/>
      <c r="I761" s="438"/>
      <c r="J761" s="438"/>
      <c r="K761" s="438"/>
      <c r="L761" s="438"/>
      <c r="M761" s="438"/>
      <c r="N761" s="438"/>
      <c r="O761" s="438"/>
      <c r="P761" s="438"/>
      <c r="Q761" s="438"/>
      <c r="R761" s="438"/>
      <c r="S761" s="438"/>
      <c r="T761" s="438"/>
      <c r="U761" s="438"/>
      <c r="V761" s="438"/>
      <c r="W761" s="438"/>
      <c r="X761" s="438"/>
      <c r="Y761" s="438"/>
      <c r="Z761" s="438"/>
      <c r="AA761" s="438"/>
      <c r="AB761" s="438"/>
      <c r="AC761" s="438"/>
      <c r="AD761" s="438"/>
      <c r="AE761" s="438"/>
      <c r="AF761" s="438"/>
      <c r="AG761" s="438"/>
      <c r="AH761" s="438"/>
    </row>
    <row r="762">
      <c r="A762" s="438"/>
      <c r="B762" s="438"/>
      <c r="C762" s="438"/>
      <c r="D762" s="438"/>
      <c r="E762" s="438"/>
      <c r="F762" s="438"/>
      <c r="G762" s="438"/>
      <c r="H762" s="438"/>
      <c r="I762" s="438"/>
      <c r="J762" s="438"/>
      <c r="K762" s="438"/>
      <c r="L762" s="438"/>
      <c r="M762" s="438"/>
      <c r="N762" s="438"/>
      <c r="O762" s="438"/>
      <c r="P762" s="438"/>
      <c r="Q762" s="438"/>
      <c r="R762" s="438"/>
      <c r="S762" s="438"/>
      <c r="T762" s="438"/>
      <c r="U762" s="438"/>
      <c r="V762" s="438"/>
      <c r="W762" s="438"/>
      <c r="X762" s="438"/>
      <c r="Y762" s="438"/>
      <c r="Z762" s="438"/>
      <c r="AA762" s="438"/>
      <c r="AB762" s="438"/>
      <c r="AC762" s="438"/>
      <c r="AD762" s="438"/>
      <c r="AE762" s="438"/>
      <c r="AF762" s="438"/>
      <c r="AG762" s="438"/>
      <c r="AH762" s="438"/>
    </row>
    <row r="763">
      <c r="A763" s="438"/>
      <c r="B763" s="438"/>
      <c r="C763" s="438"/>
      <c r="D763" s="438"/>
      <c r="E763" s="438"/>
      <c r="F763" s="438"/>
      <c r="G763" s="438"/>
      <c r="H763" s="438"/>
      <c r="I763" s="438"/>
      <c r="J763" s="438"/>
      <c r="K763" s="438"/>
      <c r="L763" s="438"/>
      <c r="M763" s="438"/>
      <c r="N763" s="438"/>
      <c r="O763" s="438"/>
      <c r="P763" s="438"/>
      <c r="Q763" s="438"/>
      <c r="R763" s="438"/>
      <c r="S763" s="438"/>
      <c r="T763" s="438"/>
      <c r="U763" s="438"/>
      <c r="V763" s="438"/>
      <c r="W763" s="438"/>
      <c r="X763" s="438"/>
      <c r="Y763" s="438"/>
      <c r="Z763" s="438"/>
      <c r="AA763" s="438"/>
      <c r="AB763" s="438"/>
      <c r="AC763" s="438"/>
      <c r="AD763" s="438"/>
      <c r="AE763" s="438"/>
      <c r="AF763" s="438"/>
      <c r="AG763" s="438"/>
      <c r="AH763" s="438"/>
    </row>
    <row r="764">
      <c r="A764" s="438"/>
      <c r="B764" s="438"/>
      <c r="C764" s="438"/>
      <c r="D764" s="438"/>
      <c r="E764" s="438"/>
      <c r="F764" s="438"/>
      <c r="G764" s="438"/>
      <c r="H764" s="438"/>
      <c r="I764" s="438"/>
      <c r="J764" s="438"/>
      <c r="K764" s="438"/>
      <c r="L764" s="438"/>
      <c r="M764" s="438"/>
      <c r="N764" s="438"/>
      <c r="O764" s="438"/>
      <c r="P764" s="438"/>
      <c r="Q764" s="438"/>
      <c r="R764" s="438"/>
      <c r="S764" s="438"/>
      <c r="T764" s="438"/>
      <c r="U764" s="438"/>
      <c r="V764" s="438"/>
      <c r="W764" s="438"/>
      <c r="X764" s="438"/>
      <c r="Y764" s="438"/>
      <c r="Z764" s="438"/>
      <c r="AA764" s="438"/>
      <c r="AB764" s="438"/>
      <c r="AC764" s="438"/>
      <c r="AD764" s="438"/>
      <c r="AE764" s="438"/>
      <c r="AF764" s="438"/>
      <c r="AG764" s="438"/>
      <c r="AH764" s="438"/>
    </row>
    <row r="765">
      <c r="A765" s="438"/>
      <c r="B765" s="438"/>
      <c r="C765" s="438"/>
      <c r="D765" s="438"/>
      <c r="E765" s="438"/>
      <c r="F765" s="438"/>
      <c r="G765" s="438"/>
      <c r="H765" s="438"/>
      <c r="I765" s="438"/>
      <c r="J765" s="438"/>
      <c r="K765" s="438"/>
      <c r="L765" s="438"/>
      <c r="M765" s="438"/>
      <c r="N765" s="438"/>
      <c r="O765" s="438"/>
      <c r="P765" s="438"/>
      <c r="Q765" s="438"/>
      <c r="R765" s="438"/>
      <c r="S765" s="438"/>
      <c r="T765" s="438"/>
      <c r="U765" s="438"/>
      <c r="V765" s="438"/>
      <c r="W765" s="438"/>
      <c r="X765" s="438"/>
      <c r="Y765" s="438"/>
      <c r="Z765" s="438"/>
      <c r="AA765" s="438"/>
      <c r="AB765" s="438"/>
      <c r="AC765" s="438"/>
      <c r="AD765" s="438"/>
      <c r="AE765" s="438"/>
      <c r="AF765" s="438"/>
      <c r="AG765" s="438"/>
      <c r="AH765" s="438"/>
    </row>
    <row r="766">
      <c r="A766" s="438"/>
      <c r="B766" s="438"/>
      <c r="C766" s="438"/>
      <c r="D766" s="438"/>
      <c r="E766" s="438"/>
      <c r="F766" s="438"/>
      <c r="G766" s="438"/>
      <c r="H766" s="438"/>
      <c r="I766" s="438"/>
      <c r="J766" s="438"/>
      <c r="K766" s="438"/>
      <c r="L766" s="438"/>
      <c r="M766" s="438"/>
      <c r="N766" s="438"/>
      <c r="O766" s="438"/>
      <c r="P766" s="438"/>
      <c r="Q766" s="438"/>
      <c r="R766" s="438"/>
      <c r="S766" s="438"/>
      <c r="T766" s="438"/>
      <c r="U766" s="438"/>
      <c r="V766" s="438"/>
      <c r="W766" s="438"/>
      <c r="X766" s="438"/>
      <c r="Y766" s="438"/>
      <c r="Z766" s="438"/>
      <c r="AA766" s="438"/>
      <c r="AB766" s="438"/>
      <c r="AC766" s="438"/>
      <c r="AD766" s="438"/>
      <c r="AE766" s="438"/>
      <c r="AF766" s="438"/>
      <c r="AG766" s="438"/>
      <c r="AH766" s="438"/>
    </row>
    <row r="767">
      <c r="A767" s="438"/>
      <c r="B767" s="438"/>
      <c r="C767" s="438"/>
      <c r="D767" s="438"/>
      <c r="E767" s="438"/>
      <c r="F767" s="438"/>
      <c r="G767" s="438"/>
      <c r="H767" s="438"/>
      <c r="I767" s="438"/>
      <c r="J767" s="438"/>
      <c r="K767" s="438"/>
      <c r="L767" s="438"/>
      <c r="M767" s="438"/>
      <c r="N767" s="438"/>
      <c r="O767" s="438"/>
      <c r="P767" s="438"/>
      <c r="Q767" s="438"/>
      <c r="R767" s="438"/>
      <c r="S767" s="438"/>
      <c r="T767" s="438"/>
      <c r="U767" s="438"/>
      <c r="V767" s="438"/>
      <c r="W767" s="438"/>
      <c r="X767" s="438"/>
      <c r="Y767" s="438"/>
      <c r="Z767" s="438"/>
      <c r="AA767" s="438"/>
      <c r="AB767" s="438"/>
      <c r="AC767" s="438"/>
      <c r="AD767" s="438"/>
      <c r="AE767" s="438"/>
      <c r="AF767" s="438"/>
      <c r="AG767" s="438"/>
      <c r="AH767" s="438"/>
    </row>
    <row r="768">
      <c r="A768" s="438"/>
      <c r="B768" s="438"/>
      <c r="C768" s="438"/>
      <c r="D768" s="438"/>
      <c r="E768" s="438"/>
      <c r="F768" s="438"/>
      <c r="G768" s="438"/>
      <c r="H768" s="438"/>
      <c r="I768" s="438"/>
      <c r="J768" s="438"/>
      <c r="K768" s="438"/>
      <c r="L768" s="438"/>
      <c r="M768" s="438"/>
      <c r="N768" s="438"/>
      <c r="O768" s="438"/>
      <c r="P768" s="438"/>
      <c r="Q768" s="438"/>
      <c r="R768" s="438"/>
      <c r="S768" s="438"/>
      <c r="T768" s="438"/>
      <c r="U768" s="438"/>
      <c r="V768" s="438"/>
      <c r="W768" s="438"/>
      <c r="X768" s="438"/>
      <c r="Y768" s="438"/>
      <c r="Z768" s="438"/>
      <c r="AA768" s="438"/>
      <c r="AB768" s="438"/>
      <c r="AC768" s="438"/>
      <c r="AD768" s="438"/>
      <c r="AE768" s="438"/>
      <c r="AF768" s="438"/>
      <c r="AG768" s="438"/>
      <c r="AH768" s="438"/>
    </row>
    <row r="769">
      <c r="A769" s="438"/>
      <c r="B769" s="438"/>
      <c r="C769" s="438"/>
      <c r="D769" s="438"/>
      <c r="E769" s="438"/>
      <c r="F769" s="438"/>
      <c r="G769" s="438"/>
      <c r="H769" s="438"/>
      <c r="I769" s="438"/>
      <c r="J769" s="438"/>
      <c r="K769" s="438"/>
      <c r="L769" s="438"/>
      <c r="M769" s="438"/>
      <c r="N769" s="438"/>
      <c r="O769" s="438"/>
      <c r="P769" s="438"/>
      <c r="Q769" s="438"/>
      <c r="R769" s="438"/>
      <c r="S769" s="438"/>
      <c r="T769" s="438"/>
      <c r="U769" s="438"/>
      <c r="V769" s="438"/>
      <c r="W769" s="438"/>
      <c r="X769" s="438"/>
      <c r="Y769" s="438"/>
      <c r="Z769" s="438"/>
      <c r="AA769" s="438"/>
      <c r="AB769" s="438"/>
      <c r="AC769" s="438"/>
      <c r="AD769" s="438"/>
      <c r="AE769" s="438"/>
      <c r="AF769" s="438"/>
      <c r="AG769" s="438"/>
      <c r="AH769" s="438"/>
    </row>
    <row r="770">
      <c r="A770" s="438"/>
      <c r="B770" s="438"/>
      <c r="C770" s="438"/>
      <c r="D770" s="438"/>
      <c r="E770" s="438"/>
      <c r="F770" s="438"/>
      <c r="G770" s="438"/>
      <c r="H770" s="438"/>
      <c r="I770" s="438"/>
      <c r="J770" s="438"/>
      <c r="K770" s="438"/>
      <c r="L770" s="438"/>
      <c r="M770" s="438"/>
      <c r="N770" s="438"/>
      <c r="O770" s="438"/>
      <c r="P770" s="438"/>
      <c r="Q770" s="438"/>
      <c r="R770" s="438"/>
      <c r="S770" s="438"/>
      <c r="T770" s="438"/>
      <c r="U770" s="438"/>
      <c r="V770" s="438"/>
      <c r="W770" s="438"/>
      <c r="X770" s="438"/>
      <c r="Y770" s="438"/>
      <c r="Z770" s="438"/>
      <c r="AA770" s="438"/>
      <c r="AB770" s="438"/>
      <c r="AC770" s="438"/>
      <c r="AD770" s="438"/>
      <c r="AE770" s="438"/>
      <c r="AF770" s="438"/>
      <c r="AG770" s="438"/>
      <c r="AH770" s="438"/>
    </row>
    <row r="771">
      <c r="A771" s="438"/>
      <c r="B771" s="438"/>
      <c r="C771" s="438"/>
      <c r="D771" s="438"/>
      <c r="E771" s="438"/>
      <c r="F771" s="438"/>
      <c r="G771" s="438"/>
      <c r="H771" s="438"/>
      <c r="I771" s="438"/>
      <c r="J771" s="438"/>
      <c r="K771" s="438"/>
      <c r="L771" s="438"/>
      <c r="M771" s="438"/>
      <c r="N771" s="438"/>
      <c r="O771" s="438"/>
      <c r="P771" s="438"/>
      <c r="Q771" s="438"/>
      <c r="R771" s="438"/>
      <c r="S771" s="438"/>
      <c r="T771" s="438"/>
      <c r="U771" s="438"/>
      <c r="V771" s="438"/>
      <c r="W771" s="438"/>
      <c r="X771" s="438"/>
      <c r="Y771" s="438"/>
      <c r="Z771" s="438"/>
      <c r="AA771" s="438"/>
      <c r="AB771" s="438"/>
      <c r="AC771" s="438"/>
      <c r="AD771" s="438"/>
      <c r="AE771" s="438"/>
      <c r="AF771" s="438"/>
      <c r="AG771" s="438"/>
      <c r="AH771" s="438"/>
    </row>
    <row r="772">
      <c r="A772" s="438"/>
      <c r="B772" s="438"/>
      <c r="C772" s="438"/>
      <c r="D772" s="438"/>
      <c r="E772" s="438"/>
      <c r="F772" s="438"/>
      <c r="G772" s="438"/>
      <c r="H772" s="438"/>
      <c r="I772" s="438"/>
      <c r="J772" s="438"/>
      <c r="K772" s="438"/>
      <c r="L772" s="438"/>
      <c r="M772" s="438"/>
      <c r="N772" s="438"/>
      <c r="O772" s="438"/>
      <c r="P772" s="438"/>
      <c r="Q772" s="438"/>
      <c r="R772" s="438"/>
      <c r="S772" s="438"/>
      <c r="T772" s="438"/>
      <c r="U772" s="438"/>
      <c r="V772" s="438"/>
      <c r="W772" s="438"/>
      <c r="X772" s="438"/>
      <c r="Y772" s="438"/>
      <c r="Z772" s="438"/>
      <c r="AA772" s="438"/>
      <c r="AB772" s="438"/>
      <c r="AC772" s="438"/>
      <c r="AD772" s="438"/>
      <c r="AE772" s="438"/>
      <c r="AF772" s="438"/>
      <c r="AG772" s="438"/>
      <c r="AH772" s="438"/>
    </row>
    <row r="773">
      <c r="A773" s="438"/>
      <c r="B773" s="438"/>
      <c r="C773" s="438"/>
      <c r="D773" s="438"/>
      <c r="E773" s="438"/>
      <c r="F773" s="438"/>
      <c r="G773" s="438"/>
      <c r="H773" s="438"/>
      <c r="I773" s="438"/>
      <c r="J773" s="438"/>
      <c r="K773" s="438"/>
      <c r="L773" s="438"/>
      <c r="M773" s="438"/>
      <c r="N773" s="438"/>
      <c r="O773" s="438"/>
      <c r="P773" s="438"/>
      <c r="Q773" s="438"/>
      <c r="R773" s="438"/>
      <c r="S773" s="438"/>
      <c r="T773" s="438"/>
      <c r="U773" s="438"/>
      <c r="V773" s="438"/>
      <c r="W773" s="438"/>
      <c r="X773" s="438"/>
      <c r="Y773" s="438"/>
      <c r="Z773" s="438"/>
      <c r="AA773" s="438"/>
      <c r="AB773" s="438"/>
      <c r="AC773" s="438"/>
      <c r="AD773" s="438"/>
      <c r="AE773" s="438"/>
      <c r="AF773" s="438"/>
      <c r="AG773" s="438"/>
      <c r="AH773" s="438"/>
    </row>
    <row r="774">
      <c r="A774" s="438"/>
      <c r="B774" s="438"/>
      <c r="C774" s="438"/>
      <c r="D774" s="438"/>
      <c r="E774" s="438"/>
      <c r="F774" s="438"/>
      <c r="G774" s="438"/>
      <c r="H774" s="438"/>
      <c r="I774" s="438"/>
      <c r="J774" s="438"/>
      <c r="K774" s="438"/>
      <c r="L774" s="438"/>
      <c r="M774" s="438"/>
      <c r="N774" s="438"/>
      <c r="O774" s="438"/>
      <c r="P774" s="438"/>
      <c r="Q774" s="438"/>
      <c r="R774" s="438"/>
      <c r="S774" s="438"/>
      <c r="T774" s="438"/>
      <c r="U774" s="438"/>
      <c r="V774" s="438"/>
      <c r="W774" s="438"/>
      <c r="X774" s="438"/>
      <c r="Y774" s="438"/>
      <c r="Z774" s="438"/>
      <c r="AA774" s="438"/>
      <c r="AB774" s="438"/>
      <c r="AC774" s="438"/>
      <c r="AD774" s="438"/>
      <c r="AE774" s="438"/>
      <c r="AF774" s="438"/>
      <c r="AG774" s="438"/>
      <c r="AH774" s="438"/>
    </row>
    <row r="775">
      <c r="A775" s="438"/>
      <c r="B775" s="438"/>
      <c r="C775" s="438"/>
      <c r="D775" s="438"/>
      <c r="E775" s="438"/>
      <c r="F775" s="438"/>
      <c r="G775" s="438"/>
      <c r="H775" s="438"/>
      <c r="I775" s="438"/>
      <c r="J775" s="438"/>
      <c r="K775" s="438"/>
      <c r="L775" s="438"/>
      <c r="M775" s="438"/>
      <c r="N775" s="438"/>
      <c r="O775" s="438"/>
      <c r="P775" s="438"/>
      <c r="Q775" s="438"/>
      <c r="R775" s="438"/>
      <c r="S775" s="438"/>
      <c r="T775" s="438"/>
      <c r="U775" s="438"/>
      <c r="V775" s="438"/>
      <c r="W775" s="438"/>
      <c r="X775" s="438"/>
      <c r="Y775" s="438"/>
      <c r="Z775" s="438"/>
      <c r="AA775" s="438"/>
      <c r="AB775" s="438"/>
      <c r="AC775" s="438"/>
      <c r="AD775" s="438"/>
      <c r="AE775" s="438"/>
      <c r="AF775" s="438"/>
      <c r="AG775" s="438"/>
      <c r="AH775" s="438"/>
    </row>
    <row r="776">
      <c r="A776" s="438"/>
      <c r="B776" s="438"/>
      <c r="C776" s="438"/>
      <c r="D776" s="438"/>
      <c r="E776" s="438"/>
      <c r="F776" s="438"/>
      <c r="G776" s="438"/>
      <c r="H776" s="438"/>
      <c r="I776" s="438"/>
      <c r="J776" s="438"/>
      <c r="K776" s="438"/>
      <c r="L776" s="438"/>
      <c r="M776" s="438"/>
      <c r="N776" s="438"/>
      <c r="O776" s="438"/>
      <c r="P776" s="438"/>
      <c r="Q776" s="438"/>
      <c r="R776" s="438"/>
      <c r="S776" s="438"/>
      <c r="T776" s="438"/>
      <c r="U776" s="438"/>
      <c r="V776" s="438"/>
      <c r="W776" s="438"/>
      <c r="X776" s="438"/>
      <c r="Y776" s="438"/>
      <c r="Z776" s="438"/>
      <c r="AA776" s="438"/>
      <c r="AB776" s="438"/>
      <c r="AC776" s="438"/>
      <c r="AD776" s="438"/>
      <c r="AE776" s="438"/>
      <c r="AF776" s="438"/>
      <c r="AG776" s="438"/>
      <c r="AH776" s="438"/>
    </row>
    <row r="777">
      <c r="A777" s="438"/>
      <c r="B777" s="438"/>
      <c r="C777" s="438"/>
      <c r="D777" s="438"/>
      <c r="E777" s="438"/>
      <c r="F777" s="438"/>
      <c r="G777" s="438"/>
      <c r="H777" s="438"/>
      <c r="I777" s="438"/>
      <c r="J777" s="438"/>
      <c r="K777" s="438"/>
      <c r="L777" s="438"/>
      <c r="M777" s="438"/>
      <c r="N777" s="438"/>
      <c r="O777" s="438"/>
      <c r="P777" s="438"/>
      <c r="Q777" s="438"/>
      <c r="R777" s="438"/>
      <c r="S777" s="438"/>
      <c r="T777" s="438"/>
      <c r="U777" s="438"/>
      <c r="V777" s="438"/>
      <c r="W777" s="438"/>
      <c r="X777" s="438"/>
      <c r="Y777" s="438"/>
      <c r="Z777" s="438"/>
      <c r="AA777" s="438"/>
      <c r="AB777" s="438"/>
      <c r="AC777" s="438"/>
      <c r="AD777" s="438"/>
      <c r="AE777" s="438"/>
      <c r="AF777" s="438"/>
      <c r="AG777" s="438"/>
      <c r="AH777" s="438"/>
    </row>
    <row r="778">
      <c r="A778" s="438"/>
      <c r="B778" s="438"/>
      <c r="C778" s="438"/>
      <c r="D778" s="438"/>
      <c r="E778" s="438"/>
      <c r="F778" s="438"/>
      <c r="G778" s="438"/>
      <c r="H778" s="438"/>
      <c r="I778" s="438"/>
      <c r="J778" s="438"/>
      <c r="K778" s="438"/>
      <c r="L778" s="438"/>
      <c r="M778" s="438"/>
      <c r="N778" s="438"/>
      <c r="O778" s="438"/>
      <c r="P778" s="438"/>
      <c r="Q778" s="438"/>
      <c r="R778" s="438"/>
      <c r="S778" s="438"/>
      <c r="T778" s="438"/>
      <c r="U778" s="438"/>
      <c r="V778" s="438"/>
      <c r="W778" s="438"/>
      <c r="X778" s="438"/>
      <c r="Y778" s="438"/>
      <c r="Z778" s="438"/>
      <c r="AA778" s="438"/>
      <c r="AB778" s="438"/>
      <c r="AC778" s="438"/>
      <c r="AD778" s="438"/>
      <c r="AE778" s="438"/>
      <c r="AF778" s="438"/>
      <c r="AG778" s="438"/>
      <c r="AH778" s="438"/>
    </row>
    <row r="779">
      <c r="A779" s="438"/>
      <c r="B779" s="438"/>
      <c r="C779" s="438"/>
      <c r="D779" s="438"/>
      <c r="E779" s="438"/>
      <c r="F779" s="438"/>
      <c r="G779" s="438"/>
      <c r="H779" s="438"/>
      <c r="I779" s="438"/>
      <c r="J779" s="438"/>
      <c r="K779" s="438"/>
      <c r="L779" s="438"/>
      <c r="M779" s="438"/>
      <c r="N779" s="438"/>
      <c r="O779" s="438"/>
      <c r="P779" s="438"/>
      <c r="Q779" s="438"/>
      <c r="R779" s="438"/>
      <c r="S779" s="438"/>
      <c r="T779" s="438"/>
      <c r="U779" s="438"/>
      <c r="V779" s="438"/>
      <c r="W779" s="438"/>
      <c r="X779" s="438"/>
      <c r="Y779" s="438"/>
      <c r="Z779" s="438"/>
      <c r="AA779" s="438"/>
      <c r="AB779" s="438"/>
      <c r="AC779" s="438"/>
      <c r="AD779" s="438"/>
      <c r="AE779" s="438"/>
      <c r="AF779" s="438"/>
      <c r="AG779" s="438"/>
      <c r="AH779" s="438"/>
    </row>
    <row r="780">
      <c r="A780" s="438"/>
      <c r="B780" s="438"/>
      <c r="C780" s="438"/>
      <c r="D780" s="438"/>
      <c r="E780" s="438"/>
      <c r="F780" s="438"/>
      <c r="G780" s="438"/>
      <c r="H780" s="438"/>
      <c r="I780" s="438"/>
      <c r="J780" s="438"/>
      <c r="K780" s="438"/>
      <c r="L780" s="438"/>
      <c r="M780" s="438"/>
      <c r="N780" s="438"/>
      <c r="O780" s="438"/>
      <c r="P780" s="438"/>
      <c r="Q780" s="438"/>
      <c r="R780" s="438"/>
      <c r="S780" s="438"/>
      <c r="T780" s="438"/>
      <c r="U780" s="438"/>
      <c r="V780" s="438"/>
      <c r="W780" s="438"/>
      <c r="X780" s="438"/>
      <c r="Y780" s="438"/>
      <c r="Z780" s="438"/>
      <c r="AA780" s="438"/>
      <c r="AB780" s="438"/>
      <c r="AC780" s="438"/>
      <c r="AD780" s="438"/>
      <c r="AE780" s="438"/>
      <c r="AF780" s="438"/>
      <c r="AG780" s="438"/>
      <c r="AH780" s="438"/>
    </row>
    <row r="781">
      <c r="A781" s="438"/>
      <c r="B781" s="438"/>
      <c r="C781" s="438"/>
      <c r="D781" s="438"/>
      <c r="E781" s="438"/>
      <c r="F781" s="438"/>
      <c r="G781" s="438"/>
      <c r="H781" s="438"/>
      <c r="I781" s="438"/>
      <c r="J781" s="438"/>
      <c r="K781" s="438"/>
      <c r="L781" s="438"/>
      <c r="M781" s="438"/>
      <c r="N781" s="438"/>
      <c r="O781" s="438"/>
      <c r="P781" s="438"/>
      <c r="Q781" s="438"/>
      <c r="R781" s="438"/>
      <c r="S781" s="438"/>
      <c r="T781" s="438"/>
      <c r="U781" s="438"/>
      <c r="V781" s="438"/>
      <c r="W781" s="438"/>
      <c r="X781" s="438"/>
      <c r="Y781" s="438"/>
      <c r="Z781" s="438"/>
      <c r="AA781" s="438"/>
      <c r="AB781" s="438"/>
      <c r="AC781" s="438"/>
      <c r="AD781" s="438"/>
      <c r="AE781" s="438"/>
      <c r="AF781" s="438"/>
      <c r="AG781" s="438"/>
      <c r="AH781" s="438"/>
    </row>
    <row r="782">
      <c r="A782" s="438"/>
      <c r="B782" s="438"/>
      <c r="C782" s="438"/>
      <c r="D782" s="438"/>
      <c r="E782" s="438"/>
      <c r="F782" s="438"/>
      <c r="G782" s="438"/>
      <c r="H782" s="438"/>
      <c r="I782" s="438"/>
      <c r="J782" s="438"/>
      <c r="K782" s="438"/>
      <c r="L782" s="438"/>
      <c r="M782" s="438"/>
      <c r="N782" s="438"/>
      <c r="O782" s="438"/>
      <c r="P782" s="438"/>
      <c r="Q782" s="438"/>
      <c r="R782" s="438"/>
      <c r="S782" s="438"/>
      <c r="T782" s="438"/>
      <c r="U782" s="438"/>
      <c r="V782" s="438"/>
      <c r="W782" s="438"/>
      <c r="X782" s="438"/>
      <c r="Y782" s="438"/>
      <c r="Z782" s="438"/>
      <c r="AA782" s="438"/>
      <c r="AB782" s="438"/>
      <c r="AC782" s="438"/>
      <c r="AD782" s="438"/>
      <c r="AE782" s="438"/>
      <c r="AF782" s="438"/>
      <c r="AG782" s="438"/>
      <c r="AH782" s="438"/>
    </row>
    <row r="783">
      <c r="A783" s="438"/>
      <c r="B783" s="438"/>
      <c r="C783" s="438"/>
      <c r="D783" s="438"/>
      <c r="E783" s="438"/>
      <c r="F783" s="438"/>
      <c r="G783" s="438"/>
      <c r="H783" s="438"/>
      <c r="I783" s="438"/>
      <c r="J783" s="438"/>
      <c r="K783" s="438"/>
      <c r="L783" s="438"/>
      <c r="M783" s="438"/>
      <c r="N783" s="438"/>
      <c r="O783" s="438"/>
      <c r="P783" s="438"/>
      <c r="Q783" s="438"/>
      <c r="R783" s="438"/>
      <c r="S783" s="438"/>
      <c r="T783" s="438"/>
      <c r="U783" s="438"/>
      <c r="V783" s="438"/>
      <c r="W783" s="438"/>
      <c r="X783" s="438"/>
      <c r="Y783" s="438"/>
      <c r="Z783" s="438"/>
      <c r="AA783" s="438"/>
      <c r="AB783" s="438"/>
      <c r="AC783" s="438"/>
      <c r="AD783" s="438"/>
      <c r="AE783" s="438"/>
      <c r="AF783" s="438"/>
      <c r="AG783" s="438"/>
      <c r="AH783" s="438"/>
    </row>
    <row r="784">
      <c r="A784" s="438"/>
      <c r="B784" s="438"/>
      <c r="C784" s="438"/>
      <c r="D784" s="438"/>
      <c r="E784" s="438"/>
      <c r="F784" s="438"/>
      <c r="G784" s="438"/>
      <c r="H784" s="438"/>
      <c r="I784" s="438"/>
      <c r="J784" s="438"/>
      <c r="K784" s="438"/>
      <c r="L784" s="438"/>
      <c r="M784" s="438"/>
      <c r="N784" s="438"/>
      <c r="O784" s="438"/>
      <c r="P784" s="438"/>
      <c r="Q784" s="438"/>
      <c r="R784" s="438"/>
      <c r="S784" s="438"/>
      <c r="T784" s="438"/>
      <c r="U784" s="438"/>
      <c r="V784" s="438"/>
      <c r="W784" s="438"/>
      <c r="X784" s="438"/>
      <c r="Y784" s="438"/>
      <c r="Z784" s="438"/>
      <c r="AA784" s="438"/>
      <c r="AB784" s="438"/>
      <c r="AC784" s="438"/>
      <c r="AD784" s="438"/>
      <c r="AE784" s="438"/>
      <c r="AF784" s="438"/>
      <c r="AG784" s="438"/>
      <c r="AH784" s="438"/>
    </row>
    <row r="785">
      <c r="A785" s="438"/>
      <c r="B785" s="438"/>
      <c r="C785" s="438"/>
      <c r="D785" s="438"/>
      <c r="E785" s="438"/>
      <c r="F785" s="438"/>
      <c r="G785" s="438"/>
      <c r="H785" s="438"/>
      <c r="I785" s="438"/>
      <c r="J785" s="438"/>
      <c r="K785" s="438"/>
      <c r="L785" s="438"/>
      <c r="M785" s="438"/>
      <c r="N785" s="438"/>
      <c r="O785" s="438"/>
      <c r="P785" s="438"/>
      <c r="Q785" s="438"/>
      <c r="R785" s="438"/>
      <c r="S785" s="438"/>
      <c r="T785" s="438"/>
      <c r="U785" s="438"/>
      <c r="V785" s="438"/>
      <c r="W785" s="438"/>
      <c r="X785" s="438"/>
      <c r="Y785" s="438"/>
      <c r="Z785" s="438"/>
      <c r="AA785" s="438"/>
      <c r="AB785" s="438"/>
      <c r="AC785" s="438"/>
      <c r="AD785" s="438"/>
      <c r="AE785" s="438"/>
      <c r="AF785" s="438"/>
      <c r="AG785" s="438"/>
      <c r="AH785" s="438"/>
    </row>
    <row r="786">
      <c r="A786" s="438"/>
      <c r="B786" s="438"/>
      <c r="C786" s="438"/>
      <c r="D786" s="438"/>
      <c r="E786" s="438"/>
      <c r="F786" s="438"/>
      <c r="G786" s="438"/>
      <c r="H786" s="438"/>
      <c r="I786" s="438"/>
      <c r="J786" s="438"/>
      <c r="K786" s="438"/>
      <c r="L786" s="438"/>
      <c r="M786" s="438"/>
      <c r="N786" s="438"/>
      <c r="O786" s="438"/>
      <c r="P786" s="438"/>
      <c r="Q786" s="438"/>
      <c r="R786" s="438"/>
      <c r="S786" s="438"/>
      <c r="T786" s="438"/>
      <c r="U786" s="438"/>
      <c r="V786" s="438"/>
      <c r="W786" s="438"/>
      <c r="X786" s="438"/>
      <c r="Y786" s="438"/>
      <c r="Z786" s="438"/>
      <c r="AA786" s="438"/>
      <c r="AB786" s="438"/>
      <c r="AC786" s="438"/>
      <c r="AD786" s="438"/>
      <c r="AE786" s="438"/>
      <c r="AF786" s="438"/>
      <c r="AG786" s="438"/>
      <c r="AH786" s="438"/>
    </row>
    <row r="787">
      <c r="A787" s="438"/>
      <c r="B787" s="438"/>
      <c r="C787" s="438"/>
      <c r="D787" s="438"/>
      <c r="E787" s="438"/>
      <c r="F787" s="438"/>
      <c r="G787" s="438"/>
      <c r="H787" s="438"/>
      <c r="I787" s="438"/>
      <c r="J787" s="438"/>
      <c r="K787" s="438"/>
      <c r="L787" s="438"/>
      <c r="M787" s="438"/>
      <c r="N787" s="438"/>
      <c r="O787" s="438"/>
      <c r="P787" s="438"/>
      <c r="Q787" s="438"/>
      <c r="R787" s="438"/>
      <c r="S787" s="438"/>
      <c r="T787" s="438"/>
      <c r="U787" s="438"/>
      <c r="V787" s="438"/>
      <c r="W787" s="438"/>
      <c r="X787" s="438"/>
      <c r="Y787" s="438"/>
      <c r="Z787" s="438"/>
      <c r="AA787" s="438"/>
      <c r="AB787" s="438"/>
      <c r="AC787" s="438"/>
      <c r="AD787" s="438"/>
      <c r="AE787" s="438"/>
      <c r="AF787" s="438"/>
      <c r="AG787" s="438"/>
      <c r="AH787" s="438"/>
    </row>
    <row r="788">
      <c r="A788" s="438"/>
      <c r="B788" s="438"/>
      <c r="C788" s="438"/>
      <c r="D788" s="438"/>
      <c r="E788" s="438"/>
      <c r="F788" s="438"/>
      <c r="G788" s="438"/>
      <c r="H788" s="438"/>
      <c r="I788" s="438"/>
      <c r="J788" s="438"/>
      <c r="K788" s="438"/>
      <c r="L788" s="438"/>
      <c r="M788" s="438"/>
      <c r="N788" s="438"/>
      <c r="O788" s="438"/>
      <c r="P788" s="438"/>
      <c r="Q788" s="438"/>
      <c r="R788" s="438"/>
      <c r="S788" s="438"/>
      <c r="T788" s="438"/>
      <c r="U788" s="438"/>
      <c r="V788" s="438"/>
      <c r="W788" s="438"/>
      <c r="X788" s="438"/>
      <c r="Y788" s="438"/>
      <c r="Z788" s="438"/>
      <c r="AA788" s="438"/>
      <c r="AB788" s="438"/>
      <c r="AC788" s="438"/>
      <c r="AD788" s="438"/>
      <c r="AE788" s="438"/>
      <c r="AF788" s="438"/>
      <c r="AG788" s="438"/>
      <c r="AH788" s="438"/>
    </row>
    <row r="789">
      <c r="A789" s="438"/>
      <c r="B789" s="438"/>
      <c r="C789" s="438"/>
      <c r="D789" s="438"/>
      <c r="E789" s="438"/>
      <c r="F789" s="438"/>
      <c r="G789" s="438"/>
      <c r="H789" s="438"/>
      <c r="I789" s="438"/>
      <c r="J789" s="438"/>
      <c r="K789" s="438"/>
      <c r="L789" s="438"/>
      <c r="M789" s="438"/>
      <c r="N789" s="438"/>
      <c r="O789" s="438"/>
      <c r="P789" s="438"/>
      <c r="Q789" s="438"/>
      <c r="R789" s="438"/>
      <c r="S789" s="438"/>
      <c r="T789" s="438"/>
      <c r="U789" s="438"/>
      <c r="V789" s="438"/>
      <c r="W789" s="438"/>
      <c r="X789" s="438"/>
      <c r="Y789" s="438"/>
      <c r="Z789" s="438"/>
      <c r="AA789" s="438"/>
      <c r="AB789" s="438"/>
      <c r="AC789" s="438"/>
      <c r="AD789" s="438"/>
      <c r="AE789" s="438"/>
      <c r="AF789" s="438"/>
      <c r="AG789" s="438"/>
      <c r="AH789" s="438"/>
    </row>
    <row r="790">
      <c r="A790" s="438"/>
      <c r="B790" s="438"/>
      <c r="C790" s="438"/>
      <c r="D790" s="438"/>
      <c r="E790" s="438"/>
      <c r="F790" s="438"/>
      <c r="G790" s="438"/>
      <c r="H790" s="438"/>
      <c r="I790" s="438"/>
      <c r="J790" s="438"/>
      <c r="K790" s="438"/>
      <c r="L790" s="438"/>
      <c r="M790" s="438"/>
      <c r="N790" s="438"/>
      <c r="O790" s="438"/>
      <c r="P790" s="438"/>
      <c r="Q790" s="438"/>
      <c r="R790" s="438"/>
      <c r="S790" s="438"/>
      <c r="T790" s="438"/>
      <c r="U790" s="438"/>
      <c r="V790" s="438"/>
      <c r="W790" s="438"/>
      <c r="X790" s="438"/>
      <c r="Y790" s="438"/>
      <c r="Z790" s="438"/>
      <c r="AA790" s="438"/>
      <c r="AB790" s="438"/>
      <c r="AC790" s="438"/>
      <c r="AD790" s="438"/>
      <c r="AE790" s="438"/>
      <c r="AF790" s="438"/>
      <c r="AG790" s="438"/>
      <c r="AH790" s="438"/>
    </row>
    <row r="791">
      <c r="A791" s="438"/>
      <c r="B791" s="438"/>
      <c r="C791" s="438"/>
      <c r="D791" s="438"/>
      <c r="E791" s="438"/>
      <c r="F791" s="438"/>
      <c r="G791" s="438"/>
      <c r="H791" s="438"/>
      <c r="I791" s="438"/>
      <c r="J791" s="438"/>
      <c r="K791" s="438"/>
      <c r="L791" s="438"/>
      <c r="M791" s="438"/>
      <c r="N791" s="438"/>
      <c r="O791" s="438"/>
      <c r="P791" s="438"/>
      <c r="Q791" s="438"/>
      <c r="R791" s="438"/>
      <c r="S791" s="438"/>
      <c r="T791" s="438"/>
      <c r="U791" s="438"/>
      <c r="V791" s="438"/>
      <c r="W791" s="438"/>
      <c r="X791" s="438"/>
      <c r="Y791" s="438"/>
      <c r="Z791" s="438"/>
      <c r="AA791" s="438"/>
      <c r="AB791" s="438"/>
      <c r="AC791" s="438"/>
      <c r="AD791" s="438"/>
      <c r="AE791" s="438"/>
      <c r="AF791" s="438"/>
      <c r="AG791" s="438"/>
      <c r="AH791" s="438"/>
    </row>
    <row r="792">
      <c r="A792" s="438"/>
      <c r="B792" s="438"/>
      <c r="C792" s="438"/>
      <c r="D792" s="438"/>
      <c r="E792" s="438"/>
      <c r="F792" s="438"/>
      <c r="G792" s="438"/>
      <c r="H792" s="438"/>
      <c r="I792" s="438"/>
      <c r="J792" s="438"/>
      <c r="K792" s="438"/>
      <c r="L792" s="438"/>
      <c r="M792" s="438"/>
      <c r="N792" s="438"/>
      <c r="O792" s="438"/>
      <c r="P792" s="438"/>
      <c r="Q792" s="438"/>
      <c r="R792" s="438"/>
      <c r="S792" s="438"/>
      <c r="T792" s="438"/>
      <c r="U792" s="438"/>
      <c r="V792" s="438"/>
      <c r="W792" s="438"/>
      <c r="X792" s="438"/>
      <c r="Y792" s="438"/>
      <c r="Z792" s="438"/>
      <c r="AA792" s="438"/>
      <c r="AB792" s="438"/>
      <c r="AC792" s="438"/>
      <c r="AD792" s="438"/>
      <c r="AE792" s="438"/>
      <c r="AF792" s="438"/>
      <c r="AG792" s="438"/>
      <c r="AH792" s="438"/>
    </row>
    <row r="793">
      <c r="A793" s="438"/>
      <c r="B793" s="438"/>
      <c r="C793" s="438"/>
      <c r="D793" s="438"/>
      <c r="E793" s="438"/>
      <c r="F793" s="438"/>
      <c r="G793" s="438"/>
      <c r="H793" s="438"/>
      <c r="I793" s="438"/>
      <c r="J793" s="438"/>
      <c r="K793" s="438"/>
      <c r="L793" s="438"/>
      <c r="M793" s="438"/>
      <c r="N793" s="438"/>
      <c r="O793" s="438"/>
      <c r="P793" s="438"/>
      <c r="Q793" s="438"/>
      <c r="R793" s="438"/>
      <c r="S793" s="438"/>
      <c r="T793" s="438"/>
      <c r="U793" s="438"/>
      <c r="V793" s="438"/>
      <c r="W793" s="438"/>
      <c r="X793" s="438"/>
      <c r="Y793" s="438"/>
      <c r="Z793" s="438"/>
      <c r="AA793" s="438"/>
      <c r="AB793" s="438"/>
      <c r="AC793" s="438"/>
      <c r="AD793" s="438"/>
      <c r="AE793" s="438"/>
      <c r="AF793" s="438"/>
      <c r="AG793" s="438"/>
      <c r="AH793" s="438"/>
    </row>
    <row r="794">
      <c r="A794" s="438"/>
      <c r="B794" s="438"/>
      <c r="C794" s="438"/>
      <c r="D794" s="438"/>
      <c r="E794" s="438"/>
      <c r="F794" s="438"/>
      <c r="G794" s="438"/>
      <c r="H794" s="438"/>
      <c r="I794" s="438"/>
      <c r="J794" s="438"/>
      <c r="K794" s="438"/>
      <c r="L794" s="438"/>
      <c r="M794" s="438"/>
      <c r="N794" s="438"/>
      <c r="O794" s="438"/>
      <c r="P794" s="438"/>
      <c r="Q794" s="438"/>
      <c r="R794" s="438"/>
      <c r="S794" s="438"/>
      <c r="T794" s="438"/>
      <c r="U794" s="438"/>
      <c r="V794" s="438"/>
      <c r="W794" s="438"/>
      <c r="X794" s="438"/>
      <c r="Y794" s="438"/>
      <c r="Z794" s="438"/>
      <c r="AA794" s="438"/>
      <c r="AB794" s="438"/>
      <c r="AC794" s="438"/>
      <c r="AD794" s="438"/>
      <c r="AE794" s="438"/>
      <c r="AF794" s="438"/>
      <c r="AG794" s="438"/>
      <c r="AH794" s="438"/>
    </row>
    <row r="795">
      <c r="A795" s="438"/>
      <c r="B795" s="438"/>
      <c r="C795" s="438"/>
      <c r="D795" s="438"/>
      <c r="E795" s="438"/>
      <c r="F795" s="438"/>
      <c r="G795" s="438"/>
      <c r="H795" s="438"/>
      <c r="I795" s="438"/>
      <c r="J795" s="438"/>
      <c r="K795" s="438"/>
      <c r="L795" s="438"/>
      <c r="M795" s="438"/>
      <c r="N795" s="438"/>
      <c r="O795" s="438"/>
      <c r="P795" s="438"/>
      <c r="Q795" s="438"/>
      <c r="R795" s="438"/>
      <c r="S795" s="438"/>
      <c r="T795" s="438"/>
      <c r="U795" s="438"/>
      <c r="V795" s="438"/>
      <c r="W795" s="438"/>
      <c r="X795" s="438"/>
      <c r="Y795" s="438"/>
      <c r="Z795" s="438"/>
      <c r="AA795" s="438"/>
      <c r="AB795" s="438"/>
      <c r="AC795" s="438"/>
      <c r="AD795" s="438"/>
      <c r="AE795" s="438"/>
      <c r="AF795" s="438"/>
      <c r="AG795" s="438"/>
      <c r="AH795" s="438"/>
    </row>
    <row r="796">
      <c r="A796" s="438"/>
      <c r="B796" s="438"/>
      <c r="C796" s="438"/>
      <c r="D796" s="438"/>
      <c r="E796" s="438"/>
      <c r="F796" s="438"/>
      <c r="G796" s="438"/>
      <c r="H796" s="438"/>
      <c r="I796" s="438"/>
      <c r="J796" s="438"/>
      <c r="K796" s="438"/>
      <c r="L796" s="438"/>
      <c r="M796" s="438"/>
      <c r="N796" s="438"/>
      <c r="O796" s="438"/>
      <c r="P796" s="438"/>
      <c r="Q796" s="438"/>
      <c r="R796" s="438"/>
      <c r="S796" s="438"/>
      <c r="T796" s="438"/>
      <c r="U796" s="438"/>
      <c r="V796" s="438"/>
      <c r="W796" s="438"/>
      <c r="X796" s="438"/>
      <c r="Y796" s="438"/>
      <c r="Z796" s="438"/>
      <c r="AA796" s="438"/>
      <c r="AB796" s="438"/>
      <c r="AC796" s="438"/>
      <c r="AD796" s="438"/>
      <c r="AE796" s="438"/>
      <c r="AF796" s="438"/>
      <c r="AG796" s="438"/>
      <c r="AH796" s="438"/>
    </row>
    <row r="797">
      <c r="A797" s="438"/>
      <c r="B797" s="438"/>
      <c r="C797" s="438"/>
      <c r="D797" s="438"/>
      <c r="E797" s="438"/>
      <c r="F797" s="438"/>
      <c r="G797" s="438"/>
      <c r="H797" s="438"/>
      <c r="I797" s="438"/>
      <c r="J797" s="438"/>
      <c r="K797" s="438"/>
      <c r="L797" s="438"/>
      <c r="M797" s="438"/>
      <c r="N797" s="438"/>
      <c r="O797" s="438"/>
      <c r="P797" s="438"/>
      <c r="Q797" s="438"/>
      <c r="R797" s="438"/>
      <c r="S797" s="438"/>
      <c r="T797" s="438"/>
      <c r="U797" s="438"/>
      <c r="V797" s="438"/>
      <c r="W797" s="438"/>
      <c r="X797" s="438"/>
      <c r="Y797" s="438"/>
      <c r="Z797" s="438"/>
      <c r="AA797" s="438"/>
      <c r="AB797" s="438"/>
      <c r="AC797" s="438"/>
      <c r="AD797" s="438"/>
      <c r="AE797" s="438"/>
      <c r="AF797" s="438"/>
      <c r="AG797" s="438"/>
      <c r="AH797" s="438"/>
    </row>
    <row r="798">
      <c r="A798" s="438"/>
      <c r="B798" s="438"/>
      <c r="C798" s="438"/>
      <c r="D798" s="438"/>
      <c r="E798" s="438"/>
      <c r="F798" s="438"/>
      <c r="G798" s="438"/>
      <c r="H798" s="438"/>
      <c r="I798" s="438"/>
      <c r="J798" s="438"/>
      <c r="K798" s="438"/>
      <c r="L798" s="438"/>
      <c r="M798" s="438"/>
      <c r="N798" s="438"/>
      <c r="O798" s="438"/>
      <c r="P798" s="438"/>
      <c r="Q798" s="438"/>
      <c r="R798" s="438"/>
      <c r="S798" s="438"/>
      <c r="T798" s="438"/>
      <c r="U798" s="438"/>
      <c r="V798" s="438"/>
      <c r="W798" s="438"/>
      <c r="X798" s="438"/>
      <c r="Y798" s="438"/>
      <c r="Z798" s="438"/>
      <c r="AA798" s="438"/>
      <c r="AB798" s="438"/>
      <c r="AC798" s="438"/>
      <c r="AD798" s="438"/>
      <c r="AE798" s="438"/>
      <c r="AF798" s="438"/>
      <c r="AG798" s="438"/>
      <c r="AH798" s="438"/>
    </row>
    <row r="799">
      <c r="A799" s="438"/>
      <c r="B799" s="438"/>
      <c r="C799" s="438"/>
      <c r="D799" s="438"/>
      <c r="E799" s="438"/>
      <c r="F799" s="438"/>
      <c r="G799" s="438"/>
      <c r="H799" s="438"/>
      <c r="I799" s="438"/>
      <c r="J799" s="438"/>
      <c r="K799" s="438"/>
      <c r="L799" s="438"/>
      <c r="M799" s="438"/>
      <c r="N799" s="438"/>
      <c r="O799" s="438"/>
      <c r="P799" s="438"/>
      <c r="Q799" s="438"/>
      <c r="R799" s="438"/>
      <c r="S799" s="438"/>
      <c r="T799" s="438"/>
      <c r="U799" s="438"/>
      <c r="V799" s="438"/>
      <c r="W799" s="438"/>
      <c r="X799" s="438"/>
      <c r="Y799" s="438"/>
      <c r="Z799" s="438"/>
      <c r="AA799" s="438"/>
      <c r="AB799" s="438"/>
      <c r="AC799" s="438"/>
      <c r="AD799" s="438"/>
      <c r="AE799" s="438"/>
      <c r="AF799" s="438"/>
      <c r="AG799" s="438"/>
      <c r="AH799" s="438"/>
    </row>
    <row r="800">
      <c r="A800" s="438"/>
      <c r="B800" s="438"/>
      <c r="C800" s="438"/>
      <c r="D800" s="438"/>
      <c r="E800" s="438"/>
      <c r="F800" s="438"/>
      <c r="G800" s="438"/>
      <c r="H800" s="438"/>
      <c r="I800" s="438"/>
      <c r="J800" s="438"/>
      <c r="K800" s="438"/>
      <c r="L800" s="438"/>
      <c r="M800" s="438"/>
      <c r="N800" s="438"/>
      <c r="O800" s="438"/>
      <c r="P800" s="438"/>
      <c r="Q800" s="438"/>
      <c r="R800" s="438"/>
      <c r="S800" s="438"/>
      <c r="T800" s="438"/>
      <c r="U800" s="438"/>
      <c r="V800" s="438"/>
      <c r="W800" s="438"/>
      <c r="X800" s="438"/>
      <c r="Y800" s="438"/>
      <c r="Z800" s="438"/>
      <c r="AA800" s="438"/>
      <c r="AB800" s="438"/>
      <c r="AC800" s="438"/>
      <c r="AD800" s="438"/>
      <c r="AE800" s="438"/>
      <c r="AF800" s="438"/>
      <c r="AG800" s="438"/>
      <c r="AH800" s="438"/>
    </row>
    <row r="801">
      <c r="A801" s="438"/>
      <c r="B801" s="438"/>
      <c r="C801" s="438"/>
      <c r="D801" s="438"/>
      <c r="E801" s="438"/>
      <c r="F801" s="438"/>
      <c r="G801" s="438"/>
      <c r="H801" s="438"/>
      <c r="I801" s="438"/>
      <c r="J801" s="438"/>
      <c r="K801" s="438"/>
      <c r="L801" s="438"/>
      <c r="M801" s="438"/>
      <c r="N801" s="438"/>
      <c r="O801" s="438"/>
      <c r="P801" s="438"/>
      <c r="Q801" s="438"/>
      <c r="R801" s="438"/>
      <c r="S801" s="438"/>
      <c r="T801" s="438"/>
      <c r="U801" s="438"/>
      <c r="V801" s="438"/>
      <c r="W801" s="438"/>
      <c r="X801" s="438"/>
      <c r="Y801" s="438"/>
      <c r="Z801" s="438"/>
      <c r="AA801" s="438"/>
      <c r="AB801" s="438"/>
      <c r="AC801" s="438"/>
      <c r="AD801" s="438"/>
      <c r="AE801" s="438"/>
      <c r="AF801" s="438"/>
      <c r="AG801" s="438"/>
      <c r="AH801" s="438"/>
    </row>
    <row r="802">
      <c r="A802" s="438"/>
      <c r="B802" s="438"/>
      <c r="C802" s="438"/>
      <c r="D802" s="438"/>
      <c r="E802" s="438"/>
      <c r="F802" s="438"/>
      <c r="G802" s="438"/>
      <c r="H802" s="438"/>
      <c r="I802" s="438"/>
      <c r="J802" s="438"/>
      <c r="K802" s="438"/>
      <c r="L802" s="438"/>
      <c r="M802" s="438"/>
      <c r="N802" s="438"/>
      <c r="O802" s="438"/>
      <c r="P802" s="438"/>
      <c r="Q802" s="438"/>
      <c r="R802" s="438"/>
      <c r="S802" s="438"/>
      <c r="T802" s="438"/>
      <c r="U802" s="438"/>
      <c r="V802" s="438"/>
      <c r="W802" s="438"/>
      <c r="X802" s="438"/>
      <c r="Y802" s="438"/>
      <c r="Z802" s="438"/>
      <c r="AA802" s="438"/>
      <c r="AB802" s="438"/>
      <c r="AC802" s="438"/>
      <c r="AD802" s="438"/>
      <c r="AE802" s="438"/>
      <c r="AF802" s="438"/>
      <c r="AG802" s="438"/>
      <c r="AH802" s="438"/>
    </row>
    <row r="803">
      <c r="A803" s="438"/>
      <c r="B803" s="438"/>
      <c r="C803" s="438"/>
      <c r="D803" s="438"/>
      <c r="E803" s="438"/>
      <c r="F803" s="438"/>
      <c r="G803" s="438"/>
      <c r="H803" s="438"/>
      <c r="I803" s="438"/>
      <c r="J803" s="438"/>
      <c r="K803" s="438"/>
      <c r="L803" s="438"/>
      <c r="M803" s="438"/>
      <c r="N803" s="438"/>
      <c r="O803" s="438"/>
      <c r="P803" s="438"/>
      <c r="Q803" s="438"/>
      <c r="R803" s="438"/>
      <c r="S803" s="438"/>
      <c r="T803" s="438"/>
      <c r="U803" s="438"/>
      <c r="V803" s="438"/>
      <c r="W803" s="438"/>
      <c r="X803" s="438"/>
      <c r="Y803" s="438"/>
      <c r="Z803" s="438"/>
      <c r="AA803" s="438"/>
      <c r="AB803" s="438"/>
      <c r="AC803" s="438"/>
      <c r="AD803" s="438"/>
      <c r="AE803" s="438"/>
      <c r="AF803" s="438"/>
      <c r="AG803" s="438"/>
      <c r="AH803" s="438"/>
    </row>
    <row r="804">
      <c r="A804" s="438"/>
      <c r="B804" s="438"/>
      <c r="C804" s="438"/>
      <c r="D804" s="438"/>
      <c r="E804" s="438"/>
      <c r="F804" s="438"/>
      <c r="G804" s="438"/>
      <c r="H804" s="438"/>
      <c r="I804" s="438"/>
      <c r="J804" s="438"/>
      <c r="K804" s="438"/>
      <c r="L804" s="438"/>
      <c r="M804" s="438"/>
      <c r="N804" s="438"/>
      <c r="O804" s="438"/>
      <c r="P804" s="438"/>
      <c r="Q804" s="438"/>
      <c r="R804" s="438"/>
      <c r="S804" s="438"/>
      <c r="T804" s="438"/>
      <c r="U804" s="438"/>
      <c r="V804" s="438"/>
      <c r="W804" s="438"/>
      <c r="X804" s="438"/>
      <c r="Y804" s="438"/>
      <c r="Z804" s="438"/>
      <c r="AA804" s="438"/>
      <c r="AB804" s="438"/>
      <c r="AC804" s="438"/>
      <c r="AD804" s="438"/>
      <c r="AE804" s="438"/>
      <c r="AF804" s="438"/>
      <c r="AG804" s="438"/>
      <c r="AH804" s="438"/>
    </row>
    <row r="805">
      <c r="A805" s="438"/>
      <c r="B805" s="438"/>
      <c r="C805" s="438"/>
      <c r="D805" s="438"/>
      <c r="E805" s="438"/>
      <c r="F805" s="438"/>
      <c r="G805" s="438"/>
      <c r="H805" s="438"/>
      <c r="I805" s="438"/>
      <c r="J805" s="438"/>
      <c r="K805" s="438"/>
      <c r="L805" s="438"/>
      <c r="M805" s="438"/>
      <c r="N805" s="438"/>
      <c r="O805" s="438"/>
      <c r="P805" s="438"/>
      <c r="Q805" s="438"/>
      <c r="R805" s="438"/>
      <c r="S805" s="438"/>
      <c r="T805" s="438"/>
      <c r="U805" s="438"/>
      <c r="V805" s="438"/>
      <c r="W805" s="438"/>
      <c r="X805" s="438"/>
      <c r="Y805" s="438"/>
      <c r="Z805" s="438"/>
      <c r="AA805" s="438"/>
      <c r="AB805" s="438"/>
      <c r="AC805" s="438"/>
      <c r="AD805" s="438"/>
      <c r="AE805" s="438"/>
      <c r="AF805" s="438"/>
      <c r="AG805" s="438"/>
      <c r="AH805" s="438"/>
    </row>
    <row r="806">
      <c r="A806" s="438"/>
      <c r="B806" s="438"/>
      <c r="C806" s="438"/>
      <c r="D806" s="438"/>
      <c r="E806" s="438"/>
      <c r="F806" s="438"/>
      <c r="G806" s="438"/>
      <c r="H806" s="438"/>
      <c r="I806" s="438"/>
      <c r="J806" s="438"/>
      <c r="K806" s="438"/>
      <c r="L806" s="438"/>
      <c r="M806" s="438"/>
      <c r="N806" s="438"/>
      <c r="O806" s="438"/>
      <c r="P806" s="438"/>
      <c r="Q806" s="438"/>
      <c r="R806" s="438"/>
      <c r="S806" s="438"/>
      <c r="T806" s="438"/>
      <c r="U806" s="438"/>
      <c r="V806" s="438"/>
      <c r="W806" s="438"/>
      <c r="X806" s="438"/>
      <c r="Y806" s="438"/>
      <c r="Z806" s="438"/>
      <c r="AA806" s="438"/>
      <c r="AB806" s="438"/>
      <c r="AC806" s="438"/>
      <c r="AD806" s="438"/>
      <c r="AE806" s="438"/>
      <c r="AF806" s="438"/>
      <c r="AG806" s="438"/>
      <c r="AH806" s="438"/>
    </row>
    <row r="807">
      <c r="A807" s="438"/>
      <c r="B807" s="438"/>
      <c r="C807" s="438"/>
      <c r="D807" s="438"/>
      <c r="E807" s="438"/>
      <c r="F807" s="438"/>
      <c r="G807" s="438"/>
      <c r="H807" s="438"/>
      <c r="I807" s="438"/>
      <c r="J807" s="438"/>
      <c r="K807" s="438"/>
      <c r="L807" s="438"/>
      <c r="M807" s="438"/>
      <c r="N807" s="438"/>
      <c r="O807" s="438"/>
      <c r="P807" s="438"/>
      <c r="Q807" s="438"/>
      <c r="R807" s="438"/>
      <c r="S807" s="438"/>
      <c r="T807" s="438"/>
      <c r="U807" s="438"/>
      <c r="V807" s="438"/>
      <c r="W807" s="438"/>
      <c r="X807" s="438"/>
      <c r="Y807" s="438"/>
      <c r="Z807" s="438"/>
      <c r="AA807" s="438"/>
      <c r="AB807" s="438"/>
      <c r="AC807" s="438"/>
      <c r="AD807" s="438"/>
      <c r="AE807" s="438"/>
      <c r="AF807" s="438"/>
      <c r="AG807" s="438"/>
      <c r="AH807" s="438"/>
    </row>
    <row r="808">
      <c r="A808" s="438"/>
      <c r="B808" s="438"/>
      <c r="C808" s="438"/>
      <c r="D808" s="438"/>
      <c r="E808" s="438"/>
      <c r="F808" s="438"/>
      <c r="G808" s="438"/>
      <c r="H808" s="438"/>
      <c r="I808" s="438"/>
      <c r="J808" s="438"/>
      <c r="K808" s="438"/>
      <c r="L808" s="438"/>
      <c r="M808" s="438"/>
      <c r="N808" s="438"/>
      <c r="O808" s="438"/>
      <c r="P808" s="438"/>
      <c r="Q808" s="438"/>
      <c r="R808" s="438"/>
      <c r="S808" s="438"/>
      <c r="T808" s="438"/>
      <c r="U808" s="438"/>
      <c r="V808" s="438"/>
      <c r="W808" s="438"/>
      <c r="X808" s="438"/>
      <c r="Y808" s="438"/>
      <c r="Z808" s="438"/>
      <c r="AA808" s="438"/>
      <c r="AB808" s="438"/>
      <c r="AC808" s="438"/>
      <c r="AD808" s="438"/>
      <c r="AE808" s="438"/>
      <c r="AF808" s="438"/>
      <c r="AG808" s="438"/>
      <c r="AH808" s="438"/>
    </row>
    <row r="809">
      <c r="A809" s="438"/>
      <c r="B809" s="438"/>
      <c r="C809" s="438"/>
      <c r="D809" s="438"/>
      <c r="E809" s="438"/>
      <c r="F809" s="438"/>
      <c r="G809" s="438"/>
      <c r="H809" s="438"/>
      <c r="I809" s="438"/>
      <c r="J809" s="438"/>
      <c r="K809" s="438"/>
      <c r="L809" s="438"/>
      <c r="M809" s="438"/>
      <c r="N809" s="438"/>
      <c r="O809" s="438"/>
      <c r="P809" s="438"/>
      <c r="Q809" s="438"/>
      <c r="R809" s="438"/>
      <c r="S809" s="438"/>
      <c r="T809" s="438"/>
      <c r="U809" s="438"/>
      <c r="V809" s="438"/>
      <c r="W809" s="438"/>
      <c r="X809" s="438"/>
      <c r="Y809" s="438"/>
      <c r="Z809" s="438"/>
      <c r="AA809" s="438"/>
      <c r="AB809" s="438"/>
      <c r="AC809" s="438"/>
      <c r="AD809" s="438"/>
      <c r="AE809" s="438"/>
      <c r="AF809" s="438"/>
      <c r="AG809" s="438"/>
      <c r="AH809" s="438"/>
    </row>
    <row r="810">
      <c r="A810" s="438"/>
      <c r="B810" s="438"/>
      <c r="C810" s="438"/>
      <c r="D810" s="438"/>
      <c r="E810" s="438"/>
      <c r="F810" s="438"/>
      <c r="G810" s="438"/>
      <c r="H810" s="438"/>
      <c r="I810" s="438"/>
      <c r="J810" s="438"/>
      <c r="K810" s="438"/>
      <c r="L810" s="438"/>
      <c r="M810" s="438"/>
      <c r="N810" s="438"/>
      <c r="O810" s="438"/>
      <c r="P810" s="438"/>
      <c r="Q810" s="438"/>
      <c r="R810" s="438"/>
      <c r="S810" s="438"/>
      <c r="T810" s="438"/>
      <c r="U810" s="438"/>
      <c r="V810" s="438"/>
      <c r="W810" s="438"/>
      <c r="X810" s="438"/>
      <c r="Y810" s="438"/>
      <c r="Z810" s="438"/>
      <c r="AA810" s="438"/>
      <c r="AB810" s="438"/>
      <c r="AC810" s="438"/>
      <c r="AD810" s="438"/>
      <c r="AE810" s="438"/>
      <c r="AF810" s="438"/>
      <c r="AG810" s="438"/>
      <c r="AH810" s="438"/>
    </row>
    <row r="811">
      <c r="A811" s="438"/>
      <c r="B811" s="438"/>
      <c r="C811" s="438"/>
      <c r="D811" s="438"/>
      <c r="E811" s="438"/>
      <c r="F811" s="438"/>
      <c r="G811" s="438"/>
      <c r="H811" s="438"/>
      <c r="I811" s="438"/>
      <c r="J811" s="438"/>
      <c r="K811" s="438"/>
      <c r="L811" s="438"/>
      <c r="M811" s="438"/>
      <c r="N811" s="438"/>
      <c r="O811" s="438"/>
      <c r="P811" s="438"/>
      <c r="Q811" s="438"/>
      <c r="R811" s="438"/>
      <c r="S811" s="438"/>
      <c r="T811" s="438"/>
      <c r="U811" s="438"/>
      <c r="V811" s="438"/>
      <c r="W811" s="438"/>
      <c r="X811" s="438"/>
      <c r="Y811" s="438"/>
      <c r="Z811" s="438"/>
      <c r="AA811" s="438"/>
      <c r="AB811" s="438"/>
      <c r="AC811" s="438"/>
      <c r="AD811" s="438"/>
      <c r="AE811" s="438"/>
      <c r="AF811" s="438"/>
      <c r="AG811" s="438"/>
      <c r="AH811" s="438"/>
    </row>
    <row r="812">
      <c r="A812" s="438"/>
      <c r="B812" s="438"/>
      <c r="C812" s="438"/>
      <c r="D812" s="438"/>
      <c r="E812" s="438"/>
      <c r="F812" s="438"/>
      <c r="G812" s="438"/>
      <c r="H812" s="438"/>
      <c r="I812" s="438"/>
      <c r="J812" s="438"/>
      <c r="K812" s="438"/>
      <c r="L812" s="438"/>
      <c r="M812" s="438"/>
      <c r="N812" s="438"/>
      <c r="O812" s="438"/>
      <c r="P812" s="438"/>
      <c r="Q812" s="438"/>
      <c r="R812" s="438"/>
      <c r="S812" s="438"/>
      <c r="T812" s="438"/>
      <c r="U812" s="438"/>
      <c r="V812" s="438"/>
      <c r="W812" s="438"/>
      <c r="X812" s="438"/>
      <c r="Y812" s="438"/>
      <c r="Z812" s="438"/>
      <c r="AA812" s="438"/>
      <c r="AB812" s="438"/>
      <c r="AC812" s="438"/>
      <c r="AD812" s="438"/>
      <c r="AE812" s="438"/>
      <c r="AF812" s="438"/>
      <c r="AG812" s="438"/>
      <c r="AH812" s="438"/>
    </row>
    <row r="813">
      <c r="A813" s="438"/>
      <c r="B813" s="438"/>
      <c r="C813" s="438"/>
      <c r="D813" s="438"/>
      <c r="E813" s="438"/>
      <c r="F813" s="438"/>
      <c r="G813" s="438"/>
      <c r="H813" s="438"/>
      <c r="I813" s="438"/>
      <c r="J813" s="438"/>
      <c r="K813" s="438"/>
      <c r="L813" s="438"/>
      <c r="M813" s="438"/>
      <c r="N813" s="438"/>
      <c r="O813" s="438"/>
      <c r="P813" s="438"/>
      <c r="Q813" s="438"/>
      <c r="R813" s="438"/>
      <c r="S813" s="438"/>
      <c r="T813" s="438"/>
      <c r="U813" s="438"/>
      <c r="V813" s="438"/>
      <c r="W813" s="438"/>
      <c r="X813" s="438"/>
      <c r="Y813" s="438"/>
      <c r="Z813" s="438"/>
      <c r="AA813" s="438"/>
      <c r="AB813" s="438"/>
      <c r="AC813" s="438"/>
      <c r="AD813" s="438"/>
      <c r="AE813" s="438"/>
      <c r="AF813" s="438"/>
      <c r="AG813" s="438"/>
      <c r="AH813" s="438"/>
    </row>
    <row r="814">
      <c r="A814" s="438"/>
      <c r="B814" s="438"/>
      <c r="C814" s="438"/>
      <c r="D814" s="438"/>
      <c r="E814" s="438"/>
      <c r="F814" s="438"/>
      <c r="G814" s="438"/>
      <c r="H814" s="438"/>
      <c r="I814" s="438"/>
      <c r="J814" s="438"/>
      <c r="K814" s="438"/>
      <c r="L814" s="438"/>
      <c r="M814" s="438"/>
      <c r="N814" s="438"/>
      <c r="O814" s="438"/>
      <c r="P814" s="438"/>
      <c r="Q814" s="438"/>
      <c r="R814" s="438"/>
      <c r="S814" s="438"/>
      <c r="T814" s="438"/>
      <c r="U814" s="438"/>
      <c r="V814" s="438"/>
      <c r="W814" s="438"/>
      <c r="X814" s="438"/>
      <c r="Y814" s="438"/>
      <c r="Z814" s="438"/>
      <c r="AA814" s="438"/>
      <c r="AB814" s="438"/>
      <c r="AC814" s="438"/>
      <c r="AD814" s="438"/>
      <c r="AE814" s="438"/>
      <c r="AF814" s="438"/>
      <c r="AG814" s="438"/>
      <c r="AH814" s="438"/>
    </row>
    <row r="815">
      <c r="A815" s="438"/>
      <c r="B815" s="438"/>
      <c r="C815" s="438"/>
      <c r="D815" s="438"/>
      <c r="E815" s="438"/>
      <c r="F815" s="438"/>
      <c r="G815" s="438"/>
      <c r="H815" s="438"/>
      <c r="I815" s="438"/>
      <c r="J815" s="438"/>
      <c r="K815" s="438"/>
      <c r="L815" s="438"/>
      <c r="M815" s="438"/>
      <c r="N815" s="438"/>
      <c r="O815" s="438"/>
      <c r="P815" s="438"/>
      <c r="Q815" s="438"/>
      <c r="R815" s="438"/>
      <c r="S815" s="438"/>
      <c r="T815" s="438"/>
      <c r="U815" s="438"/>
      <c r="V815" s="438"/>
      <c r="W815" s="438"/>
      <c r="X815" s="438"/>
      <c r="Y815" s="438"/>
      <c r="Z815" s="438"/>
      <c r="AA815" s="438"/>
      <c r="AB815" s="438"/>
      <c r="AC815" s="438"/>
      <c r="AD815" s="438"/>
      <c r="AE815" s="438"/>
      <c r="AF815" s="438"/>
      <c r="AG815" s="438"/>
      <c r="AH815" s="438"/>
    </row>
    <row r="816">
      <c r="A816" s="438"/>
      <c r="B816" s="438"/>
      <c r="C816" s="438"/>
      <c r="D816" s="438"/>
      <c r="E816" s="438"/>
      <c r="F816" s="438"/>
      <c r="G816" s="438"/>
      <c r="H816" s="438"/>
      <c r="I816" s="438"/>
      <c r="J816" s="438"/>
      <c r="K816" s="438"/>
      <c r="L816" s="438"/>
      <c r="M816" s="438"/>
      <c r="N816" s="438"/>
      <c r="O816" s="438"/>
      <c r="P816" s="438"/>
      <c r="Q816" s="438"/>
      <c r="R816" s="438"/>
      <c r="S816" s="438"/>
      <c r="T816" s="438"/>
      <c r="U816" s="438"/>
      <c r="V816" s="438"/>
      <c r="W816" s="438"/>
      <c r="X816" s="438"/>
      <c r="Y816" s="438"/>
      <c r="Z816" s="438"/>
      <c r="AA816" s="438"/>
      <c r="AB816" s="438"/>
      <c r="AC816" s="438"/>
      <c r="AD816" s="438"/>
      <c r="AE816" s="438"/>
      <c r="AF816" s="438"/>
      <c r="AG816" s="438"/>
      <c r="AH816" s="438"/>
    </row>
    <row r="817">
      <c r="A817" s="438"/>
      <c r="B817" s="438"/>
      <c r="C817" s="438"/>
      <c r="D817" s="438"/>
      <c r="E817" s="438"/>
      <c r="F817" s="438"/>
      <c r="G817" s="438"/>
      <c r="H817" s="438"/>
      <c r="I817" s="438"/>
      <c r="J817" s="438"/>
      <c r="K817" s="438"/>
      <c r="L817" s="438"/>
      <c r="M817" s="438"/>
      <c r="N817" s="438"/>
      <c r="O817" s="438"/>
      <c r="P817" s="438"/>
      <c r="Q817" s="438"/>
      <c r="R817" s="438"/>
      <c r="S817" s="438"/>
      <c r="T817" s="438"/>
      <c r="U817" s="438"/>
      <c r="V817" s="438"/>
      <c r="W817" s="438"/>
      <c r="X817" s="438"/>
      <c r="Y817" s="438"/>
      <c r="Z817" s="438"/>
      <c r="AA817" s="438"/>
      <c r="AB817" s="438"/>
      <c r="AC817" s="438"/>
      <c r="AD817" s="438"/>
      <c r="AE817" s="438"/>
      <c r="AF817" s="438"/>
      <c r="AG817" s="438"/>
      <c r="AH817" s="438"/>
    </row>
    <row r="818">
      <c r="A818" s="438"/>
      <c r="B818" s="438"/>
      <c r="C818" s="438"/>
      <c r="D818" s="438"/>
      <c r="E818" s="438"/>
      <c r="F818" s="438"/>
      <c r="G818" s="438"/>
      <c r="H818" s="438"/>
      <c r="I818" s="438"/>
      <c r="J818" s="438"/>
      <c r="K818" s="438"/>
      <c r="L818" s="438"/>
      <c r="M818" s="438"/>
      <c r="N818" s="438"/>
      <c r="O818" s="438"/>
      <c r="P818" s="438"/>
      <c r="Q818" s="438"/>
      <c r="R818" s="438"/>
      <c r="S818" s="438"/>
      <c r="T818" s="438"/>
      <c r="U818" s="438"/>
      <c r="V818" s="438"/>
      <c r="W818" s="438"/>
      <c r="X818" s="438"/>
      <c r="Y818" s="438"/>
      <c r="Z818" s="438"/>
      <c r="AA818" s="438"/>
      <c r="AB818" s="438"/>
      <c r="AC818" s="438"/>
      <c r="AD818" s="438"/>
      <c r="AE818" s="438"/>
      <c r="AF818" s="438"/>
      <c r="AG818" s="438"/>
      <c r="AH818" s="438"/>
    </row>
    <row r="819">
      <c r="A819" s="438"/>
      <c r="B819" s="438"/>
      <c r="C819" s="438"/>
      <c r="D819" s="438"/>
      <c r="E819" s="438"/>
      <c r="F819" s="438"/>
      <c r="G819" s="438"/>
      <c r="H819" s="438"/>
      <c r="I819" s="438"/>
      <c r="J819" s="438"/>
      <c r="K819" s="438"/>
      <c r="L819" s="438"/>
      <c r="M819" s="438"/>
      <c r="N819" s="438"/>
      <c r="O819" s="438"/>
      <c r="P819" s="438"/>
      <c r="Q819" s="438"/>
      <c r="R819" s="438"/>
      <c r="S819" s="438"/>
      <c r="T819" s="438"/>
      <c r="U819" s="438"/>
      <c r="V819" s="438"/>
      <c r="W819" s="438"/>
      <c r="X819" s="438"/>
      <c r="Y819" s="438"/>
      <c r="Z819" s="438"/>
      <c r="AA819" s="438"/>
      <c r="AB819" s="438"/>
      <c r="AC819" s="438"/>
      <c r="AD819" s="438"/>
      <c r="AE819" s="438"/>
      <c r="AF819" s="438"/>
      <c r="AG819" s="438"/>
      <c r="AH819" s="438"/>
    </row>
    <row r="820">
      <c r="A820" s="438"/>
      <c r="B820" s="438"/>
      <c r="C820" s="438"/>
      <c r="D820" s="438"/>
      <c r="E820" s="438"/>
      <c r="F820" s="438"/>
      <c r="G820" s="438"/>
      <c r="H820" s="438"/>
      <c r="I820" s="438"/>
      <c r="J820" s="438"/>
      <c r="K820" s="438"/>
      <c r="L820" s="438"/>
      <c r="M820" s="438"/>
      <c r="N820" s="438"/>
      <c r="O820" s="438"/>
      <c r="P820" s="438"/>
      <c r="Q820" s="438"/>
      <c r="R820" s="438"/>
      <c r="S820" s="438"/>
      <c r="T820" s="438"/>
      <c r="U820" s="438"/>
      <c r="V820" s="438"/>
      <c r="W820" s="438"/>
      <c r="X820" s="438"/>
      <c r="Y820" s="438"/>
      <c r="Z820" s="438"/>
      <c r="AA820" s="438"/>
      <c r="AB820" s="438"/>
      <c r="AC820" s="438"/>
      <c r="AD820" s="438"/>
      <c r="AE820" s="438"/>
      <c r="AF820" s="438"/>
      <c r="AG820" s="438"/>
      <c r="AH820" s="438"/>
    </row>
    <row r="821">
      <c r="A821" s="438"/>
      <c r="B821" s="438"/>
      <c r="C821" s="438"/>
      <c r="D821" s="438"/>
      <c r="E821" s="438"/>
      <c r="F821" s="438"/>
      <c r="G821" s="438"/>
      <c r="H821" s="438"/>
      <c r="I821" s="438"/>
      <c r="J821" s="438"/>
      <c r="K821" s="438"/>
      <c r="L821" s="438"/>
      <c r="M821" s="438"/>
      <c r="N821" s="438"/>
      <c r="O821" s="438"/>
      <c r="P821" s="438"/>
      <c r="Q821" s="438"/>
      <c r="R821" s="438"/>
      <c r="S821" s="438"/>
      <c r="T821" s="438"/>
      <c r="U821" s="438"/>
      <c r="V821" s="438"/>
      <c r="W821" s="438"/>
      <c r="X821" s="438"/>
      <c r="Y821" s="438"/>
      <c r="Z821" s="438"/>
      <c r="AA821" s="438"/>
      <c r="AB821" s="438"/>
      <c r="AC821" s="438"/>
      <c r="AD821" s="438"/>
      <c r="AE821" s="438"/>
      <c r="AF821" s="438"/>
      <c r="AG821" s="438"/>
      <c r="AH821" s="438"/>
    </row>
    <row r="822">
      <c r="A822" s="438"/>
      <c r="B822" s="438"/>
      <c r="C822" s="438"/>
      <c r="D822" s="438"/>
      <c r="E822" s="438"/>
      <c r="F822" s="438"/>
      <c r="G822" s="438"/>
      <c r="H822" s="438"/>
      <c r="I822" s="438"/>
      <c r="J822" s="438"/>
      <c r="K822" s="438"/>
      <c r="L822" s="438"/>
      <c r="M822" s="438"/>
      <c r="N822" s="438"/>
      <c r="O822" s="438"/>
      <c r="P822" s="438"/>
      <c r="Q822" s="438"/>
      <c r="R822" s="438"/>
      <c r="S822" s="438"/>
      <c r="T822" s="438"/>
      <c r="U822" s="438"/>
      <c r="V822" s="438"/>
      <c r="W822" s="438"/>
      <c r="X822" s="438"/>
      <c r="Y822" s="438"/>
      <c r="Z822" s="438"/>
      <c r="AA822" s="438"/>
      <c r="AB822" s="438"/>
      <c r="AC822" s="438"/>
      <c r="AD822" s="438"/>
      <c r="AE822" s="438"/>
      <c r="AF822" s="438"/>
      <c r="AG822" s="438"/>
      <c r="AH822" s="438"/>
    </row>
    <row r="823">
      <c r="A823" s="438"/>
      <c r="B823" s="438"/>
      <c r="C823" s="438"/>
      <c r="D823" s="438"/>
      <c r="E823" s="438"/>
      <c r="F823" s="438"/>
      <c r="G823" s="438"/>
      <c r="H823" s="438"/>
      <c r="I823" s="438"/>
      <c r="J823" s="438"/>
      <c r="K823" s="438"/>
      <c r="L823" s="438"/>
      <c r="M823" s="438"/>
      <c r="N823" s="438"/>
      <c r="O823" s="438"/>
      <c r="P823" s="438"/>
      <c r="Q823" s="438"/>
      <c r="R823" s="438"/>
      <c r="S823" s="438"/>
      <c r="T823" s="438"/>
      <c r="U823" s="438"/>
      <c r="V823" s="438"/>
      <c r="W823" s="438"/>
      <c r="X823" s="438"/>
      <c r="Y823" s="438"/>
      <c r="Z823" s="438"/>
      <c r="AA823" s="438"/>
      <c r="AB823" s="438"/>
      <c r="AC823" s="438"/>
      <c r="AD823" s="438"/>
      <c r="AE823" s="438"/>
      <c r="AF823" s="438"/>
      <c r="AG823" s="438"/>
      <c r="AH823" s="438"/>
    </row>
    <row r="824">
      <c r="A824" s="438"/>
      <c r="B824" s="438"/>
      <c r="C824" s="438"/>
      <c r="D824" s="438"/>
      <c r="E824" s="438"/>
      <c r="F824" s="438"/>
      <c r="G824" s="438"/>
      <c r="H824" s="438"/>
      <c r="I824" s="438"/>
      <c r="J824" s="438"/>
      <c r="K824" s="438"/>
      <c r="L824" s="438"/>
      <c r="M824" s="438"/>
      <c r="N824" s="438"/>
      <c r="O824" s="438"/>
      <c r="P824" s="438"/>
      <c r="Q824" s="438"/>
      <c r="R824" s="438"/>
      <c r="S824" s="438"/>
      <c r="T824" s="438"/>
      <c r="U824" s="438"/>
      <c r="V824" s="438"/>
      <c r="W824" s="438"/>
      <c r="X824" s="438"/>
      <c r="Y824" s="438"/>
      <c r="Z824" s="438"/>
      <c r="AA824" s="438"/>
      <c r="AB824" s="438"/>
      <c r="AC824" s="438"/>
      <c r="AD824" s="438"/>
      <c r="AE824" s="438"/>
      <c r="AF824" s="438"/>
      <c r="AG824" s="438"/>
      <c r="AH824" s="438"/>
    </row>
    <row r="825">
      <c r="A825" s="438"/>
      <c r="B825" s="438"/>
      <c r="C825" s="438"/>
      <c r="D825" s="438"/>
      <c r="E825" s="438"/>
      <c r="F825" s="438"/>
      <c r="G825" s="438"/>
      <c r="H825" s="438"/>
      <c r="I825" s="438"/>
      <c r="J825" s="438"/>
      <c r="K825" s="438"/>
      <c r="L825" s="438"/>
      <c r="M825" s="438"/>
      <c r="N825" s="438"/>
      <c r="O825" s="438"/>
      <c r="P825" s="438"/>
      <c r="Q825" s="438"/>
      <c r="R825" s="438"/>
      <c r="S825" s="438"/>
      <c r="T825" s="438"/>
      <c r="U825" s="438"/>
      <c r="V825" s="438"/>
      <c r="W825" s="438"/>
      <c r="X825" s="438"/>
      <c r="Y825" s="438"/>
      <c r="Z825" s="438"/>
      <c r="AA825" s="438"/>
      <c r="AB825" s="438"/>
      <c r="AC825" s="438"/>
      <c r="AD825" s="438"/>
      <c r="AE825" s="438"/>
      <c r="AF825" s="438"/>
      <c r="AG825" s="438"/>
      <c r="AH825" s="438"/>
    </row>
    <row r="826">
      <c r="A826" s="438"/>
      <c r="B826" s="438"/>
      <c r="C826" s="438"/>
      <c r="D826" s="438"/>
      <c r="E826" s="438"/>
      <c r="F826" s="438"/>
      <c r="G826" s="438"/>
      <c r="H826" s="438"/>
      <c r="I826" s="438"/>
      <c r="J826" s="438"/>
      <c r="K826" s="438"/>
      <c r="L826" s="438"/>
      <c r="M826" s="438"/>
      <c r="N826" s="438"/>
      <c r="O826" s="438"/>
      <c r="P826" s="438"/>
      <c r="Q826" s="438"/>
      <c r="R826" s="438"/>
      <c r="S826" s="438"/>
      <c r="T826" s="438"/>
      <c r="U826" s="438"/>
      <c r="V826" s="438"/>
      <c r="W826" s="438"/>
      <c r="X826" s="438"/>
      <c r="Y826" s="438"/>
      <c r="Z826" s="438"/>
      <c r="AA826" s="438"/>
      <c r="AB826" s="438"/>
      <c r="AC826" s="438"/>
      <c r="AD826" s="438"/>
      <c r="AE826" s="438"/>
      <c r="AF826" s="438"/>
      <c r="AG826" s="438"/>
      <c r="AH826" s="438"/>
    </row>
    <row r="827">
      <c r="A827" s="438"/>
      <c r="B827" s="438"/>
      <c r="C827" s="438"/>
      <c r="D827" s="438"/>
      <c r="E827" s="438"/>
      <c r="F827" s="438"/>
      <c r="G827" s="438"/>
      <c r="H827" s="438"/>
      <c r="I827" s="438"/>
      <c r="J827" s="438"/>
      <c r="K827" s="438"/>
      <c r="L827" s="438"/>
      <c r="M827" s="438"/>
      <c r="N827" s="438"/>
      <c r="O827" s="438"/>
      <c r="P827" s="438"/>
      <c r="Q827" s="438"/>
      <c r="R827" s="438"/>
      <c r="S827" s="438"/>
      <c r="T827" s="438"/>
      <c r="U827" s="438"/>
      <c r="V827" s="438"/>
      <c r="W827" s="438"/>
      <c r="X827" s="438"/>
      <c r="Y827" s="438"/>
      <c r="Z827" s="438"/>
      <c r="AA827" s="438"/>
      <c r="AB827" s="438"/>
      <c r="AC827" s="438"/>
      <c r="AD827" s="438"/>
      <c r="AE827" s="438"/>
      <c r="AF827" s="438"/>
      <c r="AG827" s="438"/>
      <c r="AH827" s="438"/>
    </row>
    <row r="828">
      <c r="A828" s="438"/>
      <c r="B828" s="438"/>
      <c r="C828" s="438"/>
      <c r="D828" s="438"/>
      <c r="E828" s="438"/>
      <c r="F828" s="438"/>
      <c r="G828" s="438"/>
      <c r="H828" s="438"/>
      <c r="I828" s="438"/>
      <c r="J828" s="438"/>
      <c r="K828" s="438"/>
      <c r="L828" s="438"/>
      <c r="M828" s="438"/>
      <c r="N828" s="438"/>
      <c r="O828" s="438"/>
      <c r="P828" s="438"/>
      <c r="Q828" s="438"/>
      <c r="R828" s="438"/>
      <c r="S828" s="438"/>
      <c r="T828" s="438"/>
      <c r="U828" s="438"/>
      <c r="V828" s="438"/>
      <c r="W828" s="438"/>
      <c r="X828" s="438"/>
      <c r="Y828" s="438"/>
      <c r="Z828" s="438"/>
      <c r="AA828" s="438"/>
      <c r="AB828" s="438"/>
      <c r="AC828" s="438"/>
      <c r="AD828" s="438"/>
      <c r="AE828" s="438"/>
      <c r="AF828" s="438"/>
      <c r="AG828" s="438"/>
      <c r="AH828" s="438"/>
    </row>
    <row r="829">
      <c r="A829" s="438"/>
      <c r="B829" s="438"/>
      <c r="C829" s="438"/>
      <c r="D829" s="438"/>
      <c r="E829" s="438"/>
      <c r="F829" s="438"/>
      <c r="G829" s="438"/>
      <c r="H829" s="438"/>
      <c r="I829" s="438"/>
      <c r="J829" s="438"/>
      <c r="K829" s="438"/>
      <c r="L829" s="438"/>
      <c r="M829" s="438"/>
      <c r="N829" s="438"/>
      <c r="O829" s="438"/>
      <c r="P829" s="438"/>
      <c r="Q829" s="438"/>
      <c r="R829" s="438"/>
      <c r="S829" s="438"/>
      <c r="T829" s="438"/>
      <c r="U829" s="438"/>
      <c r="V829" s="438"/>
      <c r="W829" s="438"/>
      <c r="X829" s="438"/>
      <c r="Y829" s="438"/>
      <c r="Z829" s="438"/>
      <c r="AA829" s="438"/>
      <c r="AB829" s="438"/>
      <c r="AC829" s="438"/>
      <c r="AD829" s="438"/>
      <c r="AE829" s="438"/>
      <c r="AF829" s="438"/>
      <c r="AG829" s="438"/>
      <c r="AH829" s="438"/>
    </row>
    <row r="830">
      <c r="A830" s="438"/>
      <c r="B830" s="438"/>
      <c r="C830" s="438"/>
      <c r="D830" s="438"/>
      <c r="E830" s="438"/>
      <c r="F830" s="438"/>
      <c r="G830" s="438"/>
      <c r="H830" s="438"/>
      <c r="I830" s="438"/>
      <c r="J830" s="438"/>
      <c r="K830" s="438"/>
      <c r="L830" s="438"/>
      <c r="M830" s="438"/>
      <c r="N830" s="438"/>
      <c r="O830" s="438"/>
      <c r="P830" s="438"/>
      <c r="Q830" s="438"/>
      <c r="R830" s="438"/>
      <c r="S830" s="438"/>
      <c r="T830" s="438"/>
      <c r="U830" s="438"/>
      <c r="V830" s="438"/>
      <c r="W830" s="438"/>
      <c r="X830" s="438"/>
      <c r="Y830" s="438"/>
      <c r="Z830" s="438"/>
      <c r="AA830" s="438"/>
      <c r="AB830" s="438"/>
      <c r="AC830" s="438"/>
      <c r="AD830" s="438"/>
      <c r="AE830" s="438"/>
      <c r="AF830" s="438"/>
      <c r="AG830" s="438"/>
      <c r="AH830" s="438"/>
    </row>
    <row r="831">
      <c r="A831" s="438"/>
      <c r="B831" s="438"/>
      <c r="C831" s="438"/>
      <c r="D831" s="438"/>
      <c r="E831" s="438"/>
      <c r="F831" s="438"/>
      <c r="G831" s="438"/>
      <c r="H831" s="438"/>
      <c r="I831" s="438"/>
      <c r="J831" s="438"/>
      <c r="K831" s="438"/>
      <c r="L831" s="438"/>
      <c r="M831" s="438"/>
      <c r="N831" s="438"/>
      <c r="O831" s="438"/>
      <c r="P831" s="438"/>
      <c r="Q831" s="438"/>
      <c r="R831" s="438"/>
      <c r="S831" s="438"/>
      <c r="T831" s="438"/>
      <c r="U831" s="438"/>
      <c r="V831" s="438"/>
      <c r="W831" s="438"/>
      <c r="X831" s="438"/>
      <c r="Y831" s="438"/>
      <c r="Z831" s="438"/>
      <c r="AA831" s="438"/>
      <c r="AB831" s="438"/>
      <c r="AC831" s="438"/>
      <c r="AD831" s="438"/>
      <c r="AE831" s="438"/>
      <c r="AF831" s="438"/>
      <c r="AG831" s="438"/>
      <c r="AH831" s="438"/>
    </row>
    <row r="832">
      <c r="A832" s="438"/>
      <c r="B832" s="438"/>
      <c r="C832" s="438"/>
      <c r="D832" s="438"/>
      <c r="E832" s="438"/>
      <c r="F832" s="438"/>
      <c r="G832" s="438"/>
      <c r="H832" s="438"/>
      <c r="I832" s="438"/>
      <c r="J832" s="438"/>
      <c r="K832" s="438"/>
      <c r="L832" s="438"/>
      <c r="M832" s="438"/>
      <c r="N832" s="438"/>
      <c r="O832" s="438"/>
      <c r="P832" s="438"/>
      <c r="Q832" s="438"/>
      <c r="R832" s="438"/>
      <c r="S832" s="438"/>
      <c r="T832" s="438"/>
      <c r="U832" s="438"/>
      <c r="V832" s="438"/>
      <c r="W832" s="438"/>
      <c r="X832" s="438"/>
      <c r="Y832" s="438"/>
      <c r="Z832" s="438"/>
      <c r="AA832" s="438"/>
      <c r="AB832" s="438"/>
      <c r="AC832" s="438"/>
      <c r="AD832" s="438"/>
      <c r="AE832" s="438"/>
      <c r="AF832" s="438"/>
      <c r="AG832" s="438"/>
      <c r="AH832" s="438"/>
    </row>
    <row r="833">
      <c r="A833" s="438"/>
      <c r="B833" s="438"/>
      <c r="C833" s="438"/>
      <c r="D833" s="438"/>
      <c r="E833" s="438"/>
      <c r="F833" s="438"/>
      <c r="G833" s="438"/>
      <c r="H833" s="438"/>
      <c r="I833" s="438"/>
      <c r="J833" s="438"/>
      <c r="K833" s="438"/>
      <c r="L833" s="438"/>
      <c r="M833" s="438"/>
      <c r="N833" s="438"/>
      <c r="O833" s="438"/>
      <c r="P833" s="438"/>
      <c r="Q833" s="438"/>
      <c r="R833" s="438"/>
      <c r="S833" s="438"/>
      <c r="T833" s="438"/>
      <c r="U833" s="438"/>
      <c r="V833" s="438"/>
      <c r="W833" s="438"/>
      <c r="X833" s="438"/>
      <c r="Y833" s="438"/>
      <c r="Z833" s="438"/>
      <c r="AA833" s="438"/>
      <c r="AB833" s="438"/>
      <c r="AC833" s="438"/>
      <c r="AD833" s="438"/>
      <c r="AE833" s="438"/>
      <c r="AF833" s="438"/>
      <c r="AG833" s="438"/>
      <c r="AH833" s="438"/>
    </row>
    <row r="834">
      <c r="A834" s="438"/>
      <c r="B834" s="438"/>
      <c r="C834" s="438"/>
      <c r="D834" s="438"/>
      <c r="E834" s="438"/>
      <c r="F834" s="438"/>
      <c r="G834" s="438"/>
      <c r="H834" s="438"/>
      <c r="I834" s="438"/>
      <c r="J834" s="438"/>
      <c r="K834" s="438"/>
      <c r="L834" s="438"/>
      <c r="M834" s="438"/>
      <c r="N834" s="438"/>
      <c r="O834" s="438"/>
      <c r="P834" s="438"/>
      <c r="Q834" s="438"/>
      <c r="R834" s="438"/>
      <c r="S834" s="438"/>
      <c r="T834" s="438"/>
      <c r="U834" s="438"/>
      <c r="V834" s="438"/>
      <c r="W834" s="438"/>
      <c r="X834" s="438"/>
      <c r="Y834" s="438"/>
      <c r="Z834" s="438"/>
      <c r="AA834" s="438"/>
      <c r="AB834" s="438"/>
      <c r="AC834" s="438"/>
      <c r="AD834" s="438"/>
      <c r="AE834" s="438"/>
      <c r="AF834" s="438"/>
      <c r="AG834" s="438"/>
      <c r="AH834" s="438"/>
    </row>
    <row r="835">
      <c r="A835" s="438"/>
      <c r="B835" s="438"/>
      <c r="C835" s="438"/>
      <c r="D835" s="438"/>
      <c r="E835" s="438"/>
      <c r="F835" s="438"/>
      <c r="G835" s="438"/>
      <c r="H835" s="438"/>
      <c r="I835" s="438"/>
      <c r="J835" s="438"/>
      <c r="K835" s="438"/>
      <c r="L835" s="438"/>
      <c r="M835" s="438"/>
      <c r="N835" s="438"/>
      <c r="O835" s="438"/>
      <c r="P835" s="438"/>
      <c r="Q835" s="438"/>
      <c r="R835" s="438"/>
      <c r="S835" s="438"/>
      <c r="T835" s="438"/>
      <c r="U835" s="438"/>
      <c r="V835" s="438"/>
      <c r="W835" s="438"/>
      <c r="X835" s="438"/>
      <c r="Y835" s="438"/>
      <c r="Z835" s="438"/>
      <c r="AA835" s="438"/>
      <c r="AB835" s="438"/>
      <c r="AC835" s="438"/>
      <c r="AD835" s="438"/>
      <c r="AE835" s="438"/>
      <c r="AF835" s="438"/>
      <c r="AG835" s="438"/>
      <c r="AH835" s="438"/>
    </row>
    <row r="836">
      <c r="A836" s="438"/>
      <c r="B836" s="438"/>
      <c r="C836" s="438"/>
      <c r="D836" s="438"/>
      <c r="E836" s="438"/>
      <c r="F836" s="438"/>
      <c r="G836" s="438"/>
      <c r="H836" s="438"/>
      <c r="I836" s="438"/>
      <c r="J836" s="438"/>
      <c r="K836" s="438"/>
      <c r="L836" s="438"/>
      <c r="M836" s="438"/>
      <c r="N836" s="438"/>
      <c r="O836" s="438"/>
      <c r="P836" s="438"/>
      <c r="Q836" s="438"/>
      <c r="R836" s="438"/>
      <c r="S836" s="438"/>
      <c r="T836" s="438"/>
      <c r="U836" s="438"/>
      <c r="V836" s="438"/>
      <c r="W836" s="438"/>
      <c r="X836" s="438"/>
      <c r="Y836" s="438"/>
      <c r="Z836" s="438"/>
      <c r="AA836" s="438"/>
      <c r="AB836" s="438"/>
      <c r="AC836" s="438"/>
      <c r="AD836" s="438"/>
      <c r="AE836" s="438"/>
      <c r="AF836" s="438"/>
      <c r="AG836" s="438"/>
      <c r="AH836" s="438"/>
    </row>
    <row r="837">
      <c r="A837" s="438"/>
      <c r="B837" s="438"/>
      <c r="C837" s="438"/>
      <c r="D837" s="438"/>
      <c r="E837" s="438"/>
      <c r="F837" s="438"/>
      <c r="G837" s="438"/>
      <c r="H837" s="438"/>
      <c r="I837" s="438"/>
      <c r="J837" s="438"/>
      <c r="K837" s="438"/>
      <c r="L837" s="438"/>
      <c r="M837" s="438"/>
      <c r="N837" s="438"/>
      <c r="O837" s="438"/>
      <c r="P837" s="438"/>
      <c r="Q837" s="438"/>
      <c r="R837" s="438"/>
      <c r="S837" s="438"/>
      <c r="T837" s="438"/>
      <c r="U837" s="438"/>
      <c r="V837" s="438"/>
      <c r="W837" s="438"/>
      <c r="X837" s="438"/>
      <c r="Y837" s="438"/>
      <c r="Z837" s="438"/>
      <c r="AA837" s="438"/>
      <c r="AB837" s="438"/>
      <c r="AC837" s="438"/>
      <c r="AD837" s="438"/>
      <c r="AE837" s="438"/>
      <c r="AF837" s="438"/>
      <c r="AG837" s="438"/>
      <c r="AH837" s="438"/>
    </row>
    <row r="838">
      <c r="A838" s="438"/>
      <c r="B838" s="438"/>
      <c r="C838" s="438"/>
      <c r="D838" s="438"/>
      <c r="E838" s="438"/>
      <c r="F838" s="438"/>
      <c r="G838" s="438"/>
      <c r="H838" s="438"/>
      <c r="I838" s="438"/>
      <c r="J838" s="438"/>
      <c r="K838" s="438"/>
      <c r="L838" s="438"/>
      <c r="M838" s="438"/>
      <c r="N838" s="438"/>
      <c r="O838" s="438"/>
      <c r="P838" s="438"/>
      <c r="Q838" s="438"/>
      <c r="R838" s="438"/>
      <c r="S838" s="438"/>
      <c r="T838" s="438"/>
      <c r="U838" s="438"/>
      <c r="V838" s="438"/>
      <c r="W838" s="438"/>
      <c r="X838" s="438"/>
      <c r="Y838" s="438"/>
      <c r="Z838" s="438"/>
      <c r="AA838" s="438"/>
      <c r="AB838" s="438"/>
      <c r="AC838" s="438"/>
      <c r="AD838" s="438"/>
      <c r="AE838" s="438"/>
      <c r="AF838" s="438"/>
      <c r="AG838" s="438"/>
      <c r="AH838" s="438"/>
    </row>
    <row r="839">
      <c r="A839" s="438"/>
      <c r="B839" s="438"/>
      <c r="C839" s="438"/>
      <c r="D839" s="438"/>
      <c r="E839" s="438"/>
      <c r="F839" s="438"/>
      <c r="G839" s="438"/>
      <c r="H839" s="438"/>
      <c r="I839" s="438"/>
      <c r="J839" s="438"/>
      <c r="K839" s="438"/>
      <c r="L839" s="438"/>
      <c r="M839" s="438"/>
      <c r="N839" s="438"/>
      <c r="O839" s="438"/>
      <c r="P839" s="438"/>
      <c r="Q839" s="438"/>
      <c r="R839" s="438"/>
      <c r="S839" s="438"/>
      <c r="T839" s="438"/>
      <c r="U839" s="438"/>
      <c r="V839" s="438"/>
      <c r="W839" s="438"/>
      <c r="X839" s="438"/>
      <c r="Y839" s="438"/>
      <c r="Z839" s="438"/>
      <c r="AA839" s="438"/>
      <c r="AB839" s="438"/>
      <c r="AC839" s="438"/>
      <c r="AD839" s="438"/>
      <c r="AE839" s="438"/>
      <c r="AF839" s="438"/>
      <c r="AG839" s="438"/>
      <c r="AH839" s="438"/>
    </row>
    <row r="840">
      <c r="A840" s="438"/>
      <c r="B840" s="438"/>
      <c r="C840" s="438"/>
      <c r="D840" s="438"/>
      <c r="E840" s="438"/>
      <c r="F840" s="438"/>
      <c r="G840" s="438"/>
      <c r="H840" s="438"/>
      <c r="I840" s="438"/>
      <c r="J840" s="438"/>
      <c r="K840" s="438"/>
      <c r="L840" s="438"/>
      <c r="M840" s="438"/>
      <c r="N840" s="438"/>
      <c r="O840" s="438"/>
      <c r="P840" s="438"/>
      <c r="Q840" s="438"/>
      <c r="R840" s="438"/>
      <c r="S840" s="438"/>
      <c r="T840" s="438"/>
      <c r="U840" s="438"/>
      <c r="V840" s="438"/>
      <c r="W840" s="438"/>
      <c r="X840" s="438"/>
      <c r="Y840" s="438"/>
      <c r="Z840" s="438"/>
      <c r="AA840" s="438"/>
      <c r="AB840" s="438"/>
      <c r="AC840" s="438"/>
      <c r="AD840" s="438"/>
      <c r="AE840" s="438"/>
      <c r="AF840" s="438"/>
      <c r="AG840" s="438"/>
      <c r="AH840" s="438"/>
    </row>
    <row r="841">
      <c r="A841" s="438"/>
      <c r="B841" s="438"/>
      <c r="C841" s="438"/>
      <c r="D841" s="438"/>
      <c r="E841" s="438"/>
      <c r="F841" s="438"/>
      <c r="G841" s="438"/>
      <c r="H841" s="438"/>
      <c r="I841" s="438"/>
      <c r="J841" s="438"/>
      <c r="K841" s="438"/>
      <c r="L841" s="438"/>
      <c r="M841" s="438"/>
      <c r="N841" s="438"/>
      <c r="O841" s="438"/>
      <c r="P841" s="438"/>
      <c r="Q841" s="438"/>
      <c r="R841" s="438"/>
      <c r="S841" s="438"/>
      <c r="T841" s="438"/>
      <c r="U841" s="438"/>
      <c r="V841" s="438"/>
      <c r="W841" s="438"/>
      <c r="X841" s="438"/>
      <c r="Y841" s="438"/>
      <c r="Z841" s="438"/>
      <c r="AA841" s="438"/>
      <c r="AB841" s="438"/>
      <c r="AC841" s="438"/>
      <c r="AD841" s="438"/>
      <c r="AE841" s="438"/>
      <c r="AF841" s="438"/>
      <c r="AG841" s="438"/>
      <c r="AH841" s="438"/>
    </row>
    <row r="842">
      <c r="A842" s="438"/>
      <c r="B842" s="438"/>
      <c r="C842" s="438"/>
      <c r="D842" s="438"/>
      <c r="E842" s="438"/>
      <c r="F842" s="438"/>
      <c r="G842" s="438"/>
      <c r="H842" s="438"/>
      <c r="I842" s="438"/>
      <c r="J842" s="438"/>
      <c r="K842" s="438"/>
      <c r="L842" s="438"/>
      <c r="M842" s="438"/>
      <c r="N842" s="438"/>
      <c r="O842" s="438"/>
      <c r="P842" s="438"/>
      <c r="Q842" s="438"/>
      <c r="R842" s="438"/>
      <c r="S842" s="438"/>
      <c r="T842" s="438"/>
      <c r="U842" s="438"/>
      <c r="V842" s="438"/>
      <c r="W842" s="438"/>
      <c r="X842" s="438"/>
      <c r="Y842" s="438"/>
      <c r="Z842" s="438"/>
      <c r="AA842" s="438"/>
      <c r="AB842" s="438"/>
      <c r="AC842" s="438"/>
      <c r="AD842" s="438"/>
      <c r="AE842" s="438"/>
      <c r="AF842" s="438"/>
      <c r="AG842" s="438"/>
      <c r="AH842" s="438"/>
    </row>
    <row r="843">
      <c r="A843" s="438"/>
      <c r="B843" s="438"/>
      <c r="C843" s="438"/>
      <c r="D843" s="438"/>
      <c r="E843" s="438"/>
      <c r="F843" s="438"/>
      <c r="G843" s="438"/>
      <c r="H843" s="438"/>
      <c r="I843" s="438"/>
      <c r="J843" s="438"/>
      <c r="K843" s="438"/>
      <c r="L843" s="438"/>
      <c r="M843" s="438"/>
      <c r="N843" s="438"/>
      <c r="O843" s="438"/>
      <c r="P843" s="438"/>
      <c r="Q843" s="438"/>
      <c r="R843" s="438"/>
      <c r="S843" s="438"/>
      <c r="T843" s="438"/>
      <c r="U843" s="438"/>
      <c r="V843" s="438"/>
      <c r="W843" s="438"/>
      <c r="X843" s="438"/>
      <c r="Y843" s="438"/>
      <c r="Z843" s="438"/>
      <c r="AA843" s="438"/>
      <c r="AB843" s="438"/>
      <c r="AC843" s="438"/>
      <c r="AD843" s="438"/>
      <c r="AE843" s="438"/>
      <c r="AF843" s="438"/>
      <c r="AG843" s="438"/>
      <c r="AH843" s="438"/>
    </row>
    <row r="844">
      <c r="A844" s="438"/>
      <c r="B844" s="438"/>
      <c r="C844" s="438"/>
      <c r="D844" s="438"/>
      <c r="E844" s="438"/>
      <c r="F844" s="438"/>
      <c r="G844" s="438"/>
      <c r="H844" s="438"/>
      <c r="I844" s="438"/>
      <c r="J844" s="438"/>
      <c r="K844" s="438"/>
      <c r="L844" s="438"/>
      <c r="M844" s="438"/>
      <c r="N844" s="438"/>
      <c r="O844" s="438"/>
      <c r="P844" s="438"/>
      <c r="Q844" s="438"/>
      <c r="R844" s="438"/>
      <c r="S844" s="438"/>
      <c r="T844" s="438"/>
      <c r="U844" s="438"/>
      <c r="V844" s="438"/>
      <c r="W844" s="438"/>
      <c r="X844" s="438"/>
      <c r="Y844" s="438"/>
      <c r="Z844" s="438"/>
      <c r="AA844" s="438"/>
      <c r="AB844" s="438"/>
      <c r="AC844" s="438"/>
      <c r="AD844" s="438"/>
      <c r="AE844" s="438"/>
      <c r="AF844" s="438"/>
      <c r="AG844" s="438"/>
      <c r="AH844" s="438"/>
    </row>
    <row r="845">
      <c r="A845" s="438"/>
      <c r="B845" s="438"/>
      <c r="C845" s="438"/>
      <c r="D845" s="438"/>
      <c r="E845" s="438"/>
      <c r="F845" s="438"/>
      <c r="G845" s="438"/>
      <c r="H845" s="438"/>
      <c r="I845" s="438"/>
      <c r="J845" s="438"/>
      <c r="K845" s="438"/>
      <c r="L845" s="438"/>
      <c r="M845" s="438"/>
      <c r="N845" s="438"/>
      <c r="O845" s="438"/>
      <c r="P845" s="438"/>
      <c r="Q845" s="438"/>
      <c r="R845" s="438"/>
      <c r="S845" s="438"/>
      <c r="T845" s="438"/>
      <c r="U845" s="438"/>
      <c r="V845" s="438"/>
      <c r="W845" s="438"/>
      <c r="X845" s="438"/>
      <c r="Y845" s="438"/>
      <c r="Z845" s="438"/>
      <c r="AA845" s="438"/>
      <c r="AB845" s="438"/>
      <c r="AC845" s="438"/>
      <c r="AD845" s="438"/>
      <c r="AE845" s="438"/>
      <c r="AF845" s="438"/>
      <c r="AG845" s="438"/>
      <c r="AH845" s="438"/>
    </row>
    <row r="846">
      <c r="A846" s="438"/>
      <c r="B846" s="438"/>
      <c r="C846" s="438"/>
      <c r="D846" s="438"/>
      <c r="E846" s="438"/>
      <c r="F846" s="438"/>
      <c r="G846" s="438"/>
      <c r="H846" s="438"/>
      <c r="I846" s="438"/>
      <c r="J846" s="438"/>
      <c r="K846" s="438"/>
      <c r="L846" s="438"/>
      <c r="M846" s="438"/>
      <c r="N846" s="438"/>
      <c r="O846" s="438"/>
      <c r="P846" s="438"/>
      <c r="Q846" s="438"/>
      <c r="R846" s="438"/>
      <c r="S846" s="438"/>
      <c r="T846" s="438"/>
      <c r="U846" s="438"/>
      <c r="V846" s="438"/>
      <c r="W846" s="438"/>
      <c r="X846" s="438"/>
      <c r="Y846" s="438"/>
      <c r="Z846" s="438"/>
      <c r="AA846" s="438"/>
      <c r="AB846" s="438"/>
      <c r="AC846" s="438"/>
      <c r="AD846" s="438"/>
      <c r="AE846" s="438"/>
      <c r="AF846" s="438"/>
      <c r="AG846" s="438"/>
      <c r="AH846" s="438"/>
    </row>
    <row r="847">
      <c r="A847" s="438"/>
      <c r="B847" s="438"/>
      <c r="C847" s="438"/>
      <c r="D847" s="438"/>
      <c r="E847" s="438"/>
      <c r="F847" s="438"/>
      <c r="G847" s="438"/>
      <c r="H847" s="438"/>
      <c r="I847" s="438"/>
      <c r="J847" s="438"/>
      <c r="K847" s="438"/>
      <c r="L847" s="438"/>
      <c r="M847" s="438"/>
      <c r="N847" s="438"/>
      <c r="O847" s="438"/>
      <c r="P847" s="438"/>
      <c r="Q847" s="438"/>
      <c r="R847" s="438"/>
      <c r="S847" s="438"/>
      <c r="T847" s="438"/>
      <c r="U847" s="438"/>
      <c r="V847" s="438"/>
      <c r="W847" s="438"/>
      <c r="X847" s="438"/>
      <c r="Y847" s="438"/>
      <c r="Z847" s="438"/>
      <c r="AA847" s="438"/>
      <c r="AB847" s="438"/>
      <c r="AC847" s="438"/>
      <c r="AD847" s="438"/>
      <c r="AE847" s="438"/>
      <c r="AF847" s="438"/>
      <c r="AG847" s="438"/>
      <c r="AH847" s="438"/>
    </row>
    <row r="848">
      <c r="A848" s="438"/>
      <c r="B848" s="438"/>
      <c r="C848" s="438"/>
      <c r="D848" s="438"/>
      <c r="E848" s="438"/>
      <c r="F848" s="438"/>
      <c r="G848" s="438"/>
      <c r="H848" s="438"/>
      <c r="I848" s="438"/>
      <c r="J848" s="438"/>
      <c r="K848" s="438"/>
      <c r="L848" s="438"/>
      <c r="M848" s="438"/>
      <c r="N848" s="438"/>
      <c r="O848" s="438"/>
      <c r="P848" s="438"/>
      <c r="Q848" s="438"/>
      <c r="R848" s="438"/>
      <c r="S848" s="438"/>
      <c r="T848" s="438"/>
      <c r="U848" s="438"/>
      <c r="V848" s="438"/>
      <c r="W848" s="438"/>
      <c r="X848" s="438"/>
      <c r="Y848" s="438"/>
      <c r="Z848" s="438"/>
      <c r="AA848" s="438"/>
      <c r="AB848" s="438"/>
      <c r="AC848" s="438"/>
      <c r="AD848" s="438"/>
      <c r="AE848" s="438"/>
      <c r="AF848" s="438"/>
      <c r="AG848" s="438"/>
      <c r="AH848" s="438"/>
    </row>
    <row r="849">
      <c r="A849" s="438"/>
      <c r="B849" s="438"/>
      <c r="C849" s="438"/>
      <c r="D849" s="438"/>
      <c r="E849" s="438"/>
      <c r="F849" s="438"/>
      <c r="G849" s="438"/>
      <c r="H849" s="438"/>
      <c r="I849" s="438"/>
      <c r="J849" s="438"/>
      <c r="K849" s="438"/>
      <c r="L849" s="438"/>
      <c r="M849" s="438"/>
      <c r="N849" s="438"/>
      <c r="O849" s="438"/>
      <c r="P849" s="438"/>
      <c r="Q849" s="438"/>
      <c r="R849" s="438"/>
      <c r="S849" s="438"/>
      <c r="T849" s="438"/>
      <c r="U849" s="438"/>
      <c r="V849" s="438"/>
      <c r="W849" s="438"/>
      <c r="X849" s="438"/>
      <c r="Y849" s="438"/>
      <c r="Z849" s="438"/>
      <c r="AA849" s="438"/>
      <c r="AB849" s="438"/>
      <c r="AC849" s="438"/>
      <c r="AD849" s="438"/>
      <c r="AE849" s="438"/>
      <c r="AF849" s="438"/>
      <c r="AG849" s="438"/>
      <c r="AH849" s="438"/>
    </row>
    <row r="850">
      <c r="A850" s="438"/>
      <c r="B850" s="438"/>
      <c r="C850" s="438"/>
      <c r="D850" s="438"/>
      <c r="E850" s="438"/>
      <c r="F850" s="438"/>
      <c r="G850" s="438"/>
      <c r="H850" s="438"/>
      <c r="I850" s="438"/>
      <c r="J850" s="438"/>
      <c r="K850" s="438"/>
      <c r="L850" s="438"/>
      <c r="M850" s="438"/>
      <c r="N850" s="438"/>
      <c r="O850" s="438"/>
      <c r="P850" s="438"/>
      <c r="Q850" s="438"/>
      <c r="R850" s="438"/>
      <c r="S850" s="438"/>
      <c r="T850" s="438"/>
      <c r="U850" s="438"/>
      <c r="V850" s="438"/>
      <c r="W850" s="438"/>
      <c r="X850" s="438"/>
      <c r="Y850" s="438"/>
      <c r="Z850" s="438"/>
      <c r="AA850" s="438"/>
      <c r="AB850" s="438"/>
      <c r="AC850" s="438"/>
      <c r="AD850" s="438"/>
      <c r="AE850" s="438"/>
      <c r="AF850" s="438"/>
      <c r="AG850" s="438"/>
      <c r="AH850" s="438"/>
    </row>
    <row r="851">
      <c r="A851" s="438"/>
      <c r="B851" s="438"/>
      <c r="C851" s="438"/>
      <c r="D851" s="438"/>
      <c r="E851" s="438"/>
      <c r="F851" s="438"/>
      <c r="G851" s="438"/>
      <c r="H851" s="438"/>
      <c r="I851" s="438"/>
      <c r="J851" s="438"/>
      <c r="K851" s="438"/>
      <c r="L851" s="438"/>
      <c r="M851" s="438"/>
      <c r="N851" s="438"/>
      <c r="O851" s="438"/>
      <c r="P851" s="438"/>
      <c r="Q851" s="438"/>
      <c r="R851" s="438"/>
      <c r="S851" s="438"/>
      <c r="T851" s="438"/>
      <c r="U851" s="438"/>
      <c r="V851" s="438"/>
      <c r="W851" s="438"/>
      <c r="X851" s="438"/>
      <c r="Y851" s="438"/>
      <c r="Z851" s="438"/>
      <c r="AA851" s="438"/>
      <c r="AB851" s="438"/>
      <c r="AC851" s="438"/>
      <c r="AD851" s="438"/>
      <c r="AE851" s="438"/>
      <c r="AF851" s="438"/>
      <c r="AG851" s="438"/>
      <c r="AH851" s="438"/>
    </row>
    <row r="852">
      <c r="A852" s="438"/>
      <c r="B852" s="438"/>
      <c r="C852" s="438"/>
      <c r="D852" s="438"/>
      <c r="E852" s="438"/>
      <c r="F852" s="438"/>
      <c r="G852" s="438"/>
      <c r="H852" s="438"/>
      <c r="I852" s="438"/>
      <c r="J852" s="438"/>
      <c r="K852" s="438"/>
      <c r="L852" s="438"/>
      <c r="M852" s="438"/>
      <c r="N852" s="438"/>
      <c r="O852" s="438"/>
      <c r="P852" s="438"/>
      <c r="Q852" s="438"/>
      <c r="R852" s="438"/>
      <c r="S852" s="438"/>
      <c r="T852" s="438"/>
      <c r="U852" s="438"/>
      <c r="V852" s="438"/>
      <c r="W852" s="438"/>
      <c r="X852" s="438"/>
      <c r="Y852" s="438"/>
      <c r="Z852" s="438"/>
      <c r="AA852" s="438"/>
      <c r="AB852" s="438"/>
      <c r="AC852" s="438"/>
      <c r="AD852" s="438"/>
      <c r="AE852" s="438"/>
      <c r="AF852" s="438"/>
      <c r="AG852" s="438"/>
      <c r="AH852" s="438"/>
    </row>
    <row r="853">
      <c r="A853" s="438"/>
      <c r="B853" s="438"/>
      <c r="C853" s="438"/>
      <c r="D853" s="438"/>
      <c r="E853" s="438"/>
      <c r="F853" s="438"/>
      <c r="G853" s="438"/>
      <c r="H853" s="438"/>
      <c r="I853" s="438"/>
      <c r="J853" s="438"/>
      <c r="K853" s="438"/>
      <c r="L853" s="438"/>
      <c r="M853" s="438"/>
      <c r="N853" s="438"/>
      <c r="O853" s="438"/>
      <c r="P853" s="438"/>
      <c r="Q853" s="438"/>
      <c r="R853" s="438"/>
      <c r="S853" s="438"/>
      <c r="T853" s="438"/>
      <c r="U853" s="438"/>
      <c r="V853" s="438"/>
      <c r="W853" s="438"/>
      <c r="X853" s="438"/>
      <c r="Y853" s="438"/>
      <c r="Z853" s="438"/>
      <c r="AA853" s="438"/>
      <c r="AB853" s="438"/>
      <c r="AC853" s="438"/>
      <c r="AD853" s="438"/>
      <c r="AE853" s="438"/>
      <c r="AF853" s="438"/>
      <c r="AG853" s="438"/>
      <c r="AH853" s="438"/>
    </row>
    <row r="854">
      <c r="A854" s="438"/>
      <c r="B854" s="438"/>
      <c r="C854" s="438"/>
      <c r="D854" s="438"/>
      <c r="E854" s="438"/>
      <c r="F854" s="438"/>
      <c r="G854" s="438"/>
      <c r="H854" s="438"/>
      <c r="I854" s="438"/>
      <c r="J854" s="438"/>
      <c r="K854" s="438"/>
      <c r="L854" s="438"/>
      <c r="M854" s="438"/>
      <c r="N854" s="438"/>
      <c r="O854" s="438"/>
      <c r="P854" s="438"/>
      <c r="Q854" s="438"/>
      <c r="R854" s="438"/>
      <c r="S854" s="438"/>
      <c r="T854" s="438"/>
      <c r="U854" s="438"/>
      <c r="V854" s="438"/>
      <c r="W854" s="438"/>
      <c r="X854" s="438"/>
      <c r="Y854" s="438"/>
      <c r="Z854" s="438"/>
      <c r="AA854" s="438"/>
      <c r="AB854" s="438"/>
      <c r="AC854" s="438"/>
      <c r="AD854" s="438"/>
      <c r="AE854" s="438"/>
      <c r="AF854" s="438"/>
      <c r="AG854" s="438"/>
      <c r="AH854" s="438"/>
    </row>
    <row r="855">
      <c r="A855" s="438"/>
      <c r="B855" s="438"/>
      <c r="C855" s="438"/>
      <c r="D855" s="438"/>
      <c r="E855" s="438"/>
      <c r="F855" s="438"/>
      <c r="G855" s="438"/>
      <c r="H855" s="438"/>
      <c r="I855" s="438"/>
      <c r="J855" s="438"/>
      <c r="K855" s="438"/>
      <c r="L855" s="438"/>
      <c r="M855" s="438"/>
      <c r="N855" s="438"/>
      <c r="O855" s="438"/>
      <c r="P855" s="438"/>
      <c r="Q855" s="438"/>
      <c r="R855" s="438"/>
      <c r="S855" s="438"/>
      <c r="T855" s="438"/>
      <c r="U855" s="438"/>
      <c r="V855" s="438"/>
      <c r="W855" s="438"/>
      <c r="X855" s="438"/>
      <c r="Y855" s="438"/>
      <c r="Z855" s="438"/>
      <c r="AA855" s="438"/>
      <c r="AB855" s="438"/>
      <c r="AC855" s="438"/>
      <c r="AD855" s="438"/>
      <c r="AE855" s="438"/>
      <c r="AF855" s="438"/>
      <c r="AG855" s="438"/>
      <c r="AH855" s="438"/>
    </row>
    <row r="856">
      <c r="A856" s="438"/>
      <c r="B856" s="438"/>
      <c r="C856" s="438"/>
      <c r="D856" s="438"/>
      <c r="E856" s="438"/>
      <c r="F856" s="438"/>
      <c r="G856" s="438"/>
      <c r="H856" s="438"/>
      <c r="I856" s="438"/>
      <c r="J856" s="438"/>
      <c r="K856" s="438"/>
      <c r="L856" s="438"/>
      <c r="M856" s="438"/>
      <c r="N856" s="438"/>
      <c r="O856" s="438"/>
      <c r="P856" s="438"/>
      <c r="Q856" s="438"/>
      <c r="R856" s="438"/>
      <c r="S856" s="438"/>
      <c r="T856" s="438"/>
      <c r="U856" s="438"/>
      <c r="V856" s="438"/>
      <c r="W856" s="438"/>
      <c r="X856" s="438"/>
      <c r="Y856" s="438"/>
      <c r="Z856" s="438"/>
      <c r="AA856" s="438"/>
      <c r="AB856" s="438"/>
      <c r="AC856" s="438"/>
      <c r="AD856" s="438"/>
      <c r="AE856" s="438"/>
      <c r="AF856" s="438"/>
      <c r="AG856" s="438"/>
      <c r="AH856" s="438"/>
    </row>
    <row r="857">
      <c r="A857" s="438"/>
      <c r="B857" s="438"/>
      <c r="C857" s="438"/>
      <c r="D857" s="438"/>
      <c r="E857" s="438"/>
      <c r="F857" s="438"/>
      <c r="G857" s="438"/>
      <c r="H857" s="438"/>
      <c r="I857" s="438"/>
      <c r="J857" s="438"/>
      <c r="K857" s="438"/>
      <c r="L857" s="438"/>
      <c r="M857" s="438"/>
      <c r="N857" s="438"/>
      <c r="O857" s="438"/>
      <c r="P857" s="438"/>
      <c r="Q857" s="438"/>
      <c r="R857" s="438"/>
      <c r="S857" s="438"/>
      <c r="T857" s="438"/>
      <c r="U857" s="438"/>
      <c r="V857" s="438"/>
      <c r="W857" s="438"/>
      <c r="X857" s="438"/>
      <c r="Y857" s="438"/>
      <c r="Z857" s="438"/>
      <c r="AA857" s="438"/>
      <c r="AB857" s="438"/>
      <c r="AC857" s="438"/>
      <c r="AD857" s="438"/>
      <c r="AE857" s="438"/>
      <c r="AF857" s="438"/>
      <c r="AG857" s="438"/>
      <c r="AH857" s="438"/>
    </row>
    <row r="858">
      <c r="A858" s="438"/>
      <c r="B858" s="438"/>
      <c r="C858" s="438"/>
      <c r="D858" s="438"/>
      <c r="E858" s="438"/>
      <c r="F858" s="438"/>
      <c r="G858" s="438"/>
      <c r="H858" s="438"/>
      <c r="I858" s="438"/>
      <c r="J858" s="438"/>
      <c r="K858" s="438"/>
      <c r="L858" s="438"/>
      <c r="M858" s="438"/>
      <c r="N858" s="438"/>
      <c r="O858" s="438"/>
      <c r="P858" s="438"/>
      <c r="Q858" s="438"/>
      <c r="R858" s="438"/>
      <c r="S858" s="438"/>
      <c r="T858" s="438"/>
      <c r="U858" s="438"/>
      <c r="V858" s="438"/>
      <c r="W858" s="438"/>
      <c r="X858" s="438"/>
      <c r="Y858" s="438"/>
      <c r="Z858" s="438"/>
      <c r="AA858" s="438"/>
      <c r="AB858" s="438"/>
      <c r="AC858" s="438"/>
      <c r="AD858" s="438"/>
      <c r="AE858" s="438"/>
      <c r="AF858" s="438"/>
      <c r="AG858" s="438"/>
      <c r="AH858" s="438"/>
    </row>
    <row r="859">
      <c r="A859" s="438"/>
      <c r="B859" s="438"/>
      <c r="C859" s="438"/>
      <c r="D859" s="438"/>
      <c r="E859" s="438"/>
      <c r="F859" s="438"/>
      <c r="G859" s="438"/>
      <c r="H859" s="438"/>
      <c r="I859" s="438"/>
      <c r="J859" s="438"/>
      <c r="K859" s="438"/>
      <c r="L859" s="438"/>
      <c r="M859" s="438"/>
      <c r="N859" s="438"/>
      <c r="O859" s="438"/>
      <c r="P859" s="438"/>
      <c r="Q859" s="438"/>
      <c r="R859" s="438"/>
      <c r="S859" s="438"/>
      <c r="T859" s="438"/>
      <c r="U859" s="438"/>
      <c r="V859" s="438"/>
      <c r="W859" s="438"/>
      <c r="X859" s="438"/>
      <c r="Y859" s="438"/>
      <c r="Z859" s="438"/>
      <c r="AA859" s="438"/>
      <c r="AB859" s="438"/>
      <c r="AC859" s="438"/>
      <c r="AD859" s="438"/>
      <c r="AE859" s="438"/>
      <c r="AF859" s="438"/>
      <c r="AG859" s="438"/>
      <c r="AH859" s="438"/>
    </row>
    <row r="860">
      <c r="A860" s="438"/>
      <c r="B860" s="438"/>
      <c r="C860" s="438"/>
      <c r="D860" s="438"/>
      <c r="E860" s="438"/>
      <c r="F860" s="438"/>
      <c r="G860" s="438"/>
      <c r="H860" s="438"/>
      <c r="I860" s="438"/>
      <c r="J860" s="438"/>
      <c r="K860" s="438"/>
      <c r="L860" s="438"/>
      <c r="M860" s="438"/>
      <c r="N860" s="438"/>
      <c r="O860" s="438"/>
      <c r="P860" s="438"/>
      <c r="Q860" s="438"/>
      <c r="R860" s="438"/>
      <c r="S860" s="438"/>
      <c r="T860" s="438"/>
      <c r="U860" s="438"/>
      <c r="V860" s="438"/>
      <c r="W860" s="438"/>
      <c r="X860" s="438"/>
      <c r="Y860" s="438"/>
      <c r="Z860" s="438"/>
      <c r="AA860" s="438"/>
      <c r="AB860" s="438"/>
      <c r="AC860" s="438"/>
      <c r="AD860" s="438"/>
      <c r="AE860" s="438"/>
      <c r="AF860" s="438"/>
      <c r="AG860" s="438"/>
      <c r="AH860" s="438"/>
    </row>
    <row r="861">
      <c r="A861" s="438"/>
      <c r="B861" s="438"/>
      <c r="C861" s="438"/>
      <c r="D861" s="438"/>
      <c r="E861" s="438"/>
      <c r="F861" s="438"/>
      <c r="G861" s="438"/>
      <c r="H861" s="438"/>
      <c r="I861" s="438"/>
      <c r="J861" s="438"/>
      <c r="K861" s="438"/>
      <c r="L861" s="438"/>
      <c r="M861" s="438"/>
      <c r="N861" s="438"/>
      <c r="O861" s="438"/>
      <c r="P861" s="438"/>
      <c r="Q861" s="438"/>
      <c r="R861" s="438"/>
      <c r="S861" s="438"/>
      <c r="T861" s="438"/>
      <c r="U861" s="438"/>
      <c r="V861" s="438"/>
      <c r="W861" s="438"/>
      <c r="X861" s="438"/>
      <c r="Y861" s="438"/>
      <c r="Z861" s="438"/>
      <c r="AA861" s="438"/>
      <c r="AB861" s="438"/>
      <c r="AC861" s="438"/>
      <c r="AD861" s="438"/>
      <c r="AE861" s="438"/>
      <c r="AF861" s="438"/>
      <c r="AG861" s="438"/>
      <c r="AH861" s="438"/>
    </row>
    <row r="862">
      <c r="A862" s="438"/>
      <c r="B862" s="438"/>
      <c r="C862" s="438"/>
      <c r="D862" s="438"/>
      <c r="E862" s="438"/>
      <c r="F862" s="438"/>
      <c r="G862" s="438"/>
      <c r="H862" s="438"/>
      <c r="I862" s="438"/>
      <c r="J862" s="438"/>
      <c r="K862" s="438"/>
      <c r="L862" s="438"/>
      <c r="M862" s="438"/>
      <c r="N862" s="438"/>
      <c r="O862" s="438"/>
      <c r="P862" s="438"/>
      <c r="Q862" s="438"/>
      <c r="R862" s="438"/>
      <c r="S862" s="438"/>
      <c r="T862" s="438"/>
      <c r="U862" s="438"/>
      <c r="V862" s="438"/>
      <c r="W862" s="438"/>
      <c r="X862" s="438"/>
      <c r="Y862" s="438"/>
      <c r="Z862" s="438"/>
      <c r="AA862" s="438"/>
      <c r="AB862" s="438"/>
      <c r="AC862" s="438"/>
      <c r="AD862" s="438"/>
      <c r="AE862" s="438"/>
      <c r="AF862" s="438"/>
      <c r="AG862" s="438"/>
      <c r="AH862" s="438"/>
    </row>
    <row r="863">
      <c r="A863" s="438"/>
      <c r="B863" s="438"/>
      <c r="C863" s="438"/>
      <c r="D863" s="438"/>
      <c r="E863" s="438"/>
      <c r="F863" s="438"/>
      <c r="G863" s="438"/>
      <c r="H863" s="438"/>
      <c r="I863" s="438"/>
      <c r="J863" s="438"/>
      <c r="K863" s="438"/>
      <c r="L863" s="438"/>
      <c r="M863" s="438"/>
      <c r="N863" s="438"/>
      <c r="O863" s="438"/>
      <c r="P863" s="438"/>
      <c r="Q863" s="438"/>
      <c r="R863" s="438"/>
      <c r="S863" s="438"/>
      <c r="T863" s="438"/>
      <c r="U863" s="438"/>
      <c r="V863" s="438"/>
      <c r="W863" s="438"/>
      <c r="X863" s="438"/>
      <c r="Y863" s="438"/>
      <c r="Z863" s="438"/>
      <c r="AA863" s="438"/>
      <c r="AB863" s="438"/>
      <c r="AC863" s="438"/>
      <c r="AD863" s="438"/>
      <c r="AE863" s="438"/>
      <c r="AF863" s="438"/>
      <c r="AG863" s="438"/>
      <c r="AH863" s="438"/>
    </row>
    <row r="864">
      <c r="A864" s="438"/>
      <c r="B864" s="438"/>
      <c r="C864" s="438"/>
      <c r="D864" s="438"/>
      <c r="E864" s="438"/>
      <c r="F864" s="438"/>
      <c r="G864" s="438"/>
      <c r="H864" s="438"/>
      <c r="I864" s="438"/>
      <c r="J864" s="438"/>
      <c r="K864" s="438"/>
      <c r="L864" s="438"/>
      <c r="M864" s="438"/>
      <c r="N864" s="438"/>
      <c r="O864" s="438"/>
      <c r="P864" s="438"/>
      <c r="Q864" s="438"/>
      <c r="R864" s="438"/>
      <c r="S864" s="438"/>
      <c r="T864" s="438"/>
      <c r="U864" s="438"/>
      <c r="V864" s="438"/>
      <c r="W864" s="438"/>
      <c r="X864" s="438"/>
      <c r="Y864" s="438"/>
      <c r="Z864" s="438"/>
      <c r="AA864" s="438"/>
      <c r="AB864" s="438"/>
      <c r="AC864" s="438"/>
      <c r="AD864" s="438"/>
      <c r="AE864" s="438"/>
      <c r="AF864" s="438"/>
      <c r="AG864" s="438"/>
      <c r="AH864" s="438"/>
    </row>
    <row r="865">
      <c r="A865" s="438"/>
      <c r="B865" s="438"/>
      <c r="C865" s="438"/>
      <c r="D865" s="438"/>
      <c r="E865" s="438"/>
      <c r="F865" s="438"/>
      <c r="G865" s="438"/>
      <c r="H865" s="438"/>
      <c r="I865" s="438"/>
      <c r="J865" s="438"/>
      <c r="K865" s="438"/>
      <c r="L865" s="438"/>
      <c r="M865" s="438"/>
      <c r="N865" s="438"/>
      <c r="O865" s="438"/>
      <c r="P865" s="438"/>
      <c r="Q865" s="438"/>
      <c r="R865" s="438"/>
      <c r="S865" s="438"/>
      <c r="T865" s="438"/>
      <c r="U865" s="438"/>
      <c r="V865" s="438"/>
      <c r="W865" s="438"/>
      <c r="X865" s="438"/>
      <c r="Y865" s="438"/>
      <c r="Z865" s="438"/>
      <c r="AA865" s="438"/>
      <c r="AB865" s="438"/>
      <c r="AC865" s="438"/>
      <c r="AD865" s="438"/>
      <c r="AE865" s="438"/>
      <c r="AF865" s="438"/>
      <c r="AG865" s="438"/>
      <c r="AH865" s="438"/>
    </row>
    <row r="866">
      <c r="A866" s="438"/>
      <c r="B866" s="438"/>
      <c r="C866" s="438"/>
      <c r="D866" s="438"/>
      <c r="E866" s="438"/>
      <c r="F866" s="438"/>
      <c r="G866" s="438"/>
      <c r="H866" s="438"/>
      <c r="I866" s="438"/>
      <c r="J866" s="438"/>
      <c r="K866" s="438"/>
      <c r="L866" s="438"/>
      <c r="M866" s="438"/>
      <c r="N866" s="438"/>
      <c r="O866" s="438"/>
      <c r="P866" s="438"/>
      <c r="Q866" s="438"/>
      <c r="R866" s="438"/>
      <c r="S866" s="438"/>
      <c r="T866" s="438"/>
      <c r="U866" s="438"/>
      <c r="V866" s="438"/>
      <c r="W866" s="438"/>
      <c r="X866" s="438"/>
      <c r="Y866" s="438"/>
      <c r="Z866" s="438"/>
      <c r="AA866" s="438"/>
      <c r="AB866" s="438"/>
      <c r="AC866" s="438"/>
      <c r="AD866" s="438"/>
      <c r="AE866" s="438"/>
      <c r="AF866" s="438"/>
      <c r="AG866" s="438"/>
      <c r="AH866" s="438"/>
    </row>
    <row r="867">
      <c r="A867" s="438"/>
      <c r="B867" s="438"/>
      <c r="C867" s="438"/>
      <c r="D867" s="438"/>
      <c r="E867" s="438"/>
      <c r="F867" s="438"/>
      <c r="G867" s="438"/>
      <c r="H867" s="438"/>
      <c r="I867" s="438"/>
      <c r="J867" s="438"/>
      <c r="K867" s="438"/>
      <c r="L867" s="438"/>
      <c r="M867" s="438"/>
      <c r="N867" s="438"/>
      <c r="O867" s="438"/>
      <c r="P867" s="438"/>
      <c r="Q867" s="438"/>
      <c r="R867" s="438"/>
      <c r="S867" s="438"/>
      <c r="T867" s="438"/>
      <c r="U867" s="438"/>
      <c r="V867" s="438"/>
      <c r="W867" s="438"/>
      <c r="X867" s="438"/>
      <c r="Y867" s="438"/>
      <c r="Z867" s="438"/>
      <c r="AA867" s="438"/>
      <c r="AB867" s="438"/>
      <c r="AC867" s="438"/>
      <c r="AD867" s="438"/>
      <c r="AE867" s="438"/>
      <c r="AF867" s="438"/>
      <c r="AG867" s="438"/>
      <c r="AH867" s="438"/>
    </row>
    <row r="868">
      <c r="A868" s="438"/>
      <c r="B868" s="438"/>
      <c r="C868" s="438"/>
      <c r="D868" s="438"/>
      <c r="E868" s="438"/>
      <c r="F868" s="438"/>
      <c r="G868" s="438"/>
      <c r="H868" s="438"/>
      <c r="I868" s="438"/>
      <c r="J868" s="438"/>
      <c r="K868" s="438"/>
      <c r="L868" s="438"/>
      <c r="M868" s="438"/>
      <c r="N868" s="438"/>
      <c r="O868" s="438"/>
      <c r="P868" s="438"/>
      <c r="Q868" s="438"/>
      <c r="R868" s="438"/>
      <c r="S868" s="438"/>
      <c r="T868" s="438"/>
      <c r="U868" s="438"/>
      <c r="V868" s="438"/>
      <c r="W868" s="438"/>
      <c r="X868" s="438"/>
      <c r="Y868" s="438"/>
      <c r="Z868" s="438"/>
      <c r="AA868" s="438"/>
      <c r="AB868" s="438"/>
      <c r="AC868" s="438"/>
      <c r="AD868" s="438"/>
      <c r="AE868" s="438"/>
      <c r="AF868" s="438"/>
      <c r="AG868" s="438"/>
      <c r="AH868" s="438"/>
    </row>
    <row r="869">
      <c r="A869" s="438"/>
      <c r="B869" s="438"/>
      <c r="C869" s="438"/>
      <c r="D869" s="438"/>
      <c r="E869" s="438"/>
      <c r="F869" s="438"/>
      <c r="G869" s="438"/>
      <c r="H869" s="438"/>
      <c r="I869" s="438"/>
      <c r="J869" s="438"/>
      <c r="K869" s="438"/>
      <c r="L869" s="438"/>
      <c r="M869" s="438"/>
      <c r="N869" s="438"/>
      <c r="O869" s="438"/>
      <c r="P869" s="438"/>
      <c r="Q869" s="438"/>
      <c r="R869" s="438"/>
      <c r="S869" s="438"/>
      <c r="T869" s="438"/>
      <c r="U869" s="438"/>
      <c r="V869" s="438"/>
      <c r="W869" s="438"/>
      <c r="X869" s="438"/>
      <c r="Y869" s="438"/>
      <c r="Z869" s="438"/>
      <c r="AA869" s="438"/>
      <c r="AB869" s="438"/>
      <c r="AC869" s="438"/>
      <c r="AD869" s="438"/>
      <c r="AE869" s="438"/>
      <c r="AF869" s="438"/>
      <c r="AG869" s="438"/>
      <c r="AH869" s="438"/>
    </row>
    <row r="870">
      <c r="A870" s="438"/>
      <c r="B870" s="438"/>
      <c r="C870" s="438"/>
      <c r="D870" s="438"/>
      <c r="E870" s="438"/>
      <c r="F870" s="438"/>
      <c r="G870" s="438"/>
      <c r="H870" s="438"/>
      <c r="I870" s="438"/>
      <c r="J870" s="438"/>
      <c r="K870" s="438"/>
      <c r="L870" s="438"/>
      <c r="M870" s="438"/>
      <c r="N870" s="438"/>
      <c r="O870" s="438"/>
      <c r="P870" s="438"/>
      <c r="Q870" s="438"/>
      <c r="R870" s="438"/>
      <c r="S870" s="438"/>
      <c r="T870" s="438"/>
      <c r="U870" s="438"/>
      <c r="V870" s="438"/>
      <c r="W870" s="438"/>
      <c r="X870" s="438"/>
      <c r="Y870" s="438"/>
      <c r="Z870" s="438"/>
      <c r="AA870" s="438"/>
      <c r="AB870" s="438"/>
      <c r="AC870" s="438"/>
      <c r="AD870" s="438"/>
      <c r="AE870" s="438"/>
      <c r="AF870" s="438"/>
      <c r="AG870" s="438"/>
      <c r="AH870" s="438"/>
    </row>
    <row r="871">
      <c r="A871" s="438"/>
      <c r="B871" s="438"/>
      <c r="C871" s="438"/>
      <c r="D871" s="438"/>
      <c r="E871" s="438"/>
      <c r="F871" s="438"/>
      <c r="G871" s="438"/>
      <c r="H871" s="438"/>
      <c r="I871" s="438"/>
      <c r="J871" s="438"/>
      <c r="K871" s="438"/>
      <c r="L871" s="438"/>
      <c r="M871" s="438"/>
      <c r="N871" s="438"/>
      <c r="O871" s="438"/>
      <c r="P871" s="438"/>
      <c r="Q871" s="438"/>
      <c r="R871" s="438"/>
      <c r="S871" s="438"/>
      <c r="T871" s="438"/>
      <c r="U871" s="438"/>
      <c r="V871" s="438"/>
      <c r="W871" s="438"/>
      <c r="X871" s="438"/>
      <c r="Y871" s="438"/>
      <c r="Z871" s="438"/>
      <c r="AA871" s="438"/>
      <c r="AB871" s="438"/>
      <c r="AC871" s="438"/>
      <c r="AD871" s="438"/>
      <c r="AE871" s="438"/>
      <c r="AF871" s="438"/>
      <c r="AG871" s="438"/>
      <c r="AH871" s="438"/>
    </row>
    <row r="872">
      <c r="A872" s="438"/>
      <c r="B872" s="438"/>
      <c r="C872" s="438"/>
      <c r="D872" s="438"/>
      <c r="E872" s="438"/>
      <c r="F872" s="438"/>
      <c r="G872" s="438"/>
      <c r="H872" s="438"/>
      <c r="I872" s="438"/>
      <c r="J872" s="438"/>
      <c r="K872" s="438"/>
      <c r="L872" s="438"/>
      <c r="M872" s="438"/>
      <c r="N872" s="438"/>
      <c r="O872" s="438"/>
      <c r="P872" s="438"/>
      <c r="Q872" s="438"/>
      <c r="R872" s="438"/>
      <c r="S872" s="438"/>
      <c r="T872" s="438"/>
      <c r="U872" s="438"/>
      <c r="V872" s="438"/>
      <c r="W872" s="438"/>
      <c r="X872" s="438"/>
      <c r="Y872" s="438"/>
      <c r="Z872" s="438"/>
      <c r="AA872" s="438"/>
      <c r="AB872" s="438"/>
      <c r="AC872" s="438"/>
      <c r="AD872" s="438"/>
      <c r="AE872" s="438"/>
      <c r="AF872" s="438"/>
      <c r="AG872" s="438"/>
      <c r="AH872" s="438"/>
    </row>
    <row r="873">
      <c r="A873" s="438"/>
      <c r="B873" s="438"/>
      <c r="C873" s="438"/>
      <c r="D873" s="438"/>
      <c r="E873" s="438"/>
      <c r="F873" s="438"/>
      <c r="G873" s="438"/>
      <c r="H873" s="438"/>
      <c r="I873" s="438"/>
      <c r="J873" s="438"/>
      <c r="K873" s="438"/>
      <c r="L873" s="438"/>
      <c r="M873" s="438"/>
      <c r="N873" s="438"/>
      <c r="O873" s="438"/>
      <c r="P873" s="438"/>
      <c r="Q873" s="438"/>
      <c r="R873" s="438"/>
      <c r="S873" s="438"/>
      <c r="T873" s="438"/>
      <c r="U873" s="438"/>
      <c r="V873" s="438"/>
      <c r="W873" s="438"/>
      <c r="X873" s="438"/>
      <c r="Y873" s="438"/>
      <c r="Z873" s="438"/>
      <c r="AA873" s="438"/>
      <c r="AB873" s="438"/>
      <c r="AC873" s="438"/>
      <c r="AD873" s="438"/>
      <c r="AE873" s="438"/>
      <c r="AF873" s="438"/>
      <c r="AG873" s="438"/>
      <c r="AH873" s="438"/>
    </row>
    <row r="874">
      <c r="A874" s="438"/>
      <c r="B874" s="438"/>
      <c r="C874" s="438"/>
      <c r="D874" s="438"/>
      <c r="E874" s="438"/>
      <c r="F874" s="438"/>
      <c r="G874" s="438"/>
      <c r="H874" s="438"/>
      <c r="I874" s="438"/>
      <c r="J874" s="438"/>
      <c r="K874" s="438"/>
      <c r="L874" s="438"/>
      <c r="M874" s="438"/>
      <c r="N874" s="438"/>
      <c r="O874" s="438"/>
      <c r="P874" s="438"/>
      <c r="Q874" s="438"/>
      <c r="R874" s="438"/>
      <c r="S874" s="438"/>
      <c r="T874" s="438"/>
      <c r="U874" s="438"/>
      <c r="V874" s="438"/>
      <c r="W874" s="438"/>
      <c r="X874" s="438"/>
      <c r="Y874" s="438"/>
      <c r="Z874" s="438"/>
      <c r="AA874" s="438"/>
      <c r="AB874" s="438"/>
      <c r="AC874" s="438"/>
      <c r="AD874" s="438"/>
      <c r="AE874" s="438"/>
      <c r="AF874" s="438"/>
      <c r="AG874" s="438"/>
      <c r="AH874" s="438"/>
    </row>
    <row r="875">
      <c r="A875" s="438"/>
      <c r="B875" s="438"/>
      <c r="C875" s="438"/>
      <c r="D875" s="438"/>
      <c r="E875" s="438"/>
      <c r="F875" s="438"/>
      <c r="G875" s="438"/>
      <c r="H875" s="438"/>
      <c r="I875" s="438"/>
      <c r="J875" s="438"/>
      <c r="K875" s="438"/>
      <c r="L875" s="438"/>
      <c r="M875" s="438"/>
      <c r="N875" s="438"/>
      <c r="O875" s="438"/>
      <c r="P875" s="438"/>
      <c r="Q875" s="438"/>
      <c r="R875" s="438"/>
      <c r="S875" s="438"/>
      <c r="T875" s="438"/>
      <c r="U875" s="438"/>
      <c r="V875" s="438"/>
      <c r="W875" s="438"/>
      <c r="X875" s="438"/>
      <c r="Y875" s="438"/>
      <c r="Z875" s="438"/>
      <c r="AA875" s="438"/>
      <c r="AB875" s="438"/>
      <c r="AC875" s="438"/>
      <c r="AD875" s="438"/>
      <c r="AE875" s="438"/>
      <c r="AF875" s="438"/>
      <c r="AG875" s="438"/>
      <c r="AH875" s="438"/>
    </row>
    <row r="876">
      <c r="A876" s="438"/>
      <c r="B876" s="438"/>
      <c r="C876" s="438"/>
      <c r="D876" s="438"/>
      <c r="E876" s="438"/>
      <c r="F876" s="438"/>
      <c r="G876" s="438"/>
      <c r="H876" s="438"/>
      <c r="I876" s="438"/>
      <c r="J876" s="438"/>
      <c r="K876" s="438"/>
      <c r="L876" s="438"/>
      <c r="M876" s="438"/>
      <c r="N876" s="438"/>
      <c r="O876" s="438"/>
      <c r="P876" s="438"/>
      <c r="Q876" s="438"/>
      <c r="R876" s="438"/>
      <c r="S876" s="438"/>
      <c r="T876" s="438"/>
      <c r="U876" s="438"/>
      <c r="V876" s="438"/>
      <c r="W876" s="438"/>
      <c r="X876" s="438"/>
      <c r="Y876" s="438"/>
      <c r="Z876" s="438"/>
      <c r="AA876" s="438"/>
      <c r="AB876" s="438"/>
      <c r="AC876" s="438"/>
      <c r="AD876" s="438"/>
      <c r="AE876" s="438"/>
      <c r="AF876" s="438"/>
      <c r="AG876" s="438"/>
      <c r="AH876" s="438"/>
    </row>
    <row r="877">
      <c r="A877" s="438"/>
      <c r="B877" s="438"/>
      <c r="C877" s="438"/>
      <c r="D877" s="438"/>
      <c r="E877" s="438"/>
      <c r="F877" s="438"/>
      <c r="G877" s="438"/>
      <c r="H877" s="438"/>
      <c r="I877" s="438"/>
      <c r="J877" s="438"/>
      <c r="K877" s="438"/>
      <c r="L877" s="438"/>
      <c r="M877" s="438"/>
      <c r="N877" s="438"/>
      <c r="O877" s="438"/>
      <c r="P877" s="438"/>
      <c r="Q877" s="438"/>
      <c r="R877" s="438"/>
      <c r="S877" s="438"/>
      <c r="T877" s="438"/>
      <c r="U877" s="438"/>
      <c r="V877" s="438"/>
      <c r="W877" s="438"/>
      <c r="X877" s="438"/>
      <c r="Y877" s="438"/>
      <c r="Z877" s="438"/>
      <c r="AA877" s="438"/>
      <c r="AB877" s="438"/>
      <c r="AC877" s="438"/>
      <c r="AD877" s="438"/>
      <c r="AE877" s="438"/>
      <c r="AF877" s="438"/>
      <c r="AG877" s="438"/>
      <c r="AH877" s="438"/>
    </row>
    <row r="878">
      <c r="A878" s="438"/>
      <c r="B878" s="438"/>
      <c r="C878" s="438"/>
      <c r="D878" s="438"/>
      <c r="E878" s="438"/>
      <c r="F878" s="438"/>
      <c r="G878" s="438"/>
      <c r="H878" s="438"/>
      <c r="I878" s="438"/>
      <c r="J878" s="438"/>
      <c r="K878" s="438"/>
      <c r="L878" s="438"/>
      <c r="M878" s="438"/>
      <c r="N878" s="438"/>
      <c r="O878" s="438"/>
      <c r="P878" s="438"/>
      <c r="Q878" s="438"/>
      <c r="R878" s="438"/>
      <c r="S878" s="438"/>
      <c r="T878" s="438"/>
      <c r="U878" s="438"/>
      <c r="V878" s="438"/>
      <c r="W878" s="438"/>
      <c r="X878" s="438"/>
      <c r="Y878" s="438"/>
      <c r="Z878" s="438"/>
      <c r="AA878" s="438"/>
      <c r="AB878" s="438"/>
      <c r="AC878" s="438"/>
      <c r="AD878" s="438"/>
      <c r="AE878" s="438"/>
      <c r="AF878" s="438"/>
      <c r="AG878" s="438"/>
      <c r="AH878" s="438"/>
    </row>
    <row r="879">
      <c r="A879" s="438"/>
      <c r="B879" s="438"/>
      <c r="C879" s="438"/>
      <c r="D879" s="438"/>
      <c r="E879" s="438"/>
      <c r="F879" s="438"/>
      <c r="G879" s="438"/>
      <c r="H879" s="438"/>
      <c r="I879" s="438"/>
      <c r="J879" s="438"/>
      <c r="K879" s="438"/>
      <c r="L879" s="438"/>
      <c r="M879" s="438"/>
      <c r="N879" s="438"/>
      <c r="O879" s="438"/>
      <c r="P879" s="438"/>
      <c r="Q879" s="438"/>
      <c r="R879" s="438"/>
      <c r="S879" s="438"/>
      <c r="T879" s="438"/>
      <c r="U879" s="438"/>
      <c r="V879" s="438"/>
      <c r="W879" s="438"/>
      <c r="X879" s="438"/>
      <c r="Y879" s="438"/>
      <c r="Z879" s="438"/>
      <c r="AA879" s="438"/>
      <c r="AB879" s="438"/>
      <c r="AC879" s="438"/>
      <c r="AD879" s="438"/>
      <c r="AE879" s="438"/>
      <c r="AF879" s="438"/>
      <c r="AG879" s="438"/>
      <c r="AH879" s="438"/>
    </row>
    <row r="880">
      <c r="A880" s="438"/>
      <c r="B880" s="438"/>
      <c r="C880" s="438"/>
      <c r="D880" s="438"/>
      <c r="E880" s="438"/>
      <c r="F880" s="438"/>
      <c r="G880" s="438"/>
      <c r="H880" s="438"/>
      <c r="I880" s="438"/>
      <c r="J880" s="438"/>
      <c r="K880" s="438"/>
      <c r="L880" s="438"/>
      <c r="M880" s="438"/>
      <c r="N880" s="438"/>
      <c r="O880" s="438"/>
      <c r="P880" s="438"/>
      <c r="Q880" s="438"/>
      <c r="R880" s="438"/>
      <c r="S880" s="438"/>
      <c r="T880" s="438"/>
      <c r="U880" s="438"/>
      <c r="V880" s="438"/>
      <c r="W880" s="438"/>
      <c r="X880" s="438"/>
      <c r="Y880" s="438"/>
      <c r="Z880" s="438"/>
      <c r="AA880" s="438"/>
      <c r="AB880" s="438"/>
      <c r="AC880" s="438"/>
      <c r="AD880" s="438"/>
      <c r="AE880" s="438"/>
      <c r="AF880" s="438"/>
      <c r="AG880" s="438"/>
      <c r="AH880" s="438"/>
    </row>
    <row r="881">
      <c r="A881" s="438"/>
      <c r="B881" s="438"/>
      <c r="C881" s="438"/>
      <c r="D881" s="438"/>
      <c r="E881" s="438"/>
      <c r="F881" s="438"/>
      <c r="G881" s="438"/>
      <c r="H881" s="438"/>
      <c r="I881" s="438"/>
      <c r="J881" s="438"/>
      <c r="K881" s="438"/>
      <c r="L881" s="438"/>
      <c r="M881" s="438"/>
      <c r="N881" s="438"/>
      <c r="O881" s="438"/>
      <c r="P881" s="438"/>
      <c r="Q881" s="438"/>
      <c r="R881" s="438"/>
      <c r="S881" s="438"/>
      <c r="T881" s="438"/>
      <c r="U881" s="438"/>
      <c r="V881" s="438"/>
      <c r="W881" s="438"/>
      <c r="X881" s="438"/>
      <c r="Y881" s="438"/>
      <c r="Z881" s="438"/>
      <c r="AA881" s="438"/>
      <c r="AB881" s="438"/>
      <c r="AC881" s="438"/>
      <c r="AD881" s="438"/>
      <c r="AE881" s="438"/>
      <c r="AF881" s="438"/>
      <c r="AG881" s="438"/>
      <c r="AH881" s="438"/>
    </row>
    <row r="882">
      <c r="A882" s="438"/>
      <c r="B882" s="438"/>
      <c r="C882" s="438"/>
      <c r="D882" s="438"/>
      <c r="E882" s="438"/>
      <c r="F882" s="438"/>
      <c r="G882" s="438"/>
      <c r="H882" s="438"/>
      <c r="I882" s="438"/>
      <c r="J882" s="438"/>
      <c r="K882" s="438"/>
      <c r="L882" s="438"/>
      <c r="M882" s="438"/>
      <c r="N882" s="438"/>
      <c r="O882" s="438"/>
      <c r="P882" s="438"/>
      <c r="Q882" s="438"/>
      <c r="R882" s="438"/>
      <c r="S882" s="438"/>
      <c r="T882" s="438"/>
      <c r="U882" s="438"/>
      <c r="V882" s="438"/>
      <c r="W882" s="438"/>
      <c r="X882" s="438"/>
      <c r="Y882" s="438"/>
      <c r="Z882" s="438"/>
      <c r="AA882" s="438"/>
      <c r="AB882" s="438"/>
      <c r="AC882" s="438"/>
      <c r="AD882" s="438"/>
      <c r="AE882" s="438"/>
      <c r="AF882" s="438"/>
      <c r="AG882" s="438"/>
      <c r="AH882" s="438"/>
    </row>
    <row r="883">
      <c r="A883" s="438"/>
      <c r="B883" s="438"/>
      <c r="C883" s="438"/>
      <c r="D883" s="438"/>
      <c r="E883" s="438"/>
      <c r="F883" s="438"/>
      <c r="G883" s="438"/>
      <c r="H883" s="438"/>
      <c r="I883" s="438"/>
      <c r="J883" s="438"/>
      <c r="K883" s="438"/>
      <c r="L883" s="438"/>
      <c r="M883" s="438"/>
      <c r="N883" s="438"/>
      <c r="O883" s="438"/>
      <c r="P883" s="438"/>
      <c r="Q883" s="438"/>
      <c r="R883" s="438"/>
      <c r="S883" s="438"/>
      <c r="T883" s="438"/>
      <c r="U883" s="438"/>
      <c r="V883" s="438"/>
      <c r="W883" s="438"/>
      <c r="X883" s="438"/>
      <c r="Y883" s="438"/>
      <c r="Z883" s="438"/>
      <c r="AA883" s="438"/>
      <c r="AB883" s="438"/>
      <c r="AC883" s="438"/>
      <c r="AD883" s="438"/>
      <c r="AE883" s="438"/>
      <c r="AF883" s="438"/>
      <c r="AG883" s="438"/>
      <c r="AH883" s="438"/>
    </row>
    <row r="884">
      <c r="A884" s="438"/>
      <c r="B884" s="438"/>
      <c r="C884" s="438"/>
      <c r="D884" s="438"/>
      <c r="E884" s="438"/>
      <c r="F884" s="438"/>
      <c r="G884" s="438"/>
      <c r="H884" s="438"/>
      <c r="I884" s="438"/>
      <c r="J884" s="438"/>
      <c r="K884" s="438"/>
      <c r="L884" s="438"/>
      <c r="M884" s="438"/>
      <c r="N884" s="438"/>
      <c r="O884" s="438"/>
      <c r="P884" s="438"/>
      <c r="Q884" s="438"/>
      <c r="R884" s="438"/>
      <c r="S884" s="438"/>
      <c r="T884" s="438"/>
      <c r="U884" s="438"/>
      <c r="V884" s="438"/>
      <c r="W884" s="438"/>
      <c r="X884" s="438"/>
      <c r="Y884" s="438"/>
      <c r="Z884" s="438"/>
      <c r="AA884" s="438"/>
      <c r="AB884" s="438"/>
      <c r="AC884" s="438"/>
      <c r="AD884" s="438"/>
      <c r="AE884" s="438"/>
      <c r="AF884" s="438"/>
      <c r="AG884" s="438"/>
      <c r="AH884" s="438"/>
    </row>
    <row r="885">
      <c r="A885" s="438"/>
      <c r="B885" s="438"/>
      <c r="C885" s="438"/>
      <c r="D885" s="438"/>
      <c r="E885" s="438"/>
      <c r="F885" s="438"/>
      <c r="G885" s="438"/>
      <c r="H885" s="438"/>
      <c r="I885" s="438"/>
      <c r="J885" s="438"/>
      <c r="K885" s="438"/>
      <c r="L885" s="438"/>
      <c r="M885" s="438"/>
      <c r="N885" s="438"/>
      <c r="O885" s="438"/>
      <c r="P885" s="438"/>
      <c r="Q885" s="438"/>
      <c r="R885" s="438"/>
      <c r="S885" s="438"/>
      <c r="T885" s="438"/>
      <c r="U885" s="438"/>
      <c r="V885" s="438"/>
      <c r="W885" s="438"/>
      <c r="X885" s="438"/>
      <c r="Y885" s="438"/>
      <c r="Z885" s="438"/>
      <c r="AA885" s="438"/>
      <c r="AB885" s="438"/>
      <c r="AC885" s="438"/>
      <c r="AD885" s="438"/>
      <c r="AE885" s="438"/>
      <c r="AF885" s="438"/>
      <c r="AG885" s="438"/>
      <c r="AH885" s="438"/>
    </row>
    <row r="886">
      <c r="A886" s="438"/>
      <c r="B886" s="438"/>
      <c r="C886" s="438"/>
      <c r="D886" s="438"/>
      <c r="E886" s="438"/>
      <c r="F886" s="438"/>
      <c r="G886" s="438"/>
      <c r="H886" s="438"/>
      <c r="I886" s="438"/>
      <c r="J886" s="438"/>
      <c r="K886" s="438"/>
      <c r="L886" s="438"/>
      <c r="M886" s="438"/>
      <c r="N886" s="438"/>
      <c r="O886" s="438"/>
      <c r="P886" s="438"/>
      <c r="Q886" s="438"/>
      <c r="R886" s="438"/>
      <c r="S886" s="438"/>
      <c r="T886" s="438"/>
      <c r="U886" s="438"/>
      <c r="V886" s="438"/>
      <c r="W886" s="438"/>
      <c r="X886" s="438"/>
      <c r="Y886" s="438"/>
      <c r="Z886" s="438"/>
      <c r="AA886" s="438"/>
      <c r="AB886" s="438"/>
      <c r="AC886" s="438"/>
      <c r="AD886" s="438"/>
      <c r="AE886" s="438"/>
      <c r="AF886" s="438"/>
      <c r="AG886" s="438"/>
      <c r="AH886" s="438"/>
    </row>
    <row r="887">
      <c r="A887" s="438"/>
      <c r="B887" s="438"/>
      <c r="C887" s="438"/>
      <c r="D887" s="438"/>
      <c r="E887" s="438"/>
      <c r="F887" s="438"/>
      <c r="G887" s="438"/>
      <c r="H887" s="438"/>
      <c r="I887" s="438"/>
      <c r="J887" s="438"/>
      <c r="K887" s="438"/>
      <c r="L887" s="438"/>
      <c r="M887" s="438"/>
      <c r="N887" s="438"/>
      <c r="O887" s="438"/>
      <c r="P887" s="438"/>
      <c r="Q887" s="438"/>
      <c r="R887" s="438"/>
      <c r="S887" s="438"/>
      <c r="T887" s="438"/>
      <c r="U887" s="438"/>
      <c r="V887" s="438"/>
      <c r="W887" s="438"/>
      <c r="X887" s="438"/>
      <c r="Y887" s="438"/>
      <c r="Z887" s="438"/>
      <c r="AA887" s="438"/>
      <c r="AB887" s="438"/>
      <c r="AC887" s="438"/>
      <c r="AD887" s="438"/>
      <c r="AE887" s="438"/>
      <c r="AF887" s="438"/>
      <c r="AG887" s="438"/>
      <c r="AH887" s="438"/>
    </row>
    <row r="888">
      <c r="A888" s="438"/>
      <c r="B888" s="438"/>
      <c r="C888" s="438"/>
      <c r="D888" s="438"/>
      <c r="E888" s="438"/>
      <c r="F888" s="438"/>
      <c r="G888" s="438"/>
      <c r="H888" s="438"/>
      <c r="I888" s="438"/>
      <c r="J888" s="438"/>
      <c r="K888" s="438"/>
      <c r="L888" s="438"/>
      <c r="M888" s="438"/>
      <c r="N888" s="438"/>
      <c r="O888" s="438"/>
      <c r="P888" s="438"/>
      <c r="Q888" s="438"/>
      <c r="R888" s="438"/>
      <c r="S888" s="438"/>
      <c r="T888" s="438"/>
      <c r="U888" s="438"/>
      <c r="V888" s="438"/>
      <c r="W888" s="438"/>
      <c r="X888" s="438"/>
      <c r="Y888" s="438"/>
      <c r="Z888" s="438"/>
      <c r="AA888" s="438"/>
      <c r="AB888" s="438"/>
      <c r="AC888" s="438"/>
      <c r="AD888" s="438"/>
      <c r="AE888" s="438"/>
      <c r="AF888" s="438"/>
      <c r="AG888" s="438"/>
      <c r="AH888" s="438"/>
    </row>
    <row r="889">
      <c r="A889" s="438"/>
      <c r="B889" s="438"/>
      <c r="C889" s="438"/>
      <c r="D889" s="438"/>
      <c r="E889" s="438"/>
      <c r="F889" s="438"/>
      <c r="G889" s="438"/>
      <c r="H889" s="438"/>
      <c r="I889" s="438"/>
      <c r="J889" s="438"/>
      <c r="K889" s="438"/>
      <c r="L889" s="438"/>
      <c r="M889" s="438"/>
      <c r="N889" s="438"/>
      <c r="O889" s="438"/>
      <c r="P889" s="438"/>
      <c r="Q889" s="438"/>
      <c r="R889" s="438"/>
      <c r="S889" s="438"/>
      <c r="T889" s="438"/>
      <c r="U889" s="438"/>
      <c r="V889" s="438"/>
      <c r="W889" s="438"/>
      <c r="X889" s="438"/>
      <c r="Y889" s="438"/>
      <c r="Z889" s="438"/>
      <c r="AA889" s="438"/>
      <c r="AB889" s="438"/>
      <c r="AC889" s="438"/>
      <c r="AD889" s="438"/>
      <c r="AE889" s="438"/>
      <c r="AF889" s="438"/>
      <c r="AG889" s="438"/>
      <c r="AH889" s="438"/>
    </row>
    <row r="890">
      <c r="A890" s="438"/>
      <c r="B890" s="438"/>
      <c r="C890" s="438"/>
      <c r="D890" s="438"/>
      <c r="E890" s="438"/>
      <c r="F890" s="438"/>
      <c r="G890" s="438"/>
      <c r="H890" s="438"/>
      <c r="I890" s="438"/>
      <c r="J890" s="438"/>
      <c r="K890" s="438"/>
      <c r="L890" s="438"/>
      <c r="M890" s="438"/>
      <c r="N890" s="438"/>
      <c r="O890" s="438"/>
      <c r="P890" s="438"/>
      <c r="Q890" s="438"/>
      <c r="R890" s="438"/>
      <c r="S890" s="438"/>
      <c r="T890" s="438"/>
      <c r="U890" s="438"/>
      <c r="V890" s="438"/>
      <c r="W890" s="438"/>
      <c r="X890" s="438"/>
      <c r="Y890" s="438"/>
      <c r="Z890" s="438"/>
      <c r="AA890" s="438"/>
      <c r="AB890" s="438"/>
      <c r="AC890" s="438"/>
      <c r="AD890" s="438"/>
      <c r="AE890" s="438"/>
      <c r="AF890" s="438"/>
      <c r="AG890" s="438"/>
      <c r="AH890" s="438"/>
    </row>
    <row r="891">
      <c r="A891" s="438"/>
      <c r="B891" s="438"/>
      <c r="C891" s="438"/>
      <c r="D891" s="438"/>
      <c r="E891" s="438"/>
      <c r="F891" s="438"/>
      <c r="G891" s="438"/>
      <c r="H891" s="438"/>
      <c r="I891" s="438"/>
      <c r="J891" s="438"/>
      <c r="K891" s="438"/>
      <c r="L891" s="438"/>
      <c r="M891" s="438"/>
      <c r="N891" s="438"/>
      <c r="O891" s="438"/>
      <c r="P891" s="438"/>
      <c r="Q891" s="438"/>
      <c r="R891" s="438"/>
      <c r="S891" s="438"/>
      <c r="T891" s="438"/>
      <c r="U891" s="438"/>
      <c r="V891" s="438"/>
      <c r="W891" s="438"/>
      <c r="X891" s="438"/>
      <c r="Y891" s="438"/>
      <c r="Z891" s="438"/>
      <c r="AA891" s="438"/>
      <c r="AB891" s="438"/>
      <c r="AC891" s="438"/>
      <c r="AD891" s="438"/>
      <c r="AE891" s="438"/>
      <c r="AF891" s="438"/>
      <c r="AG891" s="438"/>
      <c r="AH891" s="438"/>
    </row>
    <row r="892">
      <c r="A892" s="438"/>
      <c r="B892" s="438"/>
      <c r="C892" s="438"/>
      <c r="D892" s="438"/>
      <c r="E892" s="438"/>
      <c r="F892" s="438"/>
      <c r="G892" s="438"/>
      <c r="H892" s="438"/>
      <c r="I892" s="438"/>
      <c r="J892" s="438"/>
      <c r="K892" s="438"/>
      <c r="L892" s="438"/>
      <c r="M892" s="438"/>
      <c r="N892" s="438"/>
      <c r="O892" s="438"/>
      <c r="P892" s="438"/>
      <c r="Q892" s="438"/>
      <c r="R892" s="438"/>
      <c r="S892" s="438"/>
      <c r="T892" s="438"/>
      <c r="U892" s="438"/>
      <c r="V892" s="438"/>
      <c r="W892" s="438"/>
      <c r="X892" s="438"/>
      <c r="Y892" s="438"/>
      <c r="Z892" s="438"/>
      <c r="AA892" s="438"/>
      <c r="AB892" s="438"/>
      <c r="AC892" s="438"/>
      <c r="AD892" s="438"/>
      <c r="AE892" s="438"/>
      <c r="AF892" s="438"/>
      <c r="AG892" s="438"/>
      <c r="AH892" s="438"/>
    </row>
    <row r="893">
      <c r="A893" s="438"/>
      <c r="B893" s="438"/>
      <c r="C893" s="438"/>
      <c r="D893" s="438"/>
      <c r="E893" s="438"/>
      <c r="F893" s="438"/>
      <c r="G893" s="438"/>
      <c r="H893" s="438"/>
      <c r="I893" s="438"/>
      <c r="J893" s="438"/>
      <c r="K893" s="438"/>
      <c r="L893" s="438"/>
      <c r="M893" s="438"/>
      <c r="N893" s="438"/>
      <c r="O893" s="438"/>
      <c r="P893" s="438"/>
      <c r="Q893" s="438"/>
      <c r="R893" s="438"/>
      <c r="S893" s="438"/>
      <c r="T893" s="438"/>
      <c r="U893" s="438"/>
      <c r="V893" s="438"/>
      <c r="W893" s="438"/>
      <c r="X893" s="438"/>
      <c r="Y893" s="438"/>
      <c r="Z893" s="438"/>
      <c r="AA893" s="438"/>
      <c r="AB893" s="438"/>
      <c r="AC893" s="438"/>
      <c r="AD893" s="438"/>
      <c r="AE893" s="438"/>
      <c r="AF893" s="438"/>
      <c r="AG893" s="438"/>
      <c r="AH893" s="438"/>
    </row>
    <row r="894">
      <c r="A894" s="438"/>
      <c r="B894" s="438"/>
      <c r="C894" s="438"/>
      <c r="D894" s="438"/>
      <c r="E894" s="438"/>
      <c r="F894" s="438"/>
      <c r="G894" s="438"/>
      <c r="H894" s="438"/>
      <c r="I894" s="438"/>
      <c r="J894" s="438"/>
      <c r="K894" s="438"/>
      <c r="L894" s="438"/>
      <c r="M894" s="438"/>
      <c r="N894" s="438"/>
      <c r="O894" s="438"/>
      <c r="P894" s="438"/>
      <c r="Q894" s="438"/>
      <c r="R894" s="438"/>
      <c r="S894" s="438"/>
      <c r="T894" s="438"/>
      <c r="U894" s="438"/>
      <c r="V894" s="438"/>
      <c r="W894" s="438"/>
      <c r="X894" s="438"/>
      <c r="Y894" s="438"/>
      <c r="Z894" s="438"/>
      <c r="AA894" s="438"/>
      <c r="AB894" s="438"/>
      <c r="AC894" s="438"/>
      <c r="AD894" s="438"/>
      <c r="AE894" s="438"/>
      <c r="AF894" s="438"/>
      <c r="AG894" s="438"/>
      <c r="AH894" s="438"/>
    </row>
    <row r="895">
      <c r="A895" s="438"/>
      <c r="B895" s="438"/>
      <c r="C895" s="438"/>
      <c r="D895" s="438"/>
      <c r="E895" s="438"/>
      <c r="F895" s="438"/>
      <c r="G895" s="438"/>
      <c r="H895" s="438"/>
      <c r="I895" s="438"/>
      <c r="J895" s="438"/>
      <c r="K895" s="438"/>
      <c r="L895" s="438"/>
      <c r="M895" s="438"/>
      <c r="N895" s="438"/>
      <c r="O895" s="438"/>
      <c r="P895" s="438"/>
      <c r="Q895" s="438"/>
      <c r="R895" s="438"/>
      <c r="S895" s="438"/>
      <c r="T895" s="438"/>
      <c r="U895" s="438"/>
      <c r="V895" s="438"/>
      <c r="W895" s="438"/>
      <c r="X895" s="438"/>
      <c r="Y895" s="438"/>
      <c r="Z895" s="438"/>
      <c r="AA895" s="438"/>
      <c r="AB895" s="438"/>
      <c r="AC895" s="438"/>
      <c r="AD895" s="438"/>
      <c r="AE895" s="438"/>
      <c r="AF895" s="438"/>
      <c r="AG895" s="438"/>
      <c r="AH895" s="438"/>
    </row>
    <row r="896">
      <c r="A896" s="438"/>
      <c r="B896" s="438"/>
      <c r="C896" s="438"/>
      <c r="D896" s="438"/>
      <c r="E896" s="438"/>
      <c r="F896" s="438"/>
      <c r="G896" s="438"/>
      <c r="H896" s="438"/>
      <c r="I896" s="438"/>
      <c r="J896" s="438"/>
      <c r="K896" s="438"/>
      <c r="L896" s="438"/>
      <c r="M896" s="438"/>
      <c r="N896" s="438"/>
      <c r="O896" s="438"/>
      <c r="P896" s="438"/>
      <c r="Q896" s="438"/>
      <c r="R896" s="438"/>
      <c r="S896" s="438"/>
      <c r="T896" s="438"/>
      <c r="U896" s="438"/>
      <c r="V896" s="438"/>
      <c r="W896" s="438"/>
      <c r="X896" s="438"/>
      <c r="Y896" s="438"/>
      <c r="Z896" s="438"/>
      <c r="AA896" s="438"/>
      <c r="AB896" s="438"/>
      <c r="AC896" s="438"/>
      <c r="AD896" s="438"/>
      <c r="AE896" s="438"/>
      <c r="AF896" s="438"/>
      <c r="AG896" s="438"/>
      <c r="AH896" s="438"/>
    </row>
    <row r="897">
      <c r="A897" s="438"/>
      <c r="B897" s="438"/>
      <c r="C897" s="438"/>
      <c r="D897" s="438"/>
      <c r="E897" s="438"/>
      <c r="F897" s="438"/>
      <c r="G897" s="438"/>
      <c r="H897" s="438"/>
      <c r="I897" s="438"/>
      <c r="J897" s="438"/>
      <c r="K897" s="438"/>
      <c r="L897" s="438"/>
      <c r="M897" s="438"/>
      <c r="N897" s="438"/>
      <c r="O897" s="438"/>
      <c r="P897" s="438"/>
      <c r="Q897" s="438"/>
      <c r="R897" s="438"/>
      <c r="S897" s="438"/>
      <c r="T897" s="438"/>
      <c r="U897" s="438"/>
      <c r="V897" s="438"/>
      <c r="W897" s="438"/>
      <c r="X897" s="438"/>
      <c r="Y897" s="438"/>
      <c r="Z897" s="438"/>
      <c r="AA897" s="438"/>
      <c r="AB897" s="438"/>
      <c r="AC897" s="438"/>
      <c r="AD897" s="438"/>
      <c r="AE897" s="438"/>
      <c r="AF897" s="438"/>
      <c r="AG897" s="438"/>
      <c r="AH897" s="438"/>
    </row>
    <row r="898">
      <c r="A898" s="438"/>
      <c r="B898" s="438"/>
      <c r="C898" s="438"/>
      <c r="D898" s="438"/>
      <c r="E898" s="438"/>
      <c r="F898" s="438"/>
      <c r="G898" s="438"/>
      <c r="H898" s="438"/>
      <c r="I898" s="438"/>
      <c r="J898" s="438"/>
      <c r="K898" s="438"/>
      <c r="L898" s="438"/>
      <c r="M898" s="438"/>
      <c r="N898" s="438"/>
      <c r="O898" s="438"/>
      <c r="P898" s="438"/>
      <c r="Q898" s="438"/>
      <c r="R898" s="438"/>
      <c r="S898" s="438"/>
      <c r="T898" s="438"/>
      <c r="U898" s="438"/>
      <c r="V898" s="438"/>
      <c r="W898" s="438"/>
      <c r="X898" s="438"/>
      <c r="Y898" s="438"/>
      <c r="Z898" s="438"/>
      <c r="AA898" s="438"/>
      <c r="AB898" s="438"/>
      <c r="AC898" s="438"/>
      <c r="AD898" s="438"/>
      <c r="AE898" s="438"/>
      <c r="AF898" s="438"/>
      <c r="AG898" s="438"/>
      <c r="AH898" s="438"/>
    </row>
    <row r="899">
      <c r="A899" s="438"/>
      <c r="B899" s="438"/>
      <c r="C899" s="438"/>
      <c r="D899" s="438"/>
      <c r="E899" s="438"/>
      <c r="F899" s="438"/>
      <c r="G899" s="438"/>
      <c r="H899" s="438"/>
      <c r="I899" s="438"/>
      <c r="J899" s="438"/>
      <c r="K899" s="438"/>
      <c r="L899" s="438"/>
      <c r="M899" s="438"/>
      <c r="N899" s="438"/>
      <c r="O899" s="438"/>
      <c r="P899" s="438"/>
      <c r="Q899" s="438"/>
      <c r="R899" s="438"/>
      <c r="S899" s="438"/>
      <c r="T899" s="438"/>
      <c r="U899" s="438"/>
      <c r="V899" s="438"/>
      <c r="W899" s="438"/>
      <c r="X899" s="438"/>
      <c r="Y899" s="438"/>
      <c r="Z899" s="438"/>
      <c r="AA899" s="438"/>
      <c r="AB899" s="438"/>
      <c r="AC899" s="438"/>
      <c r="AD899" s="438"/>
      <c r="AE899" s="438"/>
      <c r="AF899" s="438"/>
      <c r="AG899" s="438"/>
      <c r="AH899" s="438"/>
    </row>
    <row r="900">
      <c r="A900" s="438"/>
      <c r="B900" s="438"/>
      <c r="C900" s="438"/>
      <c r="D900" s="438"/>
      <c r="E900" s="438"/>
      <c r="F900" s="438"/>
      <c r="G900" s="438"/>
      <c r="H900" s="438"/>
      <c r="I900" s="438"/>
      <c r="J900" s="438"/>
      <c r="K900" s="438"/>
      <c r="L900" s="438"/>
      <c r="M900" s="438"/>
      <c r="N900" s="438"/>
      <c r="O900" s="438"/>
      <c r="P900" s="438"/>
      <c r="Q900" s="438"/>
      <c r="R900" s="438"/>
      <c r="S900" s="438"/>
      <c r="T900" s="438"/>
      <c r="U900" s="438"/>
      <c r="V900" s="438"/>
      <c r="W900" s="438"/>
      <c r="X900" s="438"/>
      <c r="Y900" s="438"/>
      <c r="Z900" s="438"/>
      <c r="AA900" s="438"/>
      <c r="AB900" s="438"/>
      <c r="AC900" s="438"/>
      <c r="AD900" s="438"/>
      <c r="AE900" s="438"/>
      <c r="AF900" s="438"/>
      <c r="AG900" s="438"/>
      <c r="AH900" s="438"/>
    </row>
    <row r="901">
      <c r="A901" s="438"/>
      <c r="B901" s="438"/>
      <c r="C901" s="438"/>
      <c r="D901" s="438"/>
      <c r="E901" s="438"/>
      <c r="F901" s="438"/>
      <c r="G901" s="438"/>
      <c r="H901" s="438"/>
      <c r="I901" s="438"/>
      <c r="J901" s="438"/>
      <c r="K901" s="438"/>
      <c r="L901" s="438"/>
      <c r="M901" s="438"/>
      <c r="N901" s="438"/>
      <c r="O901" s="438"/>
      <c r="P901" s="438"/>
      <c r="Q901" s="438"/>
      <c r="R901" s="438"/>
      <c r="S901" s="438"/>
      <c r="T901" s="438"/>
      <c r="U901" s="438"/>
      <c r="V901" s="438"/>
      <c r="W901" s="438"/>
      <c r="X901" s="438"/>
      <c r="Y901" s="438"/>
      <c r="Z901" s="438"/>
      <c r="AA901" s="438"/>
      <c r="AB901" s="438"/>
      <c r="AC901" s="438"/>
      <c r="AD901" s="438"/>
      <c r="AE901" s="438"/>
      <c r="AF901" s="438"/>
      <c r="AG901" s="438"/>
      <c r="AH901" s="438"/>
    </row>
    <row r="902">
      <c r="A902" s="438"/>
      <c r="B902" s="438"/>
      <c r="C902" s="438"/>
      <c r="D902" s="438"/>
      <c r="E902" s="438"/>
      <c r="F902" s="438"/>
      <c r="G902" s="438"/>
      <c r="H902" s="438"/>
      <c r="I902" s="438"/>
      <c r="J902" s="438"/>
      <c r="K902" s="438"/>
      <c r="L902" s="438"/>
      <c r="M902" s="438"/>
      <c r="N902" s="438"/>
      <c r="O902" s="438"/>
      <c r="P902" s="438"/>
      <c r="Q902" s="438"/>
      <c r="R902" s="438"/>
      <c r="S902" s="438"/>
      <c r="T902" s="438"/>
      <c r="U902" s="438"/>
      <c r="V902" s="438"/>
      <c r="W902" s="438"/>
      <c r="X902" s="438"/>
      <c r="Y902" s="438"/>
      <c r="Z902" s="438"/>
      <c r="AA902" s="438"/>
      <c r="AB902" s="438"/>
      <c r="AC902" s="438"/>
      <c r="AD902" s="438"/>
      <c r="AE902" s="438"/>
      <c r="AF902" s="438"/>
      <c r="AG902" s="438"/>
      <c r="AH902" s="438"/>
    </row>
    <row r="903">
      <c r="A903" s="438"/>
      <c r="B903" s="438"/>
      <c r="C903" s="438"/>
      <c r="D903" s="438"/>
      <c r="E903" s="438"/>
      <c r="F903" s="438"/>
      <c r="G903" s="438"/>
      <c r="H903" s="438"/>
      <c r="I903" s="438"/>
      <c r="J903" s="438"/>
      <c r="K903" s="438"/>
      <c r="L903" s="438"/>
      <c r="M903" s="438"/>
      <c r="N903" s="438"/>
      <c r="O903" s="438"/>
      <c r="P903" s="438"/>
      <c r="Q903" s="438"/>
      <c r="R903" s="438"/>
      <c r="S903" s="438"/>
      <c r="T903" s="438"/>
      <c r="U903" s="438"/>
      <c r="V903" s="438"/>
      <c r="W903" s="438"/>
      <c r="X903" s="438"/>
      <c r="Y903" s="438"/>
      <c r="Z903" s="438"/>
      <c r="AA903" s="438"/>
      <c r="AB903" s="438"/>
      <c r="AC903" s="438"/>
      <c r="AD903" s="438"/>
      <c r="AE903" s="438"/>
      <c r="AF903" s="438"/>
      <c r="AG903" s="438"/>
      <c r="AH903" s="438"/>
    </row>
    <row r="904">
      <c r="A904" s="438"/>
      <c r="B904" s="438"/>
      <c r="C904" s="438"/>
      <c r="D904" s="438"/>
      <c r="E904" s="438"/>
      <c r="F904" s="438"/>
      <c r="G904" s="438"/>
      <c r="H904" s="438"/>
      <c r="I904" s="438"/>
      <c r="J904" s="438"/>
      <c r="K904" s="438"/>
      <c r="L904" s="438"/>
      <c r="M904" s="438"/>
      <c r="N904" s="438"/>
      <c r="O904" s="438"/>
      <c r="P904" s="438"/>
      <c r="Q904" s="438"/>
      <c r="R904" s="438"/>
      <c r="S904" s="438"/>
      <c r="T904" s="438"/>
      <c r="U904" s="438"/>
      <c r="V904" s="438"/>
      <c r="W904" s="438"/>
      <c r="X904" s="438"/>
      <c r="Y904" s="438"/>
      <c r="Z904" s="438"/>
      <c r="AA904" s="438"/>
      <c r="AB904" s="438"/>
      <c r="AC904" s="438"/>
      <c r="AD904" s="438"/>
      <c r="AE904" s="438"/>
      <c r="AF904" s="438"/>
      <c r="AG904" s="438"/>
      <c r="AH904" s="438"/>
    </row>
    <row r="905">
      <c r="A905" s="438"/>
      <c r="B905" s="438"/>
      <c r="C905" s="438"/>
      <c r="D905" s="438"/>
      <c r="E905" s="438"/>
      <c r="F905" s="438"/>
      <c r="G905" s="438"/>
      <c r="H905" s="438"/>
      <c r="I905" s="438"/>
      <c r="J905" s="438"/>
      <c r="K905" s="438"/>
      <c r="L905" s="438"/>
      <c r="M905" s="438"/>
      <c r="N905" s="438"/>
      <c r="O905" s="438"/>
      <c r="P905" s="438"/>
      <c r="Q905" s="438"/>
      <c r="R905" s="438"/>
      <c r="S905" s="438"/>
      <c r="T905" s="438"/>
      <c r="U905" s="438"/>
      <c r="V905" s="438"/>
      <c r="W905" s="438"/>
      <c r="X905" s="438"/>
      <c r="Y905" s="438"/>
      <c r="Z905" s="438"/>
      <c r="AA905" s="438"/>
      <c r="AB905" s="438"/>
      <c r="AC905" s="438"/>
      <c r="AD905" s="438"/>
      <c r="AE905" s="438"/>
      <c r="AF905" s="438"/>
      <c r="AG905" s="438"/>
      <c r="AH905" s="438"/>
    </row>
    <row r="906">
      <c r="A906" s="438"/>
      <c r="B906" s="438"/>
      <c r="C906" s="438"/>
      <c r="D906" s="438"/>
      <c r="E906" s="438"/>
      <c r="F906" s="438"/>
      <c r="G906" s="438"/>
      <c r="H906" s="438"/>
      <c r="I906" s="438"/>
      <c r="J906" s="438"/>
      <c r="K906" s="438"/>
      <c r="L906" s="438"/>
      <c r="M906" s="438"/>
      <c r="N906" s="438"/>
      <c r="O906" s="438"/>
      <c r="P906" s="438"/>
      <c r="Q906" s="438"/>
      <c r="R906" s="438"/>
      <c r="S906" s="438"/>
      <c r="T906" s="438"/>
      <c r="U906" s="438"/>
      <c r="V906" s="438"/>
      <c r="W906" s="438"/>
      <c r="X906" s="438"/>
      <c r="Y906" s="438"/>
      <c r="Z906" s="438"/>
      <c r="AA906" s="438"/>
      <c r="AB906" s="438"/>
      <c r="AC906" s="438"/>
      <c r="AD906" s="438"/>
      <c r="AE906" s="438"/>
      <c r="AF906" s="438"/>
      <c r="AG906" s="438"/>
      <c r="AH906" s="438"/>
    </row>
    <row r="907">
      <c r="A907" s="438"/>
      <c r="B907" s="438"/>
      <c r="C907" s="438"/>
      <c r="D907" s="438"/>
      <c r="E907" s="438"/>
      <c r="F907" s="438"/>
      <c r="G907" s="438"/>
      <c r="H907" s="438"/>
      <c r="I907" s="438"/>
      <c r="J907" s="438"/>
      <c r="K907" s="438"/>
      <c r="L907" s="438"/>
      <c r="M907" s="438"/>
      <c r="N907" s="438"/>
      <c r="O907" s="438"/>
      <c r="P907" s="438"/>
      <c r="Q907" s="438"/>
      <c r="R907" s="438"/>
      <c r="S907" s="438"/>
      <c r="T907" s="438"/>
      <c r="U907" s="438"/>
      <c r="V907" s="438"/>
      <c r="W907" s="438"/>
      <c r="X907" s="438"/>
      <c r="Y907" s="438"/>
      <c r="Z907" s="438"/>
      <c r="AA907" s="438"/>
      <c r="AB907" s="438"/>
      <c r="AC907" s="438"/>
      <c r="AD907" s="438"/>
      <c r="AE907" s="438"/>
      <c r="AF907" s="438"/>
      <c r="AG907" s="438"/>
      <c r="AH907" s="438"/>
    </row>
    <row r="908">
      <c r="A908" s="438"/>
      <c r="B908" s="438"/>
      <c r="C908" s="438"/>
      <c r="D908" s="438"/>
      <c r="E908" s="438"/>
      <c r="F908" s="438"/>
      <c r="G908" s="438"/>
      <c r="H908" s="438"/>
      <c r="I908" s="438"/>
      <c r="J908" s="438"/>
      <c r="K908" s="438"/>
      <c r="L908" s="438"/>
      <c r="M908" s="438"/>
      <c r="N908" s="438"/>
      <c r="O908" s="438"/>
      <c r="P908" s="438"/>
      <c r="Q908" s="438"/>
      <c r="R908" s="438"/>
      <c r="S908" s="438"/>
      <c r="T908" s="438"/>
      <c r="U908" s="438"/>
      <c r="V908" s="438"/>
      <c r="W908" s="438"/>
      <c r="X908" s="438"/>
      <c r="Y908" s="438"/>
      <c r="Z908" s="438"/>
      <c r="AA908" s="438"/>
      <c r="AB908" s="438"/>
      <c r="AC908" s="438"/>
      <c r="AD908" s="438"/>
      <c r="AE908" s="438"/>
      <c r="AF908" s="438"/>
      <c r="AG908" s="438"/>
      <c r="AH908" s="438"/>
    </row>
    <row r="909">
      <c r="A909" s="438"/>
      <c r="B909" s="438"/>
      <c r="C909" s="438"/>
      <c r="D909" s="438"/>
      <c r="E909" s="438"/>
      <c r="F909" s="438"/>
      <c r="G909" s="438"/>
      <c r="H909" s="438"/>
      <c r="I909" s="438"/>
      <c r="J909" s="438"/>
      <c r="K909" s="438"/>
      <c r="L909" s="438"/>
      <c r="M909" s="438"/>
      <c r="N909" s="438"/>
      <c r="O909" s="438"/>
      <c r="P909" s="438"/>
      <c r="Q909" s="438"/>
      <c r="R909" s="438"/>
      <c r="S909" s="438"/>
      <c r="T909" s="438"/>
      <c r="U909" s="438"/>
      <c r="V909" s="438"/>
      <c r="W909" s="438"/>
      <c r="X909" s="438"/>
      <c r="Y909" s="438"/>
      <c r="Z909" s="438"/>
      <c r="AA909" s="438"/>
      <c r="AB909" s="438"/>
      <c r="AC909" s="438"/>
      <c r="AD909" s="438"/>
      <c r="AE909" s="438"/>
      <c r="AF909" s="438"/>
      <c r="AG909" s="438"/>
      <c r="AH909" s="438"/>
    </row>
    <row r="910">
      <c r="A910" s="438"/>
      <c r="B910" s="438"/>
      <c r="C910" s="438"/>
      <c r="D910" s="438"/>
      <c r="E910" s="438"/>
      <c r="F910" s="438"/>
      <c r="G910" s="438"/>
      <c r="H910" s="438"/>
      <c r="I910" s="438"/>
      <c r="J910" s="438"/>
      <c r="K910" s="438"/>
      <c r="L910" s="438"/>
      <c r="M910" s="438"/>
      <c r="N910" s="438"/>
      <c r="O910" s="438"/>
      <c r="P910" s="438"/>
      <c r="Q910" s="438"/>
      <c r="R910" s="438"/>
      <c r="S910" s="438"/>
      <c r="T910" s="438"/>
      <c r="U910" s="438"/>
      <c r="V910" s="438"/>
      <c r="W910" s="438"/>
      <c r="X910" s="438"/>
      <c r="Y910" s="438"/>
      <c r="Z910" s="438"/>
      <c r="AA910" s="438"/>
      <c r="AB910" s="438"/>
      <c r="AC910" s="438"/>
      <c r="AD910" s="438"/>
      <c r="AE910" s="438"/>
      <c r="AF910" s="438"/>
      <c r="AG910" s="438"/>
      <c r="AH910" s="438"/>
    </row>
    <row r="911">
      <c r="A911" s="438"/>
      <c r="B911" s="438"/>
      <c r="C911" s="438"/>
      <c r="D911" s="438"/>
      <c r="E911" s="438"/>
      <c r="F911" s="438"/>
      <c r="G911" s="438"/>
      <c r="H911" s="438"/>
      <c r="I911" s="438"/>
      <c r="J911" s="438"/>
      <c r="K911" s="438"/>
      <c r="L911" s="438"/>
      <c r="M911" s="438"/>
      <c r="N911" s="438"/>
      <c r="O911" s="438"/>
      <c r="P911" s="438"/>
      <c r="Q911" s="438"/>
      <c r="R911" s="438"/>
      <c r="S911" s="438"/>
      <c r="T911" s="438"/>
      <c r="U911" s="438"/>
      <c r="V911" s="438"/>
      <c r="W911" s="438"/>
      <c r="X911" s="438"/>
      <c r="Y911" s="438"/>
      <c r="Z911" s="438"/>
      <c r="AA911" s="438"/>
      <c r="AB911" s="438"/>
      <c r="AC911" s="438"/>
      <c r="AD911" s="438"/>
      <c r="AE911" s="438"/>
      <c r="AF911" s="438"/>
      <c r="AG911" s="438"/>
      <c r="AH911" s="438"/>
    </row>
    <row r="912">
      <c r="A912" s="438"/>
      <c r="B912" s="438"/>
      <c r="C912" s="438"/>
      <c r="D912" s="438"/>
      <c r="E912" s="438"/>
      <c r="F912" s="438"/>
      <c r="G912" s="438"/>
      <c r="H912" s="438"/>
      <c r="I912" s="438"/>
      <c r="J912" s="438"/>
      <c r="K912" s="438"/>
      <c r="L912" s="438"/>
      <c r="M912" s="438"/>
      <c r="N912" s="438"/>
      <c r="O912" s="438"/>
      <c r="P912" s="438"/>
      <c r="Q912" s="438"/>
      <c r="R912" s="438"/>
      <c r="S912" s="438"/>
      <c r="T912" s="438"/>
      <c r="U912" s="438"/>
      <c r="V912" s="438"/>
      <c r="W912" s="438"/>
      <c r="X912" s="438"/>
      <c r="Y912" s="438"/>
      <c r="Z912" s="438"/>
      <c r="AA912" s="438"/>
      <c r="AB912" s="438"/>
      <c r="AC912" s="438"/>
      <c r="AD912" s="438"/>
      <c r="AE912" s="438"/>
      <c r="AF912" s="438"/>
      <c r="AG912" s="438"/>
      <c r="AH912" s="438"/>
    </row>
    <row r="913">
      <c r="A913" s="438"/>
      <c r="B913" s="438"/>
      <c r="C913" s="438"/>
      <c r="D913" s="438"/>
      <c r="E913" s="438"/>
      <c r="F913" s="438"/>
      <c r="G913" s="438"/>
      <c r="H913" s="438"/>
      <c r="I913" s="438"/>
      <c r="J913" s="438"/>
      <c r="K913" s="438"/>
      <c r="L913" s="438"/>
      <c r="M913" s="438"/>
      <c r="N913" s="438"/>
      <c r="O913" s="438"/>
      <c r="P913" s="438"/>
      <c r="Q913" s="438"/>
      <c r="R913" s="438"/>
      <c r="S913" s="438"/>
      <c r="T913" s="438"/>
      <c r="U913" s="438"/>
      <c r="V913" s="438"/>
      <c r="W913" s="438"/>
      <c r="X913" s="438"/>
      <c r="Y913" s="438"/>
      <c r="Z913" s="438"/>
      <c r="AA913" s="438"/>
      <c r="AB913" s="438"/>
      <c r="AC913" s="438"/>
      <c r="AD913" s="438"/>
      <c r="AE913" s="438"/>
      <c r="AF913" s="438"/>
      <c r="AG913" s="438"/>
      <c r="AH913" s="438"/>
    </row>
    <row r="914">
      <c r="A914" s="438"/>
      <c r="B914" s="438"/>
      <c r="C914" s="438"/>
      <c r="D914" s="438"/>
      <c r="E914" s="438"/>
      <c r="F914" s="438"/>
      <c r="G914" s="438"/>
      <c r="H914" s="438"/>
      <c r="I914" s="438"/>
      <c r="J914" s="438"/>
      <c r="K914" s="438"/>
      <c r="L914" s="438"/>
      <c r="M914" s="438"/>
      <c r="N914" s="438"/>
      <c r="O914" s="438"/>
      <c r="P914" s="438"/>
      <c r="Q914" s="438"/>
      <c r="R914" s="438"/>
      <c r="S914" s="438"/>
      <c r="T914" s="438"/>
      <c r="U914" s="438"/>
      <c r="V914" s="438"/>
      <c r="W914" s="438"/>
      <c r="X914" s="438"/>
      <c r="Y914" s="438"/>
      <c r="Z914" s="438"/>
      <c r="AA914" s="438"/>
      <c r="AB914" s="438"/>
      <c r="AC914" s="438"/>
      <c r="AD914" s="438"/>
      <c r="AE914" s="438"/>
      <c r="AF914" s="438"/>
      <c r="AG914" s="438"/>
      <c r="AH914" s="438"/>
    </row>
    <row r="915">
      <c r="A915" s="438"/>
      <c r="B915" s="438"/>
      <c r="C915" s="438"/>
      <c r="D915" s="438"/>
      <c r="E915" s="438"/>
      <c r="F915" s="438"/>
      <c r="G915" s="438"/>
      <c r="H915" s="438"/>
      <c r="I915" s="438"/>
      <c r="J915" s="438"/>
      <c r="K915" s="438"/>
      <c r="L915" s="438"/>
      <c r="M915" s="438"/>
      <c r="N915" s="438"/>
      <c r="O915" s="438"/>
      <c r="P915" s="438"/>
      <c r="Q915" s="438"/>
      <c r="R915" s="438"/>
      <c r="S915" s="438"/>
      <c r="T915" s="438"/>
      <c r="U915" s="438"/>
      <c r="V915" s="438"/>
      <c r="W915" s="438"/>
      <c r="X915" s="438"/>
      <c r="Y915" s="438"/>
      <c r="Z915" s="438"/>
      <c r="AA915" s="438"/>
      <c r="AB915" s="438"/>
      <c r="AC915" s="438"/>
      <c r="AD915" s="438"/>
      <c r="AE915" s="438"/>
      <c r="AF915" s="438"/>
      <c r="AG915" s="438"/>
      <c r="AH915" s="438"/>
    </row>
    <row r="916">
      <c r="A916" s="438"/>
      <c r="B916" s="438"/>
      <c r="C916" s="438"/>
      <c r="D916" s="438"/>
      <c r="E916" s="438"/>
      <c r="F916" s="438"/>
      <c r="G916" s="438"/>
      <c r="H916" s="438"/>
      <c r="I916" s="438"/>
      <c r="J916" s="438"/>
      <c r="K916" s="438"/>
      <c r="L916" s="438"/>
      <c r="M916" s="438"/>
      <c r="N916" s="438"/>
      <c r="O916" s="438"/>
      <c r="P916" s="438"/>
      <c r="Q916" s="438"/>
      <c r="R916" s="438"/>
      <c r="S916" s="438"/>
      <c r="T916" s="438"/>
      <c r="U916" s="438"/>
      <c r="V916" s="438"/>
      <c r="W916" s="438"/>
      <c r="X916" s="438"/>
      <c r="Y916" s="438"/>
      <c r="Z916" s="438"/>
      <c r="AA916" s="438"/>
      <c r="AB916" s="438"/>
      <c r="AC916" s="438"/>
      <c r="AD916" s="438"/>
      <c r="AE916" s="438"/>
      <c r="AF916" s="438"/>
      <c r="AG916" s="438"/>
      <c r="AH916" s="438"/>
    </row>
    <row r="917">
      <c r="A917" s="438"/>
      <c r="B917" s="438"/>
      <c r="C917" s="438"/>
      <c r="D917" s="438"/>
      <c r="E917" s="438"/>
      <c r="F917" s="438"/>
      <c r="G917" s="438"/>
      <c r="H917" s="438"/>
      <c r="I917" s="438"/>
      <c r="J917" s="438"/>
      <c r="K917" s="438"/>
      <c r="L917" s="438"/>
      <c r="M917" s="438"/>
      <c r="N917" s="438"/>
      <c r="O917" s="438"/>
      <c r="P917" s="438"/>
      <c r="Q917" s="438"/>
      <c r="R917" s="438"/>
      <c r="S917" s="438"/>
      <c r="T917" s="438"/>
      <c r="U917" s="438"/>
      <c r="V917" s="438"/>
      <c r="W917" s="438"/>
      <c r="X917" s="438"/>
      <c r="Y917" s="438"/>
      <c r="Z917" s="438"/>
      <c r="AA917" s="438"/>
      <c r="AB917" s="438"/>
      <c r="AC917" s="438"/>
      <c r="AD917" s="438"/>
      <c r="AE917" s="438"/>
      <c r="AF917" s="438"/>
      <c r="AG917" s="438"/>
      <c r="AH917" s="438"/>
    </row>
    <row r="918">
      <c r="A918" s="438"/>
      <c r="B918" s="438"/>
      <c r="C918" s="438"/>
      <c r="D918" s="438"/>
      <c r="E918" s="438"/>
      <c r="F918" s="438"/>
      <c r="G918" s="438"/>
      <c r="H918" s="438"/>
      <c r="I918" s="438"/>
      <c r="J918" s="438"/>
      <c r="K918" s="438"/>
      <c r="L918" s="438"/>
      <c r="M918" s="438"/>
      <c r="N918" s="438"/>
      <c r="O918" s="438"/>
      <c r="P918" s="438"/>
      <c r="Q918" s="438"/>
      <c r="R918" s="438"/>
      <c r="S918" s="438"/>
      <c r="T918" s="438"/>
      <c r="U918" s="438"/>
      <c r="V918" s="438"/>
      <c r="W918" s="438"/>
      <c r="X918" s="438"/>
      <c r="Y918" s="438"/>
      <c r="Z918" s="438"/>
      <c r="AA918" s="438"/>
      <c r="AB918" s="438"/>
      <c r="AC918" s="438"/>
      <c r="AD918" s="438"/>
      <c r="AE918" s="438"/>
      <c r="AF918" s="438"/>
      <c r="AG918" s="438"/>
      <c r="AH918" s="438"/>
    </row>
    <row r="919">
      <c r="A919" s="438"/>
      <c r="B919" s="438"/>
      <c r="C919" s="438"/>
      <c r="D919" s="438"/>
      <c r="E919" s="438"/>
      <c r="F919" s="438"/>
      <c r="G919" s="438"/>
      <c r="H919" s="438"/>
      <c r="I919" s="438"/>
      <c r="J919" s="438"/>
      <c r="K919" s="438"/>
      <c r="L919" s="438"/>
      <c r="M919" s="438"/>
      <c r="N919" s="438"/>
      <c r="O919" s="438"/>
      <c r="P919" s="438"/>
      <c r="Q919" s="438"/>
      <c r="R919" s="438"/>
      <c r="S919" s="438"/>
      <c r="T919" s="438"/>
      <c r="U919" s="438"/>
      <c r="V919" s="438"/>
      <c r="W919" s="438"/>
      <c r="X919" s="438"/>
      <c r="Y919" s="438"/>
      <c r="Z919" s="438"/>
      <c r="AA919" s="438"/>
      <c r="AB919" s="438"/>
      <c r="AC919" s="438"/>
      <c r="AD919" s="438"/>
      <c r="AE919" s="438"/>
      <c r="AF919" s="438"/>
      <c r="AG919" s="438"/>
      <c r="AH919" s="438"/>
    </row>
    <row r="920">
      <c r="A920" s="438"/>
      <c r="B920" s="438"/>
      <c r="C920" s="438"/>
      <c r="D920" s="438"/>
      <c r="E920" s="438"/>
      <c r="F920" s="438"/>
      <c r="G920" s="438"/>
      <c r="H920" s="438"/>
      <c r="I920" s="438"/>
      <c r="J920" s="438"/>
      <c r="K920" s="438"/>
      <c r="L920" s="438"/>
      <c r="M920" s="438"/>
      <c r="N920" s="438"/>
      <c r="O920" s="438"/>
      <c r="P920" s="438"/>
      <c r="Q920" s="438"/>
      <c r="R920" s="438"/>
      <c r="S920" s="438"/>
      <c r="T920" s="438"/>
      <c r="U920" s="438"/>
      <c r="V920" s="438"/>
      <c r="W920" s="438"/>
      <c r="X920" s="438"/>
      <c r="Y920" s="438"/>
      <c r="Z920" s="438"/>
      <c r="AA920" s="438"/>
      <c r="AB920" s="438"/>
      <c r="AC920" s="438"/>
      <c r="AD920" s="438"/>
      <c r="AE920" s="438"/>
      <c r="AF920" s="438"/>
      <c r="AG920" s="438"/>
      <c r="AH920" s="438"/>
    </row>
    <row r="921">
      <c r="A921" s="438"/>
      <c r="B921" s="438"/>
      <c r="C921" s="438"/>
      <c r="D921" s="438"/>
      <c r="E921" s="438"/>
      <c r="F921" s="438"/>
      <c r="G921" s="438"/>
      <c r="H921" s="438"/>
      <c r="I921" s="438"/>
      <c r="J921" s="438"/>
      <c r="K921" s="438"/>
      <c r="L921" s="438"/>
      <c r="M921" s="438"/>
      <c r="N921" s="438"/>
      <c r="O921" s="438"/>
      <c r="P921" s="438"/>
      <c r="Q921" s="438"/>
      <c r="R921" s="438"/>
      <c r="S921" s="438"/>
      <c r="T921" s="438"/>
      <c r="U921" s="438"/>
      <c r="V921" s="438"/>
      <c r="W921" s="438"/>
      <c r="X921" s="438"/>
      <c r="Y921" s="438"/>
      <c r="Z921" s="438"/>
      <c r="AA921" s="438"/>
      <c r="AB921" s="438"/>
      <c r="AC921" s="438"/>
      <c r="AD921" s="438"/>
      <c r="AE921" s="438"/>
      <c r="AF921" s="438"/>
      <c r="AG921" s="438"/>
      <c r="AH921" s="438"/>
    </row>
    <row r="922">
      <c r="A922" s="438"/>
      <c r="B922" s="438"/>
      <c r="C922" s="438"/>
      <c r="D922" s="438"/>
      <c r="E922" s="438"/>
      <c r="F922" s="438"/>
      <c r="G922" s="438"/>
      <c r="H922" s="438"/>
      <c r="I922" s="438"/>
      <c r="J922" s="438"/>
      <c r="K922" s="438"/>
      <c r="L922" s="438"/>
      <c r="M922" s="438"/>
      <c r="N922" s="438"/>
      <c r="O922" s="438"/>
      <c r="P922" s="438"/>
      <c r="Q922" s="438"/>
      <c r="R922" s="438"/>
      <c r="S922" s="438"/>
      <c r="T922" s="438"/>
      <c r="U922" s="438"/>
      <c r="V922" s="438"/>
      <c r="W922" s="438"/>
      <c r="X922" s="438"/>
      <c r="Y922" s="438"/>
      <c r="Z922" s="438"/>
      <c r="AA922" s="438"/>
      <c r="AB922" s="438"/>
      <c r="AC922" s="438"/>
      <c r="AD922" s="438"/>
      <c r="AE922" s="438"/>
      <c r="AF922" s="438"/>
      <c r="AG922" s="438"/>
      <c r="AH922" s="438"/>
    </row>
    <row r="923">
      <c r="A923" s="438"/>
      <c r="B923" s="438"/>
      <c r="C923" s="438"/>
      <c r="D923" s="438"/>
      <c r="E923" s="438"/>
      <c r="F923" s="438"/>
      <c r="G923" s="438"/>
      <c r="H923" s="438"/>
      <c r="I923" s="438"/>
      <c r="J923" s="438"/>
      <c r="K923" s="438"/>
      <c r="L923" s="438"/>
      <c r="M923" s="438"/>
      <c r="N923" s="438"/>
      <c r="O923" s="438"/>
      <c r="P923" s="438"/>
      <c r="Q923" s="438"/>
      <c r="R923" s="438"/>
      <c r="S923" s="438"/>
      <c r="T923" s="438"/>
      <c r="U923" s="438"/>
      <c r="V923" s="438"/>
      <c r="W923" s="438"/>
      <c r="X923" s="438"/>
      <c r="Y923" s="438"/>
      <c r="Z923" s="438"/>
      <c r="AA923" s="438"/>
      <c r="AB923" s="438"/>
      <c r="AC923" s="438"/>
      <c r="AD923" s="438"/>
      <c r="AE923" s="438"/>
      <c r="AF923" s="438"/>
      <c r="AG923" s="438"/>
      <c r="AH923" s="438"/>
    </row>
    <row r="924">
      <c r="A924" s="438"/>
      <c r="B924" s="438"/>
      <c r="C924" s="438"/>
      <c r="D924" s="438"/>
      <c r="E924" s="438"/>
      <c r="F924" s="438"/>
      <c r="G924" s="438"/>
      <c r="H924" s="438"/>
      <c r="I924" s="438"/>
      <c r="J924" s="438"/>
      <c r="K924" s="438"/>
      <c r="L924" s="438"/>
      <c r="M924" s="438"/>
      <c r="N924" s="438"/>
      <c r="O924" s="438"/>
      <c r="P924" s="438"/>
      <c r="Q924" s="438"/>
      <c r="R924" s="438"/>
      <c r="S924" s="438"/>
      <c r="T924" s="438"/>
      <c r="U924" s="438"/>
      <c r="V924" s="438"/>
      <c r="W924" s="438"/>
      <c r="X924" s="438"/>
      <c r="Y924" s="438"/>
      <c r="Z924" s="438"/>
      <c r="AA924" s="438"/>
      <c r="AB924" s="438"/>
      <c r="AC924" s="438"/>
      <c r="AD924" s="438"/>
      <c r="AE924" s="438"/>
      <c r="AF924" s="438"/>
      <c r="AG924" s="438"/>
      <c r="AH924" s="438"/>
    </row>
    <row r="925">
      <c r="A925" s="438"/>
      <c r="B925" s="438"/>
      <c r="C925" s="438"/>
      <c r="D925" s="438"/>
      <c r="E925" s="438"/>
      <c r="F925" s="438"/>
      <c r="G925" s="438"/>
      <c r="H925" s="438"/>
      <c r="I925" s="438"/>
      <c r="J925" s="438"/>
      <c r="K925" s="438"/>
      <c r="L925" s="438"/>
      <c r="M925" s="438"/>
      <c r="N925" s="438"/>
      <c r="O925" s="438"/>
      <c r="P925" s="438"/>
      <c r="Q925" s="438"/>
      <c r="R925" s="438"/>
      <c r="S925" s="438"/>
      <c r="T925" s="438"/>
      <c r="U925" s="438"/>
      <c r="V925" s="438"/>
      <c r="W925" s="438"/>
      <c r="X925" s="438"/>
      <c r="Y925" s="438"/>
      <c r="Z925" s="438"/>
      <c r="AA925" s="438"/>
      <c r="AB925" s="438"/>
      <c r="AC925" s="438"/>
      <c r="AD925" s="438"/>
      <c r="AE925" s="438"/>
      <c r="AF925" s="438"/>
      <c r="AG925" s="438"/>
      <c r="AH925" s="438"/>
    </row>
    <row r="926">
      <c r="A926" s="438"/>
      <c r="B926" s="438"/>
      <c r="C926" s="438"/>
      <c r="D926" s="438"/>
      <c r="E926" s="438"/>
      <c r="F926" s="438"/>
      <c r="G926" s="438"/>
      <c r="H926" s="438"/>
      <c r="I926" s="438"/>
      <c r="J926" s="438"/>
      <c r="K926" s="438"/>
      <c r="L926" s="438"/>
      <c r="M926" s="438"/>
      <c r="N926" s="438"/>
      <c r="O926" s="438"/>
      <c r="P926" s="438"/>
      <c r="Q926" s="438"/>
      <c r="R926" s="438"/>
      <c r="S926" s="438"/>
      <c r="T926" s="438"/>
      <c r="U926" s="438"/>
      <c r="V926" s="438"/>
      <c r="W926" s="438"/>
      <c r="X926" s="438"/>
      <c r="Y926" s="438"/>
      <c r="Z926" s="438"/>
      <c r="AA926" s="438"/>
      <c r="AB926" s="438"/>
      <c r="AC926" s="438"/>
      <c r="AD926" s="438"/>
      <c r="AE926" s="438"/>
      <c r="AF926" s="438"/>
      <c r="AG926" s="438"/>
      <c r="AH926" s="438"/>
    </row>
    <row r="927">
      <c r="A927" s="438"/>
      <c r="B927" s="438"/>
      <c r="C927" s="438"/>
      <c r="D927" s="438"/>
      <c r="E927" s="438"/>
      <c r="F927" s="438"/>
      <c r="G927" s="438"/>
      <c r="H927" s="438"/>
      <c r="I927" s="438"/>
      <c r="J927" s="438"/>
      <c r="K927" s="438"/>
      <c r="L927" s="438"/>
      <c r="M927" s="438"/>
      <c r="N927" s="438"/>
      <c r="O927" s="438"/>
      <c r="P927" s="438"/>
      <c r="Q927" s="438"/>
      <c r="R927" s="438"/>
      <c r="S927" s="438"/>
      <c r="T927" s="438"/>
      <c r="U927" s="438"/>
      <c r="V927" s="438"/>
      <c r="W927" s="438"/>
      <c r="X927" s="438"/>
      <c r="Y927" s="438"/>
      <c r="Z927" s="438"/>
      <c r="AA927" s="438"/>
      <c r="AB927" s="438"/>
      <c r="AC927" s="438"/>
      <c r="AD927" s="438"/>
      <c r="AE927" s="438"/>
      <c r="AF927" s="438"/>
      <c r="AG927" s="438"/>
      <c r="AH927" s="438"/>
    </row>
    <row r="928">
      <c r="A928" s="438"/>
      <c r="B928" s="438"/>
      <c r="C928" s="438"/>
      <c r="D928" s="438"/>
      <c r="E928" s="438"/>
      <c r="F928" s="438"/>
      <c r="G928" s="438"/>
      <c r="H928" s="438"/>
      <c r="I928" s="438"/>
      <c r="J928" s="438"/>
      <c r="K928" s="438"/>
      <c r="L928" s="438"/>
      <c r="M928" s="438"/>
      <c r="N928" s="438"/>
      <c r="O928" s="438"/>
      <c r="P928" s="438"/>
      <c r="Q928" s="438"/>
      <c r="R928" s="438"/>
      <c r="S928" s="438"/>
      <c r="T928" s="438"/>
      <c r="U928" s="438"/>
      <c r="V928" s="438"/>
      <c r="W928" s="438"/>
      <c r="X928" s="438"/>
      <c r="Y928" s="438"/>
      <c r="Z928" s="438"/>
      <c r="AA928" s="438"/>
      <c r="AB928" s="438"/>
      <c r="AC928" s="438"/>
      <c r="AD928" s="438"/>
      <c r="AE928" s="438"/>
      <c r="AF928" s="438"/>
      <c r="AG928" s="438"/>
      <c r="AH928" s="438"/>
    </row>
    <row r="929">
      <c r="A929" s="438"/>
      <c r="B929" s="438"/>
      <c r="C929" s="438"/>
      <c r="D929" s="438"/>
      <c r="E929" s="438"/>
      <c r="F929" s="438"/>
      <c r="G929" s="438"/>
      <c r="H929" s="438"/>
      <c r="I929" s="438"/>
      <c r="J929" s="438"/>
      <c r="K929" s="438"/>
      <c r="L929" s="438"/>
      <c r="M929" s="438"/>
      <c r="N929" s="438"/>
      <c r="O929" s="438"/>
      <c r="P929" s="438"/>
      <c r="Q929" s="438"/>
      <c r="R929" s="438"/>
      <c r="S929" s="438"/>
      <c r="T929" s="438"/>
      <c r="U929" s="438"/>
      <c r="V929" s="438"/>
      <c r="W929" s="438"/>
      <c r="X929" s="438"/>
      <c r="Y929" s="438"/>
      <c r="Z929" s="438"/>
      <c r="AA929" s="438"/>
      <c r="AB929" s="438"/>
      <c r="AC929" s="438"/>
      <c r="AD929" s="438"/>
      <c r="AE929" s="438"/>
      <c r="AF929" s="438"/>
      <c r="AG929" s="438"/>
      <c r="AH929" s="438"/>
    </row>
    <row r="930">
      <c r="A930" s="438"/>
      <c r="B930" s="438"/>
      <c r="C930" s="438"/>
      <c r="D930" s="438"/>
      <c r="E930" s="438"/>
      <c r="F930" s="438"/>
      <c r="G930" s="438"/>
      <c r="H930" s="438"/>
      <c r="I930" s="438"/>
      <c r="J930" s="438"/>
      <c r="K930" s="438"/>
      <c r="L930" s="438"/>
      <c r="M930" s="438"/>
      <c r="N930" s="438"/>
      <c r="O930" s="438"/>
      <c r="P930" s="438"/>
      <c r="Q930" s="438"/>
      <c r="R930" s="438"/>
      <c r="S930" s="438"/>
      <c r="T930" s="438"/>
      <c r="U930" s="438"/>
      <c r="V930" s="438"/>
      <c r="W930" s="438"/>
      <c r="X930" s="438"/>
      <c r="Y930" s="438"/>
      <c r="Z930" s="438"/>
      <c r="AA930" s="438"/>
      <c r="AB930" s="438"/>
      <c r="AC930" s="438"/>
      <c r="AD930" s="438"/>
      <c r="AE930" s="438"/>
      <c r="AF930" s="438"/>
      <c r="AG930" s="438"/>
      <c r="AH930" s="438"/>
    </row>
    <row r="931">
      <c r="A931" s="438"/>
      <c r="B931" s="438"/>
      <c r="C931" s="438"/>
      <c r="D931" s="438"/>
      <c r="E931" s="438"/>
      <c r="F931" s="438"/>
      <c r="G931" s="438"/>
      <c r="H931" s="438"/>
      <c r="I931" s="438"/>
      <c r="J931" s="438"/>
      <c r="K931" s="438"/>
      <c r="L931" s="438"/>
      <c r="M931" s="438"/>
      <c r="N931" s="438"/>
      <c r="O931" s="438"/>
      <c r="P931" s="438"/>
      <c r="Q931" s="438"/>
      <c r="R931" s="438"/>
      <c r="S931" s="438"/>
      <c r="T931" s="438"/>
      <c r="U931" s="438"/>
      <c r="V931" s="438"/>
      <c r="W931" s="438"/>
      <c r="X931" s="438"/>
      <c r="Y931" s="438"/>
      <c r="Z931" s="438"/>
      <c r="AA931" s="438"/>
      <c r="AB931" s="438"/>
      <c r="AC931" s="438"/>
      <c r="AD931" s="438"/>
      <c r="AE931" s="438"/>
      <c r="AF931" s="438"/>
      <c r="AG931" s="438"/>
      <c r="AH931" s="438"/>
    </row>
    <row r="932">
      <c r="A932" s="438"/>
      <c r="B932" s="438"/>
      <c r="C932" s="438"/>
      <c r="D932" s="438"/>
      <c r="E932" s="438"/>
      <c r="F932" s="438"/>
      <c r="G932" s="438"/>
      <c r="H932" s="438"/>
      <c r="I932" s="438"/>
      <c r="J932" s="438"/>
      <c r="K932" s="438"/>
      <c r="L932" s="438"/>
      <c r="M932" s="438"/>
      <c r="N932" s="438"/>
      <c r="O932" s="438"/>
      <c r="P932" s="438"/>
      <c r="Q932" s="438"/>
      <c r="R932" s="438"/>
      <c r="S932" s="438"/>
      <c r="T932" s="438"/>
      <c r="U932" s="438"/>
      <c r="V932" s="438"/>
      <c r="W932" s="438"/>
      <c r="X932" s="438"/>
      <c r="Y932" s="438"/>
      <c r="Z932" s="438"/>
      <c r="AA932" s="438"/>
      <c r="AB932" s="438"/>
      <c r="AC932" s="438"/>
      <c r="AD932" s="438"/>
      <c r="AE932" s="438"/>
      <c r="AF932" s="438"/>
      <c r="AG932" s="438"/>
      <c r="AH932" s="438"/>
    </row>
    <row r="933">
      <c r="A933" s="438"/>
      <c r="B933" s="438"/>
      <c r="C933" s="438"/>
      <c r="D933" s="438"/>
      <c r="E933" s="438"/>
      <c r="F933" s="438"/>
      <c r="G933" s="438"/>
      <c r="H933" s="438"/>
      <c r="I933" s="438"/>
      <c r="J933" s="438"/>
      <c r="K933" s="438"/>
      <c r="L933" s="438"/>
      <c r="M933" s="438"/>
      <c r="N933" s="438"/>
      <c r="O933" s="438"/>
      <c r="P933" s="438"/>
      <c r="Q933" s="438"/>
      <c r="R933" s="438"/>
      <c r="S933" s="438"/>
      <c r="T933" s="438"/>
      <c r="U933" s="438"/>
      <c r="V933" s="438"/>
      <c r="W933" s="438"/>
      <c r="X933" s="438"/>
      <c r="Y933" s="438"/>
      <c r="Z933" s="438"/>
      <c r="AA933" s="438"/>
      <c r="AB933" s="438"/>
      <c r="AC933" s="438"/>
      <c r="AD933" s="438"/>
      <c r="AE933" s="438"/>
      <c r="AF933" s="438"/>
      <c r="AG933" s="438"/>
      <c r="AH933" s="438"/>
    </row>
    <row r="934">
      <c r="A934" s="438"/>
      <c r="B934" s="438"/>
      <c r="C934" s="438"/>
      <c r="D934" s="438"/>
      <c r="E934" s="438"/>
      <c r="F934" s="438"/>
      <c r="G934" s="438"/>
      <c r="H934" s="438"/>
      <c r="I934" s="438"/>
      <c r="J934" s="438"/>
      <c r="K934" s="438"/>
      <c r="L934" s="438"/>
      <c r="M934" s="438"/>
      <c r="N934" s="438"/>
      <c r="O934" s="438"/>
      <c r="P934" s="438"/>
      <c r="Q934" s="438"/>
      <c r="R934" s="438"/>
      <c r="S934" s="438"/>
      <c r="T934" s="438"/>
      <c r="U934" s="438"/>
      <c r="V934" s="438"/>
      <c r="W934" s="438"/>
      <c r="X934" s="438"/>
      <c r="Y934" s="438"/>
      <c r="Z934" s="438"/>
      <c r="AA934" s="438"/>
      <c r="AB934" s="438"/>
      <c r="AC934" s="438"/>
      <c r="AD934" s="438"/>
      <c r="AE934" s="438"/>
      <c r="AF934" s="438"/>
      <c r="AG934" s="438"/>
      <c r="AH934" s="438"/>
    </row>
    <row r="935">
      <c r="A935" s="438"/>
      <c r="B935" s="438"/>
      <c r="C935" s="438"/>
      <c r="D935" s="438"/>
      <c r="E935" s="438"/>
      <c r="F935" s="438"/>
      <c r="G935" s="438"/>
      <c r="H935" s="438"/>
      <c r="I935" s="438"/>
      <c r="J935" s="438"/>
      <c r="K935" s="438"/>
      <c r="L935" s="438"/>
      <c r="M935" s="438"/>
      <c r="N935" s="438"/>
      <c r="O935" s="438"/>
      <c r="P935" s="438"/>
      <c r="Q935" s="438"/>
      <c r="R935" s="438"/>
      <c r="S935" s="438"/>
      <c r="T935" s="438"/>
      <c r="U935" s="438"/>
      <c r="V935" s="438"/>
      <c r="W935" s="438"/>
      <c r="X935" s="438"/>
      <c r="Y935" s="438"/>
      <c r="Z935" s="438"/>
      <c r="AA935" s="438"/>
      <c r="AB935" s="438"/>
      <c r="AC935" s="438"/>
      <c r="AD935" s="438"/>
      <c r="AE935" s="438"/>
      <c r="AF935" s="438"/>
      <c r="AG935" s="438"/>
      <c r="AH935" s="438"/>
    </row>
    <row r="936">
      <c r="A936" s="438"/>
      <c r="B936" s="438"/>
      <c r="C936" s="438"/>
      <c r="D936" s="438"/>
      <c r="E936" s="438"/>
      <c r="F936" s="438"/>
      <c r="G936" s="438"/>
      <c r="H936" s="438"/>
      <c r="I936" s="438"/>
      <c r="J936" s="438"/>
      <c r="K936" s="438"/>
      <c r="L936" s="438"/>
      <c r="M936" s="438"/>
      <c r="N936" s="438"/>
      <c r="O936" s="438"/>
      <c r="P936" s="438"/>
      <c r="Q936" s="438"/>
      <c r="R936" s="438"/>
      <c r="S936" s="438"/>
      <c r="T936" s="438"/>
      <c r="U936" s="438"/>
      <c r="V936" s="438"/>
      <c r="W936" s="438"/>
      <c r="X936" s="438"/>
      <c r="Y936" s="438"/>
      <c r="Z936" s="438"/>
      <c r="AA936" s="438"/>
      <c r="AB936" s="438"/>
      <c r="AC936" s="438"/>
      <c r="AD936" s="438"/>
      <c r="AE936" s="438"/>
      <c r="AF936" s="438"/>
      <c r="AG936" s="438"/>
      <c r="AH936" s="438"/>
    </row>
    <row r="937">
      <c r="A937" s="438"/>
      <c r="B937" s="438"/>
      <c r="C937" s="438"/>
      <c r="D937" s="438"/>
      <c r="E937" s="438"/>
      <c r="F937" s="438"/>
      <c r="G937" s="438"/>
      <c r="H937" s="438"/>
      <c r="I937" s="438"/>
      <c r="J937" s="438"/>
      <c r="K937" s="438"/>
      <c r="L937" s="438"/>
      <c r="M937" s="438"/>
      <c r="N937" s="438"/>
      <c r="O937" s="438"/>
      <c r="P937" s="438"/>
      <c r="Q937" s="438"/>
      <c r="R937" s="438"/>
      <c r="S937" s="438"/>
      <c r="T937" s="438"/>
      <c r="U937" s="438"/>
      <c r="V937" s="438"/>
      <c r="W937" s="438"/>
      <c r="X937" s="438"/>
      <c r="Y937" s="438"/>
      <c r="Z937" s="438"/>
      <c r="AA937" s="438"/>
      <c r="AB937" s="438"/>
      <c r="AC937" s="438"/>
      <c r="AD937" s="438"/>
      <c r="AE937" s="438"/>
      <c r="AF937" s="438"/>
      <c r="AG937" s="438"/>
      <c r="AH937" s="438"/>
    </row>
    <row r="938">
      <c r="A938" s="438"/>
      <c r="B938" s="438"/>
      <c r="C938" s="438"/>
      <c r="D938" s="438"/>
      <c r="E938" s="438"/>
      <c r="F938" s="438"/>
      <c r="G938" s="438"/>
      <c r="H938" s="438"/>
      <c r="I938" s="438"/>
      <c r="J938" s="438"/>
      <c r="K938" s="438"/>
      <c r="L938" s="438"/>
      <c r="M938" s="438"/>
      <c r="N938" s="438"/>
      <c r="O938" s="438"/>
      <c r="P938" s="438"/>
      <c r="Q938" s="438"/>
      <c r="R938" s="438"/>
      <c r="S938" s="438"/>
      <c r="T938" s="438"/>
      <c r="U938" s="438"/>
      <c r="V938" s="438"/>
      <c r="W938" s="438"/>
      <c r="X938" s="438"/>
      <c r="Y938" s="438"/>
      <c r="Z938" s="438"/>
      <c r="AA938" s="438"/>
      <c r="AB938" s="438"/>
      <c r="AC938" s="438"/>
      <c r="AD938" s="438"/>
      <c r="AE938" s="438"/>
      <c r="AF938" s="438"/>
      <c r="AG938" s="438"/>
      <c r="AH938" s="438"/>
    </row>
    <row r="939">
      <c r="A939" s="438"/>
      <c r="B939" s="438"/>
      <c r="C939" s="438"/>
      <c r="D939" s="438"/>
      <c r="E939" s="438"/>
      <c r="F939" s="438"/>
      <c r="G939" s="438"/>
      <c r="H939" s="438"/>
      <c r="I939" s="438"/>
      <c r="J939" s="438"/>
      <c r="K939" s="438"/>
      <c r="L939" s="438"/>
      <c r="M939" s="438"/>
      <c r="N939" s="438"/>
      <c r="O939" s="438"/>
      <c r="P939" s="438"/>
      <c r="Q939" s="438"/>
      <c r="R939" s="438"/>
      <c r="S939" s="438"/>
      <c r="T939" s="438"/>
      <c r="U939" s="438"/>
      <c r="V939" s="438"/>
      <c r="W939" s="438"/>
      <c r="X939" s="438"/>
      <c r="Y939" s="438"/>
      <c r="Z939" s="438"/>
      <c r="AA939" s="438"/>
      <c r="AB939" s="438"/>
      <c r="AC939" s="438"/>
      <c r="AD939" s="438"/>
      <c r="AE939" s="438"/>
      <c r="AF939" s="438"/>
      <c r="AG939" s="438"/>
      <c r="AH939" s="438"/>
    </row>
    <row r="940">
      <c r="A940" s="438"/>
      <c r="B940" s="438"/>
      <c r="C940" s="438"/>
      <c r="D940" s="438"/>
      <c r="E940" s="438"/>
      <c r="F940" s="438"/>
      <c r="G940" s="438"/>
      <c r="H940" s="438"/>
      <c r="I940" s="438"/>
      <c r="J940" s="438"/>
      <c r="K940" s="438"/>
      <c r="L940" s="438"/>
      <c r="M940" s="438"/>
      <c r="N940" s="438"/>
      <c r="O940" s="438"/>
      <c r="P940" s="438"/>
      <c r="Q940" s="438"/>
      <c r="R940" s="438"/>
      <c r="S940" s="438"/>
      <c r="T940" s="438"/>
      <c r="U940" s="438"/>
      <c r="V940" s="438"/>
      <c r="W940" s="438"/>
      <c r="X940" s="438"/>
      <c r="Y940" s="438"/>
      <c r="Z940" s="438"/>
      <c r="AA940" s="438"/>
      <c r="AB940" s="438"/>
      <c r="AC940" s="438"/>
      <c r="AD940" s="438"/>
      <c r="AE940" s="438"/>
      <c r="AF940" s="438"/>
      <c r="AG940" s="438"/>
      <c r="AH940" s="438"/>
    </row>
    <row r="941">
      <c r="A941" s="438"/>
      <c r="B941" s="438"/>
      <c r="C941" s="438"/>
      <c r="D941" s="438"/>
      <c r="E941" s="438"/>
      <c r="F941" s="438"/>
      <c r="G941" s="438"/>
      <c r="H941" s="438"/>
      <c r="I941" s="438"/>
      <c r="J941" s="438"/>
      <c r="K941" s="438"/>
      <c r="L941" s="438"/>
      <c r="M941" s="438"/>
      <c r="N941" s="438"/>
      <c r="O941" s="438"/>
      <c r="P941" s="438"/>
      <c r="Q941" s="438"/>
      <c r="R941" s="438"/>
      <c r="S941" s="438"/>
      <c r="T941" s="438"/>
      <c r="U941" s="438"/>
      <c r="V941" s="438"/>
      <c r="W941" s="438"/>
      <c r="X941" s="438"/>
      <c r="Y941" s="438"/>
      <c r="Z941" s="438"/>
      <c r="AA941" s="438"/>
      <c r="AB941" s="438"/>
      <c r="AC941" s="438"/>
      <c r="AD941" s="438"/>
      <c r="AE941" s="438"/>
      <c r="AF941" s="438"/>
      <c r="AG941" s="438"/>
      <c r="AH941" s="438"/>
    </row>
    <row r="942">
      <c r="A942" s="438"/>
      <c r="B942" s="438"/>
      <c r="C942" s="438"/>
      <c r="D942" s="438"/>
      <c r="E942" s="438"/>
      <c r="F942" s="438"/>
      <c r="G942" s="438"/>
      <c r="H942" s="438"/>
      <c r="I942" s="438"/>
      <c r="J942" s="438"/>
      <c r="K942" s="438"/>
      <c r="L942" s="438"/>
      <c r="M942" s="438"/>
      <c r="N942" s="438"/>
      <c r="O942" s="438"/>
      <c r="P942" s="438"/>
      <c r="Q942" s="438"/>
      <c r="R942" s="438"/>
      <c r="S942" s="438"/>
      <c r="T942" s="438"/>
      <c r="U942" s="438"/>
      <c r="V942" s="438"/>
      <c r="W942" s="438"/>
      <c r="X942" s="438"/>
      <c r="Y942" s="438"/>
      <c r="Z942" s="438"/>
      <c r="AA942" s="438"/>
      <c r="AB942" s="438"/>
      <c r="AC942" s="438"/>
      <c r="AD942" s="438"/>
      <c r="AE942" s="438"/>
      <c r="AF942" s="438"/>
      <c r="AG942" s="438"/>
      <c r="AH942" s="438"/>
    </row>
    <row r="943">
      <c r="A943" s="438"/>
      <c r="B943" s="438"/>
      <c r="C943" s="438"/>
      <c r="D943" s="438"/>
      <c r="E943" s="438"/>
      <c r="F943" s="438"/>
      <c r="G943" s="438"/>
      <c r="H943" s="438"/>
      <c r="I943" s="438"/>
      <c r="J943" s="438"/>
      <c r="K943" s="438"/>
      <c r="L943" s="438"/>
      <c r="M943" s="438"/>
      <c r="N943" s="438"/>
      <c r="O943" s="438"/>
      <c r="P943" s="438"/>
      <c r="Q943" s="438"/>
      <c r="R943" s="438"/>
      <c r="S943" s="438"/>
      <c r="T943" s="438"/>
      <c r="U943" s="438"/>
      <c r="V943" s="438"/>
      <c r="W943" s="438"/>
      <c r="X943" s="438"/>
      <c r="Y943" s="438"/>
      <c r="Z943" s="438"/>
      <c r="AA943" s="438"/>
      <c r="AB943" s="438"/>
      <c r="AC943" s="438"/>
      <c r="AD943" s="438"/>
      <c r="AE943" s="438"/>
      <c r="AF943" s="438"/>
      <c r="AG943" s="438"/>
      <c r="AH943" s="438"/>
    </row>
    <row r="944">
      <c r="A944" s="438"/>
      <c r="B944" s="438"/>
      <c r="C944" s="438"/>
      <c r="D944" s="438"/>
      <c r="E944" s="438"/>
      <c r="F944" s="438"/>
      <c r="G944" s="438"/>
      <c r="H944" s="438"/>
      <c r="I944" s="438"/>
      <c r="J944" s="438"/>
      <c r="K944" s="438"/>
      <c r="L944" s="438"/>
      <c r="M944" s="438"/>
      <c r="N944" s="438"/>
      <c r="O944" s="438"/>
      <c r="P944" s="438"/>
      <c r="Q944" s="438"/>
      <c r="R944" s="438"/>
      <c r="S944" s="438"/>
      <c r="T944" s="438"/>
      <c r="U944" s="438"/>
      <c r="V944" s="438"/>
      <c r="W944" s="438"/>
      <c r="X944" s="438"/>
      <c r="Y944" s="438"/>
      <c r="Z944" s="438"/>
      <c r="AA944" s="438"/>
      <c r="AB944" s="438"/>
      <c r="AC944" s="438"/>
      <c r="AD944" s="438"/>
      <c r="AE944" s="438"/>
      <c r="AF944" s="438"/>
      <c r="AG944" s="438"/>
      <c r="AH944" s="438"/>
    </row>
    <row r="945">
      <c r="A945" s="438"/>
      <c r="B945" s="438"/>
      <c r="C945" s="438"/>
      <c r="D945" s="438"/>
      <c r="E945" s="438"/>
      <c r="F945" s="438"/>
      <c r="G945" s="438"/>
      <c r="H945" s="438"/>
      <c r="I945" s="438"/>
      <c r="J945" s="438"/>
      <c r="K945" s="438"/>
      <c r="L945" s="438"/>
      <c r="M945" s="438"/>
      <c r="N945" s="438"/>
      <c r="O945" s="438"/>
      <c r="P945" s="438"/>
      <c r="Q945" s="438"/>
      <c r="R945" s="438"/>
      <c r="S945" s="438"/>
      <c r="T945" s="438"/>
      <c r="U945" s="438"/>
      <c r="V945" s="438"/>
      <c r="W945" s="438"/>
      <c r="X945" s="438"/>
      <c r="Y945" s="438"/>
      <c r="Z945" s="438"/>
      <c r="AA945" s="438"/>
      <c r="AB945" s="438"/>
      <c r="AC945" s="438"/>
      <c r="AD945" s="438"/>
      <c r="AE945" s="438"/>
      <c r="AF945" s="438"/>
      <c r="AG945" s="438"/>
      <c r="AH945" s="438"/>
    </row>
    <row r="946">
      <c r="A946" s="438"/>
      <c r="B946" s="438"/>
      <c r="C946" s="438"/>
      <c r="D946" s="438"/>
      <c r="E946" s="438"/>
      <c r="F946" s="438"/>
      <c r="G946" s="438"/>
      <c r="H946" s="438"/>
      <c r="I946" s="438"/>
      <c r="J946" s="438"/>
      <c r="K946" s="438"/>
      <c r="L946" s="438"/>
      <c r="M946" s="438"/>
      <c r="N946" s="438"/>
      <c r="O946" s="438"/>
      <c r="P946" s="438"/>
      <c r="Q946" s="438"/>
      <c r="R946" s="438"/>
      <c r="S946" s="438"/>
      <c r="T946" s="438"/>
      <c r="U946" s="438"/>
      <c r="V946" s="438"/>
      <c r="W946" s="438"/>
      <c r="X946" s="438"/>
      <c r="Y946" s="438"/>
      <c r="Z946" s="438"/>
      <c r="AA946" s="438"/>
      <c r="AB946" s="438"/>
      <c r="AC946" s="438"/>
      <c r="AD946" s="438"/>
      <c r="AE946" s="438"/>
      <c r="AF946" s="438"/>
      <c r="AG946" s="438"/>
      <c r="AH946" s="438"/>
    </row>
    <row r="947">
      <c r="A947" s="438"/>
      <c r="B947" s="438"/>
      <c r="C947" s="438"/>
      <c r="D947" s="438"/>
      <c r="E947" s="438"/>
      <c r="F947" s="438"/>
      <c r="G947" s="438"/>
      <c r="H947" s="438"/>
      <c r="I947" s="438"/>
      <c r="J947" s="438"/>
      <c r="K947" s="438"/>
      <c r="L947" s="438"/>
      <c r="M947" s="438"/>
      <c r="N947" s="438"/>
      <c r="O947" s="438"/>
      <c r="P947" s="438"/>
      <c r="Q947" s="438"/>
      <c r="R947" s="438"/>
      <c r="S947" s="438"/>
      <c r="T947" s="438"/>
      <c r="U947" s="438"/>
      <c r="V947" s="438"/>
      <c r="W947" s="438"/>
      <c r="X947" s="438"/>
      <c r="Y947" s="438"/>
      <c r="Z947" s="438"/>
      <c r="AA947" s="438"/>
      <c r="AB947" s="438"/>
      <c r="AC947" s="438"/>
      <c r="AD947" s="438"/>
      <c r="AE947" s="438"/>
      <c r="AF947" s="438"/>
      <c r="AG947" s="438"/>
      <c r="AH947" s="438"/>
    </row>
    <row r="948">
      <c r="A948" s="438"/>
      <c r="B948" s="438"/>
      <c r="C948" s="438"/>
      <c r="D948" s="438"/>
      <c r="E948" s="438"/>
      <c r="F948" s="438"/>
      <c r="G948" s="438"/>
      <c r="H948" s="438"/>
      <c r="I948" s="438"/>
      <c r="J948" s="438"/>
      <c r="K948" s="438"/>
      <c r="L948" s="438"/>
      <c r="M948" s="438"/>
      <c r="N948" s="438"/>
      <c r="O948" s="438"/>
      <c r="P948" s="438"/>
      <c r="Q948" s="438"/>
      <c r="R948" s="438"/>
      <c r="S948" s="438"/>
      <c r="T948" s="438"/>
      <c r="U948" s="438"/>
      <c r="V948" s="438"/>
      <c r="W948" s="438"/>
      <c r="X948" s="438"/>
      <c r="Y948" s="438"/>
      <c r="Z948" s="438"/>
      <c r="AA948" s="438"/>
      <c r="AB948" s="438"/>
      <c r="AC948" s="438"/>
      <c r="AD948" s="438"/>
      <c r="AE948" s="438"/>
      <c r="AF948" s="438"/>
      <c r="AG948" s="438"/>
      <c r="AH948" s="438"/>
    </row>
    <row r="949">
      <c r="A949" s="438"/>
      <c r="B949" s="438"/>
      <c r="C949" s="438"/>
      <c r="D949" s="438"/>
      <c r="E949" s="438"/>
      <c r="F949" s="438"/>
      <c r="G949" s="438"/>
      <c r="H949" s="438"/>
      <c r="I949" s="438"/>
      <c r="J949" s="438"/>
      <c r="K949" s="438"/>
      <c r="L949" s="438"/>
      <c r="M949" s="438"/>
      <c r="N949" s="438"/>
      <c r="O949" s="438"/>
      <c r="P949" s="438"/>
      <c r="Q949" s="438"/>
      <c r="R949" s="438"/>
      <c r="S949" s="438"/>
      <c r="T949" s="438"/>
      <c r="U949" s="438"/>
      <c r="V949" s="438"/>
      <c r="W949" s="438"/>
      <c r="X949" s="438"/>
      <c r="Y949" s="438"/>
      <c r="Z949" s="438"/>
      <c r="AA949" s="438"/>
      <c r="AB949" s="438"/>
      <c r="AC949" s="438"/>
      <c r="AD949" s="438"/>
      <c r="AE949" s="438"/>
      <c r="AF949" s="438"/>
      <c r="AG949" s="438"/>
      <c r="AH949" s="438"/>
    </row>
    <row r="950">
      <c r="A950" s="438"/>
      <c r="B950" s="438"/>
      <c r="C950" s="438"/>
      <c r="D950" s="438"/>
      <c r="E950" s="438"/>
      <c r="F950" s="438"/>
      <c r="G950" s="438"/>
      <c r="H950" s="438"/>
      <c r="I950" s="438"/>
      <c r="J950" s="438"/>
      <c r="K950" s="438"/>
      <c r="L950" s="438"/>
      <c r="M950" s="438"/>
      <c r="N950" s="438"/>
      <c r="O950" s="438"/>
      <c r="P950" s="438"/>
      <c r="Q950" s="438"/>
      <c r="R950" s="438"/>
      <c r="S950" s="438"/>
      <c r="T950" s="438"/>
      <c r="U950" s="438"/>
      <c r="V950" s="438"/>
      <c r="W950" s="438"/>
      <c r="X950" s="438"/>
      <c r="Y950" s="438"/>
      <c r="Z950" s="438"/>
      <c r="AA950" s="438"/>
      <c r="AB950" s="438"/>
      <c r="AC950" s="438"/>
      <c r="AD950" s="438"/>
      <c r="AE950" s="438"/>
      <c r="AF950" s="438"/>
      <c r="AG950" s="438"/>
      <c r="AH950" s="438"/>
    </row>
    <row r="951">
      <c r="A951" s="438"/>
      <c r="B951" s="438"/>
      <c r="C951" s="438"/>
      <c r="D951" s="438"/>
      <c r="E951" s="438"/>
      <c r="F951" s="438"/>
      <c r="G951" s="438"/>
      <c r="H951" s="438"/>
      <c r="I951" s="438"/>
      <c r="J951" s="438"/>
      <c r="K951" s="438"/>
      <c r="L951" s="438"/>
      <c r="M951" s="438"/>
      <c r="N951" s="438"/>
      <c r="O951" s="438"/>
      <c r="P951" s="438"/>
      <c r="Q951" s="438"/>
      <c r="R951" s="438"/>
      <c r="S951" s="438"/>
      <c r="T951" s="438"/>
      <c r="U951" s="438"/>
      <c r="V951" s="438"/>
      <c r="W951" s="438"/>
      <c r="X951" s="438"/>
      <c r="Y951" s="438"/>
      <c r="Z951" s="438"/>
      <c r="AA951" s="438"/>
      <c r="AB951" s="438"/>
      <c r="AC951" s="438"/>
      <c r="AD951" s="438"/>
      <c r="AE951" s="438"/>
      <c r="AF951" s="438"/>
      <c r="AG951" s="438"/>
      <c r="AH951" s="438"/>
    </row>
    <row r="952">
      <c r="A952" s="438"/>
      <c r="B952" s="438"/>
      <c r="C952" s="438"/>
      <c r="D952" s="438"/>
      <c r="E952" s="438"/>
      <c r="F952" s="438"/>
      <c r="G952" s="438"/>
      <c r="H952" s="438"/>
      <c r="I952" s="438"/>
      <c r="J952" s="438"/>
      <c r="K952" s="438"/>
      <c r="L952" s="438"/>
      <c r="M952" s="438"/>
      <c r="N952" s="438"/>
      <c r="O952" s="438"/>
      <c r="P952" s="438"/>
      <c r="Q952" s="438"/>
      <c r="R952" s="438"/>
      <c r="S952" s="438"/>
      <c r="T952" s="438"/>
      <c r="U952" s="438"/>
      <c r="V952" s="438"/>
      <c r="W952" s="438"/>
      <c r="X952" s="438"/>
      <c r="Y952" s="438"/>
      <c r="Z952" s="438"/>
      <c r="AA952" s="438"/>
      <c r="AB952" s="438"/>
      <c r="AC952" s="438"/>
      <c r="AD952" s="438"/>
      <c r="AE952" s="438"/>
      <c r="AF952" s="438"/>
      <c r="AG952" s="438"/>
      <c r="AH952" s="438"/>
    </row>
    <row r="953">
      <c r="A953" s="438"/>
      <c r="B953" s="438"/>
      <c r="C953" s="438"/>
      <c r="D953" s="438"/>
      <c r="E953" s="438"/>
      <c r="F953" s="438"/>
      <c r="G953" s="438"/>
      <c r="H953" s="438"/>
      <c r="I953" s="438"/>
      <c r="J953" s="438"/>
      <c r="K953" s="438"/>
      <c r="L953" s="438"/>
      <c r="M953" s="438"/>
      <c r="N953" s="438"/>
      <c r="O953" s="438"/>
      <c r="P953" s="438"/>
      <c r="Q953" s="438"/>
      <c r="R953" s="438"/>
      <c r="S953" s="438"/>
      <c r="T953" s="438"/>
      <c r="U953" s="438"/>
      <c r="V953" s="438"/>
      <c r="W953" s="438"/>
      <c r="X953" s="438"/>
      <c r="Y953" s="438"/>
      <c r="Z953" s="438"/>
      <c r="AA953" s="438"/>
      <c r="AB953" s="438"/>
      <c r="AC953" s="438"/>
      <c r="AD953" s="438"/>
      <c r="AE953" s="438"/>
      <c r="AF953" s="438"/>
      <c r="AG953" s="438"/>
      <c r="AH953" s="438"/>
    </row>
    <row r="954">
      <c r="A954" s="438"/>
      <c r="B954" s="438"/>
      <c r="C954" s="438"/>
      <c r="D954" s="438"/>
      <c r="E954" s="438"/>
      <c r="F954" s="438"/>
      <c r="G954" s="438"/>
      <c r="H954" s="438"/>
      <c r="I954" s="438"/>
      <c r="J954" s="438"/>
      <c r="K954" s="438"/>
      <c r="L954" s="438"/>
      <c r="M954" s="438"/>
      <c r="N954" s="438"/>
      <c r="O954" s="438"/>
      <c r="P954" s="438"/>
      <c r="Q954" s="438"/>
      <c r="R954" s="438"/>
      <c r="S954" s="438"/>
      <c r="T954" s="438"/>
      <c r="U954" s="438"/>
      <c r="V954" s="438"/>
      <c r="W954" s="438"/>
      <c r="X954" s="438"/>
      <c r="Y954" s="438"/>
      <c r="Z954" s="438"/>
      <c r="AA954" s="438"/>
      <c r="AB954" s="438"/>
      <c r="AC954" s="438"/>
      <c r="AD954" s="438"/>
      <c r="AE954" s="438"/>
      <c r="AF954" s="438"/>
      <c r="AG954" s="438"/>
      <c r="AH954" s="438"/>
    </row>
    <row r="955">
      <c r="A955" s="438"/>
      <c r="B955" s="438"/>
      <c r="C955" s="438"/>
      <c r="D955" s="438"/>
      <c r="E955" s="438"/>
      <c r="F955" s="438"/>
      <c r="G955" s="438"/>
      <c r="H955" s="438"/>
      <c r="I955" s="438"/>
      <c r="J955" s="438"/>
      <c r="K955" s="438"/>
      <c r="L955" s="438"/>
      <c r="M955" s="438"/>
      <c r="N955" s="438"/>
      <c r="O955" s="438"/>
      <c r="P955" s="438"/>
      <c r="Q955" s="438"/>
      <c r="R955" s="438"/>
      <c r="S955" s="438"/>
      <c r="T955" s="438"/>
      <c r="U955" s="438"/>
      <c r="V955" s="438"/>
      <c r="W955" s="438"/>
      <c r="X955" s="438"/>
      <c r="Y955" s="438"/>
      <c r="Z955" s="438"/>
      <c r="AA955" s="438"/>
      <c r="AB955" s="438"/>
      <c r="AC955" s="438"/>
      <c r="AD955" s="438"/>
      <c r="AE955" s="438"/>
      <c r="AF955" s="438"/>
      <c r="AG955" s="438"/>
      <c r="AH955" s="438"/>
    </row>
    <row r="956">
      <c r="A956" s="438"/>
      <c r="B956" s="438"/>
      <c r="C956" s="438"/>
      <c r="D956" s="438"/>
      <c r="E956" s="438"/>
      <c r="F956" s="438"/>
      <c r="G956" s="438"/>
      <c r="H956" s="438"/>
      <c r="I956" s="438"/>
      <c r="J956" s="438"/>
      <c r="K956" s="438"/>
      <c r="L956" s="438"/>
      <c r="M956" s="438"/>
      <c r="N956" s="438"/>
      <c r="O956" s="438"/>
      <c r="P956" s="438"/>
      <c r="Q956" s="438"/>
      <c r="R956" s="438"/>
      <c r="S956" s="438"/>
      <c r="T956" s="438"/>
      <c r="U956" s="438"/>
      <c r="V956" s="438"/>
      <c r="W956" s="438"/>
      <c r="X956" s="438"/>
      <c r="Y956" s="438"/>
      <c r="Z956" s="438"/>
      <c r="AA956" s="438"/>
      <c r="AB956" s="438"/>
      <c r="AC956" s="438"/>
      <c r="AD956" s="438"/>
      <c r="AE956" s="438"/>
      <c r="AF956" s="438"/>
      <c r="AG956" s="438"/>
      <c r="AH956" s="438"/>
    </row>
    <row r="957">
      <c r="A957" s="438"/>
      <c r="B957" s="438"/>
      <c r="C957" s="438"/>
      <c r="D957" s="438"/>
      <c r="E957" s="438"/>
      <c r="F957" s="438"/>
      <c r="G957" s="438"/>
      <c r="H957" s="438"/>
      <c r="I957" s="438"/>
      <c r="J957" s="438"/>
      <c r="K957" s="438"/>
      <c r="L957" s="438"/>
      <c r="M957" s="438"/>
      <c r="N957" s="438"/>
      <c r="O957" s="438"/>
      <c r="P957" s="438"/>
      <c r="Q957" s="438"/>
      <c r="R957" s="438"/>
      <c r="S957" s="438"/>
      <c r="T957" s="438"/>
      <c r="U957" s="438"/>
      <c r="V957" s="438"/>
      <c r="W957" s="438"/>
      <c r="X957" s="438"/>
      <c r="Y957" s="438"/>
      <c r="Z957" s="438"/>
      <c r="AA957" s="438"/>
      <c r="AB957" s="438"/>
      <c r="AC957" s="438"/>
      <c r="AD957" s="438"/>
      <c r="AE957" s="438"/>
      <c r="AF957" s="438"/>
      <c r="AG957" s="438"/>
      <c r="AH957" s="438"/>
    </row>
    <row r="958">
      <c r="A958" s="438"/>
      <c r="B958" s="438"/>
      <c r="C958" s="438"/>
      <c r="D958" s="438"/>
      <c r="E958" s="438"/>
      <c r="F958" s="438"/>
      <c r="G958" s="438"/>
      <c r="H958" s="438"/>
      <c r="I958" s="438"/>
      <c r="J958" s="438"/>
      <c r="K958" s="438"/>
      <c r="L958" s="438"/>
      <c r="M958" s="438"/>
      <c r="N958" s="438"/>
      <c r="O958" s="438"/>
      <c r="P958" s="438"/>
      <c r="Q958" s="438"/>
      <c r="R958" s="438"/>
      <c r="S958" s="438"/>
      <c r="T958" s="438"/>
      <c r="U958" s="438"/>
      <c r="V958" s="438"/>
      <c r="W958" s="438"/>
      <c r="X958" s="438"/>
      <c r="Y958" s="438"/>
      <c r="Z958" s="438"/>
      <c r="AA958" s="438"/>
      <c r="AB958" s="438"/>
      <c r="AC958" s="438"/>
      <c r="AD958" s="438"/>
      <c r="AE958" s="438"/>
      <c r="AF958" s="438"/>
      <c r="AG958" s="438"/>
      <c r="AH958" s="438"/>
    </row>
    <row r="959">
      <c r="A959" s="438"/>
      <c r="B959" s="438"/>
      <c r="C959" s="438"/>
      <c r="D959" s="438"/>
      <c r="E959" s="438"/>
      <c r="F959" s="438"/>
      <c r="G959" s="438"/>
      <c r="H959" s="438"/>
      <c r="I959" s="438"/>
      <c r="J959" s="438"/>
      <c r="K959" s="438"/>
      <c r="L959" s="438"/>
      <c r="M959" s="438"/>
      <c r="N959" s="438"/>
      <c r="O959" s="438"/>
      <c r="P959" s="438"/>
      <c r="Q959" s="438"/>
      <c r="R959" s="438"/>
      <c r="S959" s="438"/>
      <c r="T959" s="438"/>
      <c r="U959" s="438"/>
      <c r="V959" s="438"/>
      <c r="W959" s="438"/>
      <c r="X959" s="438"/>
      <c r="Y959" s="438"/>
      <c r="Z959" s="438"/>
      <c r="AA959" s="438"/>
      <c r="AB959" s="438"/>
      <c r="AC959" s="438"/>
      <c r="AD959" s="438"/>
      <c r="AE959" s="438"/>
      <c r="AF959" s="438"/>
      <c r="AG959" s="438"/>
      <c r="AH959" s="438"/>
    </row>
    <row r="960">
      <c r="A960" s="438"/>
      <c r="B960" s="438"/>
      <c r="C960" s="438"/>
      <c r="D960" s="438"/>
      <c r="E960" s="438"/>
      <c r="F960" s="438"/>
      <c r="G960" s="438"/>
      <c r="H960" s="438"/>
      <c r="I960" s="438"/>
      <c r="J960" s="438"/>
      <c r="K960" s="438"/>
      <c r="L960" s="438"/>
      <c r="M960" s="438"/>
      <c r="N960" s="438"/>
      <c r="O960" s="438"/>
      <c r="P960" s="438"/>
      <c r="Q960" s="438"/>
      <c r="R960" s="438"/>
      <c r="S960" s="438"/>
      <c r="T960" s="438"/>
      <c r="U960" s="438"/>
      <c r="V960" s="438"/>
      <c r="W960" s="438"/>
      <c r="X960" s="438"/>
      <c r="Y960" s="438"/>
      <c r="Z960" s="438"/>
      <c r="AA960" s="438"/>
      <c r="AB960" s="438"/>
      <c r="AC960" s="438"/>
      <c r="AD960" s="438"/>
      <c r="AE960" s="438"/>
      <c r="AF960" s="438"/>
      <c r="AG960" s="438"/>
      <c r="AH960" s="438"/>
    </row>
    <row r="961">
      <c r="A961" s="438"/>
      <c r="B961" s="438"/>
      <c r="C961" s="438"/>
      <c r="D961" s="438"/>
      <c r="E961" s="438"/>
      <c r="F961" s="438"/>
      <c r="G961" s="438"/>
      <c r="H961" s="438"/>
      <c r="I961" s="438"/>
      <c r="J961" s="438"/>
      <c r="K961" s="438"/>
      <c r="L961" s="438"/>
      <c r="M961" s="438"/>
      <c r="N961" s="438"/>
      <c r="O961" s="438"/>
      <c r="P961" s="438"/>
      <c r="Q961" s="438"/>
      <c r="R961" s="438"/>
      <c r="S961" s="438"/>
      <c r="T961" s="438"/>
      <c r="U961" s="438"/>
      <c r="V961" s="438"/>
      <c r="W961" s="438"/>
      <c r="X961" s="438"/>
      <c r="Y961" s="438"/>
      <c r="Z961" s="438"/>
      <c r="AA961" s="438"/>
      <c r="AB961" s="438"/>
      <c r="AC961" s="438"/>
      <c r="AD961" s="438"/>
      <c r="AE961" s="438"/>
      <c r="AF961" s="438"/>
      <c r="AG961" s="438"/>
      <c r="AH961" s="438"/>
    </row>
    <row r="962">
      <c r="A962" s="438"/>
      <c r="B962" s="438"/>
      <c r="C962" s="438"/>
      <c r="D962" s="438"/>
      <c r="E962" s="438"/>
      <c r="F962" s="438"/>
      <c r="G962" s="438"/>
      <c r="H962" s="438"/>
      <c r="I962" s="438"/>
      <c r="J962" s="438"/>
      <c r="K962" s="438"/>
      <c r="L962" s="438"/>
      <c r="M962" s="438"/>
      <c r="N962" s="438"/>
      <c r="O962" s="438"/>
      <c r="P962" s="438"/>
      <c r="Q962" s="438"/>
      <c r="R962" s="438"/>
      <c r="S962" s="438"/>
      <c r="T962" s="438"/>
      <c r="U962" s="438"/>
      <c r="V962" s="438"/>
      <c r="W962" s="438"/>
      <c r="X962" s="438"/>
      <c r="Y962" s="438"/>
      <c r="Z962" s="438"/>
      <c r="AA962" s="438"/>
      <c r="AB962" s="438"/>
      <c r="AC962" s="438"/>
      <c r="AD962" s="438"/>
      <c r="AE962" s="438"/>
      <c r="AF962" s="438"/>
      <c r="AG962" s="438"/>
      <c r="AH962" s="438"/>
    </row>
    <row r="963">
      <c r="A963" s="438"/>
      <c r="B963" s="438"/>
      <c r="C963" s="438"/>
      <c r="D963" s="438"/>
      <c r="E963" s="438"/>
      <c r="F963" s="438"/>
      <c r="G963" s="438"/>
      <c r="H963" s="438"/>
      <c r="I963" s="438"/>
      <c r="J963" s="438"/>
      <c r="K963" s="438"/>
      <c r="L963" s="438"/>
      <c r="M963" s="438"/>
      <c r="N963" s="438"/>
      <c r="O963" s="438"/>
      <c r="P963" s="438"/>
      <c r="Q963" s="438"/>
      <c r="R963" s="438"/>
      <c r="S963" s="438"/>
      <c r="T963" s="438"/>
      <c r="U963" s="438"/>
      <c r="V963" s="438"/>
      <c r="W963" s="438"/>
      <c r="X963" s="438"/>
      <c r="Y963" s="438"/>
      <c r="Z963" s="438"/>
      <c r="AA963" s="438"/>
      <c r="AB963" s="438"/>
      <c r="AC963" s="438"/>
      <c r="AD963" s="438"/>
      <c r="AE963" s="438"/>
      <c r="AF963" s="438"/>
      <c r="AG963" s="438"/>
      <c r="AH963" s="438"/>
    </row>
    <row r="964">
      <c r="A964" s="438"/>
      <c r="B964" s="438"/>
      <c r="C964" s="438"/>
      <c r="D964" s="438"/>
      <c r="E964" s="438"/>
      <c r="F964" s="438"/>
      <c r="G964" s="438"/>
      <c r="H964" s="438"/>
      <c r="I964" s="438"/>
      <c r="J964" s="438"/>
      <c r="K964" s="438"/>
      <c r="L964" s="438"/>
      <c r="M964" s="438"/>
      <c r="N964" s="438"/>
      <c r="O964" s="438"/>
      <c r="P964" s="438"/>
      <c r="Q964" s="438"/>
      <c r="R964" s="438"/>
      <c r="S964" s="438"/>
      <c r="T964" s="438"/>
      <c r="U964" s="438"/>
      <c r="V964" s="438"/>
      <c r="W964" s="438"/>
      <c r="X964" s="438"/>
      <c r="Y964" s="438"/>
      <c r="Z964" s="438"/>
      <c r="AA964" s="438"/>
      <c r="AB964" s="438"/>
      <c r="AC964" s="438"/>
      <c r="AD964" s="438"/>
      <c r="AE964" s="438"/>
      <c r="AF964" s="438"/>
      <c r="AG964" s="438"/>
      <c r="AH964" s="438"/>
    </row>
    <row r="965">
      <c r="A965" s="438"/>
      <c r="B965" s="438"/>
      <c r="C965" s="438"/>
      <c r="D965" s="438"/>
      <c r="E965" s="438"/>
      <c r="F965" s="438"/>
      <c r="G965" s="438"/>
      <c r="H965" s="438"/>
      <c r="I965" s="438"/>
      <c r="J965" s="438"/>
      <c r="K965" s="438"/>
      <c r="L965" s="438"/>
      <c r="M965" s="438"/>
      <c r="N965" s="438"/>
      <c r="O965" s="438"/>
      <c r="P965" s="438"/>
      <c r="Q965" s="438"/>
      <c r="R965" s="438"/>
      <c r="S965" s="438"/>
      <c r="T965" s="438"/>
      <c r="U965" s="438"/>
      <c r="V965" s="438"/>
      <c r="W965" s="438"/>
      <c r="X965" s="438"/>
      <c r="Y965" s="438"/>
      <c r="Z965" s="438"/>
      <c r="AA965" s="438"/>
      <c r="AB965" s="438"/>
      <c r="AC965" s="438"/>
      <c r="AD965" s="438"/>
      <c r="AE965" s="438"/>
      <c r="AF965" s="438"/>
      <c r="AG965" s="438"/>
      <c r="AH965" s="438"/>
    </row>
    <row r="966">
      <c r="A966" s="438"/>
      <c r="B966" s="438"/>
      <c r="C966" s="438"/>
      <c r="D966" s="438"/>
      <c r="E966" s="438"/>
      <c r="F966" s="438"/>
      <c r="G966" s="438"/>
      <c r="H966" s="438"/>
      <c r="I966" s="438"/>
      <c r="J966" s="438"/>
      <c r="K966" s="438"/>
      <c r="L966" s="438"/>
      <c r="M966" s="438"/>
      <c r="N966" s="438"/>
      <c r="O966" s="438"/>
      <c r="P966" s="438"/>
      <c r="Q966" s="438"/>
      <c r="R966" s="438"/>
      <c r="S966" s="438"/>
      <c r="T966" s="438"/>
      <c r="U966" s="438"/>
      <c r="V966" s="438"/>
      <c r="W966" s="438"/>
      <c r="X966" s="438"/>
      <c r="Y966" s="438"/>
      <c r="Z966" s="438"/>
      <c r="AA966" s="438"/>
      <c r="AB966" s="438"/>
      <c r="AC966" s="438"/>
      <c r="AD966" s="438"/>
      <c r="AE966" s="438"/>
      <c r="AF966" s="438"/>
      <c r="AG966" s="438"/>
      <c r="AH966" s="438"/>
    </row>
    <row r="967">
      <c r="A967" s="438"/>
      <c r="B967" s="438"/>
      <c r="C967" s="438"/>
      <c r="D967" s="438"/>
      <c r="E967" s="438"/>
      <c r="F967" s="438"/>
      <c r="G967" s="438"/>
      <c r="H967" s="438"/>
      <c r="I967" s="438"/>
      <c r="J967" s="438"/>
      <c r="K967" s="438"/>
      <c r="L967" s="438"/>
      <c r="M967" s="438"/>
      <c r="N967" s="438"/>
      <c r="O967" s="438"/>
      <c r="P967" s="438"/>
      <c r="Q967" s="438"/>
      <c r="R967" s="438"/>
      <c r="S967" s="438"/>
      <c r="T967" s="438"/>
      <c r="U967" s="438"/>
      <c r="V967" s="438"/>
      <c r="W967" s="438"/>
      <c r="X967" s="438"/>
      <c r="Y967" s="438"/>
      <c r="Z967" s="438"/>
      <c r="AA967" s="438"/>
      <c r="AB967" s="438"/>
      <c r="AC967" s="438"/>
      <c r="AD967" s="438"/>
      <c r="AE967" s="438"/>
      <c r="AF967" s="438"/>
      <c r="AG967" s="438"/>
      <c r="AH967" s="438"/>
    </row>
    <row r="968">
      <c r="A968" s="438"/>
      <c r="B968" s="438"/>
      <c r="C968" s="438"/>
      <c r="D968" s="438"/>
      <c r="E968" s="438"/>
      <c r="F968" s="438"/>
      <c r="G968" s="438"/>
      <c r="H968" s="438"/>
      <c r="I968" s="438"/>
      <c r="J968" s="438"/>
      <c r="K968" s="438"/>
      <c r="L968" s="438"/>
      <c r="M968" s="438"/>
      <c r="N968" s="438"/>
      <c r="O968" s="438"/>
      <c r="P968" s="438"/>
      <c r="Q968" s="438"/>
      <c r="R968" s="438"/>
      <c r="S968" s="438"/>
      <c r="T968" s="438"/>
      <c r="U968" s="438"/>
      <c r="V968" s="438"/>
      <c r="W968" s="438"/>
      <c r="X968" s="438"/>
      <c r="Y968" s="438"/>
      <c r="Z968" s="438"/>
      <c r="AA968" s="438"/>
      <c r="AB968" s="438"/>
      <c r="AC968" s="438"/>
      <c r="AD968" s="438"/>
      <c r="AE968" s="438"/>
      <c r="AF968" s="438"/>
      <c r="AG968" s="438"/>
      <c r="AH968" s="438"/>
    </row>
    <row r="969">
      <c r="A969" s="438"/>
      <c r="B969" s="438"/>
      <c r="C969" s="438"/>
      <c r="D969" s="438"/>
      <c r="E969" s="438"/>
      <c r="F969" s="438"/>
      <c r="G969" s="438"/>
      <c r="H969" s="438"/>
      <c r="I969" s="438"/>
      <c r="J969" s="438"/>
      <c r="K969" s="438"/>
      <c r="L969" s="438"/>
      <c r="M969" s="438"/>
      <c r="N969" s="438"/>
      <c r="O969" s="438"/>
      <c r="P969" s="438"/>
      <c r="Q969" s="438"/>
      <c r="R969" s="438"/>
      <c r="S969" s="438"/>
      <c r="T969" s="438"/>
      <c r="U969" s="438"/>
      <c r="V969" s="438"/>
      <c r="W969" s="438"/>
      <c r="X969" s="438"/>
      <c r="Y969" s="438"/>
      <c r="Z969" s="438"/>
      <c r="AA969" s="438"/>
      <c r="AB969" s="438"/>
      <c r="AC969" s="438"/>
      <c r="AD969" s="438"/>
      <c r="AE969" s="438"/>
      <c r="AF969" s="438"/>
      <c r="AG969" s="438"/>
      <c r="AH969" s="438"/>
    </row>
    <row r="970">
      <c r="A970" s="438"/>
      <c r="B970" s="438"/>
      <c r="C970" s="438"/>
      <c r="D970" s="438"/>
      <c r="E970" s="438"/>
      <c r="F970" s="438"/>
      <c r="G970" s="438"/>
      <c r="H970" s="438"/>
      <c r="I970" s="438"/>
      <c r="J970" s="438"/>
      <c r="K970" s="438"/>
      <c r="L970" s="438"/>
      <c r="M970" s="438"/>
      <c r="N970" s="438"/>
      <c r="O970" s="438"/>
      <c r="P970" s="438"/>
      <c r="Q970" s="438"/>
      <c r="R970" s="438"/>
      <c r="S970" s="438"/>
      <c r="T970" s="438"/>
      <c r="U970" s="438"/>
      <c r="V970" s="438"/>
      <c r="W970" s="438"/>
      <c r="X970" s="438"/>
      <c r="Y970" s="438"/>
      <c r="Z970" s="438"/>
      <c r="AA970" s="438"/>
      <c r="AB970" s="438"/>
      <c r="AC970" s="438"/>
      <c r="AD970" s="438"/>
      <c r="AE970" s="438"/>
      <c r="AF970" s="438"/>
      <c r="AG970" s="438"/>
      <c r="AH970" s="438"/>
    </row>
    <row r="971">
      <c r="A971" s="438"/>
      <c r="B971" s="438"/>
      <c r="C971" s="438"/>
      <c r="D971" s="438"/>
      <c r="E971" s="438"/>
      <c r="F971" s="438"/>
      <c r="G971" s="438"/>
      <c r="H971" s="438"/>
      <c r="I971" s="438"/>
      <c r="J971" s="438"/>
      <c r="K971" s="438"/>
      <c r="L971" s="438"/>
      <c r="M971" s="438"/>
      <c r="N971" s="438"/>
      <c r="O971" s="438"/>
      <c r="P971" s="438"/>
      <c r="Q971" s="438"/>
      <c r="R971" s="438"/>
      <c r="S971" s="438"/>
      <c r="T971" s="438"/>
      <c r="U971" s="438"/>
      <c r="V971" s="438"/>
      <c r="W971" s="438"/>
      <c r="X971" s="438"/>
      <c r="Y971" s="438"/>
      <c r="Z971" s="438"/>
      <c r="AA971" s="438"/>
      <c r="AB971" s="438"/>
      <c r="AC971" s="438"/>
      <c r="AD971" s="438"/>
      <c r="AE971" s="438"/>
      <c r="AF971" s="438"/>
      <c r="AG971" s="438"/>
      <c r="AH971" s="438"/>
    </row>
    <row r="972">
      <c r="A972" s="438"/>
      <c r="B972" s="438"/>
      <c r="C972" s="438"/>
      <c r="D972" s="438"/>
      <c r="E972" s="438"/>
      <c r="F972" s="438"/>
      <c r="G972" s="438"/>
      <c r="H972" s="438"/>
      <c r="I972" s="438"/>
      <c r="J972" s="438"/>
      <c r="K972" s="438"/>
      <c r="L972" s="438"/>
      <c r="M972" s="438"/>
      <c r="N972" s="438"/>
      <c r="O972" s="438"/>
      <c r="P972" s="438"/>
      <c r="Q972" s="438"/>
      <c r="R972" s="438"/>
      <c r="S972" s="438"/>
      <c r="T972" s="438"/>
      <c r="U972" s="438"/>
      <c r="V972" s="438"/>
      <c r="W972" s="438"/>
      <c r="X972" s="438"/>
      <c r="Y972" s="438"/>
      <c r="Z972" s="438"/>
      <c r="AA972" s="438"/>
      <c r="AB972" s="438"/>
      <c r="AC972" s="438"/>
      <c r="AD972" s="438"/>
      <c r="AE972" s="438"/>
      <c r="AF972" s="438"/>
      <c r="AG972" s="438"/>
      <c r="AH972" s="438"/>
    </row>
    <row r="973">
      <c r="A973" s="438"/>
      <c r="B973" s="438"/>
      <c r="C973" s="438"/>
      <c r="D973" s="438"/>
      <c r="E973" s="438"/>
      <c r="F973" s="438"/>
      <c r="G973" s="438"/>
      <c r="H973" s="438"/>
      <c r="I973" s="438"/>
      <c r="J973" s="438"/>
      <c r="K973" s="438"/>
      <c r="L973" s="438"/>
      <c r="M973" s="438"/>
      <c r="N973" s="438"/>
      <c r="O973" s="438"/>
      <c r="P973" s="438"/>
      <c r="Q973" s="438"/>
      <c r="R973" s="438"/>
      <c r="S973" s="438"/>
      <c r="T973" s="438"/>
      <c r="U973" s="438"/>
      <c r="V973" s="438"/>
      <c r="W973" s="438"/>
      <c r="X973" s="438"/>
      <c r="Y973" s="438"/>
      <c r="Z973" s="438"/>
      <c r="AA973" s="438"/>
      <c r="AB973" s="438"/>
      <c r="AC973" s="438"/>
      <c r="AD973" s="438"/>
      <c r="AE973" s="438"/>
      <c r="AF973" s="438"/>
      <c r="AG973" s="438"/>
      <c r="AH973" s="438"/>
    </row>
    <row r="974">
      <c r="A974" s="438"/>
      <c r="B974" s="438"/>
      <c r="C974" s="438"/>
      <c r="D974" s="438"/>
      <c r="E974" s="438"/>
      <c r="F974" s="438"/>
      <c r="G974" s="438"/>
      <c r="H974" s="438"/>
      <c r="I974" s="438"/>
      <c r="J974" s="438"/>
      <c r="K974" s="438"/>
      <c r="L974" s="438"/>
      <c r="M974" s="438"/>
      <c r="N974" s="438"/>
      <c r="O974" s="438"/>
      <c r="P974" s="438"/>
      <c r="Q974" s="438"/>
      <c r="R974" s="438"/>
      <c r="S974" s="438"/>
      <c r="T974" s="438"/>
      <c r="U974" s="438"/>
      <c r="V974" s="438"/>
      <c r="W974" s="438"/>
      <c r="X974" s="438"/>
      <c r="Y974" s="438"/>
      <c r="Z974" s="438"/>
      <c r="AA974" s="438"/>
      <c r="AB974" s="438"/>
      <c r="AC974" s="438"/>
      <c r="AD974" s="438"/>
      <c r="AE974" s="438"/>
      <c r="AF974" s="438"/>
      <c r="AG974" s="438"/>
      <c r="AH974" s="438"/>
    </row>
    <row r="975">
      <c r="A975" s="438"/>
      <c r="B975" s="438"/>
      <c r="C975" s="438"/>
      <c r="D975" s="438"/>
      <c r="E975" s="438"/>
      <c r="F975" s="438"/>
      <c r="G975" s="438"/>
      <c r="H975" s="438"/>
      <c r="I975" s="438"/>
      <c r="J975" s="438"/>
      <c r="K975" s="438"/>
      <c r="L975" s="438"/>
      <c r="M975" s="438"/>
      <c r="N975" s="438"/>
      <c r="O975" s="438"/>
      <c r="P975" s="438"/>
      <c r="Q975" s="438"/>
      <c r="R975" s="438"/>
      <c r="S975" s="438"/>
      <c r="T975" s="438"/>
      <c r="U975" s="438"/>
      <c r="V975" s="438"/>
      <c r="W975" s="438"/>
      <c r="X975" s="438"/>
      <c r="Y975" s="438"/>
      <c r="Z975" s="438"/>
      <c r="AA975" s="438"/>
      <c r="AB975" s="438"/>
      <c r="AC975" s="438"/>
      <c r="AD975" s="438"/>
      <c r="AE975" s="438"/>
      <c r="AF975" s="438"/>
      <c r="AG975" s="438"/>
      <c r="AH975" s="438"/>
    </row>
    <row r="976">
      <c r="A976" s="438"/>
      <c r="B976" s="438"/>
      <c r="C976" s="438"/>
      <c r="D976" s="438"/>
      <c r="E976" s="438"/>
      <c r="F976" s="438"/>
      <c r="G976" s="438"/>
      <c r="H976" s="438"/>
      <c r="I976" s="438"/>
      <c r="J976" s="438"/>
      <c r="K976" s="438"/>
      <c r="L976" s="438"/>
      <c r="M976" s="438"/>
      <c r="N976" s="438"/>
      <c r="O976" s="438"/>
      <c r="P976" s="438"/>
      <c r="Q976" s="438"/>
      <c r="R976" s="438"/>
      <c r="S976" s="438"/>
      <c r="T976" s="438"/>
      <c r="U976" s="438"/>
      <c r="V976" s="438"/>
      <c r="W976" s="438"/>
      <c r="X976" s="438"/>
      <c r="Y976" s="438"/>
      <c r="Z976" s="438"/>
      <c r="AA976" s="438"/>
      <c r="AB976" s="438"/>
      <c r="AC976" s="438"/>
      <c r="AD976" s="438"/>
      <c r="AE976" s="438"/>
      <c r="AF976" s="438"/>
      <c r="AG976" s="438"/>
      <c r="AH976" s="438"/>
    </row>
    <row r="977">
      <c r="A977" s="438"/>
      <c r="B977" s="438"/>
      <c r="C977" s="438"/>
      <c r="D977" s="438"/>
      <c r="E977" s="438"/>
      <c r="F977" s="438"/>
      <c r="G977" s="438"/>
      <c r="H977" s="438"/>
      <c r="I977" s="438"/>
      <c r="J977" s="438"/>
      <c r="K977" s="438"/>
      <c r="L977" s="438"/>
      <c r="M977" s="438"/>
      <c r="N977" s="438"/>
      <c r="O977" s="438"/>
      <c r="P977" s="438"/>
      <c r="Q977" s="438"/>
      <c r="R977" s="438"/>
      <c r="S977" s="438"/>
      <c r="T977" s="438"/>
      <c r="U977" s="438"/>
      <c r="V977" s="438"/>
      <c r="W977" s="438"/>
      <c r="X977" s="438"/>
      <c r="Y977" s="438"/>
      <c r="Z977" s="438"/>
      <c r="AA977" s="438"/>
      <c r="AB977" s="438"/>
      <c r="AC977" s="438"/>
      <c r="AD977" s="438"/>
      <c r="AE977" s="438"/>
      <c r="AF977" s="438"/>
      <c r="AG977" s="438"/>
      <c r="AH977" s="438"/>
    </row>
    <row r="978">
      <c r="A978" s="438"/>
      <c r="B978" s="438"/>
      <c r="C978" s="438"/>
      <c r="D978" s="438"/>
      <c r="E978" s="438"/>
      <c r="F978" s="438"/>
      <c r="G978" s="438"/>
      <c r="H978" s="438"/>
      <c r="I978" s="438"/>
      <c r="J978" s="438"/>
      <c r="K978" s="438"/>
      <c r="L978" s="438"/>
      <c r="M978" s="438"/>
      <c r="N978" s="438"/>
      <c r="O978" s="438"/>
      <c r="P978" s="438"/>
      <c r="Q978" s="438"/>
      <c r="R978" s="438"/>
      <c r="S978" s="438"/>
      <c r="T978" s="438"/>
      <c r="U978" s="438"/>
      <c r="V978" s="438"/>
      <c r="W978" s="438"/>
      <c r="X978" s="438"/>
      <c r="Y978" s="438"/>
      <c r="Z978" s="438"/>
      <c r="AA978" s="438"/>
      <c r="AB978" s="438"/>
      <c r="AC978" s="438"/>
      <c r="AD978" s="438"/>
      <c r="AE978" s="438"/>
      <c r="AF978" s="438"/>
      <c r="AG978" s="438"/>
      <c r="AH978" s="438"/>
    </row>
    <row r="979">
      <c r="A979" s="438"/>
      <c r="B979" s="438"/>
      <c r="C979" s="438"/>
      <c r="D979" s="438"/>
      <c r="E979" s="438"/>
      <c r="F979" s="438"/>
      <c r="G979" s="438"/>
      <c r="H979" s="438"/>
      <c r="I979" s="438"/>
      <c r="J979" s="438"/>
      <c r="K979" s="438"/>
      <c r="L979" s="438"/>
      <c r="M979" s="438"/>
      <c r="N979" s="438"/>
      <c r="O979" s="438"/>
      <c r="P979" s="438"/>
      <c r="Q979" s="438"/>
      <c r="R979" s="438"/>
      <c r="S979" s="438"/>
      <c r="T979" s="438"/>
      <c r="U979" s="438"/>
      <c r="V979" s="438"/>
      <c r="W979" s="438"/>
      <c r="X979" s="438"/>
      <c r="Y979" s="438"/>
      <c r="Z979" s="438"/>
      <c r="AA979" s="438"/>
      <c r="AB979" s="438"/>
      <c r="AC979" s="438"/>
      <c r="AD979" s="438"/>
      <c r="AE979" s="438"/>
      <c r="AF979" s="438"/>
      <c r="AG979" s="438"/>
      <c r="AH979" s="438"/>
    </row>
    <row r="980">
      <c r="A980" s="438"/>
      <c r="B980" s="438"/>
      <c r="C980" s="438"/>
      <c r="D980" s="438"/>
      <c r="E980" s="438"/>
      <c r="F980" s="438"/>
      <c r="G980" s="438"/>
      <c r="H980" s="438"/>
      <c r="I980" s="438"/>
      <c r="J980" s="438"/>
      <c r="K980" s="438"/>
      <c r="L980" s="438"/>
      <c r="M980" s="438"/>
      <c r="N980" s="438"/>
      <c r="O980" s="438"/>
      <c r="P980" s="438"/>
      <c r="Q980" s="438"/>
      <c r="R980" s="438"/>
      <c r="S980" s="438"/>
      <c r="T980" s="438"/>
      <c r="U980" s="438"/>
      <c r="V980" s="438"/>
      <c r="W980" s="438"/>
      <c r="X980" s="438"/>
      <c r="Y980" s="438"/>
      <c r="Z980" s="438"/>
      <c r="AA980" s="438"/>
      <c r="AB980" s="438"/>
      <c r="AC980" s="438"/>
      <c r="AD980" s="438"/>
      <c r="AE980" s="438"/>
      <c r="AF980" s="438"/>
      <c r="AG980" s="438"/>
      <c r="AH980" s="438"/>
    </row>
    <row r="981">
      <c r="A981" s="438"/>
      <c r="B981" s="438"/>
      <c r="C981" s="438"/>
      <c r="D981" s="438"/>
      <c r="E981" s="438"/>
      <c r="F981" s="438"/>
      <c r="G981" s="438"/>
      <c r="H981" s="438"/>
      <c r="I981" s="438"/>
      <c r="J981" s="438"/>
      <c r="K981" s="438"/>
      <c r="L981" s="438"/>
      <c r="M981" s="438"/>
      <c r="N981" s="438"/>
      <c r="O981" s="438"/>
      <c r="P981" s="438"/>
      <c r="Q981" s="438"/>
      <c r="R981" s="438"/>
      <c r="S981" s="438"/>
      <c r="T981" s="438"/>
      <c r="U981" s="438"/>
      <c r="V981" s="438"/>
      <c r="W981" s="438"/>
      <c r="X981" s="438"/>
      <c r="Y981" s="438"/>
      <c r="Z981" s="438"/>
      <c r="AA981" s="438"/>
      <c r="AB981" s="438"/>
      <c r="AC981" s="438"/>
      <c r="AD981" s="438"/>
      <c r="AE981" s="438"/>
      <c r="AF981" s="438"/>
      <c r="AG981" s="438"/>
      <c r="AH981" s="438"/>
    </row>
    <row r="982">
      <c r="A982" s="438"/>
      <c r="B982" s="438"/>
      <c r="C982" s="438"/>
      <c r="D982" s="438"/>
      <c r="E982" s="438"/>
      <c r="F982" s="438"/>
      <c r="G982" s="438"/>
      <c r="H982" s="438"/>
      <c r="I982" s="438"/>
      <c r="J982" s="438"/>
      <c r="K982" s="438"/>
      <c r="L982" s="438"/>
      <c r="M982" s="438"/>
      <c r="N982" s="438"/>
      <c r="O982" s="438"/>
      <c r="P982" s="438"/>
      <c r="Q982" s="438"/>
      <c r="R982" s="438"/>
      <c r="S982" s="438"/>
      <c r="T982" s="438"/>
      <c r="U982" s="438"/>
      <c r="V982" s="438"/>
      <c r="W982" s="438"/>
      <c r="X982" s="438"/>
      <c r="Y982" s="438"/>
      <c r="Z982" s="438"/>
      <c r="AA982" s="438"/>
      <c r="AB982" s="438"/>
      <c r="AC982" s="438"/>
      <c r="AD982" s="438"/>
      <c r="AE982" s="438"/>
      <c r="AF982" s="438"/>
      <c r="AG982" s="438"/>
      <c r="AH982" s="438"/>
    </row>
    <row r="983">
      <c r="A983" s="438"/>
      <c r="B983" s="438"/>
      <c r="C983" s="438"/>
      <c r="D983" s="438"/>
      <c r="E983" s="438"/>
      <c r="F983" s="438"/>
      <c r="G983" s="438"/>
      <c r="H983" s="438"/>
      <c r="I983" s="438"/>
      <c r="J983" s="438"/>
      <c r="K983" s="438"/>
      <c r="L983" s="438"/>
      <c r="M983" s="438"/>
      <c r="N983" s="438"/>
      <c r="O983" s="438"/>
      <c r="P983" s="438"/>
      <c r="Q983" s="438"/>
      <c r="R983" s="438"/>
      <c r="S983" s="438"/>
      <c r="T983" s="438"/>
      <c r="U983" s="438"/>
      <c r="V983" s="438"/>
      <c r="W983" s="438"/>
      <c r="X983" s="438"/>
      <c r="Y983" s="438"/>
      <c r="Z983" s="438"/>
      <c r="AA983" s="438"/>
      <c r="AB983" s="438"/>
      <c r="AC983" s="438"/>
      <c r="AD983" s="438"/>
      <c r="AE983" s="438"/>
      <c r="AF983" s="438"/>
      <c r="AG983" s="438"/>
      <c r="AH983" s="438"/>
    </row>
    <row r="984">
      <c r="A984" s="438"/>
      <c r="B984" s="438"/>
      <c r="C984" s="438"/>
      <c r="D984" s="438"/>
      <c r="E984" s="438"/>
      <c r="F984" s="438"/>
      <c r="G984" s="438"/>
      <c r="H984" s="438"/>
      <c r="I984" s="438"/>
      <c r="J984" s="438"/>
      <c r="K984" s="438"/>
      <c r="L984" s="438"/>
      <c r="M984" s="438"/>
      <c r="N984" s="438"/>
      <c r="O984" s="438"/>
      <c r="P984" s="438"/>
      <c r="Q984" s="438"/>
      <c r="R984" s="438"/>
      <c r="S984" s="438"/>
      <c r="T984" s="438"/>
      <c r="U984" s="438"/>
      <c r="V984" s="438"/>
      <c r="W984" s="438"/>
      <c r="X984" s="438"/>
      <c r="Y984" s="438"/>
      <c r="Z984" s="438"/>
      <c r="AA984" s="438"/>
      <c r="AB984" s="438"/>
      <c r="AC984" s="438"/>
      <c r="AD984" s="438"/>
      <c r="AE984" s="438"/>
      <c r="AF984" s="438"/>
      <c r="AG984" s="438"/>
      <c r="AH984" s="438"/>
    </row>
    <row r="985">
      <c r="A985" s="438"/>
      <c r="B985" s="438"/>
      <c r="C985" s="438"/>
      <c r="D985" s="438"/>
      <c r="E985" s="438"/>
      <c r="F985" s="438"/>
      <c r="G985" s="438"/>
      <c r="H985" s="438"/>
      <c r="I985" s="438"/>
      <c r="J985" s="438"/>
      <c r="K985" s="438"/>
      <c r="L985" s="438"/>
      <c r="M985" s="438"/>
      <c r="N985" s="438"/>
      <c r="O985" s="438"/>
      <c r="P985" s="438"/>
      <c r="Q985" s="438"/>
      <c r="R985" s="438"/>
      <c r="S985" s="438"/>
      <c r="T985" s="438"/>
      <c r="U985" s="438"/>
      <c r="V985" s="438"/>
      <c r="W985" s="438"/>
      <c r="X985" s="438"/>
      <c r="Y985" s="438"/>
      <c r="Z985" s="438"/>
      <c r="AA985" s="438"/>
      <c r="AB985" s="438"/>
      <c r="AC985" s="438"/>
      <c r="AD985" s="438"/>
      <c r="AE985" s="438"/>
      <c r="AF985" s="438"/>
      <c r="AG985" s="438"/>
      <c r="AH985" s="438"/>
    </row>
    <row r="986">
      <c r="A986" s="438"/>
      <c r="B986" s="438"/>
      <c r="C986" s="438"/>
      <c r="D986" s="438"/>
      <c r="E986" s="438"/>
      <c r="F986" s="438"/>
      <c r="G986" s="438"/>
      <c r="H986" s="438"/>
      <c r="I986" s="438"/>
      <c r="J986" s="438"/>
      <c r="K986" s="438"/>
      <c r="L986" s="438"/>
      <c r="M986" s="438"/>
      <c r="N986" s="438"/>
      <c r="O986" s="438"/>
      <c r="P986" s="438"/>
      <c r="Q986" s="438"/>
      <c r="R986" s="438"/>
      <c r="S986" s="438"/>
      <c r="T986" s="438"/>
      <c r="U986" s="438"/>
      <c r="V986" s="438"/>
      <c r="W986" s="438"/>
      <c r="X986" s="438"/>
      <c r="Y986" s="438"/>
      <c r="Z986" s="438"/>
      <c r="AA986" s="438"/>
      <c r="AB986" s="438"/>
      <c r="AC986" s="438"/>
      <c r="AD986" s="438"/>
      <c r="AE986" s="438"/>
      <c r="AF986" s="438"/>
      <c r="AG986" s="438"/>
      <c r="AH986" s="438"/>
    </row>
    <row r="987">
      <c r="A987" s="438"/>
      <c r="B987" s="438"/>
      <c r="C987" s="438"/>
      <c r="D987" s="438"/>
      <c r="E987" s="438"/>
      <c r="F987" s="438"/>
      <c r="G987" s="438"/>
      <c r="H987" s="438"/>
      <c r="I987" s="438"/>
      <c r="J987" s="438"/>
      <c r="K987" s="438"/>
      <c r="L987" s="438"/>
      <c r="M987" s="438"/>
      <c r="N987" s="438"/>
      <c r="O987" s="438"/>
      <c r="P987" s="438"/>
      <c r="Q987" s="438"/>
      <c r="R987" s="438"/>
      <c r="S987" s="438"/>
      <c r="T987" s="438"/>
      <c r="U987" s="438"/>
      <c r="V987" s="438"/>
      <c r="W987" s="438"/>
      <c r="X987" s="438"/>
      <c r="Y987" s="438"/>
      <c r="Z987" s="438"/>
      <c r="AA987" s="438"/>
      <c r="AB987" s="438"/>
      <c r="AC987" s="438"/>
      <c r="AD987" s="438"/>
      <c r="AE987" s="438"/>
      <c r="AF987" s="438"/>
      <c r="AG987" s="438"/>
      <c r="AH987" s="438"/>
    </row>
    <row r="988">
      <c r="A988" s="438"/>
      <c r="B988" s="438"/>
      <c r="C988" s="438"/>
      <c r="D988" s="438"/>
      <c r="E988" s="438"/>
      <c r="F988" s="438"/>
      <c r="G988" s="438"/>
      <c r="H988" s="438"/>
      <c r="I988" s="438"/>
      <c r="J988" s="438"/>
      <c r="K988" s="438"/>
      <c r="L988" s="438"/>
      <c r="M988" s="438"/>
      <c r="N988" s="438"/>
      <c r="O988" s="438"/>
      <c r="P988" s="438"/>
      <c r="Q988" s="438"/>
      <c r="R988" s="438"/>
      <c r="S988" s="438"/>
      <c r="T988" s="438"/>
      <c r="U988" s="438"/>
      <c r="V988" s="438"/>
      <c r="W988" s="438"/>
      <c r="X988" s="438"/>
      <c r="Y988" s="438"/>
      <c r="Z988" s="438"/>
      <c r="AA988" s="438"/>
      <c r="AB988" s="438"/>
      <c r="AC988" s="438"/>
      <c r="AD988" s="438"/>
      <c r="AE988" s="438"/>
      <c r="AF988" s="438"/>
      <c r="AG988" s="438"/>
      <c r="AH988" s="438"/>
    </row>
    <row r="989">
      <c r="A989" s="438"/>
      <c r="B989" s="438"/>
      <c r="C989" s="438"/>
      <c r="D989" s="438"/>
      <c r="E989" s="438"/>
      <c r="F989" s="438"/>
      <c r="G989" s="438"/>
      <c r="H989" s="438"/>
      <c r="I989" s="438"/>
      <c r="J989" s="438"/>
      <c r="K989" s="438"/>
      <c r="L989" s="438"/>
      <c r="M989" s="438"/>
      <c r="N989" s="438"/>
      <c r="O989" s="438"/>
      <c r="P989" s="438"/>
      <c r="Q989" s="438"/>
      <c r="R989" s="438"/>
      <c r="S989" s="438"/>
      <c r="T989" s="438"/>
      <c r="U989" s="438"/>
      <c r="V989" s="438"/>
      <c r="W989" s="438"/>
      <c r="X989" s="438"/>
      <c r="Y989" s="438"/>
      <c r="Z989" s="438"/>
      <c r="AA989" s="438"/>
      <c r="AB989" s="438"/>
      <c r="AC989" s="438"/>
      <c r="AD989" s="438"/>
      <c r="AE989" s="438"/>
      <c r="AF989" s="438"/>
      <c r="AG989" s="438"/>
      <c r="AH989" s="438"/>
    </row>
    <row r="990">
      <c r="A990" s="438"/>
      <c r="B990" s="438"/>
      <c r="C990" s="438"/>
      <c r="D990" s="438"/>
      <c r="E990" s="438"/>
      <c r="F990" s="438"/>
      <c r="G990" s="438"/>
      <c r="H990" s="438"/>
      <c r="I990" s="438"/>
      <c r="J990" s="438"/>
      <c r="K990" s="438"/>
      <c r="L990" s="438"/>
      <c r="M990" s="438"/>
      <c r="N990" s="438"/>
      <c r="O990" s="438"/>
      <c r="P990" s="438"/>
      <c r="Q990" s="438"/>
      <c r="R990" s="438"/>
      <c r="S990" s="438"/>
      <c r="T990" s="438"/>
      <c r="U990" s="438"/>
      <c r="V990" s="438"/>
      <c r="W990" s="438"/>
      <c r="X990" s="438"/>
      <c r="Y990" s="438"/>
      <c r="Z990" s="438"/>
      <c r="AA990" s="438"/>
      <c r="AB990" s="438"/>
      <c r="AC990" s="438"/>
      <c r="AD990" s="438"/>
      <c r="AE990" s="438"/>
      <c r="AF990" s="438"/>
      <c r="AG990" s="438"/>
      <c r="AH990" s="438"/>
    </row>
    <row r="991">
      <c r="A991" s="438"/>
      <c r="B991" s="438"/>
      <c r="C991" s="438"/>
      <c r="D991" s="438"/>
      <c r="E991" s="438"/>
      <c r="F991" s="438"/>
      <c r="G991" s="438"/>
      <c r="H991" s="438"/>
      <c r="I991" s="438"/>
      <c r="J991" s="438"/>
      <c r="K991" s="438"/>
      <c r="L991" s="438"/>
      <c r="M991" s="438"/>
      <c r="N991" s="438"/>
      <c r="O991" s="438"/>
      <c r="P991" s="438"/>
      <c r="Q991" s="438"/>
      <c r="R991" s="438"/>
      <c r="S991" s="438"/>
      <c r="T991" s="438"/>
      <c r="U991" s="438"/>
      <c r="V991" s="438"/>
      <c r="W991" s="438"/>
      <c r="X991" s="438"/>
      <c r="Y991" s="438"/>
      <c r="Z991" s="438"/>
      <c r="AA991" s="438"/>
      <c r="AB991" s="438"/>
      <c r="AC991" s="438"/>
      <c r="AD991" s="438"/>
      <c r="AE991" s="438"/>
      <c r="AF991" s="438"/>
      <c r="AG991" s="438"/>
      <c r="AH991" s="438"/>
    </row>
    <row r="992">
      <c r="A992" s="438"/>
      <c r="B992" s="438"/>
      <c r="C992" s="438"/>
      <c r="D992" s="438"/>
      <c r="E992" s="438"/>
      <c r="F992" s="438"/>
      <c r="G992" s="438"/>
      <c r="H992" s="438"/>
      <c r="I992" s="438"/>
      <c r="J992" s="438"/>
      <c r="K992" s="438"/>
      <c r="L992" s="438"/>
      <c r="M992" s="438"/>
      <c r="N992" s="438"/>
      <c r="O992" s="438"/>
      <c r="P992" s="438"/>
      <c r="Q992" s="438"/>
      <c r="R992" s="438"/>
      <c r="S992" s="438"/>
      <c r="T992" s="438"/>
      <c r="U992" s="438"/>
      <c r="V992" s="438"/>
      <c r="W992" s="438"/>
      <c r="X992" s="438"/>
      <c r="Y992" s="438"/>
      <c r="Z992" s="438"/>
      <c r="AA992" s="438"/>
      <c r="AB992" s="438"/>
      <c r="AC992" s="438"/>
      <c r="AD992" s="438"/>
      <c r="AE992" s="438"/>
      <c r="AF992" s="438"/>
      <c r="AG992" s="438"/>
      <c r="AH992" s="438"/>
    </row>
    <row r="993">
      <c r="A993" s="438"/>
      <c r="B993" s="438"/>
      <c r="C993" s="438"/>
      <c r="D993" s="438"/>
      <c r="E993" s="438"/>
      <c r="F993" s="438"/>
      <c r="G993" s="438"/>
      <c r="H993" s="438"/>
      <c r="I993" s="438"/>
      <c r="J993" s="438"/>
      <c r="K993" s="438"/>
      <c r="L993" s="438"/>
      <c r="M993" s="438"/>
      <c r="N993" s="438"/>
      <c r="O993" s="438"/>
      <c r="P993" s="438"/>
      <c r="Q993" s="438"/>
      <c r="R993" s="438"/>
      <c r="S993" s="438"/>
      <c r="T993" s="438"/>
      <c r="U993" s="438"/>
      <c r="V993" s="438"/>
      <c r="W993" s="438"/>
      <c r="X993" s="438"/>
      <c r="Y993" s="438"/>
      <c r="Z993" s="438"/>
      <c r="AA993" s="438"/>
      <c r="AB993" s="438"/>
      <c r="AC993" s="438"/>
      <c r="AD993" s="438"/>
      <c r="AE993" s="438"/>
      <c r="AF993" s="438"/>
      <c r="AG993" s="438"/>
      <c r="AH993" s="438"/>
    </row>
    <row r="994">
      <c r="A994" s="438"/>
      <c r="B994" s="438"/>
      <c r="C994" s="438"/>
      <c r="D994" s="438"/>
      <c r="E994" s="438"/>
      <c r="F994" s="438"/>
      <c r="G994" s="438"/>
      <c r="H994" s="438"/>
      <c r="I994" s="438"/>
      <c r="J994" s="438"/>
      <c r="K994" s="438"/>
      <c r="L994" s="438"/>
      <c r="M994" s="438"/>
      <c r="N994" s="438"/>
      <c r="O994" s="438"/>
      <c r="P994" s="438"/>
      <c r="Q994" s="438"/>
      <c r="R994" s="438"/>
      <c r="S994" s="438"/>
      <c r="T994" s="438"/>
      <c r="U994" s="438"/>
      <c r="V994" s="438"/>
      <c r="W994" s="438"/>
      <c r="X994" s="438"/>
      <c r="Y994" s="438"/>
      <c r="Z994" s="438"/>
      <c r="AA994" s="438"/>
      <c r="AB994" s="438"/>
      <c r="AC994" s="438"/>
      <c r="AD994" s="438"/>
      <c r="AE994" s="438"/>
      <c r="AF994" s="438"/>
      <c r="AG994" s="438"/>
      <c r="AH994" s="438"/>
    </row>
    <row r="995">
      <c r="A995" s="438"/>
      <c r="B995" s="438"/>
      <c r="C995" s="438"/>
      <c r="D995" s="438"/>
      <c r="E995" s="438"/>
      <c r="F995" s="438"/>
      <c r="G995" s="438"/>
      <c r="H995" s="438"/>
      <c r="I995" s="438"/>
      <c r="J995" s="438"/>
      <c r="K995" s="438"/>
      <c r="L995" s="438"/>
      <c r="M995" s="438"/>
      <c r="N995" s="438"/>
      <c r="O995" s="438"/>
      <c r="P995" s="438"/>
      <c r="Q995" s="438"/>
      <c r="R995" s="438"/>
      <c r="S995" s="438"/>
      <c r="T995" s="438"/>
      <c r="U995" s="438"/>
      <c r="V995" s="438"/>
      <c r="W995" s="438"/>
      <c r="X995" s="438"/>
      <c r="Y995" s="438"/>
      <c r="Z995" s="438"/>
      <c r="AA995" s="438"/>
      <c r="AB995" s="438"/>
      <c r="AC995" s="438"/>
      <c r="AD995" s="438"/>
      <c r="AE995" s="438"/>
      <c r="AF995" s="438"/>
      <c r="AG995" s="438"/>
      <c r="AH995" s="438"/>
    </row>
    <row r="996">
      <c r="A996" s="438"/>
      <c r="B996" s="438"/>
      <c r="C996" s="438"/>
      <c r="D996" s="438"/>
      <c r="E996" s="438"/>
      <c r="F996" s="438"/>
      <c r="G996" s="438"/>
      <c r="H996" s="438"/>
      <c r="I996" s="438"/>
      <c r="J996" s="438"/>
      <c r="K996" s="438"/>
      <c r="L996" s="438"/>
      <c r="M996" s="438"/>
      <c r="N996" s="438"/>
      <c r="O996" s="438"/>
      <c r="P996" s="438"/>
      <c r="Q996" s="438"/>
      <c r="R996" s="438"/>
      <c r="S996" s="438"/>
      <c r="T996" s="438"/>
      <c r="U996" s="438"/>
      <c r="V996" s="438"/>
      <c r="W996" s="438"/>
      <c r="X996" s="438"/>
      <c r="Y996" s="438"/>
      <c r="Z996" s="438"/>
      <c r="AA996" s="438"/>
      <c r="AB996" s="438"/>
      <c r="AC996" s="438"/>
      <c r="AD996" s="438"/>
      <c r="AE996" s="438"/>
      <c r="AF996" s="438"/>
      <c r="AG996" s="438"/>
      <c r="AH996" s="438"/>
    </row>
    <row r="997">
      <c r="A997" s="438"/>
      <c r="B997" s="438"/>
      <c r="C997" s="438"/>
      <c r="D997" s="438"/>
      <c r="E997" s="438"/>
      <c r="F997" s="438"/>
      <c r="G997" s="438"/>
      <c r="H997" s="438"/>
      <c r="I997" s="438"/>
      <c r="J997" s="438"/>
      <c r="K997" s="438"/>
      <c r="L997" s="438"/>
      <c r="M997" s="438"/>
      <c r="N997" s="438"/>
      <c r="O997" s="438"/>
      <c r="P997" s="438"/>
      <c r="Q997" s="438"/>
      <c r="R997" s="438"/>
      <c r="S997" s="438"/>
      <c r="T997" s="438"/>
      <c r="U997" s="438"/>
      <c r="V997" s="438"/>
      <c r="W997" s="438"/>
      <c r="X997" s="438"/>
      <c r="Y997" s="438"/>
      <c r="Z997" s="438"/>
      <c r="AA997" s="438"/>
      <c r="AB997" s="438"/>
      <c r="AC997" s="438"/>
      <c r="AD997" s="438"/>
      <c r="AE997" s="438"/>
      <c r="AF997" s="438"/>
      <c r="AG997" s="438"/>
      <c r="AH997" s="438"/>
    </row>
    <row r="998">
      <c r="A998" s="438"/>
      <c r="B998" s="438"/>
      <c r="C998" s="438"/>
      <c r="D998" s="438"/>
      <c r="E998" s="438"/>
      <c r="F998" s="438"/>
      <c r="G998" s="438"/>
      <c r="H998" s="438"/>
      <c r="I998" s="438"/>
      <c r="J998" s="438"/>
      <c r="K998" s="438"/>
      <c r="L998" s="438"/>
      <c r="M998" s="438"/>
      <c r="N998" s="438"/>
      <c r="O998" s="438"/>
      <c r="P998" s="438"/>
      <c r="Q998" s="438"/>
      <c r="R998" s="438"/>
      <c r="S998" s="438"/>
      <c r="T998" s="438"/>
      <c r="U998" s="438"/>
      <c r="V998" s="438"/>
      <c r="W998" s="438"/>
      <c r="X998" s="438"/>
      <c r="Y998" s="438"/>
      <c r="Z998" s="438"/>
      <c r="AA998" s="438"/>
      <c r="AB998" s="438"/>
      <c r="AC998" s="438"/>
      <c r="AD998" s="438"/>
      <c r="AE998" s="438"/>
      <c r="AF998" s="438"/>
      <c r="AG998" s="438"/>
      <c r="AH998" s="438"/>
    </row>
    <row r="999">
      <c r="A999" s="438"/>
      <c r="B999" s="438"/>
      <c r="C999" s="438"/>
      <c r="D999" s="438"/>
      <c r="E999" s="438"/>
      <c r="F999" s="438"/>
      <c r="G999" s="438"/>
      <c r="H999" s="438"/>
      <c r="I999" s="438"/>
      <c r="J999" s="438"/>
      <c r="K999" s="438"/>
      <c r="L999" s="438"/>
      <c r="M999" s="438"/>
      <c r="N999" s="438"/>
      <c r="O999" s="438"/>
      <c r="P999" s="438"/>
      <c r="Q999" s="438"/>
      <c r="R999" s="438"/>
      <c r="S999" s="438"/>
      <c r="T999" s="438"/>
      <c r="U999" s="438"/>
      <c r="V999" s="438"/>
      <c r="W999" s="438"/>
      <c r="X999" s="438"/>
      <c r="Y999" s="438"/>
      <c r="Z999" s="438"/>
      <c r="AA999" s="438"/>
      <c r="AB999" s="438"/>
      <c r="AC999" s="438"/>
      <c r="AD999" s="438"/>
      <c r="AE999" s="438"/>
      <c r="AF999" s="438"/>
      <c r="AG999" s="438"/>
      <c r="AH999" s="438"/>
    </row>
    <row r="1000">
      <c r="A1000" s="438"/>
      <c r="B1000" s="438"/>
      <c r="C1000" s="438"/>
      <c r="D1000" s="438"/>
      <c r="E1000" s="438"/>
      <c r="F1000" s="438"/>
      <c r="G1000" s="438"/>
      <c r="H1000" s="438"/>
      <c r="I1000" s="438"/>
      <c r="J1000" s="438"/>
      <c r="K1000" s="438"/>
      <c r="L1000" s="438"/>
      <c r="M1000" s="438"/>
      <c r="N1000" s="438"/>
      <c r="O1000" s="438"/>
      <c r="P1000" s="438"/>
      <c r="Q1000" s="438"/>
      <c r="R1000" s="438"/>
      <c r="S1000" s="438"/>
      <c r="T1000" s="438"/>
      <c r="U1000" s="438"/>
      <c r="V1000" s="438"/>
      <c r="W1000" s="438"/>
      <c r="X1000" s="438"/>
      <c r="Y1000" s="438"/>
      <c r="Z1000" s="438"/>
      <c r="AA1000" s="438"/>
      <c r="AB1000" s="438"/>
      <c r="AC1000" s="438"/>
      <c r="AD1000" s="438"/>
      <c r="AE1000" s="438"/>
      <c r="AF1000" s="438"/>
      <c r="AG1000" s="438"/>
      <c r="AH1000" s="438"/>
    </row>
  </sheetData>
  <mergeCells count="9">
    <mergeCell ref="K47:M47"/>
    <mergeCell ref="N47:P47"/>
    <mergeCell ref="B12:D12"/>
    <mergeCell ref="E12:G12"/>
    <mergeCell ref="H12:J12"/>
    <mergeCell ref="K12:M12"/>
    <mergeCell ref="B47:D47"/>
    <mergeCell ref="E47:G47"/>
    <mergeCell ref="H47:J4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8888"/>
    <pageSetUpPr/>
  </sheetPr>
  <sheetViews>
    <sheetView workbookViewId="0"/>
  </sheetViews>
  <sheetFormatPr customHeight="1" defaultColWidth="14.43" defaultRowHeight="15.0"/>
  <cols>
    <col customWidth="1" min="1" max="1" width="20.0"/>
    <col customWidth="1" min="2" max="6" width="25.0"/>
    <col customWidth="1" min="7" max="26" width="8.71"/>
  </cols>
  <sheetData>
    <row r="1" ht="39.75" customHeight="1">
      <c r="A1" s="342" t="s">
        <v>2191</v>
      </c>
      <c r="B1" s="2"/>
      <c r="C1" s="2"/>
      <c r="D1" s="2"/>
      <c r="E1" s="2"/>
      <c r="F1" s="3"/>
    </row>
    <row r="2" ht="14.25" customHeight="1"/>
    <row r="3" ht="27.75" customHeight="1">
      <c r="A3" s="448" t="s">
        <v>2192</v>
      </c>
      <c r="B3" s="2"/>
      <c r="C3" s="2"/>
      <c r="D3" s="2"/>
      <c r="E3" s="2"/>
      <c r="F3" s="3"/>
    </row>
    <row r="4" ht="36.0" customHeight="1">
      <c r="A4" s="449" t="s">
        <v>2193</v>
      </c>
      <c r="B4" s="450"/>
      <c r="C4" s="450"/>
      <c r="D4" s="450"/>
      <c r="E4" s="450"/>
      <c r="F4" s="451"/>
    </row>
    <row r="5" ht="36.0" customHeight="1">
      <c r="A5" s="452" t="s">
        <v>2194</v>
      </c>
      <c r="B5" s="450"/>
      <c r="C5" s="450"/>
      <c r="D5" s="450"/>
      <c r="E5" s="450"/>
      <c r="F5" s="451"/>
    </row>
    <row r="6" ht="36.0" customHeight="1">
      <c r="A6" s="449" t="s">
        <v>2195</v>
      </c>
      <c r="B6" s="450"/>
      <c r="C6" s="450"/>
      <c r="D6" s="450"/>
      <c r="E6" s="450"/>
      <c r="F6" s="451"/>
    </row>
    <row r="7" ht="36.0" customHeight="1">
      <c r="A7" s="452" t="s">
        <v>2196</v>
      </c>
      <c r="B7" s="450"/>
      <c r="C7" s="450"/>
      <c r="D7" s="450"/>
      <c r="E7" s="450"/>
      <c r="F7" s="451"/>
    </row>
    <row r="8" ht="36.0" customHeight="1">
      <c r="A8" s="449" t="s">
        <v>2197</v>
      </c>
      <c r="B8" s="450"/>
      <c r="C8" s="450"/>
      <c r="D8" s="450"/>
      <c r="E8" s="450"/>
      <c r="F8" s="451"/>
    </row>
    <row r="9" ht="36.0" customHeight="1">
      <c r="A9" s="452" t="s">
        <v>2198</v>
      </c>
      <c r="B9" s="450"/>
      <c r="C9" s="450"/>
      <c r="D9" s="450"/>
      <c r="E9" s="450"/>
      <c r="F9" s="451"/>
    </row>
    <row r="10" ht="14.25" customHeight="1"/>
    <row r="11" ht="27.75" customHeight="1">
      <c r="A11" s="448" t="s">
        <v>2199</v>
      </c>
      <c r="B11" s="2"/>
      <c r="C11" s="2"/>
      <c r="D11" s="2"/>
      <c r="E11" s="2"/>
      <c r="F11" s="3"/>
    </row>
    <row r="12" ht="36.0" customHeight="1">
      <c r="A12" s="449" t="s">
        <v>2200</v>
      </c>
      <c r="B12" s="450"/>
      <c r="C12" s="450"/>
      <c r="D12" s="450"/>
      <c r="E12" s="450"/>
      <c r="F12" s="451"/>
    </row>
    <row r="13" ht="36.0" customHeight="1">
      <c r="A13" s="452" t="s">
        <v>2201</v>
      </c>
      <c r="B13" s="450"/>
      <c r="C13" s="450"/>
      <c r="D13" s="450"/>
      <c r="E13" s="450"/>
      <c r="F13" s="451"/>
    </row>
    <row r="14" ht="36.0" customHeight="1">
      <c r="A14" s="449" t="s">
        <v>2202</v>
      </c>
      <c r="B14" s="450"/>
      <c r="C14" s="450"/>
      <c r="D14" s="450"/>
      <c r="E14" s="450"/>
      <c r="F14" s="451"/>
    </row>
    <row r="15" ht="36.0" customHeight="1">
      <c r="A15" s="452" t="s">
        <v>2203</v>
      </c>
      <c r="B15" s="450"/>
      <c r="C15" s="450"/>
      <c r="D15" s="450"/>
      <c r="E15" s="450"/>
      <c r="F15" s="451"/>
    </row>
    <row r="16" ht="36.0" customHeight="1">
      <c r="A16" s="449" t="s">
        <v>2204</v>
      </c>
      <c r="B16" s="450"/>
      <c r="C16" s="450"/>
      <c r="D16" s="450"/>
      <c r="E16" s="450"/>
      <c r="F16" s="451"/>
    </row>
    <row r="17" ht="36.0" customHeight="1">
      <c r="A17" s="452" t="s">
        <v>2205</v>
      </c>
      <c r="B17" s="450"/>
      <c r="C17" s="450"/>
      <c r="D17" s="450"/>
      <c r="E17" s="450"/>
      <c r="F17" s="451"/>
    </row>
    <row r="18" ht="14.25" customHeight="1"/>
    <row r="19" ht="27.75" customHeight="1">
      <c r="A19" s="448" t="s">
        <v>2206</v>
      </c>
      <c r="B19" s="2"/>
      <c r="C19" s="2"/>
      <c r="D19" s="2"/>
      <c r="E19" s="2"/>
      <c r="F19" s="3"/>
    </row>
    <row r="20" ht="36.0" customHeight="1">
      <c r="A20" s="449" t="s">
        <v>2207</v>
      </c>
      <c r="B20" s="450"/>
      <c r="C20" s="450"/>
      <c r="D20" s="450"/>
      <c r="E20" s="450"/>
      <c r="F20" s="451"/>
    </row>
    <row r="21" ht="36.0" customHeight="1">
      <c r="A21" s="452" t="s">
        <v>2208</v>
      </c>
      <c r="B21" s="450"/>
      <c r="C21" s="450"/>
      <c r="D21" s="450"/>
      <c r="E21" s="450"/>
      <c r="F21" s="451"/>
    </row>
    <row r="22" ht="36.0" customHeight="1">
      <c r="A22" s="449" t="s">
        <v>2209</v>
      </c>
      <c r="B22" s="450"/>
      <c r="C22" s="450"/>
      <c r="D22" s="450"/>
      <c r="E22" s="450"/>
      <c r="F22" s="451"/>
    </row>
    <row r="23" ht="36.0" customHeight="1">
      <c r="A23" s="452" t="s">
        <v>2210</v>
      </c>
      <c r="B23" s="450"/>
      <c r="C23" s="450"/>
      <c r="D23" s="450"/>
      <c r="E23" s="450"/>
      <c r="F23" s="451"/>
    </row>
    <row r="24" ht="36.0" customHeight="1">
      <c r="A24" s="449" t="s">
        <v>2211</v>
      </c>
      <c r="B24" s="450"/>
      <c r="C24" s="450"/>
      <c r="D24" s="450"/>
      <c r="E24" s="450"/>
      <c r="F24" s="451"/>
    </row>
    <row r="25" ht="14.25" customHeight="1"/>
    <row r="26" ht="27.75" customHeight="1">
      <c r="A26" s="448" t="s">
        <v>2212</v>
      </c>
      <c r="B26" s="2"/>
      <c r="C26" s="2"/>
      <c r="D26" s="2"/>
      <c r="E26" s="2"/>
      <c r="F26" s="3"/>
    </row>
    <row r="27" ht="36.0" customHeight="1">
      <c r="A27" s="452" t="s">
        <v>2213</v>
      </c>
      <c r="B27" s="450"/>
      <c r="C27" s="450"/>
      <c r="D27" s="450"/>
      <c r="E27" s="450"/>
      <c r="F27" s="451"/>
    </row>
    <row r="28" ht="36.0" customHeight="1">
      <c r="A28" s="449" t="s">
        <v>2214</v>
      </c>
      <c r="B28" s="450"/>
      <c r="C28" s="450"/>
      <c r="D28" s="450"/>
      <c r="E28" s="450"/>
      <c r="F28" s="451"/>
    </row>
    <row r="29" ht="36.0" customHeight="1">
      <c r="A29" s="452" t="s">
        <v>2215</v>
      </c>
      <c r="B29" s="450"/>
      <c r="C29" s="450"/>
      <c r="D29" s="450"/>
      <c r="E29" s="450"/>
      <c r="F29" s="451"/>
    </row>
    <row r="30" ht="36.0" customHeight="1">
      <c r="A30" s="449" t="s">
        <v>2216</v>
      </c>
      <c r="B30" s="450"/>
      <c r="C30" s="450"/>
      <c r="D30" s="450"/>
      <c r="E30" s="450"/>
      <c r="F30" s="451"/>
    </row>
    <row r="31" ht="36.0" customHeight="1">
      <c r="A31" s="452" t="s">
        <v>2217</v>
      </c>
      <c r="B31" s="450"/>
      <c r="C31" s="450"/>
      <c r="D31" s="450"/>
      <c r="E31" s="450"/>
      <c r="F31" s="451"/>
    </row>
    <row r="32" ht="36.0" customHeight="1">
      <c r="A32" s="449" t="s">
        <v>2218</v>
      </c>
      <c r="B32" s="450"/>
      <c r="C32" s="450"/>
      <c r="D32" s="450"/>
      <c r="E32" s="450"/>
      <c r="F32" s="451"/>
    </row>
    <row r="33" ht="14.25" customHeight="1"/>
    <row r="34" ht="27.75" customHeight="1">
      <c r="A34" s="448" t="s">
        <v>2219</v>
      </c>
      <c r="B34" s="2"/>
      <c r="C34" s="2"/>
      <c r="D34" s="2"/>
      <c r="E34" s="2"/>
      <c r="F34" s="3"/>
    </row>
    <row r="35" ht="36.0" customHeight="1">
      <c r="A35" s="452" t="s">
        <v>2220</v>
      </c>
      <c r="B35" s="450"/>
      <c r="C35" s="450"/>
      <c r="D35" s="450"/>
      <c r="E35" s="450"/>
      <c r="F35" s="451"/>
    </row>
    <row r="36" ht="36.0" customHeight="1">
      <c r="A36" s="449" t="s">
        <v>2221</v>
      </c>
      <c r="B36" s="450"/>
      <c r="C36" s="450"/>
      <c r="D36" s="450"/>
      <c r="E36" s="450"/>
      <c r="F36" s="451"/>
    </row>
    <row r="37" ht="36.0" customHeight="1">
      <c r="A37" s="452" t="s">
        <v>2222</v>
      </c>
      <c r="B37" s="450"/>
      <c r="C37" s="450"/>
      <c r="D37" s="450"/>
      <c r="E37" s="450"/>
      <c r="F37" s="451"/>
    </row>
    <row r="38" ht="36.0" customHeight="1">
      <c r="A38" s="449" t="s">
        <v>2223</v>
      </c>
      <c r="B38" s="450"/>
      <c r="C38" s="450"/>
      <c r="D38" s="450"/>
      <c r="E38" s="450"/>
      <c r="F38" s="451"/>
    </row>
    <row r="39" ht="36.0" customHeight="1">
      <c r="A39" s="452" t="s">
        <v>2224</v>
      </c>
      <c r="B39" s="450"/>
      <c r="C39" s="450"/>
      <c r="D39" s="450"/>
      <c r="E39" s="450"/>
      <c r="F39" s="451"/>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4">
    <mergeCell ref="A1:F1"/>
    <mergeCell ref="A3:F3"/>
    <mergeCell ref="A4:F4"/>
    <mergeCell ref="A5:F5"/>
    <mergeCell ref="A6:F6"/>
    <mergeCell ref="A7:F7"/>
    <mergeCell ref="A8:F8"/>
    <mergeCell ref="A9:F9"/>
    <mergeCell ref="A11:F11"/>
    <mergeCell ref="A12:F12"/>
    <mergeCell ref="A13:F13"/>
    <mergeCell ref="A14:F14"/>
    <mergeCell ref="A15:F15"/>
    <mergeCell ref="A16:F16"/>
    <mergeCell ref="A17:F17"/>
    <mergeCell ref="A19:F19"/>
    <mergeCell ref="A20:F20"/>
    <mergeCell ref="A21:F21"/>
    <mergeCell ref="A22:F22"/>
    <mergeCell ref="A23:F23"/>
    <mergeCell ref="A24:F24"/>
    <mergeCell ref="A34:F34"/>
    <mergeCell ref="A35:F35"/>
    <mergeCell ref="A36:F36"/>
    <mergeCell ref="A37:F37"/>
    <mergeCell ref="A38:F38"/>
    <mergeCell ref="A39:F39"/>
    <mergeCell ref="A26:F26"/>
    <mergeCell ref="A27:F27"/>
    <mergeCell ref="A28:F28"/>
    <mergeCell ref="A29:F29"/>
    <mergeCell ref="A30:F30"/>
    <mergeCell ref="A31:F31"/>
    <mergeCell ref="A32:F3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2026-02-20T09:33:40Z</dcterms:created>
  <dc:creator>openpyxl</dc:creator>
</cp:coreProperties>
</file>